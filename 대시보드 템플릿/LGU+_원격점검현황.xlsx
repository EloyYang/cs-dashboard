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C:\Users\20080517\Desktop\대시보드 템플릿\"/>
    </mc:Choice>
  </mc:AlternateContent>
  <bookViews>
    <workbookView xWindow="28680" yWindow="-105" windowWidth="29040" windowHeight="15720" firstSheet="1" activeTab="2"/>
  </bookViews>
  <sheets>
    <sheet name="전체 통계" sheetId="34" state="hidden" r:id="rId1"/>
    <sheet name="통계" sheetId="46" r:id="rId2"/>
    <sheet name="고객만족후기" sheetId="47" r:id="rId3"/>
    <sheet name="4월 통계" sheetId="45" state="hidden" r:id="rId4"/>
    <sheet name="2017-12월 통계" sheetId="8" state="hidden" r:id="rId5"/>
    <sheet name="2017-11월 통계" sheetId="7" state="hidden" r:id="rId6"/>
  </sheets>
  <definedNames>
    <definedName name="_xlnm._FilterDatabase" localSheetId="2" hidden="1">고객만족후기!$A$1:$E$12058</definedName>
    <definedName name="_xlnm._FilterDatabase" localSheetId="0" hidden="1">'전체 통계'!$CF$7:$DI$29</definedName>
    <definedName name="일요일">#REF!</definedName>
    <definedName name="토요일">#REF!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8955" i="47" l="1"/>
  <c r="A8956" i="47"/>
  <c r="A8957" i="47"/>
  <c r="A8958" i="47"/>
  <c r="A8959" i="47"/>
  <c r="A8960" i="47"/>
  <c r="A8961" i="47"/>
  <c r="A8962" i="47"/>
  <c r="A8963" i="47"/>
  <c r="A8964" i="47"/>
  <c r="A8965" i="47"/>
  <c r="A8966" i="47"/>
  <c r="A8967" i="47"/>
  <c r="A8968" i="47"/>
  <c r="A8969" i="47"/>
  <c r="A8970" i="47"/>
  <c r="A8971" i="47"/>
  <c r="A8972" i="47"/>
  <c r="A8973" i="47"/>
  <c r="A8974" i="47"/>
  <c r="A8975" i="47"/>
  <c r="A8976" i="47"/>
  <c r="A8977" i="47"/>
  <c r="A8978" i="47"/>
  <c r="A8979" i="47"/>
  <c r="A8980" i="47"/>
  <c r="A8981" i="47"/>
  <c r="A8982" i="47"/>
  <c r="A8983" i="47"/>
  <c r="A8984" i="47"/>
  <c r="A8985" i="47"/>
  <c r="A7276" i="47" l="1"/>
  <c r="A7275" i="47"/>
  <c r="A7274" i="47"/>
  <c r="A7273" i="47"/>
  <c r="A7272" i="47"/>
  <c r="A7271" i="47"/>
  <c r="A7270" i="47"/>
  <c r="A7269" i="47"/>
  <c r="A7268" i="47"/>
  <c r="A7267" i="47"/>
  <c r="A7266" i="47"/>
  <c r="A7265" i="47"/>
  <c r="A7448" i="47"/>
  <c r="A7446" i="47"/>
  <c r="A7433" i="47"/>
  <c r="A7431" i="47"/>
  <c r="A7428" i="47"/>
  <c r="A7420" i="47"/>
  <c r="A7416" i="47"/>
  <c r="A7409" i="47"/>
  <c r="A7403" i="47"/>
  <c r="A7399" i="47"/>
  <c r="A7395" i="47"/>
  <c r="A7386" i="47"/>
  <c r="A7381" i="47"/>
  <c r="A7378" i="47"/>
  <c r="A7376" i="47"/>
  <c r="A7364" i="47"/>
  <c r="A7362" i="47"/>
  <c r="A7358" i="47"/>
  <c r="A7356" i="47"/>
  <c r="A7355" i="47"/>
  <c r="A7353" i="47"/>
  <c r="A7341" i="47"/>
  <c r="A7331" i="47"/>
  <c r="A7330" i="47"/>
  <c r="A7328" i="47"/>
  <c r="A7327" i="47"/>
  <c r="A7324" i="47"/>
  <c r="A7321" i="47"/>
  <c r="A7319" i="47"/>
  <c r="A7314" i="47"/>
  <c r="A7310" i="47"/>
  <c r="A7308" i="47"/>
  <c r="A7307" i="47"/>
  <c r="A7305" i="47"/>
  <c r="A7296" i="47"/>
  <c r="A7291" i="47"/>
  <c r="A7289" i="47"/>
  <c r="A7288" i="47"/>
  <c r="A7287" i="47"/>
  <c r="A7286" i="47"/>
  <c r="A7285" i="47"/>
  <c r="A7284" i="47"/>
  <c r="A7283" i="47"/>
  <c r="A7282" i="47"/>
  <c r="A7281" i="47"/>
  <c r="A7280" i="47"/>
  <c r="A7279" i="47"/>
  <c r="A7278" i="47"/>
  <c r="A7277" i="47"/>
  <c r="A7563" i="47"/>
  <c r="A7562" i="47"/>
  <c r="A7561" i="47"/>
  <c r="A7557" i="47"/>
  <c r="A7554" i="47"/>
  <c r="A7551" i="47"/>
  <c r="A7546" i="47"/>
  <c r="A7542" i="47"/>
  <c r="A7541" i="47"/>
  <c r="A7540" i="47"/>
  <c r="A7537" i="47"/>
  <c r="A7536" i="47"/>
  <c r="A7535" i="47"/>
  <c r="A7533" i="47"/>
  <c r="A7532" i="47"/>
  <c r="A7529" i="47"/>
  <c r="A7527" i="47"/>
  <c r="A7519" i="47"/>
  <c r="A7512" i="47"/>
  <c r="A7508" i="47"/>
  <c r="A7507" i="47"/>
  <c r="A7502" i="47"/>
  <c r="A7501" i="47"/>
  <c r="A7499" i="47"/>
  <c r="A7498" i="47"/>
  <c r="A7497" i="47"/>
  <c r="A7489" i="47"/>
  <c r="A7487" i="47"/>
  <c r="A7481" i="47"/>
  <c r="A7473" i="47"/>
  <c r="A7468" i="47"/>
  <c r="A7465" i="47"/>
  <c r="A7464" i="47"/>
  <c r="A7463" i="47"/>
  <c r="A7461" i="47"/>
  <c r="A7455" i="47"/>
  <c r="A7454" i="47"/>
  <c r="A7453" i="47"/>
  <c r="A7452" i="47"/>
  <c r="A7658" i="47"/>
  <c r="A7656" i="47"/>
  <c r="A7650" i="47"/>
  <c r="A7647" i="47"/>
  <c r="A7646" i="47"/>
  <c r="A7638" i="47"/>
  <c r="A7632" i="47"/>
  <c r="A7630" i="47"/>
  <c r="A7629" i="47"/>
  <c r="A7627" i="47"/>
  <c r="A7625" i="47"/>
  <c r="A7618" i="47"/>
  <c r="A7617" i="47"/>
  <c r="A7615" i="47"/>
  <c r="A7611" i="47"/>
  <c r="A7610" i="47"/>
  <c r="A7609" i="47"/>
  <c r="A7608" i="47"/>
  <c r="A7606" i="47"/>
  <c r="A7604" i="47"/>
  <c r="A7603" i="47"/>
  <c r="A7602" i="47"/>
  <c r="A7601" i="47"/>
  <c r="A7595" i="47"/>
  <c r="A7586" i="47"/>
  <c r="A7583" i="47"/>
  <c r="A7582" i="47"/>
  <c r="A7580" i="47"/>
  <c r="A7578" i="47"/>
  <c r="A7577" i="47"/>
  <c r="A7565" i="47"/>
  <c r="A7564" i="47"/>
  <c r="A7806" i="47"/>
  <c r="A7803" i="47"/>
  <c r="A7797" i="47"/>
  <c r="A7791" i="47"/>
  <c r="A7786" i="47"/>
  <c r="A7783" i="47"/>
  <c r="A7774" i="47"/>
  <c r="A7768" i="47"/>
  <c r="A7766" i="47"/>
  <c r="A7764" i="47"/>
  <c r="A7762" i="47"/>
  <c r="A7761" i="47"/>
  <c r="A7751" i="47"/>
  <c r="A7748" i="47"/>
  <c r="A7746" i="47"/>
  <c r="A7740" i="47"/>
  <c r="A7737" i="47"/>
  <c r="A7736" i="47"/>
  <c r="A7734" i="47"/>
  <c r="A7733" i="47"/>
  <c r="A7729" i="47"/>
  <c r="A7727" i="47"/>
  <c r="A7716" i="47"/>
  <c r="A7707" i="47"/>
  <c r="A7700" i="47"/>
  <c r="A7699" i="47"/>
  <c r="A7698" i="47"/>
  <c r="A7690" i="47"/>
  <c r="A7685" i="47"/>
  <c r="A7684" i="47"/>
  <c r="A7679" i="47"/>
  <c r="A7675" i="47"/>
  <c r="A7674" i="47"/>
  <c r="A7673" i="47"/>
  <c r="A7672" i="47"/>
  <c r="A7663" i="47"/>
  <c r="A7662" i="47"/>
  <c r="A7942" i="47"/>
  <c r="A7937" i="47"/>
  <c r="A7936" i="47"/>
  <c r="A7929" i="47"/>
  <c r="A7927" i="47"/>
  <c r="A7920" i="47"/>
  <c r="A7905" i="47"/>
  <c r="A7885" i="47"/>
  <c r="A7883" i="47"/>
  <c r="A7878" i="47"/>
  <c r="A7877" i="47"/>
  <c r="A7873" i="47"/>
  <c r="A7869" i="47"/>
  <c r="A7868" i="47"/>
  <c r="A7867" i="47"/>
  <c r="A7865" i="47"/>
  <c r="A7863" i="47"/>
  <c r="A7851" i="47"/>
  <c r="A7840" i="47"/>
  <c r="A7837" i="47"/>
  <c r="A7832" i="47"/>
  <c r="A7830" i="47"/>
  <c r="A7829" i="47"/>
  <c r="A7828" i="47"/>
  <c r="A7822" i="47"/>
  <c r="A7821" i="47"/>
  <c r="A7818" i="47"/>
  <c r="A7817" i="47"/>
  <c r="A7814" i="47"/>
  <c r="A7810" i="47"/>
  <c r="A7809" i="47"/>
  <c r="A7808" i="47"/>
  <c r="A7807" i="47"/>
  <c r="A7999" i="47"/>
  <c r="A7998" i="47"/>
  <c r="A7997" i="47"/>
  <c r="A7993" i="47"/>
  <c r="A7991" i="47"/>
  <c r="A7987" i="47"/>
  <c r="A7985" i="47"/>
  <c r="A7983" i="47"/>
  <c r="A7982" i="47"/>
  <c r="A7980" i="47"/>
  <c r="A7976" i="47"/>
  <c r="A7972" i="47"/>
  <c r="A7971" i="47"/>
  <c r="A7964" i="47"/>
  <c r="A7953" i="47"/>
  <c r="A7951" i="47"/>
  <c r="A7950" i="47"/>
  <c r="A7949" i="47"/>
  <c r="A7946" i="47"/>
  <c r="A7945" i="47"/>
  <c r="A8145" i="47"/>
  <c r="A8143" i="47"/>
  <c r="A8142" i="47"/>
  <c r="A8128" i="47"/>
  <c r="A8127" i="47"/>
  <c r="A8124" i="47"/>
  <c r="A8119" i="47"/>
  <c r="A8118" i="47"/>
  <c r="A8117" i="47"/>
  <c r="A8116" i="47"/>
  <c r="A8112" i="47"/>
  <c r="A8110" i="47"/>
  <c r="A8107" i="47"/>
  <c r="A8103" i="47"/>
  <c r="A8098" i="47"/>
  <c r="A8097" i="47"/>
  <c r="A8089" i="47"/>
  <c r="A8086" i="47"/>
  <c r="A8083" i="47"/>
  <c r="A8082" i="47"/>
  <c r="A8077" i="47"/>
  <c r="A8074" i="47"/>
  <c r="A8064" i="47"/>
  <c r="A8046" i="47"/>
  <c r="A8043" i="47"/>
  <c r="A8041" i="47"/>
  <c r="A8037" i="47"/>
  <c r="A8036" i="47"/>
  <c r="A8030" i="47"/>
  <c r="A8028" i="47"/>
  <c r="A8025" i="47"/>
  <c r="A8023" i="47"/>
  <c r="A8020" i="47"/>
  <c r="A8015" i="47"/>
  <c r="A8010" i="47"/>
  <c r="A8008" i="47"/>
  <c r="A8006" i="47"/>
  <c r="A8005" i="47"/>
  <c r="A8002" i="47"/>
  <c r="A8270" i="47"/>
  <c r="A8269" i="47"/>
  <c r="A8266" i="47"/>
  <c r="A8264" i="47"/>
  <c r="A8260" i="47"/>
  <c r="A8259" i="47"/>
  <c r="A8255" i="47"/>
  <c r="A8254" i="47"/>
  <c r="A8246" i="47"/>
  <c r="A8244" i="47"/>
  <c r="A8240" i="47"/>
  <c r="A8238" i="47"/>
  <c r="A8217" i="47"/>
  <c r="A8214" i="47"/>
  <c r="A8213" i="47"/>
  <c r="A8210" i="47"/>
  <c r="A8207" i="47"/>
  <c r="A8202" i="47"/>
  <c r="A8201" i="47"/>
  <c r="A8198" i="47"/>
  <c r="A8193" i="47"/>
  <c r="A8190" i="47"/>
  <c r="A8189" i="47"/>
  <c r="A8188" i="47"/>
  <c r="A8179" i="47"/>
  <c r="A8178" i="47"/>
  <c r="A8172" i="47"/>
  <c r="A8168" i="47"/>
  <c r="A8166" i="47"/>
  <c r="A8165" i="47"/>
  <c r="A8164" i="47"/>
  <c r="A8160" i="47"/>
  <c r="A8159" i="47"/>
  <c r="A8155" i="47"/>
  <c r="A8153" i="47"/>
  <c r="A8152" i="47"/>
  <c r="A8150" i="47"/>
  <c r="A8147" i="47"/>
  <c r="A8146" i="47"/>
  <c r="A8451" i="47"/>
  <c r="A8447" i="47"/>
  <c r="A8444" i="47"/>
  <c r="A8442" i="47"/>
  <c r="A8441" i="47"/>
  <c r="A8828" i="47"/>
  <c r="A8440" i="47"/>
  <c r="A8439" i="47"/>
  <c r="A8437" i="47"/>
  <c r="A8435" i="47"/>
  <c r="A8434" i="47"/>
  <c r="A8428" i="47"/>
  <c r="A8421" i="47"/>
  <c r="A8418" i="47"/>
  <c r="A8407" i="47"/>
  <c r="A8406" i="47"/>
  <c r="A8403" i="47"/>
  <c r="A8399" i="47"/>
  <c r="A8389" i="47"/>
  <c r="A8381" i="47"/>
  <c r="A8378" i="47"/>
  <c r="A8375" i="47"/>
  <c r="A8371" i="47"/>
  <c r="A8370" i="47"/>
  <c r="A8365" i="47"/>
  <c r="A8364" i="47"/>
  <c r="A8355" i="47"/>
  <c r="A8345" i="47"/>
  <c r="A8344" i="47"/>
  <c r="A8339" i="47"/>
  <c r="A8329" i="47"/>
  <c r="A8325" i="47"/>
  <c r="A8321" i="47"/>
  <c r="A8315" i="47"/>
  <c r="A8311" i="47"/>
  <c r="A8303" i="47"/>
  <c r="A8300" i="47"/>
  <c r="A8294" i="47"/>
  <c r="A8293" i="47"/>
  <c r="A8288" i="47"/>
  <c r="A8274" i="47"/>
  <c r="A8582" i="47"/>
  <c r="A8581" i="47"/>
  <c r="A8580" i="47"/>
  <c r="A8579" i="47"/>
  <c r="A8578" i="47"/>
  <c r="A8577" i="47"/>
  <c r="A8576" i="47"/>
  <c r="A8575" i="47"/>
  <c r="A8574" i="47"/>
  <c r="A8573" i="47"/>
  <c r="A8572" i="47"/>
  <c r="A8571" i="47"/>
  <c r="A8570" i="47"/>
  <c r="A8569" i="47"/>
  <c r="A8567" i="47"/>
  <c r="A8564" i="47"/>
  <c r="A8563" i="47"/>
  <c r="A8560" i="47"/>
  <c r="A8547" i="47"/>
  <c r="A8545" i="47"/>
  <c r="A8541" i="47"/>
  <c r="A8539" i="47"/>
  <c r="A8537" i="47"/>
  <c r="A8531" i="47"/>
  <c r="A8524" i="47"/>
  <c r="A8523" i="47"/>
  <c r="A8520" i="47"/>
  <c r="A8515" i="47"/>
  <c r="A8507" i="47"/>
  <c r="A8504" i="47"/>
  <c r="A8493" i="47"/>
  <c r="A8485" i="47"/>
  <c r="A8482" i="47"/>
  <c r="A8481" i="47"/>
  <c r="A8480" i="47"/>
  <c r="A8479" i="47"/>
  <c r="A8458" i="47"/>
  <c r="A8457" i="47"/>
  <c r="A8452" i="47"/>
  <c r="A8617" i="47"/>
  <c r="A8616" i="47"/>
  <c r="A8615" i="47"/>
  <c r="A8614" i="47"/>
  <c r="A8613" i="47"/>
  <c r="A8612" i="47"/>
  <c r="A8611" i="47"/>
  <c r="A8610" i="47"/>
  <c r="A8609" i="47"/>
  <c r="A8608" i="47"/>
  <c r="A8607" i="47"/>
  <c r="A8606" i="47"/>
  <c r="A8605" i="47"/>
  <c r="A8604" i="47"/>
  <c r="A8603" i="47"/>
  <c r="A8602" i="47"/>
  <c r="A8601" i="47"/>
  <c r="A8600" i="47"/>
  <c r="A8599" i="47"/>
  <c r="A8598" i="47"/>
  <c r="A8597" i="47"/>
  <c r="A8596" i="47"/>
  <c r="A8595" i="47"/>
  <c r="A8594" i="47"/>
  <c r="A8593" i="47"/>
  <c r="A8592" i="47"/>
  <c r="A8591" i="47"/>
  <c r="A8590" i="47"/>
  <c r="A8589" i="47"/>
  <c r="A8588" i="47"/>
  <c r="A8587" i="47"/>
  <c r="A8586" i="47"/>
  <c r="A8585" i="47"/>
  <c r="A8584" i="47"/>
  <c r="A8583" i="47"/>
  <c r="A8628" i="47"/>
  <c r="A8860" i="47" l="1"/>
  <c r="A8861" i="47"/>
  <c r="A8862" i="47"/>
  <c r="A8863" i="47"/>
  <c r="A8864" i="47"/>
  <c r="A8865" i="47"/>
  <c r="A8866" i="47"/>
  <c r="A8867" i="47"/>
  <c r="A8868" i="47"/>
  <c r="A8869" i="47"/>
  <c r="A8870" i="47"/>
  <c r="A8871" i="47"/>
  <c r="A8872" i="47"/>
  <c r="A8873" i="47"/>
  <c r="A8874" i="47"/>
  <c r="A8875" i="47"/>
  <c r="A8876" i="47"/>
  <c r="A8877" i="47"/>
  <c r="A8878" i="47"/>
  <c r="A8879" i="47"/>
  <c r="A8880" i="47"/>
  <c r="A8881" i="47"/>
  <c r="A8882" i="47"/>
  <c r="A8883" i="47"/>
  <c r="A8884" i="47"/>
  <c r="A7290" i="47"/>
  <c r="A7292" i="47"/>
  <c r="A7293" i="47"/>
  <c r="A7294" i="47"/>
  <c r="A7295" i="47"/>
  <c r="A7297" i="47"/>
  <c r="A7298" i="47"/>
  <c r="A7299" i="47"/>
  <c r="A7300" i="47"/>
  <c r="A7301" i="47"/>
  <c r="A7302" i="47"/>
  <c r="A7303" i="47"/>
  <c r="A7304" i="47"/>
  <c r="A7306" i="47"/>
  <c r="A7309" i="47"/>
  <c r="A7311" i="47"/>
  <c r="A7312" i="47"/>
  <c r="A7313" i="47"/>
  <c r="A7315" i="47"/>
  <c r="A7316" i="47"/>
  <c r="A7317" i="47"/>
  <c r="A7318" i="47"/>
  <c r="A7320" i="47"/>
  <c r="A7322" i="47"/>
  <c r="A7323" i="47"/>
  <c r="A7325" i="47"/>
  <c r="A7326" i="47"/>
  <c r="A8952" i="47"/>
  <c r="A8953" i="47"/>
  <c r="A7329" i="47"/>
  <c r="A8954" i="47"/>
  <c r="A7332" i="47"/>
  <c r="A7333" i="47"/>
  <c r="A7334" i="47"/>
  <c r="A7335" i="47"/>
  <c r="A7336" i="47"/>
  <c r="A7337" i="47"/>
  <c r="A7338" i="47"/>
  <c r="A7339" i="47"/>
  <c r="A7340" i="47"/>
  <c r="A7342" i="47"/>
  <c r="A7343" i="47"/>
  <c r="A7344" i="47"/>
  <c r="A7345" i="47"/>
  <c r="A7346" i="47"/>
  <c r="A7347" i="47"/>
  <c r="A7348" i="47"/>
  <c r="A7349" i="47"/>
  <c r="A7350" i="47"/>
  <c r="A7351" i="47"/>
  <c r="A7352" i="47"/>
  <c r="A7354" i="47"/>
  <c r="A7357" i="47"/>
  <c r="A7359" i="47"/>
  <c r="A7360" i="47"/>
  <c r="A7361" i="47"/>
  <c r="A7363" i="47"/>
  <c r="A7365" i="47"/>
  <c r="A7366" i="47"/>
  <c r="A7367" i="47"/>
  <c r="A7368" i="47"/>
  <c r="A7369" i="47"/>
  <c r="A7370" i="47"/>
  <c r="A7371" i="47"/>
  <c r="A7372" i="47"/>
  <c r="A7373" i="47"/>
  <c r="A7374" i="47"/>
  <c r="A7375" i="47"/>
  <c r="A7377" i="47"/>
  <c r="A7379" i="47"/>
  <c r="A7380" i="47"/>
  <c r="A7382" i="47"/>
  <c r="A7383" i="47"/>
  <c r="A7384" i="47"/>
  <c r="A7385" i="47"/>
  <c r="A7387" i="47"/>
  <c r="A7388" i="47"/>
  <c r="A7389" i="47"/>
  <c r="A7390" i="47"/>
  <c r="A7391" i="47"/>
  <c r="A7392" i="47"/>
  <c r="A7393" i="47"/>
  <c r="A7394" i="47"/>
  <c r="A7396" i="47"/>
  <c r="A7397" i="47"/>
  <c r="A7398" i="47"/>
  <c r="A7400" i="47"/>
  <c r="A7401" i="47"/>
  <c r="A7402" i="47"/>
  <c r="A7404" i="47"/>
  <c r="A7405" i="47"/>
  <c r="A7406" i="47"/>
  <c r="A7407" i="47"/>
  <c r="A7408" i="47"/>
  <c r="A7410" i="47"/>
  <c r="A7411" i="47"/>
  <c r="A7412" i="47"/>
  <c r="A7413" i="47"/>
  <c r="A7414" i="47"/>
  <c r="A7415" i="47"/>
  <c r="A7417" i="47"/>
  <c r="A7418" i="47"/>
  <c r="A7419" i="47"/>
  <c r="A7421" i="47"/>
  <c r="A7422" i="47"/>
  <c r="A7423" i="47"/>
  <c r="A7424" i="47"/>
  <c r="A7425" i="47"/>
  <c r="A7426" i="47"/>
  <c r="A7427" i="47"/>
  <c r="A7429" i="47"/>
  <c r="A7430" i="47"/>
  <c r="A7432" i="47"/>
  <c r="A7434" i="47"/>
  <c r="A7435" i="47"/>
  <c r="A7436" i="47"/>
  <c r="A7437" i="47"/>
  <c r="A7438" i="47"/>
  <c r="A7439" i="47"/>
  <c r="A7440" i="47"/>
  <c r="A7441" i="47"/>
  <c r="A7442" i="47"/>
  <c r="A7443" i="47"/>
  <c r="A7444" i="47"/>
  <c r="A7445" i="47"/>
  <c r="A8923" i="47"/>
  <c r="A7447" i="47"/>
  <c r="A8924" i="47"/>
  <c r="A7449" i="47"/>
  <c r="A7450" i="47"/>
  <c r="A7451" i="47"/>
  <c r="A8925" i="47"/>
  <c r="A8926" i="47"/>
  <c r="A8927" i="47"/>
  <c r="A8928" i="47"/>
  <c r="A7456" i="47"/>
  <c r="A7457" i="47"/>
  <c r="A7458" i="47"/>
  <c r="A7459" i="47"/>
  <c r="A7460" i="47"/>
  <c r="A8929" i="47"/>
  <c r="A7462" i="47"/>
  <c r="A8930" i="47"/>
  <c r="A8931" i="47"/>
  <c r="A8932" i="47"/>
  <c r="A7466" i="47"/>
  <c r="A7467" i="47"/>
  <c r="A8933" i="47"/>
  <c r="A7469" i="47"/>
  <c r="A7470" i="47"/>
  <c r="A7471" i="47"/>
  <c r="A7472" i="47"/>
  <c r="A8934" i="47"/>
  <c r="A7474" i="47"/>
  <c r="A7475" i="47"/>
  <c r="A7476" i="47"/>
  <c r="A7477" i="47"/>
  <c r="A7478" i="47"/>
  <c r="A7479" i="47"/>
  <c r="A7480" i="47"/>
  <c r="A8935" i="47"/>
  <c r="A7482" i="47"/>
  <c r="A7483" i="47"/>
  <c r="A7484" i="47"/>
  <c r="A7485" i="47"/>
  <c r="A7486" i="47"/>
  <c r="A8936" i="47"/>
  <c r="A7488" i="47"/>
  <c r="A8937" i="47"/>
  <c r="A7490" i="47"/>
  <c r="A7491" i="47"/>
  <c r="A7492" i="47"/>
  <c r="A7493" i="47"/>
  <c r="A7494" i="47"/>
  <c r="A7495" i="47"/>
  <c r="A7496" i="47"/>
  <c r="A8938" i="47"/>
  <c r="A8939" i="47"/>
  <c r="A8940" i="47"/>
  <c r="A7500" i="47"/>
  <c r="A8941" i="47"/>
  <c r="A8942" i="47"/>
  <c r="A7503" i="47"/>
  <c r="A7504" i="47"/>
  <c r="A7505" i="47"/>
  <c r="A7506" i="47"/>
  <c r="A8943" i="47"/>
  <c r="A8944" i="47"/>
  <c r="A7509" i="47"/>
  <c r="A7510" i="47"/>
  <c r="A7511" i="47"/>
  <c r="A8945" i="47"/>
  <c r="A7513" i="47"/>
  <c r="A7514" i="47"/>
  <c r="A7515" i="47"/>
  <c r="A7516" i="47"/>
  <c r="A7517" i="47"/>
  <c r="A7518" i="47"/>
  <c r="A8946" i="47"/>
  <c r="A7520" i="47"/>
  <c r="A7521" i="47"/>
  <c r="A7522" i="47"/>
  <c r="A7523" i="47"/>
  <c r="A7524" i="47"/>
  <c r="A7525" i="47"/>
  <c r="A7526" i="47"/>
  <c r="A8947" i="47"/>
  <c r="A7528" i="47"/>
  <c r="A8948" i="47"/>
  <c r="A7530" i="47"/>
  <c r="A7531" i="47"/>
  <c r="A8949" i="47"/>
  <c r="A8950" i="47"/>
  <c r="A7534" i="47"/>
  <c r="A8951" i="47"/>
  <c r="A8885" i="47"/>
  <c r="A8886" i="47"/>
  <c r="A7538" i="47"/>
  <c r="A7539" i="47"/>
  <c r="A8887" i="47"/>
  <c r="A8888" i="47"/>
  <c r="A8889" i="47"/>
  <c r="A7543" i="47"/>
  <c r="A7544" i="47"/>
  <c r="A7545" i="47"/>
  <c r="A8890" i="47"/>
  <c r="A7547" i="47"/>
  <c r="A7548" i="47"/>
  <c r="A7549" i="47"/>
  <c r="A7550" i="47"/>
  <c r="A8891" i="47"/>
  <c r="A7552" i="47"/>
  <c r="A7553" i="47"/>
  <c r="A8892" i="47"/>
  <c r="A7555" i="47"/>
  <c r="A7556" i="47"/>
  <c r="A8893" i="47"/>
  <c r="A7558" i="47"/>
  <c r="A7559" i="47"/>
  <c r="A7560" i="47"/>
  <c r="A8894" i="47"/>
  <c r="A8895" i="47"/>
  <c r="A8896" i="47"/>
  <c r="A8897" i="47"/>
  <c r="A8898" i="47"/>
  <c r="A7566" i="47"/>
  <c r="A7567" i="47"/>
  <c r="A7568" i="47"/>
  <c r="A7569" i="47"/>
  <c r="A7570" i="47"/>
  <c r="A7571" i="47"/>
  <c r="A7572" i="47"/>
  <c r="A7573" i="47"/>
  <c r="A7574" i="47"/>
  <c r="A7575" i="47"/>
  <c r="A7576" i="47"/>
  <c r="A8899" i="47"/>
  <c r="A8900" i="47"/>
  <c r="A7579" i="47"/>
  <c r="A8901" i="47"/>
  <c r="A7581" i="47"/>
  <c r="A8902" i="47"/>
  <c r="A8903" i="47"/>
  <c r="A7584" i="47"/>
  <c r="A7585" i="47"/>
  <c r="A8904" i="47"/>
  <c r="A7587" i="47"/>
  <c r="A7588" i="47"/>
  <c r="A7589" i="47"/>
  <c r="A7590" i="47"/>
  <c r="A7591" i="47"/>
  <c r="A7592" i="47"/>
  <c r="A7593" i="47"/>
  <c r="A7594" i="47"/>
  <c r="A8905" i="47"/>
  <c r="A7596" i="47"/>
  <c r="A7597" i="47"/>
  <c r="A7598" i="47"/>
  <c r="A7599" i="47"/>
  <c r="A7600" i="47"/>
  <c r="A8906" i="47"/>
  <c r="A8907" i="47"/>
  <c r="A8908" i="47"/>
  <c r="A8909" i="47"/>
  <c r="A7605" i="47"/>
  <c r="A8910" i="47"/>
  <c r="A7607" i="47"/>
  <c r="A8911" i="47"/>
  <c r="A8912" i="47"/>
  <c r="A8913" i="47"/>
  <c r="A8914" i="47"/>
  <c r="A7612" i="47"/>
  <c r="A7613" i="47"/>
  <c r="A7614" i="47"/>
  <c r="A8915" i="47"/>
  <c r="A7616" i="47"/>
  <c r="A8916" i="47"/>
  <c r="A8917" i="47"/>
  <c r="A7619" i="47"/>
  <c r="A7620" i="47"/>
  <c r="A7621" i="47"/>
  <c r="A7622" i="47"/>
  <c r="A7623" i="47"/>
  <c r="A7624" i="47"/>
  <c r="A8918" i="47"/>
  <c r="A7626" i="47"/>
  <c r="A8919" i="47"/>
  <c r="A7628" i="47"/>
  <c r="A8920" i="47"/>
  <c r="A8921" i="47"/>
  <c r="A7631" i="47"/>
  <c r="A8922" i="47"/>
  <c r="A7633" i="47"/>
  <c r="A7634" i="47"/>
  <c r="A7635" i="47"/>
  <c r="A7636" i="47"/>
  <c r="A7637" i="47"/>
  <c r="A8829" i="47"/>
  <c r="A7639" i="47"/>
  <c r="A7640" i="47"/>
  <c r="A7641" i="47"/>
  <c r="A7642" i="47"/>
  <c r="A7643" i="47"/>
  <c r="A7644" i="47"/>
  <c r="A7645" i="47"/>
  <c r="A8830" i="47"/>
  <c r="A8831" i="47"/>
  <c r="A7648" i="47"/>
  <c r="A7649" i="47"/>
  <c r="A8832" i="47"/>
  <c r="A7651" i="47"/>
  <c r="A7652" i="47"/>
  <c r="A7653" i="47"/>
  <c r="A7654" i="47"/>
  <c r="A7655" i="47"/>
  <c r="A8833" i="47"/>
  <c r="A7657" i="47"/>
  <c r="A8834" i="47"/>
  <c r="A7659" i="47"/>
  <c r="A7660" i="47"/>
  <c r="A7661" i="47"/>
  <c r="A8835" i="47"/>
  <c r="A8836" i="47"/>
  <c r="A7664" i="47"/>
  <c r="A7665" i="47"/>
  <c r="A7666" i="47"/>
  <c r="A7667" i="47"/>
  <c r="A7668" i="47"/>
  <c r="A7669" i="47"/>
  <c r="A7670" i="47"/>
  <c r="A7671" i="47"/>
  <c r="A8837" i="47"/>
  <c r="A8838" i="47"/>
  <c r="A8839" i="47"/>
  <c r="A8840" i="47"/>
  <c r="A7676" i="47"/>
  <c r="A7677" i="47"/>
  <c r="A7678" i="47"/>
  <c r="A8841" i="47"/>
  <c r="A7680" i="47"/>
  <c r="A7681" i="47"/>
  <c r="A7682" i="47"/>
  <c r="A7683" i="47"/>
  <c r="A8842" i="47"/>
  <c r="A8843" i="47"/>
  <c r="A7686" i="47"/>
  <c r="A7687" i="47"/>
  <c r="A7688" i="47"/>
  <c r="A7689" i="47"/>
  <c r="A8844" i="47"/>
  <c r="A7691" i="47"/>
  <c r="A7692" i="47"/>
  <c r="A7693" i="47"/>
  <c r="A7694" i="47"/>
  <c r="A7695" i="47"/>
  <c r="A7696" i="47"/>
  <c r="A7697" i="47"/>
  <c r="A8845" i="47"/>
  <c r="A8846" i="47"/>
  <c r="A8847" i="47"/>
  <c r="A7701" i="47"/>
  <c r="A7702" i="47"/>
  <c r="A7703" i="47"/>
  <c r="A7704" i="47"/>
  <c r="A7705" i="47"/>
  <c r="A7706" i="47"/>
  <c r="A8848" i="47"/>
  <c r="A7708" i="47"/>
  <c r="A7709" i="47"/>
  <c r="A7710" i="47"/>
  <c r="A7711" i="47"/>
  <c r="A7712" i="47"/>
  <c r="A7713" i="47"/>
  <c r="A7714" i="47"/>
  <c r="A7715" i="47"/>
  <c r="A8849" i="47"/>
  <c r="A7717" i="47"/>
  <c r="A7718" i="47"/>
  <c r="A7719" i="47"/>
  <c r="A7720" i="47"/>
  <c r="A7721" i="47"/>
  <c r="A7722" i="47"/>
  <c r="A7723" i="47"/>
  <c r="A7724" i="47"/>
  <c r="A7725" i="47"/>
  <c r="A7726" i="47"/>
  <c r="A8850" i="47"/>
  <c r="A7728" i="47"/>
  <c r="A8851" i="47"/>
  <c r="A7730" i="47"/>
  <c r="A7731" i="47"/>
  <c r="A7732" i="47"/>
  <c r="A8852" i="47"/>
  <c r="A8853" i="47"/>
  <c r="A7735" i="47"/>
  <c r="A8854" i="47"/>
  <c r="A8855" i="47"/>
  <c r="A7738" i="47"/>
  <c r="A7739" i="47"/>
  <c r="A8856" i="47"/>
  <c r="A7741" i="47"/>
  <c r="A7742" i="47"/>
  <c r="A7743" i="47"/>
  <c r="A7744" i="47"/>
  <c r="A7745" i="47"/>
  <c r="A8857" i="47"/>
  <c r="A7747" i="47"/>
  <c r="A8858" i="47"/>
  <c r="A7749" i="47"/>
  <c r="A7750" i="47"/>
  <c r="A8859" i="47"/>
  <c r="A7752" i="47"/>
  <c r="A7753" i="47"/>
  <c r="A7754" i="47"/>
  <c r="A7755" i="47"/>
  <c r="A7756" i="47"/>
  <c r="A7757" i="47"/>
  <c r="A7758" i="47"/>
  <c r="A7759" i="47"/>
  <c r="A7760" i="47"/>
  <c r="A8790" i="47"/>
  <c r="A8791" i="47"/>
  <c r="A7763" i="47"/>
  <c r="A8792" i="47"/>
  <c r="A7765" i="47"/>
  <c r="A8793" i="47"/>
  <c r="A7767" i="47"/>
  <c r="A8794" i="47"/>
  <c r="A7769" i="47"/>
  <c r="A7770" i="47"/>
  <c r="A7771" i="47"/>
  <c r="A7772" i="47"/>
  <c r="A7773" i="47"/>
  <c r="A8795" i="47"/>
  <c r="A7775" i="47"/>
  <c r="A7776" i="47"/>
  <c r="A7777" i="47"/>
  <c r="A7778" i="47"/>
  <c r="A7779" i="47"/>
  <c r="A7780" i="47"/>
  <c r="A7781" i="47"/>
  <c r="A7782" i="47"/>
  <c r="A8796" i="47"/>
  <c r="A7784" i="47"/>
  <c r="A7785" i="47"/>
  <c r="A8797" i="47"/>
  <c r="A7787" i="47"/>
  <c r="A7788" i="47"/>
  <c r="A7789" i="47"/>
  <c r="A7790" i="47"/>
  <c r="A8798" i="47"/>
  <c r="A7792" i="47"/>
  <c r="A7793" i="47"/>
  <c r="A7794" i="47"/>
  <c r="A7795" i="47"/>
  <c r="A7796" i="47"/>
  <c r="A8799" i="47"/>
  <c r="A7798" i="47"/>
  <c r="A7799" i="47"/>
  <c r="A7800" i="47"/>
  <c r="A7801" i="47"/>
  <c r="A7802" i="47"/>
  <c r="A8800" i="47"/>
  <c r="A7804" i="47"/>
  <c r="A7805" i="47"/>
  <c r="A8801" i="47"/>
  <c r="A8802" i="47"/>
  <c r="A8803" i="47"/>
  <c r="A8804" i="47"/>
  <c r="A8805" i="47"/>
  <c r="A7811" i="47"/>
  <c r="A7812" i="47"/>
  <c r="A7813" i="47"/>
  <c r="A8806" i="47"/>
  <c r="A7815" i="47"/>
  <c r="A7816" i="47"/>
  <c r="A8807" i="47"/>
  <c r="A8808" i="47"/>
  <c r="A7819" i="47"/>
  <c r="A7820" i="47"/>
  <c r="A8809" i="47"/>
  <c r="A8810" i="47"/>
  <c r="A7823" i="47"/>
  <c r="A7824" i="47"/>
  <c r="A7825" i="47"/>
  <c r="A7826" i="47"/>
  <c r="A7827" i="47"/>
  <c r="A8811" i="47"/>
  <c r="A8812" i="47"/>
  <c r="A8813" i="47"/>
  <c r="A7831" i="47"/>
  <c r="A8814" i="47"/>
  <c r="A7833" i="47"/>
  <c r="A7834" i="47"/>
  <c r="A7835" i="47"/>
  <c r="A7836" i="47"/>
  <c r="A8815" i="47"/>
  <c r="A7838" i="47"/>
  <c r="A7839" i="47"/>
  <c r="A8816" i="47"/>
  <c r="A7841" i="47"/>
  <c r="A7842" i="47"/>
  <c r="A7843" i="47"/>
  <c r="A7844" i="47"/>
  <c r="A7845" i="47"/>
  <c r="A7846" i="47"/>
  <c r="A7847" i="47"/>
  <c r="A7848" i="47"/>
  <c r="A7849" i="47"/>
  <c r="A7850" i="47"/>
  <c r="A8817" i="47"/>
  <c r="A7852" i="47"/>
  <c r="A7853" i="47"/>
  <c r="A7854" i="47"/>
  <c r="A7855" i="47"/>
  <c r="A7856" i="47"/>
  <c r="A7857" i="47"/>
  <c r="A7858" i="47"/>
  <c r="A7859" i="47"/>
  <c r="A7860" i="47"/>
  <c r="A7861" i="47"/>
  <c r="A7862" i="47"/>
  <c r="A8818" i="47"/>
  <c r="A7864" i="47"/>
  <c r="A8819" i="47"/>
  <c r="A7866" i="47"/>
  <c r="A8820" i="47"/>
  <c r="A8821" i="47"/>
  <c r="A8822" i="47"/>
  <c r="A7870" i="47"/>
  <c r="A7871" i="47"/>
  <c r="A7872" i="47"/>
  <c r="A8823" i="47"/>
  <c r="A7874" i="47"/>
  <c r="A7875" i="47"/>
  <c r="A7876" i="47"/>
  <c r="A8824" i="47"/>
  <c r="A8825" i="47"/>
  <c r="A7879" i="47"/>
  <c r="A7880" i="47"/>
  <c r="A7881" i="47"/>
  <c r="A7882" i="47"/>
  <c r="A8826" i="47"/>
  <c r="A7884" i="47"/>
  <c r="A8827" i="47"/>
  <c r="A7886" i="47"/>
  <c r="A7887" i="47"/>
  <c r="A7888" i="47"/>
  <c r="A7889" i="47"/>
  <c r="A7890" i="47"/>
  <c r="A7891" i="47"/>
  <c r="A7892" i="47"/>
  <c r="A7893" i="47"/>
  <c r="A7894" i="47"/>
  <c r="A7895" i="47"/>
  <c r="A7896" i="47"/>
  <c r="A7897" i="47"/>
  <c r="A7898" i="47"/>
  <c r="A7899" i="47"/>
  <c r="A7900" i="47"/>
  <c r="A7901" i="47"/>
  <c r="A7902" i="47"/>
  <c r="A7903" i="47"/>
  <c r="A7904" i="47"/>
  <c r="A8786" i="47"/>
  <c r="A7906" i="47"/>
  <c r="A7907" i="47"/>
  <c r="A7908" i="47"/>
  <c r="A7909" i="47"/>
  <c r="A7910" i="47"/>
  <c r="A7911" i="47"/>
  <c r="A7912" i="47"/>
  <c r="A7913" i="47"/>
  <c r="A7914" i="47"/>
  <c r="A7915" i="47"/>
  <c r="A7916" i="47"/>
  <c r="A7917" i="47"/>
  <c r="A7918" i="47"/>
  <c r="A7919" i="47"/>
  <c r="A8787" i="47"/>
  <c r="A7921" i="47"/>
  <c r="A7922" i="47"/>
  <c r="A7923" i="47"/>
  <c r="A7924" i="47"/>
  <c r="A7925" i="47"/>
  <c r="A7926" i="47"/>
  <c r="A8788" i="47"/>
  <c r="A7928" i="47"/>
  <c r="A8789" i="47"/>
  <c r="A7930" i="47"/>
  <c r="A7931" i="47"/>
  <c r="A7932" i="47"/>
  <c r="A7933" i="47"/>
  <c r="A7934" i="47"/>
  <c r="A7935" i="47"/>
  <c r="A8747" i="47"/>
  <c r="A8748" i="47"/>
  <c r="A7938" i="47"/>
  <c r="A7939" i="47"/>
  <c r="A7940" i="47"/>
  <c r="A7941" i="47"/>
  <c r="A8749" i="47"/>
  <c r="A7943" i="47"/>
  <c r="A7944" i="47"/>
  <c r="A8750" i="47"/>
  <c r="A8751" i="47"/>
  <c r="A7947" i="47"/>
  <c r="A7948" i="47"/>
  <c r="A8752" i="47"/>
  <c r="A8753" i="47"/>
  <c r="A8754" i="47"/>
  <c r="A7952" i="47"/>
  <c r="A8755" i="47"/>
  <c r="A7954" i="47"/>
  <c r="A7955" i="47"/>
  <c r="A7956" i="47"/>
  <c r="A7957" i="47"/>
  <c r="A7958" i="47"/>
  <c r="A8443" i="47" l="1"/>
  <c r="A8642" i="47"/>
  <c r="A8641" i="47"/>
  <c r="A8640" i="47"/>
  <c r="A8639" i="47"/>
  <c r="A8438" i="47"/>
  <c r="A8638" i="47"/>
  <c r="A8436" i="47"/>
  <c r="A8637" i="47"/>
  <c r="A8636" i="47"/>
  <c r="A8433" i="47"/>
  <c r="A8432" i="47"/>
  <c r="A8431" i="47"/>
  <c r="A8256" i="47"/>
  <c r="A8706" i="47"/>
  <c r="A8705" i="47"/>
  <c r="A8253" i="47"/>
  <c r="A8252" i="47"/>
  <c r="A8251" i="47"/>
  <c r="A8250" i="47"/>
  <c r="A8249" i="47"/>
  <c r="A8248" i="47"/>
  <c r="A8247" i="47"/>
  <c r="A8704" i="47"/>
  <c r="A8245" i="47"/>
  <c r="A8703" i="47"/>
  <c r="A8243" i="47"/>
  <c r="A8242" i="47"/>
  <c r="A8241" i="47"/>
  <c r="A8702" i="47"/>
  <c r="A8239" i="47"/>
  <c r="A8701" i="47"/>
  <c r="A8237" i="47"/>
  <c r="A8236" i="47"/>
  <c r="A8235" i="47"/>
  <c r="A8234" i="47"/>
  <c r="A8233" i="47"/>
  <c r="A8232" i="47"/>
  <c r="A8231" i="47"/>
  <c r="A8230" i="47"/>
  <c r="A8229" i="47"/>
  <c r="A8228" i="47"/>
  <c r="A8227" i="47"/>
  <c r="A8226" i="47"/>
  <c r="A8225" i="47"/>
  <c r="A8224" i="47"/>
  <c r="A8223" i="47"/>
  <c r="A8222" i="47"/>
  <c r="A8670" i="47"/>
  <c r="A8324" i="47"/>
  <c r="A8323" i="47"/>
  <c r="A8322" i="47"/>
  <c r="A8669" i="47"/>
  <c r="A8320" i="47"/>
  <c r="A8374" i="47"/>
  <c r="A8373" i="47"/>
  <c r="A8372" i="47"/>
  <c r="A8679" i="47"/>
  <c r="A8678" i="47"/>
  <c r="A8369" i="47"/>
  <c r="A8368" i="47"/>
  <c r="A8367" i="47"/>
  <c r="A8019" i="47"/>
  <c r="A8018" i="47"/>
  <c r="A8725" i="47"/>
  <c r="A8109" i="47"/>
  <c r="A8108" i="47"/>
  <c r="A8724" i="47"/>
  <c r="A8106" i="47"/>
  <c r="A8105" i="47"/>
  <c r="A8104" i="47"/>
  <c r="A8723" i="47"/>
  <c r="A8102" i="47"/>
  <c r="A8101" i="47"/>
  <c r="A8100" i="47"/>
  <c r="A8099" i="47"/>
  <c r="A8722" i="47"/>
  <c r="A8721" i="47"/>
  <c r="A8096" i="47"/>
  <c r="A8095" i="47"/>
  <c r="A8094" i="47"/>
  <c r="A8093" i="47"/>
  <c r="A8092" i="47"/>
  <c r="A8091" i="47"/>
  <c r="A8090" i="47"/>
  <c r="A8720" i="47"/>
  <c r="A8088" i="47"/>
  <c r="A8087" i="47"/>
  <c r="A8719" i="47"/>
  <c r="A8085" i="47"/>
  <c r="A8084" i="47"/>
  <c r="A8718" i="47"/>
  <c r="A8717" i="47"/>
  <c r="A8081" i="47"/>
  <c r="A8080" i="47"/>
  <c r="A8079" i="47"/>
  <c r="A8078" i="47"/>
  <c r="A8716" i="47"/>
  <c r="A8076" i="47"/>
  <c r="A8075" i="47"/>
  <c r="A8715" i="47"/>
  <c r="A8184" i="47"/>
  <c r="A8183" i="47"/>
  <c r="A8182" i="47"/>
  <c r="A8181" i="47"/>
  <c r="A8180" i="47"/>
  <c r="A8688" i="47"/>
  <c r="A8760" i="47"/>
  <c r="A7979" i="47"/>
  <c r="A7978" i="47"/>
  <c r="A7977" i="47"/>
  <c r="A8759" i="47"/>
  <c r="A7975" i="47"/>
  <c r="A7974" i="47"/>
  <c r="A7973" i="47"/>
  <c r="A8758" i="47"/>
  <c r="A8757" i="47"/>
  <c r="A7970" i="47"/>
  <c r="A7969" i="47"/>
  <c r="A7968" i="47"/>
  <c r="A7967" i="47"/>
  <c r="A7966" i="47"/>
  <c r="A7965" i="47"/>
  <c r="A8756" i="47"/>
  <c r="A7963" i="47"/>
  <c r="A7962" i="47"/>
  <c r="A7961" i="47"/>
  <c r="A7960" i="47"/>
  <c r="A7959" i="47"/>
  <c r="A8430" i="47"/>
  <c r="A8429" i="47"/>
  <c r="A8635" i="47"/>
  <c r="A8427" i="47"/>
  <c r="A8426" i="47"/>
  <c r="A8425" i="47"/>
  <c r="A8424" i="47"/>
  <c r="A8423" i="47"/>
  <c r="A8422" i="47"/>
  <c r="A8634" i="47"/>
  <c r="A8420" i="47"/>
  <c r="A8419" i="47"/>
  <c r="A8633" i="47"/>
  <c r="A8366" i="47"/>
  <c r="A8677" i="47"/>
  <c r="A8676" i="47"/>
  <c r="A8363" i="47"/>
  <c r="A8362" i="47"/>
  <c r="A8361" i="47"/>
  <c r="A8360" i="47"/>
  <c r="A8359" i="47"/>
  <c r="A8358" i="47"/>
  <c r="A8357" i="47"/>
  <c r="A8356" i="47"/>
  <c r="A8675" i="47"/>
  <c r="A8354" i="47"/>
  <c r="A8353" i="47"/>
  <c r="A8352" i="47"/>
  <c r="A8351" i="47"/>
  <c r="A8350" i="47"/>
  <c r="A8349" i="47"/>
  <c r="A8348" i="47"/>
  <c r="A8347" i="47"/>
  <c r="A8346" i="47"/>
  <c r="A8674" i="47"/>
  <c r="A8673" i="47"/>
  <c r="A8343" i="47"/>
  <c r="A8342" i="47"/>
  <c r="A8341" i="47"/>
  <c r="A8340" i="47"/>
  <c r="A8672" i="47"/>
  <c r="A8338" i="47"/>
  <c r="A8337" i="47"/>
  <c r="A8336" i="47"/>
  <c r="A8335" i="47"/>
  <c r="A8334" i="47"/>
  <c r="A8333" i="47"/>
  <c r="A8332" i="47"/>
  <c r="A8647" i="47"/>
  <c r="A8456" i="47"/>
  <c r="A8455" i="47"/>
  <c r="A8454" i="47"/>
  <c r="A8453" i="47"/>
  <c r="A8646" i="47"/>
  <c r="A8645" i="47"/>
  <c r="A8450" i="47"/>
  <c r="A8449" i="47"/>
  <c r="A8448" i="47"/>
  <c r="A8644" i="47"/>
  <c r="A8446" i="47"/>
  <c r="A8445" i="47"/>
  <c r="A8643" i="47"/>
  <c r="A8687" i="47"/>
  <c r="A8177" i="47"/>
  <c r="A8176" i="47"/>
  <c r="A8175" i="47"/>
  <c r="A8174" i="47"/>
  <c r="A8173" i="47"/>
  <c r="A8686" i="47"/>
  <c r="A8171" i="47"/>
  <c r="A8170" i="47"/>
  <c r="A8169" i="47"/>
  <c r="A8685" i="47"/>
  <c r="A8167" i="47"/>
  <c r="A8684" i="47"/>
  <c r="A8746" i="47"/>
  <c r="A8745" i="47"/>
  <c r="A8163" i="47"/>
  <c r="A8162" i="47"/>
  <c r="A8161" i="47"/>
  <c r="A8744" i="47"/>
  <c r="A8743" i="47"/>
  <c r="A8158" i="47"/>
  <c r="A8157" i="47"/>
  <c r="A8156" i="47"/>
  <c r="A8742" i="47"/>
  <c r="A8154" i="47"/>
  <c r="A8741" i="47"/>
  <c r="A8740" i="47"/>
  <c r="A8151" i="47"/>
  <c r="A8739" i="47"/>
  <c r="A8149" i="47"/>
  <c r="A8148" i="47"/>
  <c r="A8712" i="47"/>
  <c r="A8711" i="47"/>
  <c r="A8268" i="47"/>
  <c r="A8267" i="47"/>
  <c r="A8710" i="47"/>
  <c r="A8265" i="47"/>
  <c r="A8709" i="47"/>
  <c r="A8263" i="47"/>
  <c r="A8262" i="47"/>
  <c r="A8261" i="47"/>
  <c r="A8708" i="47"/>
  <c r="A8707" i="47"/>
  <c r="A8258" i="47"/>
  <c r="A8257" i="47"/>
  <c r="A8045" i="47"/>
  <c r="A8044" i="47"/>
  <c r="A8784" i="47"/>
  <c r="A8042" i="47"/>
  <c r="A8783" i="47"/>
  <c r="A8040" i="47"/>
  <c r="A8039" i="47"/>
  <c r="A8038" i="47"/>
  <c r="A8782" i="47"/>
  <c r="A8781" i="47"/>
  <c r="A8035" i="47"/>
  <c r="A8034" i="47"/>
  <c r="A8033" i="47"/>
  <c r="A8032" i="47"/>
  <c r="A8031" i="47"/>
  <c r="A8780" i="47"/>
  <c r="A8029" i="47"/>
  <c r="A8779" i="47"/>
  <c r="A8027" i="47"/>
  <c r="A8026" i="47"/>
  <c r="A8778" i="47"/>
  <c r="A8024" i="47"/>
  <c r="A8777" i="47"/>
  <c r="A8022" i="47"/>
  <c r="A8021" i="47"/>
  <c r="A8776" i="47"/>
  <c r="A8762" i="47" l="1"/>
  <c r="A7984" i="47"/>
  <c r="A8763" i="47"/>
  <c r="A7986" i="47"/>
  <c r="A8764" i="47"/>
  <c r="A7988" i="47"/>
  <c r="A7989" i="47"/>
  <c r="A7990" i="47"/>
  <c r="A8765" i="47"/>
  <c r="A7992" i="47"/>
  <c r="A8766" i="47"/>
  <c r="A7994" i="47"/>
  <c r="A7995" i="47"/>
  <c r="A7996" i="47"/>
  <c r="A8767" i="47"/>
  <c r="A8768" i="47"/>
  <c r="A8769" i="47"/>
  <c r="A8000" i="47"/>
  <c r="A8001" i="47"/>
  <c r="A8770" i="47"/>
  <c r="A8003" i="47"/>
  <c r="A8004" i="47"/>
  <c r="A8771" i="47"/>
  <c r="A8772" i="47"/>
  <c r="A8007" i="47"/>
  <c r="A8773" i="47"/>
  <c r="A8009" i="47"/>
  <c r="A8774" i="47"/>
  <c r="A8011" i="47"/>
  <c r="A8012" i="47"/>
  <c r="A8013" i="47"/>
  <c r="A8014" i="47"/>
  <c r="A8775" i="47"/>
  <c r="A8016" i="47"/>
  <c r="A8017" i="47"/>
  <c r="A8144" i="47" l="1"/>
  <c r="A8736" i="47"/>
  <c r="A8737" i="47"/>
  <c r="A8738" i="47"/>
  <c r="A8785" i="47"/>
  <c r="A8047" i="47"/>
  <c r="A8048" i="47"/>
  <c r="A8049" i="47"/>
  <c r="A8050" i="47"/>
  <c r="A8051" i="47"/>
  <c r="A8052" i="47"/>
  <c r="A8053" i="47"/>
  <c r="A8054" i="47"/>
  <c r="A8055" i="47"/>
  <c r="A8056" i="47"/>
  <c r="A8057" i="47"/>
  <c r="A8058" i="47"/>
  <c r="A8059" i="47"/>
  <c r="A8060" i="47"/>
  <c r="A8061" i="47"/>
  <c r="A8062" i="47"/>
  <c r="A8063" i="47"/>
  <c r="A8714" i="47"/>
  <c r="A8065" i="47"/>
  <c r="A8066" i="47"/>
  <c r="A8067" i="47"/>
  <c r="A8068" i="47"/>
  <c r="A8069" i="47"/>
  <c r="A8070" i="47"/>
  <c r="A8071" i="47"/>
  <c r="A8072" i="47"/>
  <c r="A8073" i="47"/>
  <c r="A7981" i="47"/>
  <c r="A8761" i="47"/>
  <c r="A8204" i="47" l="1"/>
  <c r="A8205" i="47"/>
  <c r="A8206" i="47"/>
  <c r="A8696" i="47"/>
  <c r="A8208" i="47"/>
  <c r="A8209" i="47"/>
  <c r="A8697" i="47"/>
  <c r="A8211" i="47"/>
  <c r="A8212" i="47"/>
  <c r="A8698" i="47"/>
  <c r="A8699" i="47"/>
  <c r="A8215" i="47"/>
  <c r="A8216" i="47"/>
  <c r="A8700" i="47"/>
  <c r="A8218" i="47"/>
  <c r="A8219" i="47"/>
  <c r="A8220" i="47"/>
  <c r="A8221" i="47"/>
  <c r="A8111" i="47"/>
  <c r="A8726" i="47"/>
  <c r="A8113" i="47"/>
  <c r="A8114" i="47"/>
  <c r="A8115" i="47"/>
  <c r="A8727" i="47"/>
  <c r="A8728" i="47"/>
  <c r="A8729" i="47"/>
  <c r="A8730" i="47"/>
  <c r="A8120" i="47"/>
  <c r="A8121" i="47"/>
  <c r="A8122" i="47"/>
  <c r="A8123" i="47"/>
  <c r="A8731" i="47"/>
  <c r="A8125" i="47"/>
  <c r="A8126" i="47"/>
  <c r="A8732" i="47"/>
  <c r="A8733" i="47"/>
  <c r="A8129" i="47"/>
  <c r="A8130" i="47"/>
  <c r="A8131" i="47"/>
  <c r="A8132" i="47"/>
  <c r="A8133" i="47"/>
  <c r="A8134" i="47"/>
  <c r="A8135" i="47"/>
  <c r="A8136" i="47"/>
  <c r="A8137" i="47"/>
  <c r="A8138" i="47"/>
  <c r="A8139" i="47"/>
  <c r="A8140" i="47"/>
  <c r="A8141" i="47"/>
  <c r="A8734" i="47"/>
  <c r="A8735" i="47"/>
  <c r="A8304" i="47" l="1"/>
  <c r="A8305" i="47"/>
  <c r="A8306" i="47"/>
  <c r="A8307" i="47"/>
  <c r="A8308" i="47"/>
  <c r="A8309" i="47"/>
  <c r="A8310" i="47"/>
  <c r="A8667" i="47"/>
  <c r="A8312" i="47"/>
  <c r="A8313" i="47"/>
  <c r="A8314" i="47"/>
  <c r="A8668" i="47"/>
  <c r="A8316" i="47"/>
  <c r="A8317" i="47"/>
  <c r="A8318" i="47"/>
  <c r="A8319" i="47"/>
  <c r="A8185" i="47"/>
  <c r="A8186" i="47"/>
  <c r="A8187" i="47"/>
  <c r="A8689" i="47"/>
  <c r="A8690" i="47"/>
  <c r="A8691" i="47"/>
  <c r="A8191" i="47"/>
  <c r="A8192" i="47"/>
  <c r="A8692" i="47"/>
  <c r="A8194" i="47"/>
  <c r="A8195" i="47"/>
  <c r="A8196" i="47"/>
  <c r="A8197" i="47"/>
  <c r="A8693" i="47"/>
  <c r="A8199" i="47"/>
  <c r="A8200" i="47"/>
  <c r="A8694" i="47"/>
  <c r="A8695" i="47"/>
  <c r="A8203" i="47"/>
  <c r="A8275" i="47" l="1"/>
  <c r="A8276" i="47"/>
  <c r="A8277" i="47"/>
  <c r="A8278" i="47"/>
  <c r="A8279" i="47"/>
  <c r="A8280" i="47"/>
  <c r="A8281" i="47"/>
  <c r="A8282" i="47"/>
  <c r="A8283" i="47"/>
  <c r="A8284" i="47"/>
  <c r="A8285" i="47"/>
  <c r="A8286" i="47"/>
  <c r="A8287" i="47"/>
  <c r="A8662" i="47"/>
  <c r="A8289" i="47"/>
  <c r="A8290" i="47"/>
  <c r="A8291" i="47"/>
  <c r="A8292" i="47"/>
  <c r="A8663" i="47"/>
  <c r="A8664" i="47"/>
  <c r="A8295" i="47"/>
  <c r="A8296" i="47"/>
  <c r="A8297" i="47"/>
  <c r="A8298" i="47"/>
  <c r="A8299" i="47"/>
  <c r="A8665" i="47"/>
  <c r="A8301" i="47"/>
  <c r="A8302" i="47"/>
  <c r="A8666" i="47"/>
  <c r="A8392" i="47" l="1"/>
  <c r="A8393" i="47"/>
  <c r="A8394" i="47"/>
  <c r="A8395" i="47"/>
  <c r="A8396" i="47"/>
  <c r="A8397" i="47"/>
  <c r="A8398" i="47"/>
  <c r="A8629" i="47"/>
  <c r="A8400" i="47"/>
  <c r="A8401" i="47"/>
  <c r="A8402" i="47"/>
  <c r="A8630" i="47"/>
  <c r="A8404" i="47"/>
  <c r="A8405" i="47"/>
  <c r="A8631" i="47"/>
  <c r="A8632" i="47"/>
  <c r="A8408" i="47"/>
  <c r="A8409" i="47"/>
  <c r="A8410" i="47"/>
  <c r="A8411" i="47"/>
  <c r="A8412" i="47"/>
  <c r="A8413" i="47"/>
  <c r="A8414" i="47"/>
  <c r="A8415" i="47"/>
  <c r="A8416" i="47"/>
  <c r="A8417" i="47"/>
  <c r="A8326" i="47"/>
  <c r="A8327" i="47"/>
  <c r="A8328" i="47"/>
  <c r="A8671" i="47"/>
  <c r="A8330" i="47"/>
  <c r="A8331" i="47"/>
  <c r="A8271" i="47"/>
  <c r="A8272" i="47"/>
  <c r="A8273" i="47"/>
  <c r="A8713" i="47"/>
  <c r="A8470" i="47" l="1"/>
  <c r="A8471" i="47"/>
  <c r="A8472" i="47"/>
  <c r="A8473" i="47"/>
  <c r="A8474" i="47"/>
  <c r="A8475" i="47"/>
  <c r="A8476" i="47"/>
  <c r="A8477" i="47"/>
  <c r="A8478" i="47"/>
  <c r="A8649" i="47"/>
  <c r="A8650" i="47"/>
  <c r="A8651" i="47"/>
  <c r="A8652" i="47"/>
  <c r="A8483" i="47"/>
  <c r="A8484" i="47"/>
  <c r="A8653" i="47"/>
  <c r="A8486" i="47"/>
  <c r="A8487" i="47"/>
  <c r="A8488" i="47"/>
  <c r="A8489" i="47"/>
  <c r="A8490" i="47"/>
  <c r="A8491" i="47"/>
  <c r="A8492" i="47"/>
  <c r="A8654" i="47"/>
  <c r="A8494" i="47"/>
  <c r="A8495" i="47"/>
  <c r="A8496" i="47"/>
  <c r="A8680" i="47"/>
  <c r="A8376" i="47"/>
  <c r="A8377" i="47"/>
  <c r="A8681" i="47"/>
  <c r="A8379" i="47"/>
  <c r="A8380" i="47"/>
  <c r="A8682" i="47"/>
  <c r="A8382" i="47"/>
  <c r="A8383" i="47"/>
  <c r="A8384" i="47"/>
  <c r="A8385" i="47"/>
  <c r="A8386" i="47"/>
  <c r="A8387" i="47"/>
  <c r="A8388" i="47"/>
  <c r="A8683" i="47"/>
  <c r="A8390" i="47"/>
  <c r="A8391" i="47"/>
  <c r="A7231" i="47" l="1"/>
  <c r="A7232" i="47"/>
  <c r="A7233" i="47"/>
  <c r="A7234" i="47"/>
  <c r="A7235" i="47"/>
  <c r="A7236" i="47"/>
  <c r="A7237" i="47"/>
  <c r="A7238" i="47"/>
  <c r="A7239" i="47"/>
  <c r="A7240" i="47"/>
  <c r="A7241" i="47"/>
  <c r="A7242" i="47"/>
  <c r="A7243" i="47"/>
  <c r="A7244" i="47"/>
  <c r="A7245" i="47"/>
  <c r="A7246" i="47"/>
  <c r="A7247" i="47"/>
  <c r="A7248" i="47"/>
  <c r="A7249" i="47"/>
  <c r="A7250" i="47"/>
  <c r="A7251" i="47"/>
  <c r="A7252" i="47"/>
  <c r="A7253" i="47"/>
  <c r="A7254" i="47"/>
  <c r="A7255" i="47"/>
  <c r="A7256" i="47"/>
  <c r="A7257" i="47"/>
  <c r="A7258" i="47"/>
  <c r="A7259" i="47"/>
  <c r="A7260" i="47"/>
  <c r="A7261" i="47"/>
  <c r="A7262" i="47"/>
  <c r="A7263" i="47"/>
  <c r="A7264" i="47"/>
  <c r="A8648" i="47"/>
  <c r="A8459" i="47"/>
  <c r="A8460" i="47"/>
  <c r="A8461" i="47"/>
  <c r="A8462" i="47"/>
  <c r="A8463" i="47"/>
  <c r="A8464" i="47"/>
  <c r="A8465" i="47"/>
  <c r="A8466" i="47"/>
  <c r="A8467" i="47"/>
  <c r="A8468" i="47"/>
  <c r="A8469" i="47"/>
  <c r="A7196" i="47" l="1"/>
  <c r="A7197" i="47"/>
  <c r="A7198" i="47"/>
  <c r="A7199" i="47"/>
  <c r="A7200" i="47"/>
  <c r="A7201" i="47"/>
  <c r="A7202" i="47"/>
  <c r="A7203" i="47"/>
  <c r="A7204" i="47"/>
  <c r="A7205" i="47"/>
  <c r="A7206" i="47"/>
  <c r="A7207" i="47"/>
  <c r="A7208" i="47"/>
  <c r="A7209" i="47"/>
  <c r="A7210" i="47"/>
  <c r="A7211" i="47"/>
  <c r="A7212" i="47"/>
  <c r="A7213" i="47"/>
  <c r="A7214" i="47"/>
  <c r="A7215" i="47"/>
  <c r="A7216" i="47"/>
  <c r="A7217" i="47"/>
  <c r="A7218" i="47"/>
  <c r="A7219" i="47"/>
  <c r="A7220" i="47"/>
  <c r="A7221" i="47"/>
  <c r="A7222" i="47"/>
  <c r="A7223" i="47"/>
  <c r="A7224" i="47"/>
  <c r="A7225" i="47"/>
  <c r="A7226" i="47"/>
  <c r="A7227" i="47"/>
  <c r="A7228" i="47"/>
  <c r="A7229" i="47"/>
  <c r="A7230" i="47"/>
  <c r="A7168" i="47" l="1"/>
  <c r="A7169" i="47"/>
  <c r="A7170" i="47"/>
  <c r="A7171" i="47"/>
  <c r="A7172" i="47"/>
  <c r="A7173" i="47"/>
  <c r="A7174" i="47"/>
  <c r="A7175" i="47"/>
  <c r="A7176" i="47"/>
  <c r="A7177" i="47"/>
  <c r="A7178" i="47"/>
  <c r="A7179" i="47"/>
  <c r="A7180" i="47"/>
  <c r="A7181" i="47"/>
  <c r="A7182" i="47"/>
  <c r="A7183" i="47"/>
  <c r="A7184" i="47"/>
  <c r="A7185" i="47"/>
  <c r="A7186" i="47"/>
  <c r="A7187" i="47"/>
  <c r="A7188" i="47"/>
  <c r="A7189" i="47"/>
  <c r="A7190" i="47"/>
  <c r="A7191" i="47"/>
  <c r="A7192" i="47"/>
  <c r="A7193" i="47"/>
  <c r="A7194" i="47"/>
  <c r="A7195" i="47"/>
  <c r="A7138" i="47" l="1"/>
  <c r="A7139" i="47"/>
  <c r="A7140" i="47"/>
  <c r="A7141" i="47"/>
  <c r="A7142" i="47"/>
  <c r="A7143" i="47"/>
  <c r="A7144" i="47"/>
  <c r="A7145" i="47"/>
  <c r="A7146" i="47"/>
  <c r="A7147" i="47"/>
  <c r="A7148" i="47"/>
  <c r="A7149" i="47"/>
  <c r="A7150" i="47"/>
  <c r="A7151" i="47"/>
  <c r="A7152" i="47"/>
  <c r="A7153" i="47"/>
  <c r="A7154" i="47"/>
  <c r="A7155" i="47"/>
  <c r="A7156" i="47"/>
  <c r="A7157" i="47"/>
  <c r="A7158" i="47"/>
  <c r="A7159" i="47"/>
  <c r="A7160" i="47"/>
  <c r="A7161" i="47"/>
  <c r="A7162" i="47"/>
  <c r="A7163" i="47"/>
  <c r="A7164" i="47"/>
  <c r="A7165" i="47"/>
  <c r="A7166" i="47"/>
  <c r="A7167" i="47"/>
  <c r="A7051" i="47" l="1"/>
  <c r="A7052" i="47"/>
  <c r="A7053" i="47"/>
  <c r="A7054" i="47"/>
  <c r="A7055" i="47"/>
  <c r="A7056" i="47"/>
  <c r="A7057" i="47"/>
  <c r="A7058" i="47"/>
  <c r="A7059" i="47"/>
  <c r="A7060" i="47"/>
  <c r="A7061" i="47"/>
  <c r="A7062" i="47"/>
  <c r="A7063" i="47"/>
  <c r="A7064" i="47"/>
  <c r="A7065" i="47"/>
  <c r="A7066" i="47"/>
  <c r="A7067" i="47"/>
  <c r="A7068" i="47"/>
  <c r="A7069" i="47"/>
  <c r="A7070" i="47"/>
  <c r="A7071" i="47"/>
  <c r="A7072" i="47"/>
  <c r="A7073" i="47"/>
  <c r="A7074" i="47"/>
  <c r="A7075" i="47"/>
  <c r="A7076" i="47"/>
  <c r="A7077" i="47"/>
  <c r="A7078" i="47"/>
  <c r="A7079" i="47"/>
  <c r="A7080" i="47"/>
  <c r="A7081" i="47"/>
  <c r="A7082" i="47"/>
  <c r="A7083" i="47"/>
  <c r="A7084" i="47"/>
  <c r="A7085" i="47"/>
  <c r="A7086" i="47"/>
  <c r="A7087" i="47"/>
  <c r="A7088" i="47"/>
  <c r="A7089" i="47"/>
  <c r="A7090" i="47"/>
  <c r="A7091" i="47"/>
  <c r="A7092" i="47"/>
  <c r="A7093" i="47"/>
  <c r="A7094" i="47"/>
  <c r="A7095" i="47"/>
  <c r="A7096" i="47"/>
  <c r="A7097" i="47"/>
  <c r="A7098" i="47"/>
  <c r="A7099" i="47"/>
  <c r="A7100" i="47"/>
  <c r="A7101" i="47"/>
  <c r="A7102" i="47"/>
  <c r="A7103" i="47"/>
  <c r="A7104" i="47"/>
  <c r="A7105" i="47"/>
  <c r="A7106" i="47"/>
  <c r="A7107" i="47"/>
  <c r="A7108" i="47"/>
  <c r="A7109" i="47"/>
  <c r="A7110" i="47"/>
  <c r="A7111" i="47"/>
  <c r="A7112" i="47"/>
  <c r="A7113" i="47"/>
  <c r="A7114" i="47"/>
  <c r="A7115" i="47"/>
  <c r="A7116" i="47"/>
  <c r="A7117" i="47"/>
  <c r="A7118" i="47"/>
  <c r="A7119" i="47"/>
  <c r="A7120" i="47"/>
  <c r="A7121" i="47"/>
  <c r="A7122" i="47"/>
  <c r="A7123" i="47"/>
  <c r="A7124" i="47"/>
  <c r="A7125" i="47"/>
  <c r="A7126" i="47"/>
  <c r="A7127" i="47"/>
  <c r="A7128" i="47"/>
  <c r="A7129" i="47"/>
  <c r="A7130" i="47"/>
  <c r="A7131" i="47"/>
  <c r="A7132" i="47"/>
  <c r="A7133" i="47"/>
  <c r="A7134" i="47"/>
  <c r="A7135" i="47"/>
  <c r="A7136" i="47"/>
  <c r="A7137" i="47"/>
  <c r="A7016" i="47" l="1"/>
  <c r="A7017" i="47"/>
  <c r="A7018" i="47"/>
  <c r="A7019" i="47"/>
  <c r="A7020" i="47"/>
  <c r="A7021" i="47"/>
  <c r="A7022" i="47"/>
  <c r="A7023" i="47"/>
  <c r="A7024" i="47"/>
  <c r="A7025" i="47"/>
  <c r="A7026" i="47"/>
  <c r="A7027" i="47"/>
  <c r="A7028" i="47"/>
  <c r="A7029" i="47"/>
  <c r="A7030" i="47"/>
  <c r="A7031" i="47"/>
  <c r="A7032" i="47"/>
  <c r="A7033" i="47"/>
  <c r="A7034" i="47"/>
  <c r="A7035" i="47"/>
  <c r="A7036" i="47"/>
  <c r="A7037" i="47"/>
  <c r="A7038" i="47"/>
  <c r="A7039" i="47"/>
  <c r="A7040" i="47"/>
  <c r="A7041" i="47"/>
  <c r="A7042" i="47"/>
  <c r="A7043" i="47"/>
  <c r="A7044" i="47"/>
  <c r="A7045" i="47"/>
  <c r="A7046" i="47"/>
  <c r="A7047" i="47"/>
  <c r="A7048" i="47"/>
  <c r="A7049" i="47"/>
  <c r="A7050" i="47"/>
  <c r="A6973" i="47" l="1"/>
  <c r="A6974" i="47"/>
  <c r="A6975" i="47"/>
  <c r="A6976" i="47"/>
  <c r="A6977" i="47"/>
  <c r="A6978" i="47"/>
  <c r="A6979" i="47"/>
  <c r="A6980" i="47"/>
  <c r="A6981" i="47"/>
  <c r="A6982" i="47"/>
  <c r="A6983" i="47"/>
  <c r="A6984" i="47"/>
  <c r="A6985" i="47"/>
  <c r="A6986" i="47"/>
  <c r="A6987" i="47"/>
  <c r="A6988" i="47"/>
  <c r="A6989" i="47"/>
  <c r="A6990" i="47"/>
  <c r="A6991" i="47"/>
  <c r="A6992" i="47"/>
  <c r="A6993" i="47"/>
  <c r="A6994" i="47"/>
  <c r="A6995" i="47"/>
  <c r="A6996" i="47"/>
  <c r="A6997" i="47"/>
  <c r="A6998" i="47"/>
  <c r="A6999" i="47"/>
  <c r="A7000" i="47"/>
  <c r="A7001" i="47"/>
  <c r="A7002" i="47"/>
  <c r="A7003" i="47"/>
  <c r="A7004" i="47"/>
  <c r="A7005" i="47"/>
  <c r="A7006" i="47"/>
  <c r="A7007" i="47"/>
  <c r="A7008" i="47"/>
  <c r="A7009" i="47"/>
  <c r="A7010" i="47"/>
  <c r="A7011" i="47"/>
  <c r="A7012" i="47"/>
  <c r="A7013" i="47"/>
  <c r="A7014" i="47"/>
  <c r="A7015" i="47"/>
  <c r="A6926" i="47" l="1"/>
  <c r="A6927" i="47"/>
  <c r="A6928" i="47"/>
  <c r="A6929" i="47"/>
  <c r="A6930" i="47"/>
  <c r="A6931" i="47"/>
  <c r="A6932" i="47"/>
  <c r="A6933" i="47"/>
  <c r="A6934" i="47"/>
  <c r="A6935" i="47"/>
  <c r="A6936" i="47"/>
  <c r="A6937" i="47"/>
  <c r="A6938" i="47"/>
  <c r="A6939" i="47"/>
  <c r="A6940" i="47"/>
  <c r="A6941" i="47"/>
  <c r="A6942" i="47"/>
  <c r="A6943" i="47"/>
  <c r="A6944" i="47"/>
  <c r="A6945" i="47"/>
  <c r="A6946" i="47"/>
  <c r="A6947" i="47"/>
  <c r="A6948" i="47"/>
  <c r="A6949" i="47"/>
  <c r="A6950" i="47"/>
  <c r="A6951" i="47"/>
  <c r="A6952" i="47"/>
  <c r="A6953" i="47"/>
  <c r="A6954" i="47"/>
  <c r="A6955" i="47"/>
  <c r="A6956" i="47"/>
  <c r="A6957" i="47"/>
  <c r="A6958" i="47"/>
  <c r="A6959" i="47"/>
  <c r="A6960" i="47"/>
  <c r="A6961" i="47"/>
  <c r="A6962" i="47"/>
  <c r="A6963" i="47"/>
  <c r="A6964" i="47"/>
  <c r="A6965" i="47"/>
  <c r="A6966" i="47"/>
  <c r="A6967" i="47"/>
  <c r="A6968" i="47"/>
  <c r="A6969" i="47"/>
  <c r="A6970" i="47"/>
  <c r="A6971" i="47"/>
  <c r="A6972" i="47"/>
  <c r="A6874" i="47" l="1"/>
  <c r="A6875" i="47"/>
  <c r="A6876" i="47"/>
  <c r="A6877" i="47"/>
  <c r="A6878" i="47"/>
  <c r="A6879" i="47"/>
  <c r="A6880" i="47"/>
  <c r="A6881" i="47"/>
  <c r="A6882" i="47"/>
  <c r="A6883" i="47"/>
  <c r="A6884" i="47"/>
  <c r="A6885" i="47"/>
  <c r="A6886" i="47"/>
  <c r="A6887" i="47"/>
  <c r="A6888" i="47"/>
  <c r="A6889" i="47"/>
  <c r="A6890" i="47"/>
  <c r="A6891" i="47"/>
  <c r="A6892" i="47"/>
  <c r="A6893" i="47"/>
  <c r="A6894" i="47"/>
  <c r="A6895" i="47"/>
  <c r="A6896" i="47"/>
  <c r="A6897" i="47"/>
  <c r="A6898" i="47"/>
  <c r="A6899" i="47"/>
  <c r="A6900" i="47"/>
  <c r="A6901" i="47"/>
  <c r="A6902" i="47"/>
  <c r="A6903" i="47"/>
  <c r="A6904" i="47"/>
  <c r="A6905" i="47"/>
  <c r="A6906" i="47"/>
  <c r="A6907" i="47"/>
  <c r="A6908" i="47"/>
  <c r="A6909" i="47"/>
  <c r="A6910" i="47"/>
  <c r="A6911" i="47"/>
  <c r="A6912" i="47"/>
  <c r="A6913" i="47"/>
  <c r="A6914" i="47"/>
  <c r="A6915" i="47"/>
  <c r="A6916" i="47"/>
  <c r="A6917" i="47"/>
  <c r="A6918" i="47"/>
  <c r="A6919" i="47"/>
  <c r="A6920" i="47"/>
  <c r="A6921" i="47"/>
  <c r="A6922" i="47"/>
  <c r="A6923" i="47"/>
  <c r="A6924" i="47"/>
  <c r="A6925" i="47"/>
  <c r="A6849" i="47" l="1"/>
  <c r="A6850" i="47"/>
  <c r="A6851" i="47"/>
  <c r="A6852" i="47"/>
  <c r="A6853" i="47"/>
  <c r="A6854" i="47"/>
  <c r="A6855" i="47"/>
  <c r="A6856" i="47"/>
  <c r="A6857" i="47"/>
  <c r="A6858" i="47"/>
  <c r="A6859" i="47"/>
  <c r="A6860" i="47"/>
  <c r="A6861" i="47"/>
  <c r="A6862" i="47"/>
  <c r="A6863" i="47"/>
  <c r="A6864" i="47"/>
  <c r="A6865" i="47"/>
  <c r="A6866" i="47"/>
  <c r="A6867" i="47"/>
  <c r="A6868" i="47"/>
  <c r="A6869" i="47"/>
  <c r="A6870" i="47"/>
  <c r="A6871" i="47"/>
  <c r="A6872" i="47"/>
  <c r="A6873" i="47"/>
  <c r="A6806" i="47" l="1"/>
  <c r="A6807" i="47"/>
  <c r="A6808" i="47"/>
  <c r="A6809" i="47"/>
  <c r="A6810" i="47"/>
  <c r="A6811" i="47"/>
  <c r="A6812" i="47"/>
  <c r="A6813" i="47"/>
  <c r="A6814" i="47"/>
  <c r="A6815" i="47"/>
  <c r="A6816" i="47"/>
  <c r="A6817" i="47"/>
  <c r="A6818" i="47"/>
  <c r="A6819" i="47"/>
  <c r="A6820" i="47"/>
  <c r="A6821" i="47"/>
  <c r="A6822" i="47"/>
  <c r="A6823" i="47"/>
  <c r="A6824" i="47"/>
  <c r="A6825" i="47"/>
  <c r="A6826" i="47"/>
  <c r="A6827" i="47"/>
  <c r="A6828" i="47"/>
  <c r="A6829" i="47"/>
  <c r="A6830" i="47"/>
  <c r="A6831" i="47"/>
  <c r="A6832" i="47"/>
  <c r="A6833" i="47"/>
  <c r="A6834" i="47"/>
  <c r="A6835" i="47"/>
  <c r="A6836" i="47"/>
  <c r="A6837" i="47"/>
  <c r="A6838" i="47"/>
  <c r="A6839" i="47"/>
  <c r="A6840" i="47"/>
  <c r="A6841" i="47"/>
  <c r="A6842" i="47"/>
  <c r="A6843" i="47"/>
  <c r="A6844" i="47"/>
  <c r="A6845" i="47"/>
  <c r="A6846" i="47"/>
  <c r="A6847" i="47"/>
  <c r="A6848" i="47"/>
  <c r="A6769" i="47" l="1"/>
  <c r="A6770" i="47"/>
  <c r="A6771" i="47"/>
  <c r="A6772" i="47"/>
  <c r="A6773" i="47"/>
  <c r="A6774" i="47"/>
  <c r="A6775" i="47"/>
  <c r="A6776" i="47"/>
  <c r="A6777" i="47"/>
  <c r="A6778" i="47"/>
  <c r="A6779" i="47"/>
  <c r="A6780" i="47"/>
  <c r="A6781" i="47"/>
  <c r="A6782" i="47"/>
  <c r="A6783" i="47"/>
  <c r="A6784" i="47"/>
  <c r="A6785" i="47"/>
  <c r="A6786" i="47"/>
  <c r="A6787" i="47"/>
  <c r="A6788" i="47"/>
  <c r="A6789" i="47"/>
  <c r="A6790" i="47"/>
  <c r="A6791" i="47"/>
  <c r="A6792" i="47"/>
  <c r="A6793" i="47"/>
  <c r="A6794" i="47"/>
  <c r="A6795" i="47"/>
  <c r="A6796" i="47"/>
  <c r="A6797" i="47"/>
  <c r="A6798" i="47"/>
  <c r="A6799" i="47"/>
  <c r="A6800" i="47"/>
  <c r="A6801" i="47"/>
  <c r="A6802" i="47"/>
  <c r="A6803" i="47"/>
  <c r="A6804" i="47"/>
  <c r="A6805" i="47"/>
  <c r="A6729" i="47" l="1"/>
  <c r="A6730" i="47"/>
  <c r="A6731" i="47"/>
  <c r="A6732" i="47"/>
  <c r="A6733" i="47"/>
  <c r="A6734" i="47"/>
  <c r="A6735" i="47"/>
  <c r="A6736" i="47"/>
  <c r="A6737" i="47"/>
  <c r="A6738" i="47"/>
  <c r="A6739" i="47"/>
  <c r="A6740" i="47"/>
  <c r="A6741" i="47"/>
  <c r="A6742" i="47"/>
  <c r="A6743" i="47"/>
  <c r="A6744" i="47"/>
  <c r="A6745" i="47"/>
  <c r="A6746" i="47"/>
  <c r="A6747" i="47"/>
  <c r="A6748" i="47"/>
  <c r="A6749" i="47"/>
  <c r="A6750" i="47"/>
  <c r="A6751" i="47"/>
  <c r="A6752" i="47"/>
  <c r="A6753" i="47"/>
  <c r="A6754" i="47"/>
  <c r="A6755" i="47"/>
  <c r="A6756" i="47"/>
  <c r="A6757" i="47"/>
  <c r="A6758" i="47"/>
  <c r="A6759" i="47"/>
  <c r="A6760" i="47"/>
  <c r="A6761" i="47"/>
  <c r="A6762" i="47"/>
  <c r="A6763" i="47"/>
  <c r="A6764" i="47"/>
  <c r="A6765" i="47"/>
  <c r="A6766" i="47"/>
  <c r="A6767" i="47"/>
  <c r="A6768" i="47"/>
  <c r="A6646" i="47" l="1"/>
  <c r="A6647" i="47"/>
  <c r="A6648" i="47"/>
  <c r="A6649" i="47"/>
  <c r="A6650" i="47"/>
  <c r="A6651" i="47"/>
  <c r="A6652" i="47"/>
  <c r="A6653" i="47"/>
  <c r="A6654" i="47"/>
  <c r="A6655" i="47"/>
  <c r="A6656" i="47"/>
  <c r="A6657" i="47"/>
  <c r="A6658" i="47"/>
  <c r="A6659" i="47"/>
  <c r="A6660" i="47"/>
  <c r="A6661" i="47"/>
  <c r="A6662" i="47"/>
  <c r="A6663" i="47"/>
  <c r="A6664" i="47"/>
  <c r="A6665" i="47"/>
  <c r="A6666" i="47"/>
  <c r="A6667" i="47"/>
  <c r="A6668" i="47"/>
  <c r="A6669" i="47"/>
  <c r="A6670" i="47"/>
  <c r="A6671" i="47"/>
  <c r="A6672" i="47"/>
  <c r="A6673" i="47"/>
  <c r="A6674" i="47"/>
  <c r="A6675" i="47"/>
  <c r="A6676" i="47"/>
  <c r="A6677" i="47"/>
  <c r="A6678" i="47"/>
  <c r="A6679" i="47"/>
  <c r="A6680" i="47"/>
  <c r="A6681" i="47"/>
  <c r="A6682" i="47"/>
  <c r="A6683" i="47"/>
  <c r="A6684" i="47"/>
  <c r="A6685" i="47"/>
  <c r="A6686" i="47"/>
  <c r="A6687" i="47"/>
  <c r="A6688" i="47"/>
  <c r="A6689" i="47"/>
  <c r="A6690" i="47"/>
  <c r="A6691" i="47"/>
  <c r="A6692" i="47"/>
  <c r="A6693" i="47"/>
  <c r="A6694" i="47"/>
  <c r="A6695" i="47"/>
  <c r="A6696" i="47"/>
  <c r="A6697" i="47"/>
  <c r="A6698" i="47"/>
  <c r="A6699" i="47"/>
  <c r="A6700" i="47"/>
  <c r="A6701" i="47"/>
  <c r="A6702" i="47"/>
  <c r="A6703" i="47"/>
  <c r="A6704" i="47"/>
  <c r="A6705" i="47"/>
  <c r="A6706" i="47"/>
  <c r="A6707" i="47"/>
  <c r="A6708" i="47"/>
  <c r="A6709" i="47"/>
  <c r="A6710" i="47"/>
  <c r="A6711" i="47"/>
  <c r="A6712" i="47"/>
  <c r="A6713" i="47"/>
  <c r="A6714" i="47"/>
  <c r="A6715" i="47"/>
  <c r="A6716" i="47"/>
  <c r="A6717" i="47"/>
  <c r="A6718" i="47"/>
  <c r="A6719" i="47"/>
  <c r="A6720" i="47"/>
  <c r="A6721" i="47"/>
  <c r="A6722" i="47"/>
  <c r="A6723" i="47"/>
  <c r="A6724" i="47"/>
  <c r="A6725" i="47"/>
  <c r="A6726" i="47"/>
  <c r="A6727" i="47"/>
  <c r="A6728" i="47"/>
  <c r="A6593" i="47" l="1"/>
  <c r="A6594" i="47"/>
  <c r="A6595" i="47"/>
  <c r="A6596" i="47"/>
  <c r="A6597" i="47"/>
  <c r="A6598" i="47"/>
  <c r="A6599" i="47"/>
  <c r="A6600" i="47"/>
  <c r="A6601" i="47"/>
  <c r="A6602" i="47"/>
  <c r="A6603" i="47"/>
  <c r="A6604" i="47"/>
  <c r="A6605" i="47"/>
  <c r="A6606" i="47"/>
  <c r="A6607" i="47"/>
  <c r="A6608" i="47"/>
  <c r="A6609" i="47"/>
  <c r="A6610" i="47"/>
  <c r="A6611" i="47"/>
  <c r="A6612" i="47"/>
  <c r="A6613" i="47"/>
  <c r="A6614" i="47"/>
  <c r="A6615" i="47"/>
  <c r="A6616" i="47"/>
  <c r="A6617" i="47"/>
  <c r="A6618" i="47"/>
  <c r="A6619" i="47"/>
  <c r="A6620" i="47"/>
  <c r="A6621" i="47"/>
  <c r="A6622" i="47"/>
  <c r="A6623" i="47"/>
  <c r="A6624" i="47"/>
  <c r="A6625" i="47"/>
  <c r="A6626" i="47"/>
  <c r="A6627" i="47"/>
  <c r="A6628" i="47"/>
  <c r="A6629" i="47"/>
  <c r="A6630" i="47"/>
  <c r="A6631" i="47"/>
  <c r="A6632" i="47"/>
  <c r="A6633" i="47"/>
  <c r="A6634" i="47"/>
  <c r="A6635" i="47"/>
  <c r="A6636" i="47"/>
  <c r="A6637" i="47"/>
  <c r="A6638" i="47"/>
  <c r="A6639" i="47"/>
  <c r="A6640" i="47"/>
  <c r="A6641" i="47"/>
  <c r="A6642" i="47"/>
  <c r="A6643" i="47"/>
  <c r="A6644" i="47"/>
  <c r="A6645" i="47"/>
  <c r="A6541" i="47" l="1"/>
  <c r="A6542" i="47"/>
  <c r="A6543" i="47"/>
  <c r="A6544" i="47"/>
  <c r="A6545" i="47"/>
  <c r="A6546" i="47"/>
  <c r="A6547" i="47"/>
  <c r="A6548" i="47"/>
  <c r="A6549" i="47"/>
  <c r="A6550" i="47"/>
  <c r="A6551" i="47"/>
  <c r="A6552" i="47"/>
  <c r="A6553" i="47"/>
  <c r="A6554" i="47"/>
  <c r="A6555" i="47"/>
  <c r="A6556" i="47"/>
  <c r="A6557" i="47"/>
  <c r="A6558" i="47"/>
  <c r="A6559" i="47"/>
  <c r="A6560" i="47"/>
  <c r="A6561" i="47"/>
  <c r="A6562" i="47"/>
  <c r="A6563" i="47"/>
  <c r="A6564" i="47"/>
  <c r="A6565" i="47"/>
  <c r="A6566" i="47"/>
  <c r="A6567" i="47"/>
  <c r="A6568" i="47"/>
  <c r="A6569" i="47"/>
  <c r="A6570" i="47"/>
  <c r="A6571" i="47"/>
  <c r="A6572" i="47"/>
  <c r="A6573" i="47"/>
  <c r="A6574" i="47"/>
  <c r="A6575" i="47"/>
  <c r="A6576" i="47"/>
  <c r="A6577" i="47"/>
  <c r="A6578" i="47"/>
  <c r="A6579" i="47"/>
  <c r="A6580" i="47"/>
  <c r="A6581" i="47"/>
  <c r="A6582" i="47"/>
  <c r="A6583" i="47"/>
  <c r="A6584" i="47"/>
  <c r="A6585" i="47"/>
  <c r="A6586" i="47"/>
  <c r="A6587" i="47"/>
  <c r="A6588" i="47"/>
  <c r="A6589" i="47"/>
  <c r="A6590" i="47"/>
  <c r="A6591" i="47"/>
  <c r="A6592" i="47"/>
  <c r="A6515" i="47" l="1"/>
  <c r="A6516" i="47"/>
  <c r="A6517" i="47"/>
  <c r="A6518" i="47"/>
  <c r="A6519" i="47"/>
  <c r="A6520" i="47"/>
  <c r="A6521" i="47"/>
  <c r="A6522" i="47"/>
  <c r="A6523" i="47"/>
  <c r="A6524" i="47"/>
  <c r="A6525" i="47"/>
  <c r="A6526" i="47"/>
  <c r="A6527" i="47"/>
  <c r="A6528" i="47"/>
  <c r="A6529" i="47"/>
  <c r="A6530" i="47"/>
  <c r="A6531" i="47"/>
  <c r="A6532" i="47"/>
  <c r="A6533" i="47"/>
  <c r="A6534" i="47"/>
  <c r="A6535" i="47"/>
  <c r="A6536" i="47"/>
  <c r="A6537" i="47"/>
  <c r="A6538" i="47"/>
  <c r="A6539" i="47"/>
  <c r="A6540" i="47"/>
  <c r="A6475" i="47" l="1"/>
  <c r="A6476" i="47"/>
  <c r="A6477" i="47"/>
  <c r="A6478" i="47"/>
  <c r="A6479" i="47"/>
  <c r="A6480" i="47"/>
  <c r="A6481" i="47"/>
  <c r="A6482" i="47"/>
  <c r="A6483" i="47"/>
  <c r="A6484" i="47"/>
  <c r="A6485" i="47"/>
  <c r="A6486" i="47"/>
  <c r="A6487" i="47"/>
  <c r="A6488" i="47"/>
  <c r="A6489" i="47"/>
  <c r="A6490" i="47"/>
  <c r="A6491" i="47"/>
  <c r="A6492" i="47"/>
  <c r="A6493" i="47"/>
  <c r="A6494" i="47"/>
  <c r="A6495" i="47"/>
  <c r="A6496" i="47"/>
  <c r="A6497" i="47"/>
  <c r="A6498" i="47"/>
  <c r="A6499" i="47"/>
  <c r="A6500" i="47"/>
  <c r="A6501" i="47"/>
  <c r="A6502" i="47"/>
  <c r="A6503" i="47"/>
  <c r="A6504" i="47"/>
  <c r="A6505" i="47"/>
  <c r="A6506" i="47"/>
  <c r="A6507" i="47"/>
  <c r="A6508" i="47"/>
  <c r="A6509" i="47"/>
  <c r="A6510" i="47"/>
  <c r="A6511" i="47"/>
  <c r="A6512" i="47"/>
  <c r="A6513" i="47"/>
  <c r="A6514" i="47"/>
  <c r="A6421" i="47" l="1"/>
  <c r="A6422" i="47"/>
  <c r="A6423" i="47"/>
  <c r="A6424" i="47"/>
  <c r="A6425" i="47"/>
  <c r="A6426" i="47"/>
  <c r="A6427" i="47"/>
  <c r="A6428" i="47"/>
  <c r="A6429" i="47"/>
  <c r="A6430" i="47"/>
  <c r="A6431" i="47"/>
  <c r="A6432" i="47"/>
  <c r="A6433" i="47"/>
  <c r="A6434" i="47"/>
  <c r="A6435" i="47"/>
  <c r="A6436" i="47"/>
  <c r="A6437" i="47"/>
  <c r="A6438" i="47"/>
  <c r="A6439" i="47"/>
  <c r="A6440" i="47"/>
  <c r="A6441" i="47"/>
  <c r="A6442" i="47"/>
  <c r="A6443" i="47"/>
  <c r="A6444" i="47"/>
  <c r="A6445" i="47"/>
  <c r="A6446" i="47"/>
  <c r="A6447" i="47"/>
  <c r="A6448" i="47"/>
  <c r="A6449" i="47"/>
  <c r="A6450" i="47"/>
  <c r="A6451" i="47"/>
  <c r="A6452" i="47"/>
  <c r="A6453" i="47"/>
  <c r="A6454" i="47"/>
  <c r="A6455" i="47"/>
  <c r="A6456" i="47"/>
  <c r="A6457" i="47"/>
  <c r="A6458" i="47"/>
  <c r="A6459" i="47"/>
  <c r="A6460" i="47"/>
  <c r="A6461" i="47"/>
  <c r="A6462" i="47"/>
  <c r="A6463" i="47"/>
  <c r="A6464" i="47"/>
  <c r="A6465" i="47"/>
  <c r="A6466" i="47"/>
  <c r="A6467" i="47"/>
  <c r="A6468" i="47"/>
  <c r="A6469" i="47"/>
  <c r="A6470" i="47"/>
  <c r="A6471" i="47"/>
  <c r="A6472" i="47"/>
  <c r="A6473" i="47"/>
  <c r="A6474" i="47"/>
  <c r="A6375" i="47" l="1"/>
  <c r="A6376" i="47"/>
  <c r="A6377" i="47"/>
  <c r="A6378" i="47"/>
  <c r="A6379" i="47"/>
  <c r="A6380" i="47"/>
  <c r="A6381" i="47"/>
  <c r="A6382" i="47"/>
  <c r="A6383" i="47"/>
  <c r="A6384" i="47"/>
  <c r="A6385" i="47"/>
  <c r="A6386" i="47"/>
  <c r="A6387" i="47"/>
  <c r="A6388" i="47"/>
  <c r="A6389" i="47"/>
  <c r="A6390" i="47"/>
  <c r="A6391" i="47"/>
  <c r="A6392" i="47"/>
  <c r="A6393" i="47"/>
  <c r="A6394" i="47"/>
  <c r="A6395" i="47"/>
  <c r="A6396" i="47"/>
  <c r="A6397" i="47"/>
  <c r="A6398" i="47"/>
  <c r="A6399" i="47"/>
  <c r="A6400" i="47"/>
  <c r="A6401" i="47"/>
  <c r="A6402" i="47"/>
  <c r="A6403" i="47"/>
  <c r="A6404" i="47"/>
  <c r="A6405" i="47"/>
  <c r="A6406" i="47"/>
  <c r="A6407" i="47"/>
  <c r="A6408" i="47"/>
  <c r="A6409" i="47"/>
  <c r="A6410" i="47"/>
  <c r="A6411" i="47"/>
  <c r="A6412" i="47"/>
  <c r="A6413" i="47"/>
  <c r="A6414" i="47"/>
  <c r="A6415" i="47"/>
  <c r="A6416" i="47"/>
  <c r="A6417" i="47"/>
  <c r="A6418" i="47"/>
  <c r="A6419" i="47"/>
  <c r="A6420" i="47"/>
  <c r="A6335" i="47" l="1"/>
  <c r="A6336" i="47"/>
  <c r="A6337" i="47"/>
  <c r="A6338" i="47"/>
  <c r="A6339" i="47"/>
  <c r="A6340" i="47"/>
  <c r="A6341" i="47"/>
  <c r="A6342" i="47"/>
  <c r="A6343" i="47"/>
  <c r="A6344" i="47"/>
  <c r="A6345" i="47"/>
  <c r="A6346" i="47"/>
  <c r="A6347" i="47"/>
  <c r="A6348" i="47"/>
  <c r="A6349" i="47"/>
  <c r="A6350" i="47"/>
  <c r="A6351" i="47"/>
  <c r="A6352" i="47"/>
  <c r="A6353" i="47"/>
  <c r="A6354" i="47"/>
  <c r="A6355" i="47"/>
  <c r="A6356" i="47"/>
  <c r="A6357" i="47"/>
  <c r="A6358" i="47"/>
  <c r="A6359" i="47"/>
  <c r="A6360" i="47"/>
  <c r="A6361" i="47"/>
  <c r="A6362" i="47"/>
  <c r="A6363" i="47"/>
  <c r="A6364" i="47"/>
  <c r="A6365" i="47"/>
  <c r="A6366" i="47"/>
  <c r="A6367" i="47"/>
  <c r="A6368" i="47"/>
  <c r="A6369" i="47"/>
  <c r="A6370" i="47"/>
  <c r="A6371" i="47"/>
  <c r="A6372" i="47"/>
  <c r="A6373" i="47"/>
  <c r="A6374" i="47"/>
  <c r="A6300" i="47" l="1"/>
  <c r="A6301" i="47"/>
  <c r="A6302" i="47"/>
  <c r="A6303" i="47"/>
  <c r="A6304" i="47"/>
  <c r="A6305" i="47"/>
  <c r="A6306" i="47"/>
  <c r="A6307" i="47"/>
  <c r="A6308" i="47"/>
  <c r="A6309" i="47"/>
  <c r="A6310" i="47"/>
  <c r="A6311" i="47"/>
  <c r="A6312" i="47"/>
  <c r="A6313" i="47"/>
  <c r="A6314" i="47"/>
  <c r="A6315" i="47"/>
  <c r="A6316" i="47"/>
  <c r="A6317" i="47"/>
  <c r="A6318" i="47"/>
  <c r="A6319" i="47"/>
  <c r="A6320" i="47"/>
  <c r="A6321" i="47"/>
  <c r="A6322" i="47"/>
  <c r="A6323" i="47"/>
  <c r="A6324" i="47"/>
  <c r="A6325" i="47"/>
  <c r="A6326" i="47"/>
  <c r="A6327" i="47"/>
  <c r="A6328" i="47"/>
  <c r="A6329" i="47"/>
  <c r="A6330" i="47"/>
  <c r="A6331" i="47"/>
  <c r="A6332" i="47"/>
  <c r="A6333" i="47"/>
  <c r="A6334" i="47"/>
  <c r="A6257" i="47" l="1"/>
  <c r="A6258" i="47"/>
  <c r="A6259" i="47"/>
  <c r="A6260" i="47"/>
  <c r="A6261" i="47"/>
  <c r="A6262" i="47"/>
  <c r="A6263" i="47"/>
  <c r="A6264" i="47"/>
  <c r="A6265" i="47"/>
  <c r="A6266" i="47"/>
  <c r="A6267" i="47"/>
  <c r="A6268" i="47"/>
  <c r="A6269" i="47"/>
  <c r="A6270" i="47"/>
  <c r="A6271" i="47"/>
  <c r="A6272" i="47"/>
  <c r="A6273" i="47"/>
  <c r="A6274" i="47"/>
  <c r="A6275" i="47"/>
  <c r="A6276" i="47"/>
  <c r="A6277" i="47"/>
  <c r="A6278" i="47"/>
  <c r="A6279" i="47"/>
  <c r="A6280" i="47"/>
  <c r="A6281" i="47"/>
  <c r="A6282" i="47"/>
  <c r="A6283" i="47"/>
  <c r="A6284" i="47"/>
  <c r="A6285" i="47"/>
  <c r="A6286" i="47"/>
  <c r="A6287" i="47"/>
  <c r="A6288" i="47"/>
  <c r="A6289" i="47"/>
  <c r="A6290" i="47"/>
  <c r="A6291" i="47"/>
  <c r="A6292" i="47"/>
  <c r="A6293" i="47"/>
  <c r="A6294" i="47"/>
  <c r="A6295" i="47"/>
  <c r="A6296" i="47"/>
  <c r="A6297" i="47"/>
  <c r="A6298" i="47"/>
  <c r="A6299" i="47"/>
  <c r="A6142" i="47" l="1"/>
  <c r="A6143" i="47"/>
  <c r="A6144" i="47"/>
  <c r="A6145" i="47"/>
  <c r="A6146" i="47"/>
  <c r="A6147" i="47"/>
  <c r="A6148" i="47"/>
  <c r="A6149" i="47"/>
  <c r="A6150" i="47"/>
  <c r="A6151" i="47"/>
  <c r="A6152" i="47"/>
  <c r="A6153" i="47"/>
  <c r="A6154" i="47"/>
  <c r="A6155" i="47"/>
  <c r="A6156" i="47"/>
  <c r="A6157" i="47"/>
  <c r="A6158" i="47"/>
  <c r="A6159" i="47"/>
  <c r="A6160" i="47"/>
  <c r="A6161" i="47"/>
  <c r="A6162" i="47"/>
  <c r="A6163" i="47"/>
  <c r="A6164" i="47"/>
  <c r="A6165" i="47"/>
  <c r="A6166" i="47"/>
  <c r="A6167" i="47"/>
  <c r="A6168" i="47"/>
  <c r="A6169" i="47"/>
  <c r="A6170" i="47"/>
  <c r="A6171" i="47"/>
  <c r="A6172" i="47"/>
  <c r="A6173" i="47"/>
  <c r="A6174" i="47"/>
  <c r="A6175" i="47"/>
  <c r="A6176" i="47"/>
  <c r="A6177" i="47"/>
  <c r="A6178" i="47"/>
  <c r="A6179" i="47"/>
  <c r="A6180" i="47"/>
  <c r="A6181" i="47"/>
  <c r="A6182" i="47"/>
  <c r="A6183" i="47"/>
  <c r="A6184" i="47"/>
  <c r="A6185" i="47"/>
  <c r="A6186" i="47"/>
  <c r="A6187" i="47"/>
  <c r="A6188" i="47"/>
  <c r="A6189" i="47"/>
  <c r="A6190" i="47"/>
  <c r="A6191" i="47"/>
  <c r="A6192" i="47"/>
  <c r="A6193" i="47"/>
  <c r="A6194" i="47"/>
  <c r="A6195" i="47"/>
  <c r="A6196" i="47"/>
  <c r="A6197" i="47"/>
  <c r="A6198" i="47"/>
  <c r="A6199" i="47"/>
  <c r="A6200" i="47"/>
  <c r="A6201" i="47"/>
  <c r="A6202" i="47"/>
  <c r="A6203" i="47"/>
  <c r="A6204" i="47"/>
  <c r="A6205" i="47"/>
  <c r="A6206" i="47"/>
  <c r="A6207" i="47"/>
  <c r="A6208" i="47"/>
  <c r="A6209" i="47"/>
  <c r="A6210" i="47"/>
  <c r="A6211" i="47"/>
  <c r="A6212" i="47"/>
  <c r="A6213" i="47"/>
  <c r="A6214" i="47"/>
  <c r="A6215" i="47"/>
  <c r="A6216" i="47"/>
  <c r="A6217" i="47"/>
  <c r="A6218" i="47"/>
  <c r="A6219" i="47"/>
  <c r="A6220" i="47"/>
  <c r="A6221" i="47"/>
  <c r="A6222" i="47"/>
  <c r="A6223" i="47"/>
  <c r="A6224" i="47"/>
  <c r="A6225" i="47"/>
  <c r="A6226" i="47"/>
  <c r="A6227" i="47"/>
  <c r="A6228" i="47"/>
  <c r="A6229" i="47"/>
  <c r="A6230" i="47"/>
  <c r="A6231" i="47"/>
  <c r="A6232" i="47"/>
  <c r="A6233" i="47"/>
  <c r="A6234" i="47"/>
  <c r="A6235" i="47"/>
  <c r="A6236" i="47"/>
  <c r="A6237" i="47"/>
  <c r="A6238" i="47"/>
  <c r="A6239" i="47"/>
  <c r="A6240" i="47"/>
  <c r="A6241" i="47"/>
  <c r="A6242" i="47"/>
  <c r="A6243" i="47"/>
  <c r="A6244" i="47"/>
  <c r="A6245" i="47"/>
  <c r="A6246" i="47"/>
  <c r="A6247" i="47"/>
  <c r="A6248" i="47"/>
  <c r="A6249" i="47"/>
  <c r="A6250" i="47"/>
  <c r="A6251" i="47"/>
  <c r="A6252" i="47"/>
  <c r="A6253" i="47"/>
  <c r="A6254" i="47"/>
  <c r="A6255" i="47"/>
  <c r="A6256" i="47"/>
  <c r="A6094" i="47" l="1"/>
  <c r="A6095" i="47"/>
  <c r="A6096" i="47"/>
  <c r="A6097" i="47"/>
  <c r="A6098" i="47"/>
  <c r="A6099" i="47"/>
  <c r="A6100" i="47"/>
  <c r="A6101" i="47"/>
  <c r="A6102" i="47"/>
  <c r="A6103" i="47"/>
  <c r="A6104" i="47"/>
  <c r="A6105" i="47"/>
  <c r="A6106" i="47"/>
  <c r="A6107" i="47"/>
  <c r="A6108" i="47"/>
  <c r="A6109" i="47"/>
  <c r="A6110" i="47"/>
  <c r="A6111" i="47"/>
  <c r="A6112" i="47"/>
  <c r="A6113" i="47"/>
  <c r="A6114" i="47"/>
  <c r="A6115" i="47"/>
  <c r="A6116" i="47"/>
  <c r="A6117" i="47"/>
  <c r="A6118" i="47"/>
  <c r="A6119" i="47"/>
  <c r="A6120" i="47"/>
  <c r="A6121" i="47"/>
  <c r="A6122" i="47"/>
  <c r="A6123" i="47"/>
  <c r="A6124" i="47"/>
  <c r="A6125" i="47"/>
  <c r="A6126" i="47"/>
  <c r="A6127" i="47"/>
  <c r="A6128" i="47"/>
  <c r="A6129" i="47"/>
  <c r="A6130" i="47"/>
  <c r="A6131" i="47"/>
  <c r="A6132" i="47"/>
  <c r="A6133" i="47"/>
  <c r="A6134" i="47"/>
  <c r="A6135" i="47"/>
  <c r="A6136" i="47"/>
  <c r="A6137" i="47"/>
  <c r="A6138" i="47"/>
  <c r="A6139" i="47"/>
  <c r="A6140" i="47"/>
  <c r="A6141" i="47"/>
  <c r="A6064" i="47" l="1"/>
  <c r="A6065" i="47"/>
  <c r="A6066" i="47"/>
  <c r="A6067" i="47"/>
  <c r="A6068" i="47"/>
  <c r="A6069" i="47"/>
  <c r="A6070" i="47"/>
  <c r="A6071" i="47"/>
  <c r="A6072" i="47"/>
  <c r="A6073" i="47"/>
  <c r="A6074" i="47"/>
  <c r="A6075" i="47"/>
  <c r="A6076" i="47"/>
  <c r="A6077" i="47"/>
  <c r="A6078" i="47"/>
  <c r="A6079" i="47"/>
  <c r="A6080" i="47"/>
  <c r="A6081" i="47"/>
  <c r="A6082" i="47"/>
  <c r="A6083" i="47"/>
  <c r="A6084" i="47"/>
  <c r="A6085" i="47"/>
  <c r="A6086" i="47"/>
  <c r="A6087" i="47"/>
  <c r="A6088" i="47"/>
  <c r="A6089" i="47"/>
  <c r="A6090" i="47"/>
  <c r="A6091" i="47"/>
  <c r="A6092" i="47"/>
  <c r="A6093" i="47"/>
  <c r="A6017" i="47" l="1"/>
  <c r="A6018" i="47"/>
  <c r="A6019" i="47"/>
  <c r="A6020" i="47"/>
  <c r="A6021" i="47"/>
  <c r="A6022" i="47"/>
  <c r="A6023" i="47"/>
  <c r="A6024" i="47"/>
  <c r="A6025" i="47"/>
  <c r="A6026" i="47"/>
  <c r="A6027" i="47"/>
  <c r="A6028" i="47"/>
  <c r="A6029" i="47"/>
  <c r="A6030" i="47"/>
  <c r="A6031" i="47"/>
  <c r="A6032" i="47"/>
  <c r="A6033" i="47"/>
  <c r="A6034" i="47"/>
  <c r="A6035" i="47"/>
  <c r="A6036" i="47"/>
  <c r="A6037" i="47"/>
  <c r="A6038" i="47"/>
  <c r="A6039" i="47"/>
  <c r="A6040" i="47"/>
  <c r="A6041" i="47"/>
  <c r="A6042" i="47"/>
  <c r="A6043" i="47"/>
  <c r="A6044" i="47"/>
  <c r="A6045" i="47"/>
  <c r="A6046" i="47"/>
  <c r="A6047" i="47"/>
  <c r="A6048" i="47"/>
  <c r="A6049" i="47"/>
  <c r="A6050" i="47"/>
  <c r="A6051" i="47"/>
  <c r="A6052" i="47"/>
  <c r="A6053" i="47"/>
  <c r="A6054" i="47"/>
  <c r="A6055" i="47"/>
  <c r="A6056" i="47"/>
  <c r="A6057" i="47"/>
  <c r="A6058" i="47"/>
  <c r="A6059" i="47"/>
  <c r="A6060" i="47"/>
  <c r="A6061" i="47"/>
  <c r="A6062" i="47"/>
  <c r="A6063" i="47"/>
  <c r="A5965" i="47" l="1"/>
  <c r="A5966" i="47"/>
  <c r="A5967" i="47"/>
  <c r="A5968" i="47"/>
  <c r="A5969" i="47"/>
  <c r="A5970" i="47"/>
  <c r="A5971" i="47"/>
  <c r="A5972" i="47"/>
  <c r="A5973" i="47"/>
  <c r="A5974" i="47"/>
  <c r="A5975" i="47"/>
  <c r="A5976" i="47"/>
  <c r="A5977" i="47"/>
  <c r="A5978" i="47"/>
  <c r="A5979" i="47"/>
  <c r="A5980" i="47"/>
  <c r="A5981" i="47"/>
  <c r="A5982" i="47"/>
  <c r="A5983" i="47"/>
  <c r="A5984" i="47"/>
  <c r="A5985" i="47"/>
  <c r="A5986" i="47"/>
  <c r="A5987" i="47"/>
  <c r="A5988" i="47"/>
  <c r="A5989" i="47"/>
  <c r="A5990" i="47"/>
  <c r="A5991" i="47"/>
  <c r="A5992" i="47"/>
  <c r="A5993" i="47"/>
  <c r="A5994" i="47"/>
  <c r="A5995" i="47"/>
  <c r="A5996" i="47"/>
  <c r="A5997" i="47"/>
  <c r="A5998" i="47"/>
  <c r="A5999" i="47"/>
  <c r="A6000" i="47"/>
  <c r="A6001" i="47"/>
  <c r="A6002" i="47"/>
  <c r="A6003" i="47"/>
  <c r="A6004" i="47"/>
  <c r="A6005" i="47"/>
  <c r="A6006" i="47"/>
  <c r="A6007" i="47"/>
  <c r="A6008" i="47"/>
  <c r="A6009" i="47"/>
  <c r="A6010" i="47"/>
  <c r="A6011" i="47"/>
  <c r="A6012" i="47"/>
  <c r="A6013" i="47"/>
  <c r="A6014" i="47"/>
  <c r="A6015" i="47"/>
  <c r="A6016" i="47"/>
  <c r="A5920" i="47" l="1"/>
  <c r="A5921" i="47"/>
  <c r="A5922" i="47"/>
  <c r="A5923" i="47"/>
  <c r="A5924" i="47"/>
  <c r="A5925" i="47"/>
  <c r="A5926" i="47"/>
  <c r="A5927" i="47"/>
  <c r="A5928" i="47"/>
  <c r="A5929" i="47"/>
  <c r="A5930" i="47"/>
  <c r="A5931" i="47"/>
  <c r="A5932" i="47"/>
  <c r="A5933" i="47"/>
  <c r="A5934" i="47"/>
  <c r="A5935" i="47"/>
  <c r="A5936" i="47"/>
  <c r="A5937" i="47"/>
  <c r="A5938" i="47"/>
  <c r="A5939" i="47"/>
  <c r="A5940" i="47"/>
  <c r="A5941" i="47"/>
  <c r="A5942" i="47"/>
  <c r="A5943" i="47"/>
  <c r="A5944" i="47"/>
  <c r="A5945" i="47"/>
  <c r="A5946" i="47"/>
  <c r="A5947" i="47"/>
  <c r="A5948" i="47"/>
  <c r="A5949" i="47"/>
  <c r="A5950" i="47"/>
  <c r="A5951" i="47"/>
  <c r="A5952" i="47"/>
  <c r="A5953" i="47"/>
  <c r="A5954" i="47"/>
  <c r="A5955" i="47"/>
  <c r="A5956" i="47"/>
  <c r="A5957" i="47"/>
  <c r="A5958" i="47"/>
  <c r="A5959" i="47"/>
  <c r="A5960" i="47"/>
  <c r="A5961" i="47"/>
  <c r="A5962" i="47"/>
  <c r="A5963" i="47"/>
  <c r="A5964" i="47"/>
  <c r="A5880" i="47" l="1"/>
  <c r="A5881" i="47"/>
  <c r="A5882" i="47"/>
  <c r="A5883" i="47"/>
  <c r="A5884" i="47"/>
  <c r="A5885" i="47"/>
  <c r="A5886" i="47"/>
  <c r="A5887" i="47"/>
  <c r="A5888" i="47"/>
  <c r="A5889" i="47"/>
  <c r="A5890" i="47"/>
  <c r="A5891" i="47"/>
  <c r="A5892" i="47"/>
  <c r="A5893" i="47"/>
  <c r="A5894" i="47"/>
  <c r="A5895" i="47"/>
  <c r="A5896" i="47"/>
  <c r="A5897" i="47"/>
  <c r="A5898" i="47"/>
  <c r="A5899" i="47"/>
  <c r="A5900" i="47"/>
  <c r="A5901" i="47"/>
  <c r="A5902" i="47"/>
  <c r="A5903" i="47"/>
  <c r="A5904" i="47"/>
  <c r="A5905" i="47"/>
  <c r="A5906" i="47"/>
  <c r="A5907" i="47"/>
  <c r="A5908" i="47"/>
  <c r="A5909" i="47"/>
  <c r="A5910" i="47"/>
  <c r="A5911" i="47"/>
  <c r="A5912" i="47"/>
  <c r="A5913" i="47"/>
  <c r="A5914" i="47"/>
  <c r="A5915" i="47"/>
  <c r="A5916" i="47"/>
  <c r="A5917" i="47"/>
  <c r="A5918" i="47"/>
  <c r="A5919" i="47"/>
  <c r="A5837" i="47" l="1"/>
  <c r="A5838" i="47"/>
  <c r="A5839" i="47"/>
  <c r="A5840" i="47"/>
  <c r="A5841" i="47"/>
  <c r="A5842" i="47"/>
  <c r="A5843" i="47"/>
  <c r="A5844" i="47"/>
  <c r="A5845" i="47"/>
  <c r="A5846" i="47"/>
  <c r="A5847" i="47"/>
  <c r="A5848" i="47"/>
  <c r="A5849" i="47"/>
  <c r="A5850" i="47"/>
  <c r="A5851" i="47"/>
  <c r="A5852" i="47"/>
  <c r="A5853" i="47"/>
  <c r="A5854" i="47"/>
  <c r="A5855" i="47"/>
  <c r="A5856" i="47"/>
  <c r="A5857" i="47"/>
  <c r="A5858" i="47"/>
  <c r="A5859" i="47"/>
  <c r="A5860" i="47"/>
  <c r="A5861" i="47"/>
  <c r="A5862" i="47"/>
  <c r="A5863" i="47"/>
  <c r="A5864" i="47"/>
  <c r="A5865" i="47"/>
  <c r="A5866" i="47"/>
  <c r="A5867" i="47"/>
  <c r="A5868" i="47"/>
  <c r="A5869" i="47"/>
  <c r="A5870" i="47"/>
  <c r="A5871" i="47"/>
  <c r="A5872" i="47"/>
  <c r="A5873" i="47"/>
  <c r="A5874" i="47"/>
  <c r="A5875" i="47"/>
  <c r="A5876" i="47"/>
  <c r="A5877" i="47"/>
  <c r="A5878" i="47"/>
  <c r="A5879" i="47"/>
  <c r="A5790" i="47" l="1"/>
  <c r="A5791" i="47"/>
  <c r="A5792" i="47"/>
  <c r="A5793" i="47"/>
  <c r="A5794" i="47"/>
  <c r="A5795" i="47"/>
  <c r="A5796" i="47"/>
  <c r="A5797" i="47"/>
  <c r="A5798" i="47"/>
  <c r="A5799" i="47"/>
  <c r="A5800" i="47"/>
  <c r="A5801" i="47"/>
  <c r="A5802" i="47"/>
  <c r="A5803" i="47"/>
  <c r="A5804" i="47"/>
  <c r="A5805" i="47"/>
  <c r="A5806" i="47"/>
  <c r="A5807" i="47"/>
  <c r="A5808" i="47"/>
  <c r="A5809" i="47"/>
  <c r="A5810" i="47"/>
  <c r="A5811" i="47"/>
  <c r="A5812" i="47"/>
  <c r="A5813" i="47"/>
  <c r="A5814" i="47"/>
  <c r="A5815" i="47"/>
  <c r="A5816" i="47"/>
  <c r="A5817" i="47"/>
  <c r="A5818" i="47"/>
  <c r="A5819" i="47"/>
  <c r="A5820" i="47"/>
  <c r="A5821" i="47"/>
  <c r="A5822" i="47"/>
  <c r="A5823" i="47"/>
  <c r="A5824" i="47"/>
  <c r="A5825" i="47"/>
  <c r="A5826" i="47"/>
  <c r="A5827" i="47"/>
  <c r="A5828" i="47"/>
  <c r="A5829" i="47"/>
  <c r="A5830" i="47"/>
  <c r="A5831" i="47"/>
  <c r="A5832" i="47"/>
  <c r="A5833" i="47"/>
  <c r="A5834" i="47"/>
  <c r="A5835" i="47"/>
  <c r="A5836" i="47"/>
  <c r="A5741" i="47" l="1"/>
  <c r="A5742" i="47"/>
  <c r="A5743" i="47"/>
  <c r="A5744" i="47"/>
  <c r="A5745" i="47"/>
  <c r="A5746" i="47"/>
  <c r="A5747" i="47"/>
  <c r="A5748" i="47"/>
  <c r="A5749" i="47"/>
  <c r="A5750" i="47"/>
  <c r="A5751" i="47"/>
  <c r="A5752" i="47"/>
  <c r="A5753" i="47"/>
  <c r="A5754" i="47"/>
  <c r="A5755" i="47"/>
  <c r="A5756" i="47"/>
  <c r="A5757" i="47"/>
  <c r="A5758" i="47"/>
  <c r="A5759" i="47"/>
  <c r="A5760" i="47"/>
  <c r="A5761" i="47"/>
  <c r="A5762" i="47"/>
  <c r="A5763" i="47"/>
  <c r="A5764" i="47"/>
  <c r="A5765" i="47"/>
  <c r="A5766" i="47"/>
  <c r="A5767" i="47"/>
  <c r="A5768" i="47"/>
  <c r="A5769" i="47"/>
  <c r="A5770" i="47"/>
  <c r="A5771" i="47"/>
  <c r="A5772" i="47"/>
  <c r="A5773" i="47"/>
  <c r="A5774" i="47"/>
  <c r="A5775" i="47"/>
  <c r="A5776" i="47"/>
  <c r="A5777" i="47"/>
  <c r="A5778" i="47"/>
  <c r="A5779" i="47"/>
  <c r="A5780" i="47"/>
  <c r="A5781" i="47"/>
  <c r="A5782" i="47"/>
  <c r="A5783" i="47"/>
  <c r="A5784" i="47"/>
  <c r="A5785" i="47"/>
  <c r="A5786" i="47"/>
  <c r="A5787" i="47"/>
  <c r="A5788" i="47"/>
  <c r="A5789" i="47"/>
  <c r="A5702" i="47" l="1"/>
  <c r="A5703" i="47"/>
  <c r="A5704" i="47"/>
  <c r="A5705" i="47"/>
  <c r="A5706" i="47"/>
  <c r="A5707" i="47"/>
  <c r="A5708" i="47"/>
  <c r="A5709" i="47"/>
  <c r="A5710" i="47"/>
  <c r="A5711" i="47"/>
  <c r="A5712" i="47"/>
  <c r="A5713" i="47"/>
  <c r="A5714" i="47"/>
  <c r="A5715" i="47"/>
  <c r="A5716" i="47"/>
  <c r="A5717" i="47"/>
  <c r="A5718" i="47"/>
  <c r="A5719" i="47"/>
  <c r="A5720" i="47"/>
  <c r="A5721" i="47"/>
  <c r="A5722" i="47"/>
  <c r="A5723" i="47"/>
  <c r="A5724" i="47"/>
  <c r="A5725" i="47"/>
  <c r="A5726" i="47"/>
  <c r="A5727" i="47"/>
  <c r="A5728" i="47"/>
  <c r="A5729" i="47"/>
  <c r="A5730" i="47"/>
  <c r="A5731" i="47"/>
  <c r="A5732" i="47"/>
  <c r="A5733" i="47"/>
  <c r="A5734" i="47"/>
  <c r="A5735" i="47"/>
  <c r="A5736" i="47"/>
  <c r="A5737" i="47"/>
  <c r="A5738" i="47"/>
  <c r="A5739" i="47"/>
  <c r="A5740" i="47"/>
  <c r="A5648" i="47" l="1"/>
  <c r="A5649" i="47"/>
  <c r="A5650" i="47"/>
  <c r="A5651" i="47"/>
  <c r="A5652" i="47"/>
  <c r="A5653" i="47"/>
  <c r="A5654" i="47"/>
  <c r="A5655" i="47"/>
  <c r="A5656" i="47"/>
  <c r="A5657" i="47"/>
  <c r="A5658" i="47"/>
  <c r="A5659" i="47"/>
  <c r="A5660" i="47"/>
  <c r="A5661" i="47"/>
  <c r="A5662" i="47"/>
  <c r="A5663" i="47"/>
  <c r="A5664" i="47"/>
  <c r="A5665" i="47"/>
  <c r="A5666" i="47"/>
  <c r="A5667" i="47"/>
  <c r="A5668" i="47"/>
  <c r="A5669" i="47"/>
  <c r="A5670" i="47"/>
  <c r="A5671" i="47"/>
  <c r="A5672" i="47"/>
  <c r="A5673" i="47"/>
  <c r="A5674" i="47"/>
  <c r="A5675" i="47"/>
  <c r="A5676" i="47"/>
  <c r="A5677" i="47"/>
  <c r="A5678" i="47"/>
  <c r="A5679" i="47"/>
  <c r="A5680" i="47"/>
  <c r="A5681" i="47"/>
  <c r="A5682" i="47"/>
  <c r="A5683" i="47"/>
  <c r="A5684" i="47"/>
  <c r="A5685" i="47"/>
  <c r="A5686" i="47"/>
  <c r="A5687" i="47"/>
  <c r="A5688" i="47"/>
  <c r="A5689" i="47"/>
  <c r="A5690" i="47"/>
  <c r="A5691" i="47"/>
  <c r="A5692" i="47"/>
  <c r="A5693" i="47"/>
  <c r="A5694" i="47"/>
  <c r="A5695" i="47"/>
  <c r="A5696" i="47"/>
  <c r="A5697" i="47"/>
  <c r="A5698" i="47"/>
  <c r="A5699" i="47"/>
  <c r="A5700" i="47"/>
  <c r="A5701" i="47"/>
  <c r="A5603" i="47" l="1"/>
  <c r="A5604" i="47"/>
  <c r="A5605" i="47"/>
  <c r="A5606" i="47"/>
  <c r="A5607" i="47"/>
  <c r="A5608" i="47"/>
  <c r="A5609" i="47"/>
  <c r="A5610" i="47"/>
  <c r="A5611" i="47"/>
  <c r="A5612" i="47"/>
  <c r="A5613" i="47"/>
  <c r="A5614" i="47"/>
  <c r="A5615" i="47"/>
  <c r="A5616" i="47"/>
  <c r="A5617" i="47"/>
  <c r="A5618" i="47"/>
  <c r="A5619" i="47"/>
  <c r="A5620" i="47"/>
  <c r="A5621" i="47"/>
  <c r="A5622" i="47"/>
  <c r="A5623" i="47"/>
  <c r="A5624" i="47"/>
  <c r="A5625" i="47"/>
  <c r="A5626" i="47"/>
  <c r="A5627" i="47"/>
  <c r="A5628" i="47"/>
  <c r="A5629" i="47"/>
  <c r="A5630" i="47"/>
  <c r="A5631" i="47"/>
  <c r="A5632" i="47"/>
  <c r="A5633" i="47"/>
  <c r="A5634" i="47"/>
  <c r="A5635" i="47"/>
  <c r="A5636" i="47"/>
  <c r="A5637" i="47"/>
  <c r="A5638" i="47"/>
  <c r="A5639" i="47"/>
  <c r="A5640" i="47"/>
  <c r="A5641" i="47"/>
  <c r="A5642" i="47"/>
  <c r="A5643" i="47"/>
  <c r="A5644" i="47"/>
  <c r="A5645" i="47"/>
  <c r="A5646" i="47"/>
  <c r="A5647" i="47"/>
  <c r="A5543" i="47" l="1"/>
  <c r="A5544" i="47"/>
  <c r="A5545" i="47"/>
  <c r="A5546" i="47"/>
  <c r="A5547" i="47"/>
  <c r="A5548" i="47"/>
  <c r="A5549" i="47"/>
  <c r="A5550" i="47"/>
  <c r="A5551" i="47"/>
  <c r="A5552" i="47"/>
  <c r="A5553" i="47"/>
  <c r="A5554" i="47"/>
  <c r="A5555" i="47"/>
  <c r="A5556" i="47"/>
  <c r="A5557" i="47"/>
  <c r="A5558" i="47"/>
  <c r="A5559" i="47"/>
  <c r="A5560" i="47"/>
  <c r="A5561" i="47"/>
  <c r="A5562" i="47"/>
  <c r="A5563" i="47"/>
  <c r="A5564" i="47"/>
  <c r="A5565" i="47"/>
  <c r="A5566" i="47"/>
  <c r="A5567" i="47"/>
  <c r="A5568" i="47"/>
  <c r="A5569" i="47"/>
  <c r="A5570" i="47"/>
  <c r="A5571" i="47"/>
  <c r="A5572" i="47"/>
  <c r="A5573" i="47"/>
  <c r="A5574" i="47"/>
  <c r="A5575" i="47"/>
  <c r="A5576" i="47"/>
  <c r="A5577" i="47"/>
  <c r="A5578" i="47"/>
  <c r="A5579" i="47"/>
  <c r="A5580" i="47"/>
  <c r="A5581" i="47"/>
  <c r="A5582" i="47"/>
  <c r="A5583" i="47"/>
  <c r="A5584" i="47"/>
  <c r="A5585" i="47"/>
  <c r="A5586" i="47"/>
  <c r="A5587" i="47"/>
  <c r="A5588" i="47"/>
  <c r="A5589" i="47"/>
  <c r="A5590" i="47"/>
  <c r="A5591" i="47"/>
  <c r="A5592" i="47"/>
  <c r="A5593" i="47"/>
  <c r="A5594" i="47"/>
  <c r="A5595" i="47"/>
  <c r="A5596" i="47"/>
  <c r="A5597" i="47"/>
  <c r="A5598" i="47"/>
  <c r="A5599" i="47"/>
  <c r="A5600" i="47"/>
  <c r="A5601" i="47"/>
  <c r="A5602" i="47"/>
  <c r="A5473" i="47" l="1"/>
  <c r="A5474" i="47"/>
  <c r="A5475" i="47"/>
  <c r="A5476" i="47"/>
  <c r="A5477" i="47"/>
  <c r="A5478" i="47"/>
  <c r="A5479" i="47"/>
  <c r="A5480" i="47"/>
  <c r="A5481" i="47"/>
  <c r="A5482" i="47"/>
  <c r="A5483" i="47"/>
  <c r="A5484" i="47"/>
  <c r="A5485" i="47"/>
  <c r="A5486" i="47"/>
  <c r="A5487" i="47"/>
  <c r="A5488" i="47"/>
  <c r="A5489" i="47"/>
  <c r="A5490" i="47"/>
  <c r="A5491" i="47"/>
  <c r="A5492" i="47"/>
  <c r="A5493" i="47"/>
  <c r="A5494" i="47"/>
  <c r="A5495" i="47"/>
  <c r="A5496" i="47"/>
  <c r="A5497" i="47"/>
  <c r="A5498" i="47"/>
  <c r="A5499" i="47"/>
  <c r="A5500" i="47"/>
  <c r="A5501" i="47"/>
  <c r="A5502" i="47"/>
  <c r="A5503" i="47"/>
  <c r="A5504" i="47"/>
  <c r="A5505" i="47"/>
  <c r="A5506" i="47"/>
  <c r="A5507" i="47"/>
  <c r="A5508" i="47"/>
  <c r="A5509" i="47"/>
  <c r="A5510" i="47"/>
  <c r="A5511" i="47"/>
  <c r="A5512" i="47"/>
  <c r="A5513" i="47"/>
  <c r="A5514" i="47"/>
  <c r="A5515" i="47"/>
  <c r="A5516" i="47"/>
  <c r="A5517" i="47"/>
  <c r="A5518" i="47"/>
  <c r="A5519" i="47"/>
  <c r="A5520" i="47"/>
  <c r="A5521" i="47"/>
  <c r="A5522" i="47"/>
  <c r="A5523" i="47"/>
  <c r="A5524" i="47"/>
  <c r="A5525" i="47"/>
  <c r="A5526" i="47"/>
  <c r="A5527" i="47"/>
  <c r="A5528" i="47"/>
  <c r="A5529" i="47"/>
  <c r="A5530" i="47"/>
  <c r="A5531" i="47"/>
  <c r="A5532" i="47"/>
  <c r="A5533" i="47"/>
  <c r="A5534" i="47"/>
  <c r="A5535" i="47"/>
  <c r="A5536" i="47"/>
  <c r="A5537" i="47"/>
  <c r="A5538" i="47"/>
  <c r="A5539" i="47"/>
  <c r="A5540" i="47"/>
  <c r="A5541" i="47"/>
  <c r="A5542" i="47"/>
  <c r="A5414" i="47" l="1"/>
  <c r="A5415" i="47"/>
  <c r="A5416" i="47"/>
  <c r="A5417" i="47"/>
  <c r="A5418" i="47"/>
  <c r="A5419" i="47"/>
  <c r="A5420" i="47"/>
  <c r="A5421" i="47"/>
  <c r="A5422" i="47"/>
  <c r="A5423" i="47"/>
  <c r="A5424" i="47"/>
  <c r="A5425" i="47"/>
  <c r="A5426" i="47"/>
  <c r="A5427" i="47"/>
  <c r="A5428" i="47"/>
  <c r="A5429" i="47"/>
  <c r="A5430" i="47"/>
  <c r="A5431" i="47"/>
  <c r="A5432" i="47"/>
  <c r="A5433" i="47"/>
  <c r="A5434" i="47"/>
  <c r="A5435" i="47"/>
  <c r="A5436" i="47"/>
  <c r="A5437" i="47"/>
  <c r="A5438" i="47"/>
  <c r="A5439" i="47"/>
  <c r="A5440" i="47"/>
  <c r="A5441" i="47"/>
  <c r="A5442" i="47"/>
  <c r="A5443" i="47"/>
  <c r="A5444" i="47"/>
  <c r="A5445" i="47"/>
  <c r="A5446" i="47"/>
  <c r="A5447" i="47"/>
  <c r="A5448" i="47"/>
  <c r="A5449" i="47"/>
  <c r="A5450" i="47"/>
  <c r="A5451" i="47"/>
  <c r="A5452" i="47"/>
  <c r="A5453" i="47"/>
  <c r="A5454" i="47"/>
  <c r="A5455" i="47"/>
  <c r="A5456" i="47"/>
  <c r="A5457" i="47"/>
  <c r="A5458" i="47"/>
  <c r="A5459" i="47"/>
  <c r="A5460" i="47"/>
  <c r="A5461" i="47"/>
  <c r="A5462" i="47"/>
  <c r="A5463" i="47"/>
  <c r="A5464" i="47"/>
  <c r="A5465" i="47"/>
  <c r="A5466" i="47"/>
  <c r="A5467" i="47"/>
  <c r="A5468" i="47"/>
  <c r="A5469" i="47"/>
  <c r="A5470" i="47"/>
  <c r="A5471" i="47"/>
  <c r="A5472" i="47"/>
  <c r="A5364" i="47" l="1"/>
  <c r="A5365" i="47"/>
  <c r="A5366" i="47"/>
  <c r="A5367" i="47"/>
  <c r="A5368" i="47"/>
  <c r="A5369" i="47"/>
  <c r="A5370" i="47"/>
  <c r="A5371" i="47"/>
  <c r="A5372" i="47"/>
  <c r="A5373" i="47"/>
  <c r="A5374" i="47"/>
  <c r="A5375" i="47"/>
  <c r="A5376" i="47"/>
  <c r="A5377" i="47"/>
  <c r="A5378" i="47"/>
  <c r="A5379" i="47"/>
  <c r="A5380" i="47"/>
  <c r="A5381" i="47"/>
  <c r="A5382" i="47"/>
  <c r="A5383" i="47"/>
  <c r="A5384" i="47"/>
  <c r="A5385" i="47"/>
  <c r="A5386" i="47"/>
  <c r="A5387" i="47"/>
  <c r="A5388" i="47"/>
  <c r="A5389" i="47"/>
  <c r="A5390" i="47"/>
  <c r="A5391" i="47"/>
  <c r="A5392" i="47"/>
  <c r="A5393" i="47"/>
  <c r="A5394" i="47"/>
  <c r="A5395" i="47"/>
  <c r="A5396" i="47"/>
  <c r="A5397" i="47"/>
  <c r="A5398" i="47"/>
  <c r="A5399" i="47"/>
  <c r="A5400" i="47"/>
  <c r="A5401" i="47"/>
  <c r="A5402" i="47"/>
  <c r="A5403" i="47"/>
  <c r="A5404" i="47"/>
  <c r="A5405" i="47"/>
  <c r="A5406" i="47"/>
  <c r="A5407" i="47"/>
  <c r="A5408" i="47"/>
  <c r="A5409" i="47"/>
  <c r="A5410" i="47"/>
  <c r="A5411" i="47"/>
  <c r="A5412" i="47"/>
  <c r="A5413" i="47"/>
  <c r="A5307" i="47" l="1"/>
  <c r="A5308" i="47"/>
  <c r="A5309" i="47"/>
  <c r="A5310" i="47"/>
  <c r="A5311" i="47"/>
  <c r="A5312" i="47"/>
  <c r="A5313" i="47"/>
  <c r="A5314" i="47"/>
  <c r="A5315" i="47"/>
  <c r="A5316" i="47"/>
  <c r="A5317" i="47"/>
  <c r="A5318" i="47"/>
  <c r="A5319" i="47"/>
  <c r="A5320" i="47"/>
  <c r="A5321" i="47"/>
  <c r="A5322" i="47"/>
  <c r="A5323" i="47"/>
  <c r="A5324" i="47"/>
  <c r="A5325" i="47"/>
  <c r="A5326" i="47"/>
  <c r="A5327" i="47"/>
  <c r="A5328" i="47"/>
  <c r="A5329" i="47"/>
  <c r="A5330" i="47"/>
  <c r="A5331" i="47"/>
  <c r="A5332" i="47"/>
  <c r="A5333" i="47"/>
  <c r="A5334" i="47"/>
  <c r="A5335" i="47"/>
  <c r="A5336" i="47"/>
  <c r="A5337" i="47"/>
  <c r="A5338" i="47"/>
  <c r="A5339" i="47"/>
  <c r="A5340" i="47"/>
  <c r="A5341" i="47"/>
  <c r="A5342" i="47"/>
  <c r="A5343" i="47"/>
  <c r="A5344" i="47"/>
  <c r="A5345" i="47"/>
  <c r="A5346" i="47"/>
  <c r="A5347" i="47"/>
  <c r="A5348" i="47"/>
  <c r="A5349" i="47"/>
  <c r="A5350" i="47"/>
  <c r="A5351" i="47"/>
  <c r="A5352" i="47"/>
  <c r="A5353" i="47"/>
  <c r="A5354" i="47"/>
  <c r="A5355" i="47"/>
  <c r="A5356" i="47"/>
  <c r="A5357" i="47"/>
  <c r="A5358" i="47"/>
  <c r="A5359" i="47"/>
  <c r="A5360" i="47"/>
  <c r="A5361" i="47"/>
  <c r="A5362" i="47"/>
  <c r="A5363" i="47"/>
  <c r="A5236" i="47" l="1"/>
  <c r="A5237" i="47"/>
  <c r="A5238" i="47"/>
  <c r="A5239" i="47"/>
  <c r="A5240" i="47"/>
  <c r="A5241" i="47"/>
  <c r="A5242" i="47"/>
  <c r="A5243" i="47"/>
  <c r="A5244" i="47"/>
  <c r="A5245" i="47"/>
  <c r="A5246" i="47"/>
  <c r="A5247" i="47"/>
  <c r="A5248" i="47"/>
  <c r="A5249" i="47"/>
  <c r="A5250" i="47"/>
  <c r="A5251" i="47"/>
  <c r="A5252" i="47"/>
  <c r="A5253" i="47"/>
  <c r="A5254" i="47"/>
  <c r="A5255" i="47"/>
  <c r="A5256" i="47"/>
  <c r="A5257" i="47"/>
  <c r="A5258" i="47"/>
  <c r="A5259" i="47"/>
  <c r="A5260" i="47"/>
  <c r="A5261" i="47"/>
  <c r="A5262" i="47"/>
  <c r="A5263" i="47"/>
  <c r="A5264" i="47"/>
  <c r="A5265" i="47"/>
  <c r="A5266" i="47"/>
  <c r="A5267" i="47"/>
  <c r="A5268" i="47"/>
  <c r="A5269" i="47"/>
  <c r="A5270" i="47"/>
  <c r="A5271" i="47"/>
  <c r="A5272" i="47"/>
  <c r="A5273" i="47"/>
  <c r="A5274" i="47"/>
  <c r="A5275" i="47"/>
  <c r="A5276" i="47"/>
  <c r="A5277" i="47"/>
  <c r="A5278" i="47"/>
  <c r="A5279" i="47"/>
  <c r="A5280" i="47"/>
  <c r="A5281" i="47"/>
  <c r="A5282" i="47"/>
  <c r="A5283" i="47"/>
  <c r="A5284" i="47"/>
  <c r="A5285" i="47"/>
  <c r="A5286" i="47"/>
  <c r="A5287" i="47"/>
  <c r="A5288" i="47"/>
  <c r="A5289" i="47"/>
  <c r="A5290" i="47"/>
  <c r="A5291" i="47"/>
  <c r="A5292" i="47"/>
  <c r="A5293" i="47"/>
  <c r="A5294" i="47"/>
  <c r="A5295" i="47"/>
  <c r="A5296" i="47"/>
  <c r="A5297" i="47"/>
  <c r="A5298" i="47"/>
  <c r="A5299" i="47"/>
  <c r="A5300" i="47"/>
  <c r="A5301" i="47"/>
  <c r="A5302" i="47"/>
  <c r="A5303" i="47"/>
  <c r="A5304" i="47"/>
  <c r="A5305" i="47"/>
  <c r="A5306" i="47"/>
  <c r="A5109" i="47" l="1"/>
  <c r="A5110" i="47"/>
  <c r="A5111" i="47"/>
  <c r="A5112" i="47"/>
  <c r="A5113" i="47"/>
  <c r="A5114" i="47"/>
  <c r="A5115" i="47"/>
  <c r="A5116" i="47"/>
  <c r="A5117" i="47"/>
  <c r="A5118" i="47"/>
  <c r="A5119" i="47"/>
  <c r="A5120" i="47"/>
  <c r="A5121" i="47"/>
  <c r="A5122" i="47"/>
  <c r="A5123" i="47"/>
  <c r="A5124" i="47"/>
  <c r="A5125" i="47"/>
  <c r="A5126" i="47"/>
  <c r="A5127" i="47"/>
  <c r="A5128" i="47"/>
  <c r="A5129" i="47"/>
  <c r="A5130" i="47"/>
  <c r="A5131" i="47"/>
  <c r="A5132" i="47"/>
  <c r="A5133" i="47"/>
  <c r="A5134" i="47"/>
  <c r="A5135" i="47"/>
  <c r="A5136" i="47"/>
  <c r="A5137" i="47"/>
  <c r="A5138" i="47"/>
  <c r="A5139" i="47"/>
  <c r="A5140" i="47"/>
  <c r="A5141" i="47"/>
  <c r="A5142" i="47"/>
  <c r="A5143" i="47"/>
  <c r="A5144" i="47"/>
  <c r="A5145" i="47"/>
  <c r="A5146" i="47"/>
  <c r="A5147" i="47"/>
  <c r="A5148" i="47"/>
  <c r="A5149" i="47"/>
  <c r="A5150" i="47"/>
  <c r="A5151" i="47"/>
  <c r="A5152" i="47"/>
  <c r="A5153" i="47"/>
  <c r="A5154" i="47"/>
  <c r="A5155" i="47"/>
  <c r="A5156" i="47"/>
  <c r="A5157" i="47"/>
  <c r="A5158" i="47"/>
  <c r="A5159" i="47"/>
  <c r="A5160" i="47"/>
  <c r="A5161" i="47"/>
  <c r="A5162" i="47"/>
  <c r="A5163" i="47"/>
  <c r="A5164" i="47"/>
  <c r="A5165" i="47"/>
  <c r="A5166" i="47"/>
  <c r="A5167" i="47"/>
  <c r="A5168" i="47"/>
  <c r="A5169" i="47"/>
  <c r="A5170" i="47"/>
  <c r="A5171" i="47"/>
  <c r="A5172" i="47"/>
  <c r="A5173" i="47"/>
  <c r="A5174" i="47"/>
  <c r="A5175" i="47"/>
  <c r="A5176" i="47"/>
  <c r="A5177" i="47"/>
  <c r="A5178" i="47"/>
  <c r="A5179" i="47"/>
  <c r="A5180" i="47"/>
  <c r="A5181" i="47"/>
  <c r="A5182" i="47"/>
  <c r="A5183" i="47"/>
  <c r="A5184" i="47"/>
  <c r="A5185" i="47"/>
  <c r="A5186" i="47"/>
  <c r="A5187" i="47"/>
  <c r="A5188" i="47"/>
  <c r="A5189" i="47"/>
  <c r="A5190" i="47"/>
  <c r="A5191" i="47"/>
  <c r="A5192" i="47"/>
  <c r="A5193" i="47"/>
  <c r="A5194" i="47"/>
  <c r="A5195" i="47"/>
  <c r="A5196" i="47"/>
  <c r="A5197" i="47"/>
  <c r="A5198" i="47"/>
  <c r="A5199" i="47"/>
  <c r="A5200" i="47"/>
  <c r="A5201" i="47"/>
  <c r="A5202" i="47"/>
  <c r="A5203" i="47"/>
  <c r="A5204" i="47"/>
  <c r="A5205" i="47"/>
  <c r="A5206" i="47"/>
  <c r="A5207" i="47"/>
  <c r="A5208" i="47"/>
  <c r="A5209" i="47"/>
  <c r="A5210" i="47"/>
  <c r="A5211" i="47"/>
  <c r="A5212" i="47"/>
  <c r="A5213" i="47"/>
  <c r="A5214" i="47"/>
  <c r="A5215" i="47"/>
  <c r="A5216" i="47"/>
  <c r="A5217" i="47"/>
  <c r="A5218" i="47"/>
  <c r="A5219" i="47"/>
  <c r="A5220" i="47"/>
  <c r="A5221" i="47"/>
  <c r="A5222" i="47"/>
  <c r="A5223" i="47"/>
  <c r="A5224" i="47"/>
  <c r="A5225" i="47"/>
  <c r="A5226" i="47"/>
  <c r="A5227" i="47"/>
  <c r="A5228" i="47"/>
  <c r="A5229" i="47"/>
  <c r="A5230" i="47"/>
  <c r="A5231" i="47"/>
  <c r="A5232" i="47"/>
  <c r="A5233" i="47"/>
  <c r="A5234" i="47"/>
  <c r="A5235" i="47"/>
  <c r="A5040" i="47" l="1"/>
  <c r="A5041" i="47"/>
  <c r="A5042" i="47"/>
  <c r="A5043" i="47"/>
  <c r="A5044" i="47"/>
  <c r="A5045" i="47"/>
  <c r="A5046" i="47"/>
  <c r="A5047" i="47"/>
  <c r="A5048" i="47"/>
  <c r="A5049" i="47"/>
  <c r="A5050" i="47"/>
  <c r="A5051" i="47"/>
  <c r="A5052" i="47"/>
  <c r="A5053" i="47"/>
  <c r="A5054" i="47"/>
  <c r="A5055" i="47"/>
  <c r="A5056" i="47"/>
  <c r="A5057" i="47"/>
  <c r="A5058" i="47"/>
  <c r="A5059" i="47"/>
  <c r="A5060" i="47"/>
  <c r="A5061" i="47"/>
  <c r="A5062" i="47"/>
  <c r="A5063" i="47"/>
  <c r="A5064" i="47"/>
  <c r="A5065" i="47"/>
  <c r="A5066" i="47"/>
  <c r="A5067" i="47"/>
  <c r="A5068" i="47"/>
  <c r="A5069" i="47"/>
  <c r="A5070" i="47"/>
  <c r="A5071" i="47"/>
  <c r="A5072" i="47"/>
  <c r="A5073" i="47"/>
  <c r="A5074" i="47"/>
  <c r="A5075" i="47"/>
  <c r="A5076" i="47"/>
  <c r="A5077" i="47"/>
  <c r="A5078" i="47"/>
  <c r="A5079" i="47"/>
  <c r="A5080" i="47"/>
  <c r="A5081" i="47"/>
  <c r="A5082" i="47"/>
  <c r="A5083" i="47"/>
  <c r="A5084" i="47"/>
  <c r="A5085" i="47"/>
  <c r="A5086" i="47"/>
  <c r="A5087" i="47"/>
  <c r="A5088" i="47"/>
  <c r="A5089" i="47"/>
  <c r="A5090" i="47"/>
  <c r="A5091" i="47"/>
  <c r="A5092" i="47"/>
  <c r="A5093" i="47"/>
  <c r="A5094" i="47"/>
  <c r="A5095" i="47"/>
  <c r="A5096" i="47"/>
  <c r="A5097" i="47"/>
  <c r="A5098" i="47"/>
  <c r="A5099" i="47"/>
  <c r="A5100" i="47"/>
  <c r="A5101" i="47"/>
  <c r="A5102" i="47"/>
  <c r="A5103" i="47"/>
  <c r="A5104" i="47"/>
  <c r="A5105" i="47"/>
  <c r="A5106" i="47"/>
  <c r="A5107" i="47"/>
  <c r="A5108" i="47"/>
  <c r="A4966" i="47" l="1"/>
  <c r="A4967" i="47"/>
  <c r="A4968" i="47"/>
  <c r="A4969" i="47"/>
  <c r="A4970" i="47"/>
  <c r="A4971" i="47"/>
  <c r="A4972" i="47"/>
  <c r="A4973" i="47"/>
  <c r="A4974" i="47"/>
  <c r="A4975" i="47"/>
  <c r="A4976" i="47"/>
  <c r="A4977" i="47"/>
  <c r="A4978" i="47"/>
  <c r="A4979" i="47"/>
  <c r="A4980" i="47"/>
  <c r="A4981" i="47"/>
  <c r="A4982" i="47"/>
  <c r="A4983" i="47"/>
  <c r="A4984" i="47"/>
  <c r="A4985" i="47"/>
  <c r="A4986" i="47"/>
  <c r="A4987" i="47"/>
  <c r="A4988" i="47"/>
  <c r="A4989" i="47"/>
  <c r="A4990" i="47"/>
  <c r="A4991" i="47"/>
  <c r="A4992" i="47"/>
  <c r="A4993" i="47"/>
  <c r="A4994" i="47"/>
  <c r="A4995" i="47"/>
  <c r="A4996" i="47"/>
  <c r="A4997" i="47"/>
  <c r="A4998" i="47"/>
  <c r="A4999" i="47"/>
  <c r="A5000" i="47"/>
  <c r="A5001" i="47"/>
  <c r="A5002" i="47"/>
  <c r="A5003" i="47"/>
  <c r="A5004" i="47"/>
  <c r="A5005" i="47"/>
  <c r="A5006" i="47"/>
  <c r="A5007" i="47"/>
  <c r="A5008" i="47"/>
  <c r="A5009" i="47"/>
  <c r="A5010" i="47"/>
  <c r="A5011" i="47"/>
  <c r="A5012" i="47"/>
  <c r="A5013" i="47"/>
  <c r="A5014" i="47"/>
  <c r="A5015" i="47"/>
  <c r="A5016" i="47"/>
  <c r="A5017" i="47"/>
  <c r="A5018" i="47"/>
  <c r="A5019" i="47"/>
  <c r="A5020" i="47"/>
  <c r="A5021" i="47"/>
  <c r="A5022" i="47"/>
  <c r="A5023" i="47"/>
  <c r="A5024" i="47"/>
  <c r="A5025" i="47"/>
  <c r="A5026" i="47"/>
  <c r="A5027" i="47"/>
  <c r="A5028" i="47"/>
  <c r="A5029" i="47"/>
  <c r="A5030" i="47"/>
  <c r="A5031" i="47"/>
  <c r="A5032" i="47"/>
  <c r="A5033" i="47"/>
  <c r="A5034" i="47"/>
  <c r="A5035" i="47"/>
  <c r="A5036" i="47"/>
  <c r="A5037" i="47"/>
  <c r="A5038" i="47"/>
  <c r="A5039" i="47"/>
  <c r="A4908" i="47" l="1"/>
  <c r="A4909" i="47"/>
  <c r="A4910" i="47"/>
  <c r="A4911" i="47"/>
  <c r="A4912" i="47"/>
  <c r="A4913" i="47"/>
  <c r="A4914" i="47"/>
  <c r="A4915" i="47"/>
  <c r="A4916" i="47"/>
  <c r="A4917" i="47"/>
  <c r="A4918" i="47"/>
  <c r="A4919" i="47"/>
  <c r="A4920" i="47"/>
  <c r="A4921" i="47"/>
  <c r="A4922" i="47"/>
  <c r="A4923" i="47"/>
  <c r="A4924" i="47"/>
  <c r="A4925" i="47"/>
  <c r="A4926" i="47"/>
  <c r="A4927" i="47"/>
  <c r="A4928" i="47"/>
  <c r="A4929" i="47"/>
  <c r="A4930" i="47"/>
  <c r="A4931" i="47"/>
  <c r="A4932" i="47"/>
  <c r="A4933" i="47"/>
  <c r="A4934" i="47"/>
  <c r="A4935" i="47"/>
  <c r="A4936" i="47"/>
  <c r="A4937" i="47"/>
  <c r="A4938" i="47"/>
  <c r="A4939" i="47"/>
  <c r="A4940" i="47"/>
  <c r="A4941" i="47"/>
  <c r="A4942" i="47"/>
  <c r="A4943" i="47"/>
  <c r="A4944" i="47"/>
  <c r="A4945" i="47"/>
  <c r="A4946" i="47"/>
  <c r="A4947" i="47"/>
  <c r="A4948" i="47"/>
  <c r="A4949" i="47"/>
  <c r="A4950" i="47"/>
  <c r="A4951" i="47"/>
  <c r="A4952" i="47"/>
  <c r="A4953" i="47"/>
  <c r="A4954" i="47"/>
  <c r="A4955" i="47"/>
  <c r="A4956" i="47"/>
  <c r="A4957" i="47"/>
  <c r="A4958" i="47"/>
  <c r="A4959" i="47"/>
  <c r="A4960" i="47"/>
  <c r="A4961" i="47"/>
  <c r="A4962" i="47"/>
  <c r="A4963" i="47"/>
  <c r="A4964" i="47"/>
  <c r="A4965" i="47"/>
  <c r="A4876" i="47" l="1"/>
  <c r="A4877" i="47"/>
  <c r="A4878" i="47"/>
  <c r="A4879" i="47"/>
  <c r="A4880" i="47"/>
  <c r="A4881" i="47"/>
  <c r="A4882" i="47"/>
  <c r="A4883" i="47"/>
  <c r="A4884" i="47"/>
  <c r="A4885" i="47"/>
  <c r="A4886" i="47"/>
  <c r="A4887" i="47"/>
  <c r="A4888" i="47"/>
  <c r="A4889" i="47"/>
  <c r="A4890" i="47"/>
  <c r="A4891" i="47"/>
  <c r="A4892" i="47"/>
  <c r="A4893" i="47"/>
  <c r="A4894" i="47"/>
  <c r="A4895" i="47"/>
  <c r="A4896" i="47"/>
  <c r="A4897" i="47"/>
  <c r="A4898" i="47"/>
  <c r="A4899" i="47"/>
  <c r="A4900" i="47"/>
  <c r="A4901" i="47"/>
  <c r="A4902" i="47"/>
  <c r="A4903" i="47"/>
  <c r="A4904" i="47"/>
  <c r="A4905" i="47"/>
  <c r="A4906" i="47"/>
  <c r="A4907" i="47"/>
  <c r="A4833" i="47"/>
  <c r="A4834" i="47"/>
  <c r="A4835" i="47"/>
  <c r="A4836" i="47"/>
  <c r="A4837" i="47"/>
  <c r="A4838" i="47"/>
  <c r="A4839" i="47"/>
  <c r="A4840" i="47"/>
  <c r="A4841" i="47"/>
  <c r="A4842" i="47"/>
  <c r="A4843" i="47"/>
  <c r="A4844" i="47"/>
  <c r="A4845" i="47"/>
  <c r="A4846" i="47"/>
  <c r="A4847" i="47"/>
  <c r="A4848" i="47"/>
  <c r="A4849" i="47"/>
  <c r="A4850" i="47"/>
  <c r="A4851" i="47"/>
  <c r="A4852" i="47"/>
  <c r="A4853" i="47"/>
  <c r="A4854" i="47"/>
  <c r="A4855" i="47"/>
  <c r="A4856" i="47"/>
  <c r="A4857" i="47"/>
  <c r="A4858" i="47"/>
  <c r="A4859" i="47"/>
  <c r="A4860" i="47"/>
  <c r="A4861" i="47"/>
  <c r="A4862" i="47"/>
  <c r="A4863" i="47"/>
  <c r="A4864" i="47"/>
  <c r="A4865" i="47"/>
  <c r="A4866" i="47"/>
  <c r="A4867" i="47"/>
  <c r="A4868" i="47"/>
  <c r="A4869" i="47"/>
  <c r="A4870" i="47"/>
  <c r="A4871" i="47"/>
  <c r="A4872" i="47"/>
  <c r="A4873" i="47"/>
  <c r="A4874" i="47"/>
  <c r="A4875" i="47"/>
  <c r="A4780" i="47" l="1"/>
  <c r="A4781" i="47"/>
  <c r="A4782" i="47"/>
  <c r="A4783" i="47"/>
  <c r="A4784" i="47"/>
  <c r="A4785" i="47"/>
  <c r="A4786" i="47"/>
  <c r="A4787" i="47"/>
  <c r="A4788" i="47"/>
  <c r="A4789" i="47"/>
  <c r="A4790" i="47"/>
  <c r="A4791" i="47"/>
  <c r="A4792" i="47"/>
  <c r="A4793" i="47"/>
  <c r="A4794" i="47"/>
  <c r="A4795" i="47"/>
  <c r="A4796" i="47"/>
  <c r="A4797" i="47"/>
  <c r="A4798" i="47"/>
  <c r="A4799" i="47"/>
  <c r="A4800" i="47"/>
  <c r="A4801" i="47"/>
  <c r="A4802" i="47"/>
  <c r="A4803" i="47"/>
  <c r="A4804" i="47"/>
  <c r="A4805" i="47"/>
  <c r="A4806" i="47"/>
  <c r="A4807" i="47"/>
  <c r="A4808" i="47"/>
  <c r="A4809" i="47"/>
  <c r="A4810" i="47"/>
  <c r="A4811" i="47"/>
  <c r="A4812" i="47"/>
  <c r="A4813" i="47"/>
  <c r="A4814" i="47"/>
  <c r="A4815" i="47"/>
  <c r="A4816" i="47"/>
  <c r="A4817" i="47"/>
  <c r="A4818" i="47"/>
  <c r="A4819" i="47"/>
  <c r="A4820" i="47"/>
  <c r="A4821" i="47"/>
  <c r="A4822" i="47"/>
  <c r="A4823" i="47"/>
  <c r="A4824" i="47"/>
  <c r="A4825" i="47"/>
  <c r="A4826" i="47"/>
  <c r="A4827" i="47"/>
  <c r="A4828" i="47"/>
  <c r="A4829" i="47"/>
  <c r="A4830" i="47"/>
  <c r="A4831" i="47"/>
  <c r="A4832" i="47"/>
  <c r="A4726" i="47" l="1"/>
  <c r="A4727" i="47"/>
  <c r="A4728" i="47"/>
  <c r="A4729" i="47"/>
  <c r="A4730" i="47"/>
  <c r="A4731" i="47"/>
  <c r="A4732" i="47"/>
  <c r="A4733" i="47"/>
  <c r="A4734" i="47"/>
  <c r="A4735" i="47"/>
  <c r="A4736" i="47"/>
  <c r="A4737" i="47"/>
  <c r="A4738" i="47"/>
  <c r="A4739" i="47"/>
  <c r="A4740" i="47"/>
  <c r="A4741" i="47"/>
  <c r="A4742" i="47"/>
  <c r="A4743" i="47"/>
  <c r="A4744" i="47"/>
  <c r="A4745" i="47"/>
  <c r="A4746" i="47"/>
  <c r="A4747" i="47"/>
  <c r="A4748" i="47"/>
  <c r="A4749" i="47"/>
  <c r="A4750" i="47"/>
  <c r="A4751" i="47"/>
  <c r="A4752" i="47"/>
  <c r="A4753" i="47"/>
  <c r="A4754" i="47"/>
  <c r="A4755" i="47"/>
  <c r="A4756" i="47"/>
  <c r="A4757" i="47"/>
  <c r="A4758" i="47"/>
  <c r="A4759" i="47"/>
  <c r="A4760" i="47"/>
  <c r="A4761" i="47"/>
  <c r="A4762" i="47"/>
  <c r="A4763" i="47"/>
  <c r="A4764" i="47"/>
  <c r="A4765" i="47"/>
  <c r="A4766" i="47"/>
  <c r="A4767" i="47"/>
  <c r="A4768" i="47"/>
  <c r="A4769" i="47"/>
  <c r="A4770" i="47"/>
  <c r="A4771" i="47"/>
  <c r="A4772" i="47"/>
  <c r="A4773" i="47"/>
  <c r="A4774" i="47"/>
  <c r="A4775" i="47"/>
  <c r="A4776" i="47"/>
  <c r="A4777" i="47"/>
  <c r="A4778" i="47"/>
  <c r="A4779" i="47"/>
  <c r="A4654" i="47" l="1"/>
  <c r="A4655" i="47"/>
  <c r="A4656" i="47"/>
  <c r="A4657" i="47"/>
  <c r="A4658" i="47"/>
  <c r="A4659" i="47"/>
  <c r="A4660" i="47"/>
  <c r="A4661" i="47"/>
  <c r="A4662" i="47"/>
  <c r="A4663" i="47"/>
  <c r="A4664" i="47"/>
  <c r="A4665" i="47"/>
  <c r="A4666" i="47"/>
  <c r="A4667" i="47"/>
  <c r="A4668" i="47"/>
  <c r="A4669" i="47"/>
  <c r="A4670" i="47"/>
  <c r="A4671" i="47"/>
  <c r="A4672" i="47"/>
  <c r="A4673" i="47"/>
  <c r="A4674" i="47"/>
  <c r="A4675" i="47"/>
  <c r="A4676" i="47"/>
  <c r="A4677" i="47"/>
  <c r="A4678" i="47"/>
  <c r="A4679" i="47"/>
  <c r="A4680" i="47"/>
  <c r="A4681" i="47"/>
  <c r="A4682" i="47"/>
  <c r="A4683" i="47"/>
  <c r="A4684" i="47"/>
  <c r="A4685" i="47"/>
  <c r="A4686" i="47"/>
  <c r="A4687" i="47"/>
  <c r="A4688" i="47"/>
  <c r="A4689" i="47"/>
  <c r="A4690" i="47"/>
  <c r="A4691" i="47"/>
  <c r="A4692" i="47"/>
  <c r="A4693" i="47"/>
  <c r="A4694" i="47"/>
  <c r="A4695" i="47"/>
  <c r="A4696" i="47"/>
  <c r="A4697" i="47"/>
  <c r="A4698" i="47"/>
  <c r="A4699" i="47"/>
  <c r="A4700" i="47"/>
  <c r="A4701" i="47"/>
  <c r="A4702" i="47"/>
  <c r="A4703" i="47"/>
  <c r="A4704" i="47"/>
  <c r="A4705" i="47"/>
  <c r="A4706" i="47"/>
  <c r="A4707" i="47"/>
  <c r="A4708" i="47"/>
  <c r="A4709" i="47"/>
  <c r="A4710" i="47"/>
  <c r="A4711" i="47"/>
  <c r="A4712" i="47"/>
  <c r="A4713" i="47"/>
  <c r="A4714" i="47"/>
  <c r="A4715" i="47"/>
  <c r="A4716" i="47"/>
  <c r="A4717" i="47"/>
  <c r="A4718" i="47"/>
  <c r="A4719" i="47"/>
  <c r="A4720" i="47"/>
  <c r="A4721" i="47"/>
  <c r="A4722" i="47"/>
  <c r="A4723" i="47"/>
  <c r="A4724" i="47"/>
  <c r="A4725" i="47"/>
  <c r="A4501" i="47" l="1"/>
  <c r="A4502" i="47"/>
  <c r="A4503" i="47"/>
  <c r="A4504" i="47"/>
  <c r="A4505" i="47"/>
  <c r="A4506" i="47"/>
  <c r="A4507" i="47"/>
  <c r="A4508" i="47"/>
  <c r="A4509" i="47"/>
  <c r="A4510" i="47"/>
  <c r="A4511" i="47"/>
  <c r="A4512" i="47"/>
  <c r="A4513" i="47"/>
  <c r="A4514" i="47"/>
  <c r="A4515" i="47"/>
  <c r="A4516" i="47"/>
  <c r="A4517" i="47"/>
  <c r="A4518" i="47"/>
  <c r="A4519" i="47"/>
  <c r="A4520" i="47"/>
  <c r="A4521" i="47"/>
  <c r="A4522" i="47"/>
  <c r="A4523" i="47"/>
  <c r="A4524" i="47"/>
  <c r="A4525" i="47"/>
  <c r="A4526" i="47"/>
  <c r="A4527" i="47"/>
  <c r="A4528" i="47"/>
  <c r="A4529" i="47"/>
  <c r="A4440" i="47"/>
  <c r="A4441" i="47"/>
  <c r="A4442" i="47"/>
  <c r="A4443" i="47"/>
  <c r="A4444" i="47"/>
  <c r="A4445" i="47"/>
  <c r="A4446" i="47"/>
  <c r="A4447" i="47"/>
  <c r="A4448" i="47"/>
  <c r="A4449" i="47"/>
  <c r="A4450" i="47"/>
  <c r="A4451" i="47"/>
  <c r="A4452" i="47"/>
  <c r="A4453" i="47"/>
  <c r="A4454" i="47"/>
  <c r="A4455" i="47"/>
  <c r="A4456" i="47"/>
  <c r="A4457" i="47"/>
  <c r="A4458" i="47"/>
  <c r="A4459" i="47"/>
  <c r="A4460" i="47"/>
  <c r="A4461" i="47"/>
  <c r="A4462" i="47"/>
  <c r="A4463" i="47"/>
  <c r="A4464" i="47"/>
  <c r="A4465" i="47"/>
  <c r="A4466" i="47"/>
  <c r="A4467" i="47"/>
  <c r="A4468" i="47"/>
  <c r="A4469" i="47"/>
  <c r="A4470" i="47"/>
  <c r="A4471" i="47"/>
  <c r="A4472" i="47"/>
  <c r="A4473" i="47"/>
  <c r="A4474" i="47"/>
  <c r="A4475" i="47"/>
  <c r="A4476" i="47"/>
  <c r="A4477" i="47"/>
  <c r="A4478" i="47"/>
  <c r="A4479" i="47"/>
  <c r="A4480" i="47"/>
  <c r="A4481" i="47"/>
  <c r="A4482" i="47"/>
  <c r="A4483" i="47"/>
  <c r="A4484" i="47"/>
  <c r="A4485" i="47"/>
  <c r="A4486" i="47"/>
  <c r="A4487" i="47"/>
  <c r="A4488" i="47"/>
  <c r="A4489" i="47"/>
  <c r="A4365" i="47"/>
  <c r="A4366" i="47"/>
  <c r="A4367" i="47"/>
  <c r="A4368" i="47"/>
  <c r="A4369" i="47"/>
  <c r="A4370" i="47"/>
  <c r="A4371" i="47"/>
  <c r="A4372" i="47"/>
  <c r="A4373" i="47"/>
  <c r="A4374" i="47"/>
  <c r="A4375" i="47"/>
  <c r="A4376" i="47"/>
  <c r="A4377" i="47"/>
  <c r="A4378" i="47"/>
  <c r="A4379" i="47"/>
  <c r="A4380" i="47"/>
  <c r="A4381" i="47"/>
  <c r="A4382" i="47"/>
  <c r="A4383" i="47"/>
  <c r="A4384" i="47"/>
  <c r="A4385" i="47"/>
  <c r="A4386" i="47"/>
  <c r="A4387" i="47"/>
  <c r="A4388" i="47"/>
  <c r="A4389" i="47"/>
  <c r="A4390" i="47"/>
  <c r="A4391" i="47"/>
  <c r="A4392" i="47"/>
  <c r="A4393" i="47"/>
  <c r="A4394" i="47"/>
  <c r="A4395" i="47"/>
  <c r="A4396" i="47"/>
  <c r="A4397" i="47"/>
  <c r="A4398" i="47"/>
  <c r="A4399" i="47"/>
  <c r="A4400" i="47"/>
  <c r="A4401" i="47"/>
  <c r="A4402" i="47"/>
  <c r="A4403" i="47"/>
  <c r="A4404" i="47"/>
  <c r="A4405" i="47"/>
  <c r="A4406" i="47"/>
  <c r="A4407" i="47"/>
  <c r="A4408" i="47"/>
  <c r="A4409" i="47"/>
  <c r="A4410" i="47"/>
  <c r="A4411" i="47"/>
  <c r="A4412" i="47"/>
  <c r="A4413" i="47"/>
  <c r="A4414" i="47"/>
  <c r="A4415" i="47"/>
  <c r="A4416" i="47"/>
  <c r="A4417" i="47"/>
  <c r="A4418" i="47"/>
  <c r="A4419" i="47"/>
  <c r="A4420" i="47"/>
  <c r="A4421" i="47"/>
  <c r="A4422" i="47"/>
  <c r="A4423" i="47"/>
  <c r="A4424" i="47"/>
  <c r="A4425" i="47"/>
  <c r="A4426" i="47"/>
  <c r="A4427" i="47"/>
  <c r="A4428" i="47"/>
  <c r="A4429" i="47"/>
  <c r="A4430" i="47"/>
  <c r="A4431" i="47"/>
  <c r="A4432" i="47"/>
  <c r="A4433" i="47"/>
  <c r="A4434" i="47"/>
  <c r="A4435" i="47"/>
  <c r="A4436" i="47"/>
  <c r="A4437" i="47"/>
  <c r="A4438" i="47"/>
  <c r="A4439" i="47"/>
  <c r="A4347" i="47"/>
  <c r="A4348" i="47"/>
  <c r="A4349" i="47"/>
  <c r="A4350" i="47"/>
  <c r="A4351" i="47"/>
  <c r="A4352" i="47"/>
  <c r="A4353" i="47"/>
  <c r="A4354" i="47"/>
  <c r="A4355" i="47"/>
  <c r="A4356" i="47"/>
  <c r="A4357" i="47"/>
  <c r="A4358" i="47"/>
  <c r="A4359" i="47"/>
  <c r="A4360" i="47"/>
  <c r="A4361" i="47"/>
  <c r="A4362" i="47"/>
  <c r="A4363" i="47"/>
  <c r="A4364" i="47"/>
  <c r="A4305" i="47"/>
  <c r="A4306" i="47"/>
  <c r="A4307" i="47"/>
  <c r="A4308" i="47"/>
  <c r="A4309" i="47"/>
  <c r="A4310" i="47"/>
  <c r="A4311" i="47"/>
  <c r="A4312" i="47"/>
  <c r="A4313" i="47"/>
  <c r="A4314" i="47"/>
  <c r="A4315" i="47"/>
  <c r="A4316" i="47"/>
  <c r="A4317" i="47"/>
  <c r="A4318" i="47"/>
  <c r="A4319" i="47"/>
  <c r="A4320" i="47"/>
  <c r="A4321" i="47"/>
  <c r="A4322" i="47"/>
  <c r="A4323" i="47"/>
  <c r="A4324" i="47"/>
  <c r="A4325" i="47"/>
  <c r="A4326" i="47"/>
  <c r="A4327" i="47"/>
  <c r="A4328" i="47"/>
  <c r="A4329" i="47"/>
  <c r="A4330" i="47"/>
  <c r="A4331" i="47"/>
  <c r="A4332" i="47"/>
  <c r="A4333" i="47"/>
  <c r="A4334" i="47"/>
  <c r="A4335" i="47"/>
  <c r="A4336" i="47"/>
  <c r="A4337" i="47"/>
  <c r="A4338" i="47"/>
  <c r="A4339" i="47"/>
  <c r="A4340" i="47"/>
  <c r="A4341" i="47"/>
  <c r="A4342" i="47"/>
  <c r="A4343" i="47"/>
  <c r="A4344" i="47"/>
  <c r="A4345" i="47"/>
  <c r="A4346" i="47"/>
  <c r="A4634" i="47" l="1"/>
  <c r="A4635" i="47"/>
  <c r="A4636" i="47"/>
  <c r="A4637" i="47"/>
  <c r="A4638" i="47"/>
  <c r="A4639" i="47"/>
  <c r="A4640" i="47"/>
  <c r="A4641" i="47"/>
  <c r="A4530" i="47"/>
  <c r="A4531" i="47"/>
  <c r="A4532" i="47"/>
  <c r="A4533" i="47"/>
  <c r="A4534" i="47"/>
  <c r="A4535" i="47"/>
  <c r="A4536" i="47"/>
  <c r="A4537" i="47"/>
  <c r="A4538" i="47"/>
  <c r="A4539" i="47"/>
  <c r="A4540" i="47"/>
  <c r="A4541" i="47"/>
  <c r="A4542" i="47"/>
  <c r="A4543" i="47"/>
  <c r="A4544" i="47"/>
  <c r="A4545" i="47"/>
  <c r="A4546" i="47"/>
  <c r="A4547" i="47"/>
  <c r="A4548" i="47"/>
  <c r="A4549" i="47"/>
  <c r="A4550" i="47"/>
  <c r="A4551" i="47"/>
  <c r="A4552" i="47"/>
  <c r="A4553" i="47"/>
  <c r="A4554" i="47"/>
  <c r="A4555" i="47"/>
  <c r="A4556" i="47"/>
  <c r="A4557" i="47"/>
  <c r="A4558" i="47"/>
  <c r="A4559" i="47"/>
  <c r="A4560" i="47"/>
  <c r="A4561" i="47"/>
  <c r="A4562" i="47"/>
  <c r="A4563" i="47"/>
  <c r="A4564" i="47"/>
  <c r="A4565" i="47"/>
  <c r="A4566" i="47"/>
  <c r="A4567" i="47"/>
  <c r="A4568" i="47"/>
  <c r="A4569" i="47"/>
  <c r="A4570" i="47"/>
  <c r="A4571" i="47"/>
  <c r="A4572" i="47"/>
  <c r="A4573" i="47"/>
  <c r="A4574" i="47"/>
  <c r="A4575" i="47"/>
  <c r="A4576" i="47"/>
  <c r="A4577" i="47"/>
  <c r="A4578" i="47"/>
  <c r="A4579" i="47"/>
  <c r="A4580" i="47"/>
  <c r="A4581" i="47"/>
  <c r="A4582" i="47"/>
  <c r="A4583" i="47"/>
  <c r="A4584" i="47"/>
  <c r="A4585" i="47"/>
  <c r="A4490" i="47"/>
  <c r="A4491" i="47"/>
  <c r="A4492" i="47"/>
  <c r="A4493" i="47"/>
  <c r="A4494" i="47"/>
  <c r="A4495" i="47"/>
  <c r="A4496" i="47"/>
  <c r="A4497" i="47"/>
  <c r="A4498" i="47"/>
  <c r="A4499" i="47"/>
  <c r="A4500" i="47"/>
  <c r="A4642" i="47" l="1"/>
  <c r="A4643" i="47"/>
  <c r="A4644" i="47"/>
  <c r="A4645" i="47"/>
  <c r="A4646" i="47"/>
  <c r="A4647" i="47"/>
  <c r="A4648" i="47"/>
  <c r="A4649" i="47"/>
  <c r="A4650" i="47"/>
  <c r="A4651" i="47"/>
  <c r="A4652" i="47"/>
  <c r="A4653" i="47"/>
  <c r="A4586" i="47"/>
  <c r="A4587" i="47"/>
  <c r="A4588" i="47"/>
  <c r="A4589" i="47"/>
  <c r="A4590" i="47"/>
  <c r="A4591" i="47"/>
  <c r="A4592" i="47"/>
  <c r="A4593" i="47"/>
  <c r="A4594" i="47"/>
  <c r="A4595" i="47"/>
  <c r="A4596" i="47"/>
  <c r="A4597" i="47"/>
  <c r="A4598" i="47"/>
  <c r="A4599" i="47"/>
  <c r="A4600" i="47"/>
  <c r="A4601" i="47"/>
  <c r="A4602" i="47"/>
  <c r="A4603" i="47"/>
  <c r="A4604" i="47"/>
  <c r="A4605" i="47"/>
  <c r="A4606" i="47"/>
  <c r="A4607" i="47"/>
  <c r="A4608" i="47"/>
  <c r="A4609" i="47"/>
  <c r="A4610" i="47"/>
  <c r="A4611" i="47"/>
  <c r="A4612" i="47"/>
  <c r="A4613" i="47"/>
  <c r="A4614" i="47"/>
  <c r="A4615" i="47"/>
  <c r="A4616" i="47"/>
  <c r="A4617" i="47"/>
  <c r="A4618" i="47"/>
  <c r="A4619" i="47"/>
  <c r="A4620" i="47"/>
  <c r="A4621" i="47"/>
  <c r="A4622" i="47"/>
  <c r="A4623" i="47"/>
  <c r="A4624" i="47"/>
  <c r="A4625" i="47"/>
  <c r="A4626" i="47"/>
  <c r="A4627" i="47"/>
  <c r="A4628" i="47"/>
  <c r="A4629" i="47"/>
  <c r="A4630" i="47"/>
  <c r="A4631" i="47"/>
  <c r="A4632" i="47"/>
  <c r="A4633" i="47"/>
  <c r="A4202" i="47" l="1"/>
  <c r="A4203" i="47"/>
  <c r="A4204" i="47"/>
  <c r="A4205" i="47"/>
  <c r="A4206" i="47"/>
  <c r="A4207" i="47"/>
  <c r="A4208" i="47"/>
  <c r="A4209" i="47"/>
  <c r="A4210" i="47"/>
  <c r="A4211" i="47"/>
  <c r="A4212" i="47"/>
  <c r="A4213" i="47"/>
  <c r="A4214" i="47"/>
  <c r="A4215" i="47"/>
  <c r="A4216" i="47"/>
  <c r="A4217" i="47"/>
  <c r="A4218" i="47"/>
  <c r="A4219" i="47"/>
  <c r="A4220" i="47"/>
  <c r="A4221" i="47"/>
  <c r="A4222" i="47"/>
  <c r="A4223" i="47"/>
  <c r="A4224" i="47"/>
  <c r="A4225" i="47"/>
  <c r="A4226" i="47"/>
  <c r="A4227" i="47"/>
  <c r="A4228" i="47"/>
  <c r="A4229" i="47"/>
  <c r="A4230" i="47"/>
  <c r="A4231" i="47"/>
  <c r="A4232" i="47"/>
  <c r="A4233" i="47"/>
  <c r="A4234" i="47"/>
  <c r="A4235" i="47"/>
  <c r="A4236" i="47"/>
  <c r="A4237" i="47"/>
  <c r="A4238" i="47"/>
  <c r="A4239" i="47"/>
  <c r="A4240" i="47"/>
  <c r="A4241" i="47"/>
  <c r="A4242" i="47"/>
  <c r="A4243" i="47"/>
  <c r="A4244" i="47"/>
  <c r="A4245" i="47"/>
  <c r="A4246" i="47"/>
  <c r="A4247" i="47"/>
  <c r="A4248" i="47"/>
  <c r="A4249" i="47"/>
  <c r="A4250" i="47"/>
  <c r="A4251" i="47"/>
  <c r="A4252" i="47"/>
  <c r="A4253" i="47"/>
  <c r="A4254" i="47"/>
  <c r="A4255" i="47"/>
  <c r="A4256" i="47"/>
  <c r="A4257" i="47"/>
  <c r="A4258" i="47"/>
  <c r="A4259" i="47"/>
  <c r="A4260" i="47"/>
  <c r="A4261" i="47"/>
  <c r="A4262" i="47"/>
  <c r="A4263" i="47"/>
  <c r="A4264" i="47"/>
  <c r="A4265" i="47"/>
  <c r="A4266" i="47"/>
  <c r="A4267" i="47"/>
  <c r="A4268" i="47"/>
  <c r="A4269" i="47"/>
  <c r="A4270" i="47"/>
  <c r="A4271" i="47"/>
  <c r="A4272" i="47"/>
  <c r="A4273" i="47"/>
  <c r="A4274" i="47"/>
  <c r="A4275" i="47"/>
  <c r="A4276" i="47"/>
  <c r="A4277" i="47"/>
  <c r="A4278" i="47"/>
  <c r="A4279" i="47"/>
  <c r="A4280" i="47"/>
  <c r="A4281" i="47"/>
  <c r="A4282" i="47"/>
  <c r="A4283" i="47"/>
  <c r="A4284" i="47"/>
  <c r="A4285" i="47"/>
  <c r="A4286" i="47"/>
  <c r="A4287" i="47"/>
  <c r="A4288" i="47"/>
  <c r="A4289" i="47"/>
  <c r="A4290" i="47"/>
  <c r="A4291" i="47"/>
  <c r="A4292" i="47"/>
  <c r="A4293" i="47"/>
  <c r="A4294" i="47"/>
  <c r="A4295" i="47"/>
  <c r="A4296" i="47"/>
  <c r="A4297" i="47"/>
  <c r="A4298" i="47"/>
  <c r="A4299" i="47"/>
  <c r="A4300" i="47"/>
  <c r="A4301" i="47"/>
  <c r="A4302" i="47"/>
  <c r="A4303" i="47"/>
  <c r="A4304" i="47"/>
  <c r="A4160" i="47" l="1"/>
  <c r="A4161" i="47"/>
  <c r="A4162" i="47"/>
  <c r="A4163" i="47"/>
  <c r="A4164" i="47"/>
  <c r="A4165" i="47"/>
  <c r="A4166" i="47"/>
  <c r="A4167" i="47"/>
  <c r="A4168" i="47"/>
  <c r="A4169" i="47"/>
  <c r="A4170" i="47"/>
  <c r="A4171" i="47"/>
  <c r="A4172" i="47"/>
  <c r="A4173" i="47"/>
  <c r="A4174" i="47"/>
  <c r="A4175" i="47"/>
  <c r="A4176" i="47"/>
  <c r="A4177" i="47"/>
  <c r="A4178" i="47"/>
  <c r="A4179" i="47"/>
  <c r="A4180" i="47"/>
  <c r="A4181" i="47"/>
  <c r="A4182" i="47"/>
  <c r="A4183" i="47"/>
  <c r="A4184" i="47"/>
  <c r="A4185" i="47"/>
  <c r="A4186" i="47"/>
  <c r="A4187" i="47"/>
  <c r="A4188" i="47"/>
  <c r="A4189" i="47"/>
  <c r="A4190" i="47"/>
  <c r="A4191" i="47"/>
  <c r="A4192" i="47"/>
  <c r="A4193" i="47"/>
  <c r="A4194" i="47"/>
  <c r="A4195" i="47"/>
  <c r="A4196" i="47"/>
  <c r="A4197" i="47"/>
  <c r="A4198" i="47"/>
  <c r="A4199" i="47"/>
  <c r="A4200" i="47"/>
  <c r="A4201" i="47"/>
  <c r="A4089" i="47" l="1"/>
  <c r="A4090" i="47"/>
  <c r="A4091" i="47"/>
  <c r="A4092" i="47"/>
  <c r="A4093" i="47"/>
  <c r="A4094" i="47"/>
  <c r="A4095" i="47"/>
  <c r="A4096" i="47"/>
  <c r="A4097" i="47"/>
  <c r="A4098" i="47"/>
  <c r="A4099" i="47"/>
  <c r="A4100" i="47"/>
  <c r="A4053" i="47"/>
  <c r="A4054" i="47"/>
  <c r="A4055" i="47"/>
  <c r="A4056" i="47"/>
  <c r="A4057" i="47"/>
  <c r="A4058" i="47"/>
  <c r="A4059" i="47"/>
  <c r="A4060" i="47"/>
  <c r="A4061" i="47"/>
  <c r="A4062" i="47"/>
  <c r="A4063" i="47"/>
  <c r="A4064" i="47"/>
  <c r="A4065" i="47"/>
  <c r="A4066" i="47"/>
  <c r="A4067" i="47"/>
  <c r="A4068" i="47"/>
  <c r="A4069" i="47"/>
  <c r="A4070" i="47"/>
  <c r="A4071" i="47"/>
  <c r="A4072" i="47"/>
  <c r="A4073" i="47"/>
  <c r="A4074" i="47"/>
  <c r="A4075" i="47"/>
  <c r="A4076" i="47"/>
  <c r="A4077" i="47"/>
  <c r="A4078" i="47"/>
  <c r="A4079" i="47"/>
  <c r="A4080" i="47"/>
  <c r="A4081" i="47"/>
  <c r="A4082" i="47"/>
  <c r="A4083" i="47"/>
  <c r="A4084" i="47"/>
  <c r="A4085" i="47"/>
  <c r="A4086" i="47"/>
  <c r="A4087" i="47"/>
  <c r="A4088" i="47"/>
  <c r="A4101" i="47"/>
  <c r="A4102" i="47"/>
  <c r="A4103" i="47"/>
  <c r="A4104" i="47"/>
  <c r="A4105" i="47"/>
  <c r="A4106" i="47"/>
  <c r="A4107" i="47"/>
  <c r="A4108" i="47"/>
  <c r="A4109" i="47"/>
  <c r="A4110" i="47"/>
  <c r="A4111" i="47"/>
  <c r="A4112" i="47"/>
  <c r="A4113" i="47"/>
  <c r="A4114" i="47"/>
  <c r="A4115" i="47"/>
  <c r="A4116" i="47"/>
  <c r="A4117" i="47"/>
  <c r="A4118" i="47"/>
  <c r="A4119" i="47"/>
  <c r="A4120" i="47"/>
  <c r="A4121" i="47"/>
  <c r="A4122" i="47"/>
  <c r="A4123" i="47"/>
  <c r="A4124" i="47"/>
  <c r="A4125" i="47"/>
  <c r="A4126" i="47"/>
  <c r="A4127" i="47"/>
  <c r="A4128" i="47"/>
  <c r="A4129" i="47"/>
  <c r="A4130" i="47"/>
  <c r="A4131" i="47"/>
  <c r="A4132" i="47"/>
  <c r="A4133" i="47"/>
  <c r="A4134" i="47"/>
  <c r="A4135" i="47"/>
  <c r="A4136" i="47"/>
  <c r="A4137" i="47"/>
  <c r="A4138" i="47"/>
  <c r="A4139" i="47"/>
  <c r="A4140" i="47"/>
  <c r="A4141" i="47"/>
  <c r="A4142" i="47"/>
  <c r="A4143" i="47"/>
  <c r="A4144" i="47"/>
  <c r="A4145" i="47"/>
  <c r="A4146" i="47"/>
  <c r="A4147" i="47"/>
  <c r="A4148" i="47"/>
  <c r="A4149" i="47"/>
  <c r="A4150" i="47"/>
  <c r="A4151" i="47"/>
  <c r="A4152" i="47"/>
  <c r="A4153" i="47"/>
  <c r="A4154" i="47"/>
  <c r="A4155" i="47"/>
  <c r="A4156" i="47"/>
  <c r="A4157" i="47"/>
  <c r="A4158" i="47"/>
  <c r="A4159" i="47"/>
  <c r="A3999" i="47" l="1"/>
  <c r="A4000" i="47"/>
  <c r="A4001" i="47"/>
  <c r="A4002" i="47"/>
  <c r="A4003" i="47"/>
  <c r="A4004" i="47"/>
  <c r="A4005" i="47"/>
  <c r="A4006" i="47"/>
  <c r="A4007" i="47"/>
  <c r="A4008" i="47"/>
  <c r="A4009" i="47"/>
  <c r="A4010" i="47"/>
  <c r="A4011" i="47"/>
  <c r="A4012" i="47"/>
  <c r="A4013" i="47"/>
  <c r="A4014" i="47"/>
  <c r="A4015" i="47"/>
  <c r="A4016" i="47"/>
  <c r="A4017" i="47"/>
  <c r="A4018" i="47"/>
  <c r="A4019" i="47"/>
  <c r="A4020" i="47"/>
  <c r="A4021" i="47"/>
  <c r="A4022" i="47"/>
  <c r="A4023" i="47"/>
  <c r="A4024" i="47"/>
  <c r="A4025" i="47"/>
  <c r="A4026" i="47"/>
  <c r="A4027" i="47"/>
  <c r="A4028" i="47"/>
  <c r="A4029" i="47"/>
  <c r="A4030" i="47"/>
  <c r="A4031" i="47"/>
  <c r="A4032" i="47"/>
  <c r="A4033" i="47"/>
  <c r="A4034" i="47"/>
  <c r="A4035" i="47"/>
  <c r="A4036" i="47"/>
  <c r="A4037" i="47"/>
  <c r="A4038" i="47"/>
  <c r="A4039" i="47"/>
  <c r="A4040" i="47"/>
  <c r="A4041" i="47"/>
  <c r="A4042" i="47"/>
  <c r="A4043" i="47"/>
  <c r="A4044" i="47"/>
  <c r="A4045" i="47"/>
  <c r="A4046" i="47"/>
  <c r="A4047" i="47"/>
  <c r="A4048" i="47"/>
  <c r="A4049" i="47"/>
  <c r="A4050" i="47"/>
  <c r="A4051" i="47"/>
  <c r="A4052" i="47"/>
  <c r="A3956" i="47" l="1"/>
  <c r="A3957" i="47"/>
  <c r="A3958" i="47"/>
  <c r="A3959" i="47"/>
  <c r="A3960" i="47"/>
  <c r="A3961" i="47"/>
  <c r="A3962" i="47"/>
  <c r="A3963" i="47"/>
  <c r="A3964" i="47"/>
  <c r="A3965" i="47"/>
  <c r="A3966" i="47"/>
  <c r="A3967" i="47"/>
  <c r="A3968" i="47"/>
  <c r="A3969" i="47"/>
  <c r="A3970" i="47"/>
  <c r="A3971" i="47"/>
  <c r="A3972" i="47"/>
  <c r="A3973" i="47"/>
  <c r="A3974" i="47"/>
  <c r="A3975" i="47"/>
  <c r="A3976" i="47"/>
  <c r="A3977" i="47"/>
  <c r="A3978" i="47"/>
  <c r="A3979" i="47"/>
  <c r="A3980" i="47"/>
  <c r="A3981" i="47"/>
  <c r="A3982" i="47"/>
  <c r="A3983" i="47"/>
  <c r="A3984" i="47"/>
  <c r="A3985" i="47"/>
  <c r="A3986" i="47"/>
  <c r="A3987" i="47"/>
  <c r="A3988" i="47"/>
  <c r="A3989" i="47"/>
  <c r="A3990" i="47"/>
  <c r="A3991" i="47"/>
  <c r="A3992" i="47"/>
  <c r="A3993" i="47"/>
  <c r="A3994" i="47"/>
  <c r="A3995" i="47"/>
  <c r="A3996" i="47"/>
  <c r="A3997" i="47"/>
  <c r="A3998" i="47"/>
  <c r="A3912" i="47" l="1"/>
  <c r="A3913" i="47"/>
  <c r="A3914" i="47"/>
  <c r="A3915" i="47"/>
  <c r="A3916" i="47"/>
  <c r="A3917" i="47"/>
  <c r="A3918" i="47"/>
  <c r="A3919" i="47"/>
  <c r="A3920" i="47"/>
  <c r="A3921" i="47"/>
  <c r="A3922" i="47"/>
  <c r="A3923" i="47"/>
  <c r="A3924" i="47"/>
  <c r="A3925" i="47"/>
  <c r="A3926" i="47"/>
  <c r="A3927" i="47"/>
  <c r="A3928" i="47"/>
  <c r="A3929" i="47"/>
  <c r="A3930" i="47"/>
  <c r="A3931" i="47"/>
  <c r="A3932" i="47"/>
  <c r="A3933" i="47"/>
  <c r="A3934" i="47"/>
  <c r="A3935" i="47"/>
  <c r="A3936" i="47"/>
  <c r="A3937" i="47"/>
  <c r="A3938" i="47"/>
  <c r="A3939" i="47"/>
  <c r="A3940" i="47"/>
  <c r="A3941" i="47"/>
  <c r="A3942" i="47"/>
  <c r="A3943" i="47"/>
  <c r="A3944" i="47"/>
  <c r="A3945" i="47"/>
  <c r="A3946" i="47"/>
  <c r="A3947" i="47"/>
  <c r="A3948" i="47"/>
  <c r="A3949" i="47"/>
  <c r="A3950" i="47"/>
  <c r="A3951" i="47"/>
  <c r="A3952" i="47"/>
  <c r="A3953" i="47"/>
  <c r="A3954" i="47"/>
  <c r="A3955" i="47"/>
  <c r="A3859" i="47" l="1"/>
  <c r="A3860" i="47"/>
  <c r="A3861" i="47"/>
  <c r="A3862" i="47"/>
  <c r="A3863" i="47"/>
  <c r="A3864" i="47"/>
  <c r="A3865" i="47"/>
  <c r="A3866" i="47"/>
  <c r="A3867" i="47"/>
  <c r="A3868" i="47"/>
  <c r="A3869" i="47"/>
  <c r="A3870" i="47"/>
  <c r="A3871" i="47"/>
  <c r="A3872" i="47"/>
  <c r="A3873" i="47"/>
  <c r="A3874" i="47"/>
  <c r="A3875" i="47"/>
  <c r="A3876" i="47"/>
  <c r="A3877" i="47"/>
  <c r="A3878" i="47"/>
  <c r="A3879" i="47"/>
  <c r="A3880" i="47"/>
  <c r="A3881" i="47"/>
  <c r="A3882" i="47"/>
  <c r="A3883" i="47"/>
  <c r="A3884" i="47"/>
  <c r="A3885" i="47"/>
  <c r="A3886" i="47"/>
  <c r="A3887" i="47"/>
  <c r="A3888" i="47"/>
  <c r="A3889" i="47"/>
  <c r="A3890" i="47"/>
  <c r="A3891" i="47"/>
  <c r="A3892" i="47"/>
  <c r="A3893" i="47"/>
  <c r="A3894" i="47"/>
  <c r="A3895" i="47"/>
  <c r="A3896" i="47"/>
  <c r="A3897" i="47"/>
  <c r="A3898" i="47"/>
  <c r="A3899" i="47"/>
  <c r="A3900" i="47"/>
  <c r="A3901" i="47"/>
  <c r="A3902" i="47"/>
  <c r="A3903" i="47"/>
  <c r="A3904" i="47"/>
  <c r="A3905" i="47"/>
  <c r="A3906" i="47"/>
  <c r="A3907" i="47"/>
  <c r="A3908" i="47"/>
  <c r="A3909" i="47"/>
  <c r="A3910" i="47"/>
  <c r="A3911" i="47"/>
  <c r="A3839" i="47" l="1"/>
  <c r="A3840" i="47"/>
  <c r="A3841" i="47"/>
  <c r="A3842" i="47"/>
  <c r="A3843" i="47"/>
  <c r="A3844" i="47"/>
  <c r="A3845" i="47"/>
  <c r="A3846" i="47"/>
  <c r="A3847" i="47"/>
  <c r="A3848" i="47"/>
  <c r="A3849" i="47"/>
  <c r="A3850" i="47"/>
  <c r="A3851" i="47"/>
  <c r="A3852" i="47"/>
  <c r="A3853" i="47"/>
  <c r="A3854" i="47"/>
  <c r="A3855" i="47"/>
  <c r="A3856" i="47"/>
  <c r="A3857" i="47"/>
  <c r="A3858" i="47"/>
  <c r="A3780" i="47"/>
  <c r="A3781" i="47"/>
  <c r="A3782" i="47"/>
  <c r="A3783" i="47"/>
  <c r="A3784" i="47"/>
  <c r="A3785" i="47"/>
  <c r="A3786" i="47"/>
  <c r="A3787" i="47"/>
  <c r="A3788" i="47"/>
  <c r="A3789" i="47"/>
  <c r="A3790" i="47"/>
  <c r="A3791" i="47"/>
  <c r="A3792" i="47"/>
  <c r="A3793" i="47"/>
  <c r="A3794" i="47"/>
  <c r="A3795" i="47"/>
  <c r="A3796" i="47"/>
  <c r="A3797" i="47"/>
  <c r="A3798" i="47"/>
  <c r="A3799" i="47"/>
  <c r="A3800" i="47"/>
  <c r="A3801" i="47"/>
  <c r="A3802" i="47"/>
  <c r="A3803" i="47"/>
  <c r="A3804" i="47"/>
  <c r="A3805" i="47"/>
  <c r="A3806" i="47"/>
  <c r="A3807" i="47"/>
  <c r="A3808" i="47"/>
  <c r="A3809" i="47"/>
  <c r="A3810" i="47"/>
  <c r="A3811" i="47"/>
  <c r="A3812" i="47"/>
  <c r="A3813" i="47"/>
  <c r="A3814" i="47"/>
  <c r="A3815" i="47"/>
  <c r="A3816" i="47"/>
  <c r="A3817" i="47"/>
  <c r="A3818" i="47"/>
  <c r="A3819" i="47"/>
  <c r="A3820" i="47"/>
  <c r="A3821" i="47"/>
  <c r="A3822" i="47"/>
  <c r="A3823" i="47"/>
  <c r="A3824" i="47"/>
  <c r="A3825" i="47"/>
  <c r="A3826" i="47"/>
  <c r="A3827" i="47"/>
  <c r="A3828" i="47"/>
  <c r="A3829" i="47"/>
  <c r="A3830" i="47"/>
  <c r="A3831" i="47"/>
  <c r="A3832" i="47"/>
  <c r="A3833" i="47"/>
  <c r="A3834" i="47"/>
  <c r="A3835" i="47"/>
  <c r="A3836" i="47"/>
  <c r="A3837" i="47"/>
  <c r="A3838" i="47"/>
  <c r="A3740" i="47" l="1"/>
  <c r="A3741" i="47"/>
  <c r="A3742" i="47"/>
  <c r="A3743" i="47"/>
  <c r="A3744" i="47"/>
  <c r="A3745" i="47"/>
  <c r="A3746" i="47"/>
  <c r="A3747" i="47"/>
  <c r="A3748" i="47"/>
  <c r="A3749" i="47"/>
  <c r="A3750" i="47"/>
  <c r="A3751" i="47"/>
  <c r="A3752" i="47"/>
  <c r="A3753" i="47"/>
  <c r="A3754" i="47"/>
  <c r="A3755" i="47"/>
  <c r="A3756" i="47"/>
  <c r="A3757" i="47"/>
  <c r="A3758" i="47"/>
  <c r="A3759" i="47"/>
  <c r="A3760" i="47"/>
  <c r="A3761" i="47"/>
  <c r="A3762" i="47"/>
  <c r="A3763" i="47"/>
  <c r="A3764" i="47"/>
  <c r="A3765" i="47"/>
  <c r="A3766" i="47"/>
  <c r="A3767" i="47"/>
  <c r="A3768" i="47"/>
  <c r="A3769" i="47"/>
  <c r="A3770" i="47"/>
  <c r="A3771" i="47"/>
  <c r="A3772" i="47"/>
  <c r="A3773" i="47"/>
  <c r="A3774" i="47"/>
  <c r="A3775" i="47"/>
  <c r="A3776" i="47"/>
  <c r="A3777" i="47"/>
  <c r="A3778" i="47"/>
  <c r="A3779" i="47"/>
  <c r="A3695" i="47" l="1"/>
  <c r="A3696" i="47"/>
  <c r="A3697" i="47"/>
  <c r="A3698" i="47"/>
  <c r="A3699" i="47"/>
  <c r="A3700" i="47"/>
  <c r="A3701" i="47"/>
  <c r="A3702" i="47"/>
  <c r="A3703" i="47"/>
  <c r="A3704" i="47"/>
  <c r="A3705" i="47"/>
  <c r="A3706" i="47"/>
  <c r="A3707" i="47"/>
  <c r="A3708" i="47"/>
  <c r="A3709" i="47"/>
  <c r="A3710" i="47"/>
  <c r="A3711" i="47"/>
  <c r="A3712" i="47"/>
  <c r="A3713" i="47"/>
  <c r="A3714" i="47"/>
  <c r="A3715" i="47"/>
  <c r="A3716" i="47"/>
  <c r="A3717" i="47"/>
  <c r="A3718" i="47"/>
  <c r="A3719" i="47"/>
  <c r="A3720" i="47"/>
  <c r="A3721" i="47"/>
  <c r="A3722" i="47"/>
  <c r="A3723" i="47"/>
  <c r="A3724" i="47"/>
  <c r="A3725" i="47"/>
  <c r="A3726" i="47"/>
  <c r="A3727" i="47"/>
  <c r="A3728" i="47"/>
  <c r="A3729" i="47"/>
  <c r="A3730" i="47"/>
  <c r="A3731" i="47"/>
  <c r="A3732" i="47"/>
  <c r="A3733" i="47"/>
  <c r="A3734" i="47"/>
  <c r="A3735" i="47"/>
  <c r="A3736" i="47"/>
  <c r="A3737" i="47"/>
  <c r="A3738" i="47"/>
  <c r="A3739" i="47"/>
  <c r="A3643" i="47" l="1"/>
  <c r="A3644" i="47"/>
  <c r="A3645" i="47"/>
  <c r="A3646" i="47"/>
  <c r="A3647" i="47"/>
  <c r="A3648" i="47"/>
  <c r="A3649" i="47"/>
  <c r="A3650" i="47"/>
  <c r="A3651" i="47"/>
  <c r="A3652" i="47"/>
  <c r="A3653" i="47"/>
  <c r="A3654" i="47"/>
  <c r="A3655" i="47"/>
  <c r="A3656" i="47"/>
  <c r="A3657" i="47"/>
  <c r="A3658" i="47"/>
  <c r="A3659" i="47"/>
  <c r="A3660" i="47"/>
  <c r="A3661" i="47"/>
  <c r="A3662" i="47"/>
  <c r="A3663" i="47"/>
  <c r="A3664" i="47"/>
  <c r="A3665" i="47"/>
  <c r="A3666" i="47"/>
  <c r="A3667" i="47"/>
  <c r="A3668" i="47"/>
  <c r="A3669" i="47"/>
  <c r="A3670" i="47"/>
  <c r="A3671" i="47"/>
  <c r="A3672" i="47"/>
  <c r="A3673" i="47"/>
  <c r="A3674" i="47"/>
  <c r="A3675" i="47"/>
  <c r="A3676" i="47"/>
  <c r="A3677" i="47"/>
  <c r="A3678" i="47"/>
  <c r="A3679" i="47"/>
  <c r="A3680" i="47"/>
  <c r="A3681" i="47"/>
  <c r="A3682" i="47"/>
  <c r="A3683" i="47"/>
  <c r="A3684" i="47"/>
  <c r="A3685" i="47"/>
  <c r="A3686" i="47"/>
  <c r="A3687" i="47"/>
  <c r="A3688" i="47"/>
  <c r="A3689" i="47"/>
  <c r="A3690" i="47"/>
  <c r="A3691" i="47"/>
  <c r="A3692" i="47"/>
  <c r="A3693" i="47"/>
  <c r="A3694" i="47"/>
  <c r="A3583" i="47" l="1"/>
  <c r="A3584" i="47"/>
  <c r="A3585" i="47"/>
  <c r="A3586" i="47"/>
  <c r="A3587" i="47"/>
  <c r="A3588" i="47"/>
  <c r="A3589" i="47"/>
  <c r="A3590" i="47"/>
  <c r="A3591" i="47"/>
  <c r="A3592" i="47"/>
  <c r="A3593" i="47"/>
  <c r="A3594" i="47"/>
  <c r="A3595" i="47"/>
  <c r="A3596" i="47"/>
  <c r="A3597" i="47"/>
  <c r="A3598" i="47"/>
  <c r="A3599" i="47"/>
  <c r="A3600" i="47"/>
  <c r="A3601" i="47"/>
  <c r="A3602" i="47"/>
  <c r="A3603" i="47"/>
  <c r="A3604" i="47"/>
  <c r="A3605" i="47"/>
  <c r="A3606" i="47"/>
  <c r="A3607" i="47"/>
  <c r="A3608" i="47"/>
  <c r="A3609" i="47"/>
  <c r="A3610" i="47"/>
  <c r="A3611" i="47"/>
  <c r="A3612" i="47"/>
  <c r="A3613" i="47"/>
  <c r="A3614" i="47"/>
  <c r="A3615" i="47"/>
  <c r="A3616" i="47"/>
  <c r="A3617" i="47"/>
  <c r="A3618" i="47"/>
  <c r="A3619" i="47"/>
  <c r="A3620" i="47"/>
  <c r="A3621" i="47"/>
  <c r="A3622" i="47"/>
  <c r="A3623" i="47"/>
  <c r="A3624" i="47"/>
  <c r="A3625" i="47"/>
  <c r="A3626" i="47"/>
  <c r="A3627" i="47"/>
  <c r="A3628" i="47"/>
  <c r="A3629" i="47"/>
  <c r="A3630" i="47"/>
  <c r="A3631" i="47"/>
  <c r="A3632" i="47"/>
  <c r="A3633" i="47"/>
  <c r="A3634" i="47"/>
  <c r="A3635" i="47"/>
  <c r="A3636" i="47"/>
  <c r="A3637" i="47"/>
  <c r="A3638" i="47"/>
  <c r="A3639" i="47"/>
  <c r="A3640" i="47"/>
  <c r="A3641" i="47"/>
  <c r="A3642" i="47"/>
  <c r="A3566" i="47" l="1"/>
  <c r="A3567" i="47"/>
  <c r="A3568" i="47"/>
  <c r="A3569" i="47"/>
  <c r="A3570" i="47"/>
  <c r="A3571" i="47"/>
  <c r="A3572" i="47"/>
  <c r="A3573" i="47"/>
  <c r="A3574" i="47"/>
  <c r="A3575" i="47"/>
  <c r="A3576" i="47"/>
  <c r="A3577" i="47"/>
  <c r="A3578" i="47"/>
  <c r="A3579" i="47"/>
  <c r="A3580" i="47"/>
  <c r="A3581" i="47"/>
  <c r="A3582" i="47"/>
  <c r="A3529" i="47"/>
  <c r="A3530" i="47"/>
  <c r="A3531" i="47"/>
  <c r="A3532" i="47"/>
  <c r="A3533" i="47"/>
  <c r="A3534" i="47"/>
  <c r="A3535" i="47"/>
  <c r="A3536" i="47"/>
  <c r="A3537" i="47"/>
  <c r="A3538" i="47"/>
  <c r="A3539" i="47"/>
  <c r="A3540" i="47"/>
  <c r="A3541" i="47"/>
  <c r="A3542" i="47"/>
  <c r="A3543" i="47"/>
  <c r="A3544" i="47"/>
  <c r="A3545" i="47"/>
  <c r="A3546" i="47"/>
  <c r="A3547" i="47"/>
  <c r="A3548" i="47"/>
  <c r="A3549" i="47"/>
  <c r="A3550" i="47"/>
  <c r="A3551" i="47"/>
  <c r="A3552" i="47"/>
  <c r="A3553" i="47"/>
  <c r="A3554" i="47"/>
  <c r="A3555" i="47"/>
  <c r="A3556" i="47"/>
  <c r="A3557" i="47"/>
  <c r="A3558" i="47"/>
  <c r="A3559" i="47"/>
  <c r="A3560" i="47"/>
  <c r="A3561" i="47"/>
  <c r="A3562" i="47"/>
  <c r="A3563" i="47"/>
  <c r="A3564" i="47"/>
  <c r="A3565" i="47"/>
  <c r="A3487" i="47" l="1"/>
  <c r="A3488" i="47"/>
  <c r="A3489" i="47"/>
  <c r="A3490" i="47"/>
  <c r="A3491" i="47"/>
  <c r="A3492" i="47"/>
  <c r="A3493" i="47"/>
  <c r="A3494" i="47"/>
  <c r="A3495" i="47"/>
  <c r="A3496" i="47"/>
  <c r="A3497" i="47"/>
  <c r="A3498" i="47"/>
  <c r="A3499" i="47"/>
  <c r="A3500" i="47"/>
  <c r="A3501" i="47"/>
  <c r="A3502" i="47"/>
  <c r="A3503" i="47"/>
  <c r="A3504" i="47"/>
  <c r="A3505" i="47"/>
  <c r="A3506" i="47"/>
  <c r="A3507" i="47"/>
  <c r="A3508" i="47"/>
  <c r="A3509" i="47"/>
  <c r="A3510" i="47"/>
  <c r="A3511" i="47"/>
  <c r="A3512" i="47"/>
  <c r="A3513" i="47"/>
  <c r="A3514" i="47"/>
  <c r="A3515" i="47"/>
  <c r="A3516" i="47"/>
  <c r="A3517" i="47"/>
  <c r="A3518" i="47"/>
  <c r="A3519" i="47"/>
  <c r="A3520" i="47"/>
  <c r="A3521" i="47"/>
  <c r="A3522" i="47"/>
  <c r="A3523" i="47"/>
  <c r="A3524" i="47"/>
  <c r="A3525" i="47"/>
  <c r="A3526" i="47"/>
  <c r="A3527" i="47"/>
  <c r="A3528" i="47"/>
  <c r="A3429" i="47" l="1"/>
  <c r="A3430" i="47"/>
  <c r="A3431" i="47"/>
  <c r="A3432" i="47"/>
  <c r="A3433" i="47"/>
  <c r="A3434" i="47"/>
  <c r="A3435" i="47"/>
  <c r="A3436" i="47"/>
  <c r="A3437" i="47"/>
  <c r="A3438" i="47"/>
  <c r="A3439" i="47"/>
  <c r="A3440" i="47"/>
  <c r="A3441" i="47"/>
  <c r="A3442" i="47"/>
  <c r="A3443" i="47"/>
  <c r="A3444" i="47"/>
  <c r="A3445" i="47"/>
  <c r="A3446" i="47"/>
  <c r="A3447" i="47"/>
  <c r="A3448" i="47"/>
  <c r="A3449" i="47"/>
  <c r="A3450" i="47"/>
  <c r="A3451" i="47"/>
  <c r="A3452" i="47"/>
  <c r="A3453" i="47"/>
  <c r="A3454" i="47"/>
  <c r="A3455" i="47"/>
  <c r="A3456" i="47"/>
  <c r="A3457" i="47"/>
  <c r="A3458" i="47"/>
  <c r="A3459" i="47"/>
  <c r="A3460" i="47"/>
  <c r="A3461" i="47"/>
  <c r="A3462" i="47"/>
  <c r="A3463" i="47"/>
  <c r="A3464" i="47"/>
  <c r="A3465" i="47"/>
  <c r="A3466" i="47"/>
  <c r="A3467" i="47"/>
  <c r="A3468" i="47"/>
  <c r="A3469" i="47"/>
  <c r="A3470" i="47"/>
  <c r="A3471" i="47"/>
  <c r="A3472" i="47"/>
  <c r="A3473" i="47"/>
  <c r="A3474" i="47"/>
  <c r="A3475" i="47"/>
  <c r="A3476" i="47"/>
  <c r="A3477" i="47"/>
  <c r="A3478" i="47"/>
  <c r="A3479" i="47"/>
  <c r="A3480" i="47"/>
  <c r="A3481" i="47"/>
  <c r="A3482" i="47"/>
  <c r="A3483" i="47"/>
  <c r="A3484" i="47"/>
  <c r="A3485" i="47"/>
  <c r="A3486" i="47"/>
  <c r="A3390" i="47" l="1"/>
  <c r="A3391" i="47"/>
  <c r="A3392" i="47"/>
  <c r="A3393" i="47"/>
  <c r="A3394" i="47"/>
  <c r="A3395" i="47"/>
  <c r="A3396" i="47"/>
  <c r="A3397" i="47"/>
  <c r="A3398" i="47"/>
  <c r="A3399" i="47"/>
  <c r="A3400" i="47"/>
  <c r="A3401" i="47"/>
  <c r="A3402" i="47"/>
  <c r="A3403" i="47"/>
  <c r="A3404" i="47"/>
  <c r="A3405" i="47"/>
  <c r="A3406" i="47"/>
  <c r="A3407" i="47"/>
  <c r="A3408" i="47"/>
  <c r="A3409" i="47"/>
  <c r="A3410" i="47"/>
  <c r="A3411" i="47"/>
  <c r="A3412" i="47"/>
  <c r="A3413" i="47"/>
  <c r="A3414" i="47"/>
  <c r="A3415" i="47"/>
  <c r="A3416" i="47"/>
  <c r="A3417" i="47"/>
  <c r="A3418" i="47"/>
  <c r="A3419" i="47"/>
  <c r="A3420" i="47"/>
  <c r="A3421" i="47"/>
  <c r="A3422" i="47"/>
  <c r="A3423" i="47"/>
  <c r="A3424" i="47"/>
  <c r="A3425" i="47"/>
  <c r="A3426" i="47"/>
  <c r="A3427" i="47"/>
  <c r="A3428" i="47"/>
  <c r="A3344" i="47" l="1"/>
  <c r="A3345" i="47"/>
  <c r="A3346" i="47"/>
  <c r="A3347" i="47"/>
  <c r="A3348" i="47"/>
  <c r="A3349" i="47"/>
  <c r="A3350" i="47"/>
  <c r="A3351" i="47"/>
  <c r="A3352" i="47"/>
  <c r="A3353" i="47"/>
  <c r="A3354" i="47"/>
  <c r="A3355" i="47"/>
  <c r="A3356" i="47"/>
  <c r="A3357" i="47"/>
  <c r="A3358" i="47"/>
  <c r="A3359" i="47"/>
  <c r="A3360" i="47"/>
  <c r="A3361" i="47"/>
  <c r="A3362" i="47"/>
  <c r="A3363" i="47"/>
  <c r="A3364" i="47"/>
  <c r="A3365" i="47"/>
  <c r="A3366" i="47"/>
  <c r="A3367" i="47"/>
  <c r="A3368" i="47"/>
  <c r="A3369" i="47"/>
  <c r="A3370" i="47"/>
  <c r="A3371" i="47"/>
  <c r="A3372" i="47"/>
  <c r="A3373" i="47"/>
  <c r="A3374" i="47"/>
  <c r="A3375" i="47"/>
  <c r="A3376" i="47"/>
  <c r="A3377" i="47"/>
  <c r="A3378" i="47"/>
  <c r="A3379" i="47"/>
  <c r="A3380" i="47"/>
  <c r="A3381" i="47"/>
  <c r="A3382" i="47"/>
  <c r="A3383" i="47"/>
  <c r="A3384" i="47"/>
  <c r="A3385" i="47"/>
  <c r="A3386" i="47"/>
  <c r="A3387" i="47"/>
  <c r="A3388" i="47"/>
  <c r="A3389" i="47"/>
  <c r="A3321" i="47" l="1"/>
  <c r="A3322" i="47"/>
  <c r="A3323" i="47"/>
  <c r="A3324" i="47"/>
  <c r="A3325" i="47"/>
  <c r="A3326" i="47"/>
  <c r="A3327" i="47"/>
  <c r="A3328" i="47"/>
  <c r="A3329" i="47"/>
  <c r="A3330" i="47"/>
  <c r="A3331" i="47"/>
  <c r="A3332" i="47"/>
  <c r="A3333" i="47"/>
  <c r="A3334" i="47"/>
  <c r="A3335" i="47"/>
  <c r="A3336" i="47"/>
  <c r="A3337" i="47"/>
  <c r="A3338" i="47"/>
  <c r="A3339" i="47"/>
  <c r="A3340" i="47"/>
  <c r="A3341" i="47"/>
  <c r="A3342" i="47"/>
  <c r="A3343" i="47"/>
  <c r="A3273" i="47"/>
  <c r="A3274" i="47"/>
  <c r="A3275" i="47"/>
  <c r="A3276" i="47"/>
  <c r="A3277" i="47"/>
  <c r="A3278" i="47"/>
  <c r="A3279" i="47"/>
  <c r="A3280" i="47"/>
  <c r="A3281" i="47"/>
  <c r="A3282" i="47"/>
  <c r="A3283" i="47"/>
  <c r="A3284" i="47"/>
  <c r="A3285" i="47"/>
  <c r="A3286" i="47"/>
  <c r="A3287" i="47"/>
  <c r="A3288" i="47"/>
  <c r="A3289" i="47"/>
  <c r="A3290" i="47"/>
  <c r="A3291" i="47"/>
  <c r="A3292" i="47"/>
  <c r="A3293" i="47"/>
  <c r="A3294" i="47"/>
  <c r="A3295" i="47"/>
  <c r="A3296" i="47"/>
  <c r="A3297" i="47"/>
  <c r="A3298" i="47"/>
  <c r="A3299" i="47"/>
  <c r="A3300" i="47"/>
  <c r="A3301" i="47"/>
  <c r="A3302" i="47"/>
  <c r="A3303" i="47"/>
  <c r="A3304" i="47"/>
  <c r="A3305" i="47"/>
  <c r="A3306" i="47"/>
  <c r="A3307" i="47"/>
  <c r="A3308" i="47"/>
  <c r="A3309" i="47"/>
  <c r="A3310" i="47"/>
  <c r="A3311" i="47"/>
  <c r="A3312" i="47"/>
  <c r="A3313" i="47"/>
  <c r="A3314" i="47"/>
  <c r="A3315" i="47"/>
  <c r="A3316" i="47"/>
  <c r="A3317" i="47"/>
  <c r="A3318" i="47"/>
  <c r="A3319" i="47"/>
  <c r="A3320" i="47"/>
  <c r="A3228" i="47"/>
  <c r="A3229" i="47"/>
  <c r="A3230" i="47"/>
  <c r="A3231" i="47"/>
  <c r="A3232" i="47"/>
  <c r="A3233" i="47"/>
  <c r="A3234" i="47"/>
  <c r="A3235" i="47"/>
  <c r="A3236" i="47"/>
  <c r="A3237" i="47"/>
  <c r="A3238" i="47"/>
  <c r="A3239" i="47"/>
  <c r="A3240" i="47"/>
  <c r="A3241" i="47"/>
  <c r="A3242" i="47"/>
  <c r="A3243" i="47"/>
  <c r="A3244" i="47"/>
  <c r="A3245" i="47"/>
  <c r="A3246" i="47"/>
  <c r="A3247" i="47"/>
  <c r="A3248" i="47"/>
  <c r="A3249" i="47"/>
  <c r="A3250" i="47"/>
  <c r="A3251" i="47"/>
  <c r="A3252" i="47"/>
  <c r="A3253" i="47"/>
  <c r="A3254" i="47"/>
  <c r="A3255" i="47"/>
  <c r="A3256" i="47"/>
  <c r="A3257" i="47"/>
  <c r="A3258" i="47"/>
  <c r="A3259" i="47"/>
  <c r="A3260" i="47"/>
  <c r="A3261" i="47"/>
  <c r="A3262" i="47"/>
  <c r="A3263" i="47"/>
  <c r="A3264" i="47"/>
  <c r="A3265" i="47"/>
  <c r="A3266" i="47"/>
  <c r="A3267" i="47"/>
  <c r="A3268" i="47"/>
  <c r="A3269" i="47"/>
  <c r="A3270" i="47"/>
  <c r="A3271" i="47"/>
  <c r="A3272" i="47"/>
  <c r="A3190" i="47" l="1"/>
  <c r="A3191" i="47"/>
  <c r="A3192" i="47"/>
  <c r="A3193" i="47"/>
  <c r="A3194" i="47"/>
  <c r="A3195" i="47"/>
  <c r="A3196" i="47"/>
  <c r="A3197" i="47"/>
  <c r="A3198" i="47"/>
  <c r="A3199" i="47"/>
  <c r="A3200" i="47"/>
  <c r="A3201" i="47"/>
  <c r="A3202" i="47"/>
  <c r="A3203" i="47"/>
  <c r="A3204" i="47"/>
  <c r="A3205" i="47"/>
  <c r="A3206" i="47"/>
  <c r="A3207" i="47"/>
  <c r="A3208" i="47"/>
  <c r="A3209" i="47"/>
  <c r="A3210" i="47"/>
  <c r="A3211" i="47"/>
  <c r="A3212" i="47"/>
  <c r="A3213" i="47"/>
  <c r="A3214" i="47"/>
  <c r="A3215" i="47"/>
  <c r="A3216" i="47"/>
  <c r="A3217" i="47"/>
  <c r="A3218" i="47"/>
  <c r="A3219" i="47"/>
  <c r="A3220" i="47"/>
  <c r="A3221" i="47"/>
  <c r="A3222" i="47"/>
  <c r="A3223" i="47"/>
  <c r="A3224" i="47"/>
  <c r="A3225" i="47"/>
  <c r="A3226" i="47"/>
  <c r="A3227" i="47"/>
  <c r="A3147" i="47" l="1"/>
  <c r="A3148" i="47"/>
  <c r="A3149" i="47"/>
  <c r="A3150" i="47"/>
  <c r="A3151" i="47"/>
  <c r="A3152" i="47"/>
  <c r="A3153" i="47"/>
  <c r="A3154" i="47"/>
  <c r="A3155" i="47"/>
  <c r="A3156" i="47"/>
  <c r="A3157" i="47"/>
  <c r="A3158" i="47"/>
  <c r="A3159" i="47"/>
  <c r="A3160" i="47"/>
  <c r="A3161" i="47"/>
  <c r="A3162" i="47"/>
  <c r="A3163" i="47"/>
  <c r="A3164" i="47"/>
  <c r="A3165" i="47"/>
  <c r="A3166" i="47"/>
  <c r="A3167" i="47"/>
  <c r="A3168" i="47"/>
  <c r="A3169" i="47"/>
  <c r="A3170" i="47"/>
  <c r="A3171" i="47"/>
  <c r="A3172" i="47"/>
  <c r="A3173" i="47"/>
  <c r="A3174" i="47"/>
  <c r="A3175" i="47"/>
  <c r="A3176" i="47"/>
  <c r="A3177" i="47"/>
  <c r="A3178" i="47"/>
  <c r="A3179" i="47"/>
  <c r="A3180" i="47"/>
  <c r="A3181" i="47"/>
  <c r="A3182" i="47"/>
  <c r="A3183" i="47"/>
  <c r="A3184" i="47"/>
  <c r="A3185" i="47"/>
  <c r="A3186" i="47"/>
  <c r="A3187" i="47"/>
  <c r="A3188" i="47"/>
  <c r="A3189" i="47"/>
  <c r="A3109" i="47" l="1"/>
  <c r="A3110" i="47"/>
  <c r="A3111" i="47"/>
  <c r="A3112" i="47"/>
  <c r="A3113" i="47"/>
  <c r="A3114" i="47"/>
  <c r="A3115" i="47"/>
  <c r="A3116" i="47"/>
  <c r="A3117" i="47"/>
  <c r="A3118" i="47"/>
  <c r="A3119" i="47"/>
  <c r="A3120" i="47"/>
  <c r="A3121" i="47"/>
  <c r="A3122" i="47"/>
  <c r="A3123" i="47"/>
  <c r="A3124" i="47"/>
  <c r="A3125" i="47"/>
  <c r="A3126" i="47"/>
  <c r="A3127" i="47"/>
  <c r="A3128" i="47"/>
  <c r="A3129" i="47"/>
  <c r="A3130" i="47"/>
  <c r="A3131" i="47"/>
  <c r="A3132" i="47"/>
  <c r="A3133" i="47"/>
  <c r="A3134" i="47"/>
  <c r="A3135" i="47"/>
  <c r="A3136" i="47"/>
  <c r="A3137" i="47"/>
  <c r="A3138" i="47"/>
  <c r="A3139" i="47"/>
  <c r="A3140" i="47"/>
  <c r="A3141" i="47"/>
  <c r="A3142" i="47"/>
  <c r="A3143" i="47"/>
  <c r="A3144" i="47"/>
  <c r="A3145" i="47"/>
  <c r="A3146" i="47"/>
  <c r="A3094" i="47" l="1"/>
  <c r="A3095" i="47"/>
  <c r="A3096" i="47"/>
  <c r="A3097" i="47"/>
  <c r="A3098" i="47"/>
  <c r="A3099" i="47"/>
  <c r="A3100" i="47"/>
  <c r="A3101" i="47"/>
  <c r="A3102" i="47"/>
  <c r="A3103" i="47"/>
  <c r="A3104" i="47"/>
  <c r="A3105" i="47"/>
  <c r="A3106" i="47"/>
  <c r="A3107" i="47"/>
  <c r="A3108" i="47"/>
  <c r="A3066" i="47"/>
  <c r="A3067" i="47"/>
  <c r="A3068" i="47"/>
  <c r="A3069" i="47"/>
  <c r="A3070" i="47"/>
  <c r="A3071" i="47"/>
  <c r="A3072" i="47"/>
  <c r="A3073" i="47"/>
  <c r="A3074" i="47"/>
  <c r="A3075" i="47"/>
  <c r="A3076" i="47"/>
  <c r="A3077" i="47"/>
  <c r="A3078" i="47"/>
  <c r="A3079" i="47"/>
  <c r="A3080" i="47"/>
  <c r="A3081" i="47"/>
  <c r="A3082" i="47"/>
  <c r="A3083" i="47"/>
  <c r="A3084" i="47"/>
  <c r="A3085" i="47"/>
  <c r="A3086" i="47"/>
  <c r="A3087" i="47"/>
  <c r="A3088" i="47"/>
  <c r="A3089" i="47"/>
  <c r="A3090" i="47"/>
  <c r="A3091" i="47"/>
  <c r="A3092" i="47"/>
  <c r="A3093" i="47"/>
  <c r="A3023" i="47" l="1"/>
  <c r="A3024" i="47"/>
  <c r="A3025" i="47"/>
  <c r="A3026" i="47"/>
  <c r="A3027" i="47"/>
  <c r="A3028" i="47"/>
  <c r="A3029" i="47"/>
  <c r="A3030" i="47"/>
  <c r="A3031" i="47"/>
  <c r="A3032" i="47"/>
  <c r="A3033" i="47"/>
  <c r="A3034" i="47"/>
  <c r="A3035" i="47"/>
  <c r="A3036" i="47"/>
  <c r="A3037" i="47"/>
  <c r="A3038" i="47"/>
  <c r="A3039" i="47"/>
  <c r="A3040" i="47"/>
  <c r="A3041" i="47"/>
  <c r="A3042" i="47"/>
  <c r="A3043" i="47"/>
  <c r="A3044" i="47"/>
  <c r="A3045" i="47"/>
  <c r="A3046" i="47"/>
  <c r="A3047" i="47"/>
  <c r="A3048" i="47"/>
  <c r="A3049" i="47"/>
  <c r="A3050" i="47"/>
  <c r="A3051" i="47"/>
  <c r="A3052" i="47"/>
  <c r="A3053" i="47"/>
  <c r="A3054" i="47"/>
  <c r="A3055" i="47"/>
  <c r="A3056" i="47"/>
  <c r="A3057" i="47"/>
  <c r="A3058" i="47"/>
  <c r="A3059" i="47"/>
  <c r="A3060" i="47"/>
  <c r="A3061" i="47"/>
  <c r="A3062" i="47"/>
  <c r="A3063" i="47"/>
  <c r="A3064" i="47"/>
  <c r="A3065" i="47"/>
  <c r="A2968" i="47" l="1"/>
  <c r="A2969" i="47"/>
  <c r="A2970" i="47"/>
  <c r="A2971" i="47"/>
  <c r="A2972" i="47"/>
  <c r="A2973" i="47"/>
  <c r="A2974" i="47"/>
  <c r="A2975" i="47"/>
  <c r="A2976" i="47"/>
  <c r="A2977" i="47"/>
  <c r="A2978" i="47"/>
  <c r="A2979" i="47"/>
  <c r="A2980" i="47"/>
  <c r="A2981" i="47"/>
  <c r="A2982" i="47"/>
  <c r="A2983" i="47"/>
  <c r="A2984" i="47"/>
  <c r="A2985" i="47"/>
  <c r="A2986" i="47"/>
  <c r="A2987" i="47"/>
  <c r="A2988" i="47"/>
  <c r="A2989" i="47"/>
  <c r="A2990" i="47"/>
  <c r="A2991" i="47"/>
  <c r="A2992" i="47"/>
  <c r="A2993" i="47"/>
  <c r="A2994" i="47"/>
  <c r="A2995" i="47"/>
  <c r="A2996" i="47"/>
  <c r="A2997" i="47"/>
  <c r="A2998" i="47"/>
  <c r="A2999" i="47"/>
  <c r="A3000" i="47"/>
  <c r="A3001" i="47"/>
  <c r="A3002" i="47"/>
  <c r="A3003" i="47"/>
  <c r="A3004" i="47"/>
  <c r="A3005" i="47"/>
  <c r="A3006" i="47"/>
  <c r="A3007" i="47"/>
  <c r="A3008" i="47"/>
  <c r="A3009" i="47"/>
  <c r="A3010" i="47"/>
  <c r="A3011" i="47"/>
  <c r="A3012" i="47"/>
  <c r="A3013" i="47"/>
  <c r="A3014" i="47"/>
  <c r="A3015" i="47"/>
  <c r="A3016" i="47"/>
  <c r="A3017" i="47"/>
  <c r="A3018" i="47"/>
  <c r="A3019" i="47"/>
  <c r="A3020" i="47"/>
  <c r="A3021" i="47"/>
  <c r="A3022" i="47"/>
  <c r="A2914" i="47" l="1"/>
  <c r="A2915" i="47"/>
  <c r="A2916" i="47"/>
  <c r="A2917" i="47"/>
  <c r="A2918" i="47"/>
  <c r="A2919" i="47"/>
  <c r="A2920" i="47"/>
  <c r="A2921" i="47"/>
  <c r="A2922" i="47"/>
  <c r="A2923" i="47"/>
  <c r="A2924" i="47"/>
  <c r="A2925" i="47"/>
  <c r="A2926" i="47"/>
  <c r="A2927" i="47"/>
  <c r="A2928" i="47"/>
  <c r="A2929" i="47"/>
  <c r="A2930" i="47"/>
  <c r="A2931" i="47"/>
  <c r="A2932" i="47"/>
  <c r="A2933" i="47"/>
  <c r="A2934" i="47"/>
  <c r="A2935" i="47"/>
  <c r="A2936" i="47"/>
  <c r="A2937" i="47"/>
  <c r="A2938" i="47"/>
  <c r="A2939" i="47"/>
  <c r="A2940" i="47"/>
  <c r="A2941" i="47"/>
  <c r="A2942" i="47"/>
  <c r="A2943" i="47"/>
  <c r="A2944" i="47"/>
  <c r="A2945" i="47"/>
  <c r="A2946" i="47"/>
  <c r="A2947" i="47"/>
  <c r="A2948" i="47"/>
  <c r="A2949" i="47"/>
  <c r="A2950" i="47"/>
  <c r="A2951" i="47"/>
  <c r="A2952" i="47"/>
  <c r="A2953" i="47"/>
  <c r="A2954" i="47"/>
  <c r="A2955" i="47"/>
  <c r="A2956" i="47"/>
  <c r="A2957" i="47"/>
  <c r="A2958" i="47"/>
  <c r="A2959" i="47"/>
  <c r="A2960" i="47"/>
  <c r="A2961" i="47"/>
  <c r="A2962" i="47"/>
  <c r="A2963" i="47"/>
  <c r="A2964" i="47"/>
  <c r="A2965" i="47"/>
  <c r="A2966" i="47"/>
  <c r="A2967" i="47"/>
  <c r="A2863" i="47" l="1"/>
  <c r="A2864" i="47"/>
  <c r="A2865" i="47"/>
  <c r="A2866" i="47"/>
  <c r="A2867" i="47"/>
  <c r="A2868" i="47"/>
  <c r="A2869" i="47"/>
  <c r="A2870" i="47"/>
  <c r="A2871" i="47"/>
  <c r="A2872" i="47"/>
  <c r="A2873" i="47"/>
  <c r="A2874" i="47"/>
  <c r="A2875" i="47"/>
  <c r="A2876" i="47"/>
  <c r="A2877" i="47"/>
  <c r="A2878" i="47"/>
  <c r="A2879" i="47"/>
  <c r="A2880" i="47"/>
  <c r="A2881" i="47"/>
  <c r="A2882" i="47"/>
  <c r="A2883" i="47"/>
  <c r="A2884" i="47"/>
  <c r="A2885" i="47"/>
  <c r="A2886" i="47"/>
  <c r="A2887" i="47"/>
  <c r="A2888" i="47"/>
  <c r="A2889" i="47"/>
  <c r="A2890" i="47"/>
  <c r="A2891" i="47"/>
  <c r="A2892" i="47"/>
  <c r="A2893" i="47"/>
  <c r="A2894" i="47"/>
  <c r="A2895" i="47"/>
  <c r="A2896" i="47"/>
  <c r="A2897" i="47"/>
  <c r="A2898" i="47"/>
  <c r="A2899" i="47"/>
  <c r="A2900" i="47"/>
  <c r="A2901" i="47"/>
  <c r="A2902" i="47"/>
  <c r="A2903" i="47"/>
  <c r="A2904" i="47"/>
  <c r="A2905" i="47"/>
  <c r="A2906" i="47"/>
  <c r="A2907" i="47"/>
  <c r="A2908" i="47"/>
  <c r="A2909" i="47"/>
  <c r="A2910" i="47"/>
  <c r="A2911" i="47"/>
  <c r="A2912" i="47"/>
  <c r="A2913" i="47"/>
  <c r="A2851" i="47" l="1"/>
  <c r="A2852" i="47"/>
  <c r="A2853" i="47"/>
  <c r="A2854" i="47"/>
  <c r="A2855" i="47"/>
  <c r="A2856" i="47"/>
  <c r="A2857" i="47"/>
  <c r="A2858" i="47"/>
  <c r="A2859" i="47"/>
  <c r="A2860" i="47"/>
  <c r="A2861" i="47"/>
  <c r="A2862" i="47"/>
  <c r="A2811" i="47"/>
  <c r="A2812" i="47"/>
  <c r="A2813" i="47"/>
  <c r="A2814" i="47"/>
  <c r="A2815" i="47"/>
  <c r="A2816" i="47"/>
  <c r="A2817" i="47"/>
  <c r="A2818" i="47"/>
  <c r="A2819" i="47"/>
  <c r="A2820" i="47"/>
  <c r="A2821" i="47"/>
  <c r="A2822" i="47"/>
  <c r="A2823" i="47"/>
  <c r="A2824" i="47"/>
  <c r="A2825" i="47"/>
  <c r="A2826" i="47"/>
  <c r="A2827" i="47"/>
  <c r="A2828" i="47"/>
  <c r="A2829" i="47"/>
  <c r="A2830" i="47"/>
  <c r="A2831" i="47"/>
  <c r="A2832" i="47"/>
  <c r="A2833" i="47"/>
  <c r="A2834" i="47"/>
  <c r="A2835" i="47"/>
  <c r="A2836" i="47"/>
  <c r="A2837" i="47"/>
  <c r="A2838" i="47"/>
  <c r="A2839" i="47"/>
  <c r="A2840" i="47"/>
  <c r="A2841" i="47"/>
  <c r="A2842" i="47"/>
  <c r="A2843" i="47"/>
  <c r="A2844" i="47"/>
  <c r="A2845" i="47"/>
  <c r="A2846" i="47"/>
  <c r="A2847" i="47"/>
  <c r="A2848" i="47"/>
  <c r="A2849" i="47"/>
  <c r="A2850" i="47"/>
  <c r="A2768" i="47" l="1"/>
  <c r="A2769" i="47"/>
  <c r="A2770" i="47"/>
  <c r="A2771" i="47"/>
  <c r="A2772" i="47"/>
  <c r="A2773" i="47"/>
  <c r="A2774" i="47"/>
  <c r="A2775" i="47"/>
  <c r="A2776" i="47"/>
  <c r="A2777" i="47"/>
  <c r="A2778" i="47"/>
  <c r="A2779" i="47"/>
  <c r="A2780" i="47"/>
  <c r="A2781" i="47"/>
  <c r="A2782" i="47"/>
  <c r="A2783" i="47"/>
  <c r="A2784" i="47"/>
  <c r="A2785" i="47"/>
  <c r="A2786" i="47"/>
  <c r="A2787" i="47"/>
  <c r="A2788" i="47"/>
  <c r="A2789" i="47"/>
  <c r="A2790" i="47"/>
  <c r="A2791" i="47"/>
  <c r="A2792" i="47"/>
  <c r="A2793" i="47"/>
  <c r="A2794" i="47"/>
  <c r="A2795" i="47"/>
  <c r="A2796" i="47"/>
  <c r="A2797" i="47"/>
  <c r="A2798" i="47"/>
  <c r="A2799" i="47"/>
  <c r="A2800" i="47"/>
  <c r="A2801" i="47"/>
  <c r="A2802" i="47"/>
  <c r="A2803" i="47"/>
  <c r="A2804" i="47"/>
  <c r="A2805" i="47"/>
  <c r="A2806" i="47"/>
  <c r="A2807" i="47"/>
  <c r="A2808" i="47"/>
  <c r="A2809" i="47"/>
  <c r="A2810" i="47"/>
  <c r="A2732" i="47" l="1"/>
  <c r="A2733" i="47"/>
  <c r="A2734" i="47"/>
  <c r="A2735" i="47"/>
  <c r="A2736" i="47"/>
  <c r="A2737" i="47"/>
  <c r="A2738" i="47"/>
  <c r="A2739" i="47"/>
  <c r="A2740" i="47"/>
  <c r="A2741" i="47"/>
  <c r="A2742" i="47"/>
  <c r="A2743" i="47"/>
  <c r="A2744" i="47"/>
  <c r="A2745" i="47"/>
  <c r="A2746" i="47"/>
  <c r="A2747" i="47"/>
  <c r="A2748" i="47"/>
  <c r="A2749" i="47"/>
  <c r="A2750" i="47"/>
  <c r="A2751" i="47"/>
  <c r="A2752" i="47"/>
  <c r="A2753" i="47"/>
  <c r="A2754" i="47"/>
  <c r="A2755" i="47"/>
  <c r="A2756" i="47"/>
  <c r="A2757" i="47"/>
  <c r="A2758" i="47"/>
  <c r="A2759" i="47"/>
  <c r="A2760" i="47"/>
  <c r="A2761" i="47"/>
  <c r="A2762" i="47"/>
  <c r="A2763" i="47"/>
  <c r="A2764" i="47"/>
  <c r="A2765" i="47"/>
  <c r="A2766" i="47"/>
  <c r="A2767" i="47"/>
  <c r="A2685" i="47" l="1"/>
  <c r="A2686" i="47"/>
  <c r="A2687" i="47"/>
  <c r="A2688" i="47"/>
  <c r="A2689" i="47"/>
  <c r="A2690" i="47"/>
  <c r="A2691" i="47"/>
  <c r="A2692" i="47"/>
  <c r="A2693" i="47"/>
  <c r="A2694" i="47"/>
  <c r="A2695" i="47"/>
  <c r="A2696" i="47"/>
  <c r="A2697" i="47"/>
  <c r="A2698" i="47"/>
  <c r="A2699" i="47"/>
  <c r="A2700" i="47"/>
  <c r="A2701" i="47"/>
  <c r="A2702" i="47"/>
  <c r="A2703" i="47"/>
  <c r="A2704" i="47"/>
  <c r="A2705" i="47"/>
  <c r="A2706" i="47"/>
  <c r="A2707" i="47"/>
  <c r="A2708" i="47"/>
  <c r="A2709" i="47"/>
  <c r="A2710" i="47"/>
  <c r="A2711" i="47"/>
  <c r="A2712" i="47"/>
  <c r="A2713" i="47"/>
  <c r="A2714" i="47"/>
  <c r="A2715" i="47"/>
  <c r="A2716" i="47"/>
  <c r="A2717" i="47"/>
  <c r="A2718" i="47"/>
  <c r="A2719" i="47"/>
  <c r="A2720" i="47"/>
  <c r="A2721" i="47"/>
  <c r="A2722" i="47"/>
  <c r="A2723" i="47"/>
  <c r="A2724" i="47"/>
  <c r="A2725" i="47"/>
  <c r="A2726" i="47"/>
  <c r="A2727" i="47"/>
  <c r="A2728" i="47"/>
  <c r="A2729" i="47"/>
  <c r="A2730" i="47"/>
  <c r="A2731" i="47"/>
  <c r="A2625" i="47" l="1"/>
  <c r="A2626" i="47"/>
  <c r="A2627" i="47"/>
  <c r="A2628" i="47"/>
  <c r="A2629" i="47"/>
  <c r="A2630" i="47"/>
  <c r="A2631" i="47"/>
  <c r="A2632" i="47"/>
  <c r="A2633" i="47"/>
  <c r="A2634" i="47"/>
  <c r="A2635" i="47"/>
  <c r="A2636" i="47"/>
  <c r="A2637" i="47"/>
  <c r="A2638" i="47"/>
  <c r="A2639" i="47"/>
  <c r="A2640" i="47"/>
  <c r="A2641" i="47"/>
  <c r="A2642" i="47"/>
  <c r="A2643" i="47"/>
  <c r="A2644" i="47"/>
  <c r="A2645" i="47"/>
  <c r="A2646" i="47"/>
  <c r="A2647" i="47"/>
  <c r="A2648" i="47"/>
  <c r="A2649" i="47"/>
  <c r="A2650" i="47"/>
  <c r="A2651" i="47"/>
  <c r="A2652" i="47"/>
  <c r="A2653" i="47"/>
  <c r="A2654" i="47"/>
  <c r="A2655" i="47"/>
  <c r="A2656" i="47"/>
  <c r="A2657" i="47"/>
  <c r="A2658" i="47"/>
  <c r="A2659" i="47"/>
  <c r="A2660" i="47"/>
  <c r="A2661" i="47"/>
  <c r="A2662" i="47"/>
  <c r="A2663" i="47"/>
  <c r="A2664" i="47"/>
  <c r="A2665" i="47"/>
  <c r="A2666" i="47"/>
  <c r="A2667" i="47"/>
  <c r="A2668" i="47"/>
  <c r="A2669" i="47"/>
  <c r="A2670" i="47"/>
  <c r="A2671" i="47"/>
  <c r="A2672" i="47"/>
  <c r="A2673" i="47"/>
  <c r="A2674" i="47"/>
  <c r="A2675" i="47"/>
  <c r="A2676" i="47"/>
  <c r="A2677" i="47"/>
  <c r="A2678" i="47"/>
  <c r="A2679" i="47"/>
  <c r="A2680" i="47"/>
  <c r="A2681" i="47"/>
  <c r="A2682" i="47"/>
  <c r="A2683" i="47"/>
  <c r="A2684" i="47"/>
  <c r="A2612" i="47" l="1"/>
  <c r="A2613" i="47"/>
  <c r="A2614" i="47"/>
  <c r="A2615" i="47"/>
  <c r="A2616" i="47"/>
  <c r="A2617" i="47"/>
  <c r="A2618" i="47"/>
  <c r="A2619" i="47"/>
  <c r="A2620" i="47"/>
  <c r="A2621" i="47"/>
  <c r="A2622" i="47"/>
  <c r="A2623" i="47"/>
  <c r="A2624" i="47"/>
  <c r="A2568" i="47"/>
  <c r="A2569" i="47"/>
  <c r="A2570" i="47"/>
  <c r="A2571" i="47"/>
  <c r="A2572" i="47"/>
  <c r="A2573" i="47"/>
  <c r="A2574" i="47"/>
  <c r="A2575" i="47"/>
  <c r="A2576" i="47"/>
  <c r="A2577" i="47"/>
  <c r="A2578" i="47"/>
  <c r="A2579" i="47"/>
  <c r="A2580" i="47"/>
  <c r="A2581" i="47"/>
  <c r="A2582" i="47"/>
  <c r="A2583" i="47"/>
  <c r="A2584" i="47"/>
  <c r="A2585" i="47"/>
  <c r="A2586" i="47"/>
  <c r="A2587" i="47"/>
  <c r="A2588" i="47"/>
  <c r="A2589" i="47"/>
  <c r="A2590" i="47"/>
  <c r="A2591" i="47"/>
  <c r="A2592" i="47"/>
  <c r="A2593" i="47"/>
  <c r="A2594" i="47"/>
  <c r="A2595" i="47"/>
  <c r="A2596" i="47"/>
  <c r="A2597" i="47"/>
  <c r="A2598" i="47"/>
  <c r="A2599" i="47"/>
  <c r="A2600" i="47"/>
  <c r="A2601" i="47"/>
  <c r="A2602" i="47"/>
  <c r="A2603" i="47"/>
  <c r="A2604" i="47"/>
  <c r="A2605" i="47"/>
  <c r="A2606" i="47"/>
  <c r="A2607" i="47"/>
  <c r="A2608" i="47"/>
  <c r="A2609" i="47"/>
  <c r="A2610" i="47"/>
  <c r="A2611" i="47"/>
  <c r="A2521" i="47" l="1"/>
  <c r="A2522" i="47"/>
  <c r="A2523" i="47"/>
  <c r="A2524" i="47"/>
  <c r="A2525" i="47"/>
  <c r="A2526" i="47"/>
  <c r="A2527" i="47"/>
  <c r="A2528" i="47"/>
  <c r="A2529" i="47"/>
  <c r="A2530" i="47"/>
  <c r="A2531" i="47"/>
  <c r="A2532" i="47"/>
  <c r="A2533" i="47"/>
  <c r="A2534" i="47"/>
  <c r="A2535" i="47"/>
  <c r="A2536" i="47"/>
  <c r="A2537" i="47"/>
  <c r="A2538" i="47"/>
  <c r="A2539" i="47"/>
  <c r="A2540" i="47"/>
  <c r="A2541" i="47"/>
  <c r="A2542" i="47"/>
  <c r="A2543" i="47"/>
  <c r="A2544" i="47"/>
  <c r="A2545" i="47"/>
  <c r="A2546" i="47"/>
  <c r="A2547" i="47"/>
  <c r="A2548" i="47"/>
  <c r="A2549" i="47"/>
  <c r="A2550" i="47"/>
  <c r="A2551" i="47"/>
  <c r="A2552" i="47"/>
  <c r="A2553" i="47"/>
  <c r="A2554" i="47"/>
  <c r="A2555" i="47"/>
  <c r="A2556" i="47"/>
  <c r="A2557" i="47"/>
  <c r="A2558" i="47"/>
  <c r="A2559" i="47"/>
  <c r="A2560" i="47"/>
  <c r="A2561" i="47"/>
  <c r="A2562" i="47"/>
  <c r="A2563" i="47"/>
  <c r="A2564" i="47"/>
  <c r="A2565" i="47"/>
  <c r="A2566" i="47"/>
  <c r="A2567" i="47"/>
  <c r="A2477" i="47" l="1"/>
  <c r="A2478" i="47"/>
  <c r="A2479" i="47"/>
  <c r="A2480" i="47"/>
  <c r="A2481" i="47"/>
  <c r="A2482" i="47"/>
  <c r="A2483" i="47"/>
  <c r="A2484" i="47"/>
  <c r="A2485" i="47"/>
  <c r="A2486" i="47"/>
  <c r="A2487" i="47"/>
  <c r="A2488" i="47"/>
  <c r="A2489" i="47"/>
  <c r="A2490" i="47"/>
  <c r="A2491" i="47"/>
  <c r="A2492" i="47"/>
  <c r="A2493" i="47"/>
  <c r="A2494" i="47"/>
  <c r="A2495" i="47"/>
  <c r="A2496" i="47"/>
  <c r="A2497" i="47"/>
  <c r="A2498" i="47"/>
  <c r="A2499" i="47"/>
  <c r="A2500" i="47"/>
  <c r="A2501" i="47"/>
  <c r="A2502" i="47"/>
  <c r="A2503" i="47"/>
  <c r="A2504" i="47"/>
  <c r="A2505" i="47"/>
  <c r="A2506" i="47"/>
  <c r="A2507" i="47"/>
  <c r="A2508" i="47"/>
  <c r="A2509" i="47"/>
  <c r="A2510" i="47"/>
  <c r="A2511" i="47"/>
  <c r="A2512" i="47"/>
  <c r="A2513" i="47"/>
  <c r="A2514" i="47"/>
  <c r="A2515" i="47"/>
  <c r="A2516" i="47"/>
  <c r="A2517" i="47"/>
  <c r="A2518" i="47"/>
  <c r="A2519" i="47"/>
  <c r="A2520" i="47"/>
  <c r="A2419" i="47" l="1"/>
  <c r="A2420" i="47"/>
  <c r="A2421" i="47"/>
  <c r="A2422" i="47"/>
  <c r="A2423" i="47"/>
  <c r="A2424" i="47"/>
  <c r="A2425" i="47"/>
  <c r="A2426" i="47"/>
  <c r="A2427" i="47"/>
  <c r="A2428" i="47"/>
  <c r="A2429" i="47"/>
  <c r="A2430" i="47"/>
  <c r="A2431" i="47"/>
  <c r="A2432" i="47"/>
  <c r="A2433" i="47"/>
  <c r="A2434" i="47"/>
  <c r="A2435" i="47"/>
  <c r="A2436" i="47"/>
  <c r="A2437" i="47"/>
  <c r="A2438" i="47"/>
  <c r="A2439" i="47"/>
  <c r="A2440" i="47"/>
  <c r="A2441" i="47"/>
  <c r="A2442" i="47"/>
  <c r="A2443" i="47"/>
  <c r="A2444" i="47"/>
  <c r="A2445" i="47"/>
  <c r="A2446" i="47"/>
  <c r="A2447" i="47"/>
  <c r="A2448" i="47"/>
  <c r="A2449" i="47"/>
  <c r="A2450" i="47"/>
  <c r="A2451" i="47"/>
  <c r="A2452" i="47"/>
  <c r="A2453" i="47"/>
  <c r="A2454" i="47"/>
  <c r="A2455" i="47"/>
  <c r="A2456" i="47"/>
  <c r="A2457" i="47"/>
  <c r="A2458" i="47"/>
  <c r="A2459" i="47"/>
  <c r="A2460" i="47"/>
  <c r="A2461" i="47"/>
  <c r="A2462" i="47"/>
  <c r="A2463" i="47"/>
  <c r="A2464" i="47"/>
  <c r="A2465" i="47"/>
  <c r="A2466" i="47"/>
  <c r="A2467" i="47"/>
  <c r="A2468" i="47"/>
  <c r="A2469" i="47"/>
  <c r="A2470" i="47"/>
  <c r="A2471" i="47"/>
  <c r="A2472" i="47"/>
  <c r="A2473" i="47"/>
  <c r="A2474" i="47"/>
  <c r="A2475" i="47"/>
  <c r="A2476" i="47"/>
  <c r="A2360" i="47" l="1"/>
  <c r="A2361" i="47"/>
  <c r="A2362" i="47"/>
  <c r="A2363" i="47"/>
  <c r="A2364" i="47"/>
  <c r="A2365" i="47"/>
  <c r="A2366" i="47"/>
  <c r="A2367" i="47"/>
  <c r="A2368" i="47"/>
  <c r="A2369" i="47"/>
  <c r="A2370" i="47"/>
  <c r="A2371" i="47"/>
  <c r="A2372" i="47"/>
  <c r="A2373" i="47"/>
  <c r="A2374" i="47"/>
  <c r="A2375" i="47"/>
  <c r="A2376" i="47"/>
  <c r="A2377" i="47"/>
  <c r="A2378" i="47"/>
  <c r="A2379" i="47"/>
  <c r="A2380" i="47"/>
  <c r="A2381" i="47"/>
  <c r="A2382" i="47"/>
  <c r="A2383" i="47"/>
  <c r="A2384" i="47"/>
  <c r="A2385" i="47"/>
  <c r="A2386" i="47"/>
  <c r="A2387" i="47"/>
  <c r="A2388" i="47"/>
  <c r="A2389" i="47"/>
  <c r="A2390" i="47"/>
  <c r="A2391" i="47"/>
  <c r="A2392" i="47"/>
  <c r="A2393" i="47"/>
  <c r="A2394" i="47"/>
  <c r="A2395" i="47"/>
  <c r="A2396" i="47"/>
  <c r="A2397" i="47"/>
  <c r="A2398" i="47"/>
  <c r="A2399" i="47"/>
  <c r="A2400" i="47"/>
  <c r="A2401" i="47"/>
  <c r="A2402" i="47"/>
  <c r="A2403" i="47"/>
  <c r="A2404" i="47"/>
  <c r="A2405" i="47"/>
  <c r="A2406" i="47"/>
  <c r="A2407" i="47"/>
  <c r="A2408" i="47"/>
  <c r="A2409" i="47"/>
  <c r="A2410" i="47"/>
  <c r="A2411" i="47"/>
  <c r="A2412" i="47"/>
  <c r="A2413" i="47"/>
  <c r="A2414" i="47"/>
  <c r="A2415" i="47"/>
  <c r="A2416" i="47"/>
  <c r="A2417" i="47"/>
  <c r="A2418" i="47"/>
  <c r="A2343" i="47" l="1"/>
  <c r="A2344" i="47"/>
  <c r="A2345" i="47"/>
  <c r="A2346" i="47"/>
  <c r="A2347" i="47"/>
  <c r="A2348" i="47"/>
  <c r="A2349" i="47"/>
  <c r="A2350" i="47"/>
  <c r="A2351" i="47"/>
  <c r="A2352" i="47"/>
  <c r="A2353" i="47"/>
  <c r="A2354" i="47"/>
  <c r="A2355" i="47"/>
  <c r="A2356" i="47"/>
  <c r="A2357" i="47"/>
  <c r="A2358" i="47"/>
  <c r="A2359" i="47"/>
  <c r="A2287" i="47"/>
  <c r="A2288" i="47"/>
  <c r="A2289" i="47"/>
  <c r="A2290" i="47"/>
  <c r="A2291" i="47"/>
  <c r="A2292" i="47"/>
  <c r="A2293" i="47"/>
  <c r="A2294" i="47"/>
  <c r="A2295" i="47"/>
  <c r="A2296" i="47"/>
  <c r="A2297" i="47"/>
  <c r="A2298" i="47"/>
  <c r="A2299" i="47"/>
  <c r="A2300" i="47"/>
  <c r="A2301" i="47"/>
  <c r="A2302" i="47"/>
  <c r="A2303" i="47"/>
  <c r="A2304" i="47"/>
  <c r="A2305" i="47"/>
  <c r="A2306" i="47"/>
  <c r="A2307" i="47"/>
  <c r="A2308" i="47"/>
  <c r="A2309" i="47"/>
  <c r="A2310" i="47"/>
  <c r="A2311" i="47"/>
  <c r="A2312" i="47"/>
  <c r="A2313" i="47"/>
  <c r="A2314" i="47"/>
  <c r="A2315" i="47"/>
  <c r="A2316" i="47"/>
  <c r="A2317" i="47"/>
  <c r="A2318" i="47"/>
  <c r="A2319" i="47"/>
  <c r="A2320" i="47"/>
  <c r="A2321" i="47"/>
  <c r="A2322" i="47"/>
  <c r="A2323" i="47"/>
  <c r="A2324" i="47"/>
  <c r="A2325" i="47"/>
  <c r="A2326" i="47"/>
  <c r="A2327" i="47"/>
  <c r="A2328" i="47"/>
  <c r="A2329" i="47"/>
  <c r="A2330" i="47"/>
  <c r="A2331" i="47"/>
  <c r="A2332" i="47"/>
  <c r="A2333" i="47"/>
  <c r="A2334" i="47"/>
  <c r="A2335" i="47"/>
  <c r="A2336" i="47"/>
  <c r="A2337" i="47"/>
  <c r="A2338" i="47"/>
  <c r="A2339" i="47"/>
  <c r="A2340" i="47"/>
  <c r="A2341" i="47"/>
  <c r="A2342" i="47"/>
  <c r="A2233" i="47" l="1"/>
  <c r="A2234" i="47"/>
  <c r="A2235" i="47"/>
  <c r="A2236" i="47"/>
  <c r="A2237" i="47"/>
  <c r="A2238" i="47"/>
  <c r="A2239" i="47"/>
  <c r="A2240" i="47"/>
  <c r="A2241" i="47"/>
  <c r="A2242" i="47"/>
  <c r="A2243" i="47"/>
  <c r="A2244" i="47"/>
  <c r="A2245" i="47"/>
  <c r="A2246" i="47"/>
  <c r="A2247" i="47"/>
  <c r="A2248" i="47"/>
  <c r="A2249" i="47"/>
  <c r="A2250" i="47"/>
  <c r="A2251" i="47"/>
  <c r="A2252" i="47"/>
  <c r="A2253" i="47"/>
  <c r="A2254" i="47"/>
  <c r="A2255" i="47"/>
  <c r="A2256" i="47"/>
  <c r="A2257" i="47"/>
  <c r="A2258" i="47"/>
  <c r="A2259" i="47"/>
  <c r="A2260" i="47"/>
  <c r="A2261" i="47"/>
  <c r="A2262" i="47"/>
  <c r="A2263" i="47"/>
  <c r="A2264" i="47"/>
  <c r="A2265" i="47"/>
  <c r="A2266" i="47"/>
  <c r="A2267" i="47"/>
  <c r="A2268" i="47"/>
  <c r="A2269" i="47"/>
  <c r="A2270" i="47"/>
  <c r="A2271" i="47"/>
  <c r="A2272" i="47"/>
  <c r="A2273" i="47"/>
  <c r="A2274" i="47"/>
  <c r="A2275" i="47"/>
  <c r="A2276" i="47"/>
  <c r="A2277" i="47"/>
  <c r="A2278" i="47"/>
  <c r="A2279" i="47"/>
  <c r="A2280" i="47"/>
  <c r="A2281" i="47"/>
  <c r="A2282" i="47"/>
  <c r="A2283" i="47"/>
  <c r="A2284" i="47"/>
  <c r="A2285" i="47"/>
  <c r="A2286" i="47"/>
  <c r="A2181" i="47" l="1"/>
  <c r="A2182" i="47"/>
  <c r="A2183" i="47"/>
  <c r="A2184" i="47"/>
  <c r="A2185" i="47"/>
  <c r="A2186" i="47"/>
  <c r="A2187" i="47"/>
  <c r="A2188" i="47"/>
  <c r="A2189" i="47"/>
  <c r="A2190" i="47"/>
  <c r="A2191" i="47"/>
  <c r="A2192" i="47"/>
  <c r="A2193" i="47"/>
  <c r="A2194" i="47"/>
  <c r="A2195" i="47"/>
  <c r="A2196" i="47"/>
  <c r="A2197" i="47"/>
  <c r="A2198" i="47"/>
  <c r="A2199" i="47"/>
  <c r="A2200" i="47"/>
  <c r="A2201" i="47"/>
  <c r="A2202" i="47"/>
  <c r="A2203" i="47"/>
  <c r="A2204" i="47"/>
  <c r="A2205" i="47"/>
  <c r="A2206" i="47"/>
  <c r="A2207" i="47"/>
  <c r="A2208" i="47"/>
  <c r="A2209" i="47"/>
  <c r="A2210" i="47"/>
  <c r="A2211" i="47"/>
  <c r="A2212" i="47"/>
  <c r="A2213" i="47"/>
  <c r="A2214" i="47"/>
  <c r="A2215" i="47"/>
  <c r="A2216" i="47"/>
  <c r="A2217" i="47"/>
  <c r="A2218" i="47"/>
  <c r="A2219" i="47"/>
  <c r="A2220" i="47"/>
  <c r="A2221" i="47"/>
  <c r="A2222" i="47"/>
  <c r="A2223" i="47"/>
  <c r="A2224" i="47"/>
  <c r="A2225" i="47"/>
  <c r="A2226" i="47"/>
  <c r="A2227" i="47"/>
  <c r="A2228" i="47"/>
  <c r="A2229" i="47"/>
  <c r="A2230" i="47"/>
  <c r="A2231" i="47"/>
  <c r="A2232" i="47"/>
  <c r="A2168" i="47" l="1"/>
  <c r="A2169" i="47"/>
  <c r="A2170" i="47"/>
  <c r="A2171" i="47"/>
  <c r="A2172" i="47"/>
  <c r="A2173" i="47"/>
  <c r="A2174" i="47"/>
  <c r="A2175" i="47"/>
  <c r="A2176" i="47"/>
  <c r="A2177" i="47"/>
  <c r="A2178" i="47"/>
  <c r="A2179" i="47"/>
  <c r="A2180" i="47"/>
  <c r="A2119" i="47"/>
  <c r="A2120" i="47"/>
  <c r="A2121" i="47"/>
  <c r="A2122" i="47"/>
  <c r="A2123" i="47"/>
  <c r="A2124" i="47"/>
  <c r="A2125" i="47"/>
  <c r="A2126" i="47"/>
  <c r="A2127" i="47"/>
  <c r="A2128" i="47"/>
  <c r="A2129" i="47"/>
  <c r="A2130" i="47"/>
  <c r="A2131" i="47"/>
  <c r="A2132" i="47"/>
  <c r="A2133" i="47"/>
  <c r="A2134" i="47"/>
  <c r="A2135" i="47"/>
  <c r="A2136" i="47"/>
  <c r="A2137" i="47"/>
  <c r="A2138" i="47"/>
  <c r="A2139" i="47"/>
  <c r="A2140" i="47"/>
  <c r="A2141" i="47"/>
  <c r="A2142" i="47"/>
  <c r="A2143" i="47"/>
  <c r="A2144" i="47"/>
  <c r="A2145" i="47"/>
  <c r="A2146" i="47"/>
  <c r="A2147" i="47"/>
  <c r="A2148" i="47"/>
  <c r="A2149" i="47"/>
  <c r="A2150" i="47"/>
  <c r="A2151" i="47"/>
  <c r="A2152" i="47"/>
  <c r="A2153" i="47"/>
  <c r="A2154" i="47"/>
  <c r="A2155" i="47"/>
  <c r="A2156" i="47"/>
  <c r="A2157" i="47"/>
  <c r="A2158" i="47"/>
  <c r="A2159" i="47"/>
  <c r="A2160" i="47"/>
  <c r="A2161" i="47"/>
  <c r="A2162" i="47"/>
  <c r="A2163" i="47"/>
  <c r="A2164" i="47"/>
  <c r="A2165" i="47"/>
  <c r="A2166" i="47"/>
  <c r="A2167" i="47"/>
  <c r="A2067" i="47" l="1"/>
  <c r="A2068" i="47"/>
  <c r="A2069" i="47"/>
  <c r="A2070" i="47"/>
  <c r="A2071" i="47"/>
  <c r="A2072" i="47"/>
  <c r="A2073" i="47"/>
  <c r="A2074" i="47"/>
  <c r="A2075" i="47"/>
  <c r="A2076" i="47"/>
  <c r="A2077" i="47"/>
  <c r="A2078" i="47"/>
  <c r="A2079" i="47"/>
  <c r="A2080" i="47"/>
  <c r="A2081" i="47"/>
  <c r="A2082" i="47"/>
  <c r="A2083" i="47"/>
  <c r="A2084" i="47"/>
  <c r="A2085" i="47"/>
  <c r="A2086" i="47"/>
  <c r="A2087" i="47"/>
  <c r="A2088" i="47"/>
  <c r="A2089" i="47"/>
  <c r="A2090" i="47"/>
  <c r="A2091" i="47"/>
  <c r="A2092" i="47"/>
  <c r="A2093" i="47"/>
  <c r="A2094" i="47"/>
  <c r="A2095" i="47"/>
  <c r="A2096" i="47"/>
  <c r="A2097" i="47"/>
  <c r="A2098" i="47"/>
  <c r="A2099" i="47"/>
  <c r="A2100" i="47"/>
  <c r="A2101" i="47"/>
  <c r="A2102" i="47"/>
  <c r="A2103" i="47"/>
  <c r="A2104" i="47"/>
  <c r="A2105" i="47"/>
  <c r="A2106" i="47"/>
  <c r="A2107" i="47"/>
  <c r="A2108" i="47"/>
  <c r="A2109" i="47"/>
  <c r="A2110" i="47"/>
  <c r="A2111" i="47"/>
  <c r="A2112" i="47"/>
  <c r="A2113" i="47"/>
  <c r="A2114" i="47"/>
  <c r="A2115" i="47"/>
  <c r="A2116" i="47"/>
  <c r="A2117" i="47"/>
  <c r="A2118" i="47"/>
  <c r="A2018" i="47" l="1"/>
  <c r="A2019" i="47"/>
  <c r="A2020" i="47"/>
  <c r="A2021" i="47"/>
  <c r="A2022" i="47"/>
  <c r="A2023" i="47"/>
  <c r="A2024" i="47"/>
  <c r="A2025" i="47"/>
  <c r="A2026" i="47"/>
  <c r="A2027" i="47"/>
  <c r="A2028" i="47"/>
  <c r="A2029" i="47"/>
  <c r="A2030" i="47"/>
  <c r="A2031" i="47"/>
  <c r="A2032" i="47"/>
  <c r="A2033" i="47"/>
  <c r="A2034" i="47"/>
  <c r="A2035" i="47"/>
  <c r="A2036" i="47"/>
  <c r="A2037" i="47"/>
  <c r="A2038" i="47"/>
  <c r="A2039" i="47"/>
  <c r="A2040" i="47"/>
  <c r="A2041" i="47"/>
  <c r="A2042" i="47"/>
  <c r="A2043" i="47"/>
  <c r="A2044" i="47"/>
  <c r="A2045" i="47"/>
  <c r="A2046" i="47"/>
  <c r="A2047" i="47"/>
  <c r="A2048" i="47"/>
  <c r="A2049" i="47"/>
  <c r="A2050" i="47"/>
  <c r="A2051" i="47"/>
  <c r="A2052" i="47"/>
  <c r="A2053" i="47"/>
  <c r="A2054" i="47"/>
  <c r="A2055" i="47"/>
  <c r="A2056" i="47"/>
  <c r="A2057" i="47"/>
  <c r="A2058" i="47"/>
  <c r="A2059" i="47"/>
  <c r="A2060" i="47"/>
  <c r="A2061" i="47"/>
  <c r="A2062" i="47"/>
  <c r="A2063" i="47"/>
  <c r="A2064" i="47"/>
  <c r="A2065" i="47"/>
  <c r="A2066" i="47"/>
  <c r="A1968" i="47" l="1"/>
  <c r="A1969" i="47"/>
  <c r="A1970" i="47"/>
  <c r="A1971" i="47"/>
  <c r="A1972" i="47"/>
  <c r="A1973" i="47"/>
  <c r="A1974" i="47"/>
  <c r="A1975" i="47"/>
  <c r="A1976" i="47"/>
  <c r="A1977" i="47"/>
  <c r="A1978" i="47"/>
  <c r="A1979" i="47"/>
  <c r="A1980" i="47"/>
  <c r="A1981" i="47"/>
  <c r="A1982" i="47"/>
  <c r="A1983" i="47"/>
  <c r="A1984" i="47"/>
  <c r="A1985" i="47"/>
  <c r="A1986" i="47"/>
  <c r="A1987" i="47"/>
  <c r="A1988" i="47"/>
  <c r="A1989" i="47"/>
  <c r="A1990" i="47"/>
  <c r="A1991" i="47"/>
  <c r="A1992" i="47"/>
  <c r="A1993" i="47"/>
  <c r="A1994" i="47"/>
  <c r="A1995" i="47"/>
  <c r="A1996" i="47"/>
  <c r="A1997" i="47"/>
  <c r="A1998" i="47"/>
  <c r="A1999" i="47"/>
  <c r="A2000" i="47"/>
  <c r="A2001" i="47"/>
  <c r="A2002" i="47"/>
  <c r="A2003" i="47"/>
  <c r="A2004" i="47"/>
  <c r="A2005" i="47"/>
  <c r="A2006" i="47"/>
  <c r="A2007" i="47"/>
  <c r="A2008" i="47"/>
  <c r="A2009" i="47"/>
  <c r="A2010" i="47"/>
  <c r="A2011" i="47"/>
  <c r="A2012" i="47"/>
  <c r="A2013" i="47"/>
  <c r="A2014" i="47"/>
  <c r="A2015" i="47"/>
  <c r="A2016" i="47"/>
  <c r="A2017" i="47"/>
  <c r="A1918" i="47"/>
  <c r="A1919" i="47"/>
  <c r="A1920" i="47"/>
  <c r="A1921" i="47"/>
  <c r="A1922" i="47"/>
  <c r="A1923" i="47"/>
  <c r="A1924" i="47"/>
  <c r="A1925" i="47"/>
  <c r="A1926" i="47"/>
  <c r="A1927" i="47"/>
  <c r="A1928" i="47"/>
  <c r="A1929" i="47"/>
  <c r="A1930" i="47"/>
  <c r="A1931" i="47"/>
  <c r="A1932" i="47"/>
  <c r="A1933" i="47"/>
  <c r="A1934" i="47"/>
  <c r="A1935" i="47"/>
  <c r="A1936" i="47"/>
  <c r="A1937" i="47"/>
  <c r="A1938" i="47"/>
  <c r="A1939" i="47"/>
  <c r="A1940" i="47"/>
  <c r="A1941" i="47"/>
  <c r="A1942" i="47"/>
  <c r="A1943" i="47"/>
  <c r="A1944" i="47"/>
  <c r="A1945" i="47"/>
  <c r="A1946" i="47"/>
  <c r="A1947" i="47"/>
  <c r="A1948" i="47"/>
  <c r="A1949" i="47"/>
  <c r="A1950" i="47"/>
  <c r="A1951" i="47"/>
  <c r="A1952" i="47"/>
  <c r="A1953" i="47"/>
  <c r="A1954" i="47"/>
  <c r="A1955" i="47"/>
  <c r="A1956" i="47"/>
  <c r="A1957" i="47"/>
  <c r="A1958" i="47"/>
  <c r="A1959" i="47"/>
  <c r="A1960" i="47"/>
  <c r="A1961" i="47"/>
  <c r="A1962" i="47"/>
  <c r="A1963" i="47"/>
  <c r="A1964" i="47"/>
  <c r="A1965" i="47"/>
  <c r="A1966" i="47"/>
  <c r="A1967" i="47"/>
  <c r="A1845" i="47" l="1"/>
  <c r="A1846" i="47"/>
  <c r="A1847" i="47"/>
  <c r="A1848" i="47"/>
  <c r="A1849" i="47"/>
  <c r="A1850" i="47"/>
  <c r="A1851" i="47"/>
  <c r="A1852" i="47"/>
  <c r="A1853" i="47"/>
  <c r="A1854" i="47"/>
  <c r="A1855" i="47"/>
  <c r="A1856" i="47"/>
  <c r="A1857" i="47"/>
  <c r="A1858" i="47"/>
  <c r="A1859" i="47"/>
  <c r="A1860" i="47"/>
  <c r="A1861" i="47"/>
  <c r="A1862" i="47"/>
  <c r="A1863" i="47"/>
  <c r="A1864" i="47"/>
  <c r="A1865" i="47"/>
  <c r="A1866" i="47"/>
  <c r="A1867" i="47"/>
  <c r="A1868" i="47"/>
  <c r="A1869" i="47"/>
  <c r="A1870" i="47"/>
  <c r="A1871" i="47"/>
  <c r="A1872" i="47"/>
  <c r="A1873" i="47"/>
  <c r="A1874" i="47"/>
  <c r="A1875" i="47"/>
  <c r="A1876" i="47"/>
  <c r="A1877" i="47"/>
  <c r="A1878" i="47"/>
  <c r="A1879" i="47"/>
  <c r="A1880" i="47"/>
  <c r="A1881" i="47"/>
  <c r="A1882" i="47"/>
  <c r="A1883" i="47"/>
  <c r="A1884" i="47"/>
  <c r="A1885" i="47"/>
  <c r="A1886" i="47"/>
  <c r="A1887" i="47"/>
  <c r="A1888" i="47"/>
  <c r="A1889" i="47"/>
  <c r="A1890" i="47"/>
  <c r="A1891" i="47"/>
  <c r="A1892" i="47"/>
  <c r="A1893" i="47"/>
  <c r="A1894" i="47"/>
  <c r="A1895" i="47"/>
  <c r="A1896" i="47"/>
  <c r="A1897" i="47"/>
  <c r="A1898" i="47"/>
  <c r="A1899" i="47"/>
  <c r="A1900" i="47"/>
  <c r="A1901" i="47"/>
  <c r="A1902" i="47"/>
  <c r="A1903" i="47"/>
  <c r="A1904" i="47"/>
  <c r="A1905" i="47"/>
  <c r="A1906" i="47"/>
  <c r="A1907" i="47"/>
  <c r="A1908" i="47"/>
  <c r="A1909" i="47"/>
  <c r="A1910" i="47"/>
  <c r="A1911" i="47"/>
  <c r="A1912" i="47"/>
  <c r="A1913" i="47"/>
  <c r="A1914" i="47"/>
  <c r="A1915" i="47"/>
  <c r="A1916" i="47"/>
  <c r="A1917" i="47"/>
  <c r="A1831" i="47" l="1"/>
  <c r="A1832" i="47"/>
  <c r="A1833" i="47"/>
  <c r="A1834" i="47"/>
  <c r="A1835" i="47"/>
  <c r="A1836" i="47"/>
  <c r="A1837" i="47"/>
  <c r="A1838" i="47"/>
  <c r="A1839" i="47"/>
  <c r="A1840" i="47"/>
  <c r="A1841" i="47"/>
  <c r="A1842" i="47"/>
  <c r="A1843" i="47"/>
  <c r="A1844" i="47"/>
  <c r="A1789" i="47"/>
  <c r="A1790" i="47"/>
  <c r="A1791" i="47"/>
  <c r="A1792" i="47"/>
  <c r="A1793" i="47"/>
  <c r="A1794" i="47"/>
  <c r="A1795" i="47"/>
  <c r="A1796" i="47"/>
  <c r="A1797" i="47"/>
  <c r="A1798" i="47"/>
  <c r="A1799" i="47"/>
  <c r="A1800" i="47"/>
  <c r="A1801" i="47"/>
  <c r="A1802" i="47"/>
  <c r="A1803" i="47"/>
  <c r="A1804" i="47"/>
  <c r="A1805" i="47"/>
  <c r="A1806" i="47"/>
  <c r="A1807" i="47"/>
  <c r="A1808" i="47"/>
  <c r="A1809" i="47"/>
  <c r="A1810" i="47"/>
  <c r="A1811" i="47"/>
  <c r="A1812" i="47"/>
  <c r="A1813" i="47"/>
  <c r="A1814" i="47"/>
  <c r="A1815" i="47"/>
  <c r="A1816" i="47"/>
  <c r="A1817" i="47"/>
  <c r="A1818" i="47"/>
  <c r="A1819" i="47"/>
  <c r="A1820" i="47"/>
  <c r="A1821" i="47"/>
  <c r="A1822" i="47"/>
  <c r="A1823" i="47"/>
  <c r="A1824" i="47"/>
  <c r="A1825" i="47"/>
  <c r="A1826" i="47"/>
  <c r="A1827" i="47"/>
  <c r="A1828" i="47"/>
  <c r="A1829" i="47"/>
  <c r="A1830" i="47"/>
  <c r="A1740" i="47" l="1"/>
  <c r="A1741" i="47"/>
  <c r="A1742" i="47"/>
  <c r="A1743" i="47"/>
  <c r="A1744" i="47"/>
  <c r="A1745" i="47"/>
  <c r="A1746" i="47"/>
  <c r="A1747" i="47"/>
  <c r="A1748" i="47"/>
  <c r="A1749" i="47"/>
  <c r="A1750" i="47"/>
  <c r="A1751" i="47"/>
  <c r="A1752" i="47"/>
  <c r="A1753" i="47"/>
  <c r="A1754" i="47"/>
  <c r="A1755" i="47"/>
  <c r="A1756" i="47"/>
  <c r="A1757" i="47"/>
  <c r="A1758" i="47"/>
  <c r="A1759" i="47"/>
  <c r="A1760" i="47"/>
  <c r="A1761" i="47"/>
  <c r="A1762" i="47"/>
  <c r="A1763" i="47"/>
  <c r="A1764" i="47"/>
  <c r="A1765" i="47"/>
  <c r="A1766" i="47"/>
  <c r="A1767" i="47"/>
  <c r="A1768" i="47"/>
  <c r="A1769" i="47"/>
  <c r="A1770" i="47"/>
  <c r="A1771" i="47"/>
  <c r="A1772" i="47"/>
  <c r="A1773" i="47"/>
  <c r="A1774" i="47"/>
  <c r="A1775" i="47"/>
  <c r="A1776" i="47"/>
  <c r="A1777" i="47"/>
  <c r="A1778" i="47"/>
  <c r="A1779" i="47"/>
  <c r="A1780" i="47"/>
  <c r="A1781" i="47"/>
  <c r="A1782" i="47"/>
  <c r="A1783" i="47"/>
  <c r="A1784" i="47"/>
  <c r="A1785" i="47"/>
  <c r="A1786" i="47"/>
  <c r="A1787" i="47"/>
  <c r="A1788" i="47"/>
  <c r="A1694" i="47" l="1"/>
  <c r="A1695" i="47"/>
  <c r="A1696" i="47"/>
  <c r="A1697" i="47"/>
  <c r="A1698" i="47"/>
  <c r="A1699" i="47"/>
  <c r="A1700" i="47"/>
  <c r="A1701" i="47"/>
  <c r="A1702" i="47"/>
  <c r="A1703" i="47"/>
  <c r="A1704" i="47"/>
  <c r="A1705" i="47"/>
  <c r="A1706" i="47"/>
  <c r="A1707" i="47"/>
  <c r="A1708" i="47"/>
  <c r="A1709" i="47"/>
  <c r="A1710" i="47"/>
  <c r="A1711" i="47"/>
  <c r="A1712" i="47"/>
  <c r="A1713" i="47"/>
  <c r="A1714" i="47"/>
  <c r="A1715" i="47"/>
  <c r="A1716" i="47"/>
  <c r="A1717" i="47"/>
  <c r="A1718" i="47"/>
  <c r="A1719" i="47"/>
  <c r="A1720" i="47"/>
  <c r="A1721" i="47"/>
  <c r="A1722" i="47"/>
  <c r="A1723" i="47"/>
  <c r="A1724" i="47"/>
  <c r="A1725" i="47"/>
  <c r="A1726" i="47"/>
  <c r="A1727" i="47"/>
  <c r="A1728" i="47"/>
  <c r="A1729" i="47"/>
  <c r="A1730" i="47"/>
  <c r="A1731" i="47"/>
  <c r="A1732" i="47"/>
  <c r="A1733" i="47"/>
  <c r="A1734" i="47"/>
  <c r="A1735" i="47"/>
  <c r="A1736" i="47"/>
  <c r="A1737" i="47"/>
  <c r="A1738" i="47"/>
  <c r="A1739" i="47"/>
  <c r="A1649" i="47" l="1"/>
  <c r="A1650" i="47"/>
  <c r="A1651" i="47"/>
  <c r="A1652" i="47"/>
  <c r="A1653" i="47"/>
  <c r="A1654" i="47"/>
  <c r="A1655" i="47"/>
  <c r="A1656" i="47"/>
  <c r="A1657" i="47"/>
  <c r="A1658" i="47"/>
  <c r="A1659" i="47"/>
  <c r="A1660" i="47"/>
  <c r="A1661" i="47"/>
  <c r="A1662" i="47"/>
  <c r="A1663" i="47"/>
  <c r="A1664" i="47"/>
  <c r="A1665" i="47"/>
  <c r="A1666" i="47"/>
  <c r="A1667" i="47"/>
  <c r="A1668" i="47"/>
  <c r="A1669" i="47"/>
  <c r="A1670" i="47"/>
  <c r="A1671" i="47"/>
  <c r="A1672" i="47"/>
  <c r="A1673" i="47"/>
  <c r="A1674" i="47"/>
  <c r="A1675" i="47"/>
  <c r="A1676" i="47"/>
  <c r="A1677" i="47"/>
  <c r="A1678" i="47"/>
  <c r="A1679" i="47"/>
  <c r="A1680" i="47"/>
  <c r="A1681" i="47"/>
  <c r="A1682" i="47"/>
  <c r="A1683" i="47"/>
  <c r="A1684" i="47"/>
  <c r="A1685" i="47"/>
  <c r="A1686" i="47"/>
  <c r="A1687" i="47"/>
  <c r="A1688" i="47"/>
  <c r="A1689" i="47"/>
  <c r="A1690" i="47"/>
  <c r="A1691" i="47"/>
  <c r="A1692" i="47"/>
  <c r="A1693" i="47"/>
  <c r="A1603" i="47" l="1"/>
  <c r="A1604" i="47"/>
  <c r="A1605" i="47"/>
  <c r="A1606" i="47"/>
  <c r="A1607" i="47"/>
  <c r="A1608" i="47"/>
  <c r="A1609" i="47"/>
  <c r="A1610" i="47"/>
  <c r="A1611" i="47"/>
  <c r="A1612" i="47"/>
  <c r="A1613" i="47"/>
  <c r="A1614" i="47"/>
  <c r="A1615" i="47"/>
  <c r="A1616" i="47"/>
  <c r="A1617" i="47"/>
  <c r="A1618" i="47"/>
  <c r="A1619" i="47"/>
  <c r="A1620" i="47"/>
  <c r="A1621" i="47"/>
  <c r="A1622" i="47"/>
  <c r="A1623" i="47"/>
  <c r="A1624" i="47"/>
  <c r="A1625" i="47"/>
  <c r="A1626" i="47"/>
  <c r="A1627" i="47"/>
  <c r="A1628" i="47"/>
  <c r="A1629" i="47"/>
  <c r="A1630" i="47"/>
  <c r="A1631" i="47"/>
  <c r="A1632" i="47"/>
  <c r="A1633" i="47"/>
  <c r="A1634" i="47"/>
  <c r="A1635" i="47"/>
  <c r="A1636" i="47"/>
  <c r="A1637" i="47"/>
  <c r="A1638" i="47"/>
  <c r="A1639" i="47"/>
  <c r="A1640" i="47"/>
  <c r="A1641" i="47"/>
  <c r="A1642" i="47"/>
  <c r="A1643" i="47"/>
  <c r="A1644" i="47"/>
  <c r="A1645" i="47"/>
  <c r="A1646" i="47"/>
  <c r="A1647" i="47"/>
  <c r="A1648" i="47"/>
  <c r="A1596" i="47" l="1"/>
  <c r="A1597" i="47"/>
  <c r="A1598" i="47"/>
  <c r="A1599" i="47"/>
  <c r="A1600" i="47"/>
  <c r="A1601" i="47"/>
  <c r="A1602" i="47"/>
  <c r="A1533" i="47"/>
  <c r="A1534" i="47"/>
  <c r="A1535" i="47"/>
  <c r="A1536" i="47"/>
  <c r="A1537" i="47"/>
  <c r="A1538" i="47"/>
  <c r="A1539" i="47"/>
  <c r="A1540" i="47"/>
  <c r="A1541" i="47"/>
  <c r="A1542" i="47"/>
  <c r="A1543" i="47"/>
  <c r="A1544" i="47"/>
  <c r="A1545" i="47"/>
  <c r="A1546" i="47"/>
  <c r="A1547" i="47"/>
  <c r="A1548" i="47"/>
  <c r="A1549" i="47"/>
  <c r="A1550" i="47"/>
  <c r="A1551" i="47"/>
  <c r="A1552" i="47"/>
  <c r="A1553" i="47"/>
  <c r="A1554" i="47"/>
  <c r="A1555" i="47"/>
  <c r="A1556" i="47"/>
  <c r="A1557" i="47"/>
  <c r="A1558" i="47"/>
  <c r="A1559" i="47"/>
  <c r="A1560" i="47"/>
  <c r="A1561" i="47"/>
  <c r="A1562" i="47"/>
  <c r="A1563" i="47"/>
  <c r="A1564" i="47"/>
  <c r="A1565" i="47"/>
  <c r="A1566" i="47"/>
  <c r="A1567" i="47"/>
  <c r="A1568" i="47"/>
  <c r="A1569" i="47"/>
  <c r="A1570" i="47"/>
  <c r="A1571" i="47"/>
  <c r="A1572" i="47"/>
  <c r="A1573" i="47"/>
  <c r="A1574" i="47"/>
  <c r="A1575" i="47"/>
  <c r="A1576" i="47"/>
  <c r="A1577" i="47"/>
  <c r="A1578" i="47"/>
  <c r="A1579" i="47"/>
  <c r="A1580" i="47"/>
  <c r="A1581" i="47"/>
  <c r="A1582" i="47"/>
  <c r="A1583" i="47"/>
  <c r="A1584" i="47"/>
  <c r="A1585" i="47"/>
  <c r="A1586" i="47"/>
  <c r="A1587" i="47"/>
  <c r="A1588" i="47"/>
  <c r="A1589" i="47"/>
  <c r="A1590" i="47"/>
  <c r="A1591" i="47"/>
  <c r="A1592" i="47"/>
  <c r="A1593" i="47"/>
  <c r="A1594" i="47"/>
  <c r="A1595" i="47"/>
  <c r="A1464" i="47"/>
  <c r="A1465" i="47"/>
  <c r="A1466" i="47"/>
  <c r="A1467" i="47"/>
  <c r="A1468" i="47"/>
  <c r="A1469" i="47"/>
  <c r="A1470" i="47"/>
  <c r="A1471" i="47"/>
  <c r="A1472" i="47"/>
  <c r="A1473" i="47"/>
  <c r="A1474" i="47"/>
  <c r="A1475" i="47"/>
  <c r="A1476" i="47"/>
  <c r="A1477" i="47"/>
  <c r="A1478" i="47"/>
  <c r="A1479" i="47"/>
  <c r="A1480" i="47"/>
  <c r="A1481" i="47"/>
  <c r="A1482" i="47"/>
  <c r="A1483" i="47"/>
  <c r="A1484" i="47"/>
  <c r="A1485" i="47"/>
  <c r="A1486" i="47"/>
  <c r="A1487" i="47"/>
  <c r="A1488" i="47"/>
  <c r="A1489" i="47"/>
  <c r="A1490" i="47"/>
  <c r="A1491" i="47"/>
  <c r="A1492" i="47"/>
  <c r="A1493" i="47"/>
  <c r="A1494" i="47"/>
  <c r="A1495" i="47"/>
  <c r="A1496" i="47"/>
  <c r="A1497" i="47"/>
  <c r="A1498" i="47"/>
  <c r="A1499" i="47"/>
  <c r="A1500" i="47"/>
  <c r="A1501" i="47"/>
  <c r="A1502" i="47"/>
  <c r="A1503" i="47"/>
  <c r="A1504" i="47"/>
  <c r="A1505" i="47"/>
  <c r="A1506" i="47"/>
  <c r="A1507" i="47"/>
  <c r="A1508" i="47"/>
  <c r="A1509" i="47"/>
  <c r="A1510" i="47"/>
  <c r="A1511" i="47"/>
  <c r="A1512" i="47"/>
  <c r="A1513" i="47"/>
  <c r="A1514" i="47"/>
  <c r="A1515" i="47"/>
  <c r="A1516" i="47"/>
  <c r="A1517" i="47"/>
  <c r="A1518" i="47"/>
  <c r="A1519" i="47"/>
  <c r="A1520" i="47"/>
  <c r="A1521" i="47"/>
  <c r="A1522" i="47"/>
  <c r="A1523" i="47"/>
  <c r="A1524" i="47"/>
  <c r="A1525" i="47"/>
  <c r="A1526" i="47"/>
  <c r="A1527" i="47"/>
  <c r="A1528" i="47"/>
  <c r="A1529" i="47"/>
  <c r="A1530" i="47"/>
  <c r="A1531" i="47"/>
  <c r="A1532" i="47"/>
  <c r="A1412" i="47" l="1"/>
  <c r="A1413" i="47"/>
  <c r="A1414" i="47"/>
  <c r="A1415" i="47"/>
  <c r="A1416" i="47"/>
  <c r="A1417" i="47"/>
  <c r="A1418" i="47"/>
  <c r="A1419" i="47"/>
  <c r="A1420" i="47"/>
  <c r="A1421" i="47"/>
  <c r="A1422" i="47"/>
  <c r="A1423" i="47"/>
  <c r="A1424" i="47"/>
  <c r="A1425" i="47"/>
  <c r="A1426" i="47"/>
  <c r="A1427" i="47"/>
  <c r="A1428" i="47"/>
  <c r="A1429" i="47"/>
  <c r="A1430" i="47"/>
  <c r="A1431" i="47"/>
  <c r="A1432" i="47"/>
  <c r="A1433" i="47"/>
  <c r="A1434" i="47"/>
  <c r="A1435" i="47"/>
  <c r="A1436" i="47"/>
  <c r="A1437" i="47"/>
  <c r="A1438" i="47"/>
  <c r="A1439" i="47"/>
  <c r="A1440" i="47"/>
  <c r="A1441" i="47"/>
  <c r="A1442" i="47"/>
  <c r="A1443" i="47"/>
  <c r="A1444" i="47"/>
  <c r="A1445" i="47"/>
  <c r="A1446" i="47"/>
  <c r="A1447" i="47"/>
  <c r="A1448" i="47"/>
  <c r="A1449" i="47"/>
  <c r="A1450" i="47"/>
  <c r="A1451" i="47"/>
  <c r="A1452" i="47"/>
  <c r="A1453" i="47"/>
  <c r="A1454" i="47"/>
  <c r="A1455" i="47"/>
  <c r="A1456" i="47"/>
  <c r="A1457" i="47"/>
  <c r="A1458" i="47"/>
  <c r="A1459" i="47"/>
  <c r="A1460" i="47"/>
  <c r="A1461" i="47"/>
  <c r="A1462" i="47"/>
  <c r="A1463" i="47"/>
  <c r="A1352" i="47" l="1"/>
  <c r="A1353" i="47"/>
  <c r="A1354" i="47"/>
  <c r="A1355" i="47"/>
  <c r="A1356" i="47"/>
  <c r="A1357" i="47"/>
  <c r="A1358" i="47"/>
  <c r="A1359" i="47"/>
  <c r="A1360" i="47"/>
  <c r="A1361" i="47"/>
  <c r="A1362" i="47"/>
  <c r="A1363" i="47"/>
  <c r="A1364" i="47"/>
  <c r="A1365" i="47"/>
  <c r="A1366" i="47"/>
  <c r="A1367" i="47"/>
  <c r="A1368" i="47"/>
  <c r="A1369" i="47"/>
  <c r="A1370" i="47"/>
  <c r="A1371" i="47"/>
  <c r="A1372" i="47"/>
  <c r="A1373" i="47"/>
  <c r="A1374" i="47"/>
  <c r="A1375" i="47"/>
  <c r="A1376" i="47"/>
  <c r="A1377" i="47"/>
  <c r="A1378" i="47"/>
  <c r="A1379" i="47"/>
  <c r="A1380" i="47"/>
  <c r="A1381" i="47"/>
  <c r="A1382" i="47"/>
  <c r="A1383" i="47"/>
  <c r="A1384" i="47"/>
  <c r="A1385" i="47"/>
  <c r="A1386" i="47"/>
  <c r="A1387" i="47"/>
  <c r="A1388" i="47"/>
  <c r="A1389" i="47"/>
  <c r="A1390" i="47"/>
  <c r="A1391" i="47"/>
  <c r="A1392" i="47"/>
  <c r="A1393" i="47"/>
  <c r="A1394" i="47"/>
  <c r="A1395" i="47"/>
  <c r="A1396" i="47"/>
  <c r="A1397" i="47"/>
  <c r="A1398" i="47"/>
  <c r="A1399" i="47"/>
  <c r="A1400" i="47"/>
  <c r="A1401" i="47"/>
  <c r="A1402" i="47"/>
  <c r="A1403" i="47"/>
  <c r="A1404" i="47"/>
  <c r="A1405" i="47"/>
  <c r="A1406" i="47"/>
  <c r="A1407" i="47"/>
  <c r="A1408" i="47"/>
  <c r="A1409" i="47"/>
  <c r="A1410" i="47"/>
  <c r="A1411" i="47"/>
  <c r="A1293" i="47" l="1"/>
  <c r="A1294" i="47"/>
  <c r="A1295" i="47"/>
  <c r="A1296" i="47"/>
  <c r="A1297" i="47"/>
  <c r="A1298" i="47"/>
  <c r="A1299" i="47"/>
  <c r="A1300" i="47"/>
  <c r="A1301" i="47"/>
  <c r="A1302" i="47"/>
  <c r="A1303" i="47"/>
  <c r="A1304" i="47"/>
  <c r="A1305" i="47"/>
  <c r="A1306" i="47"/>
  <c r="A1307" i="47"/>
  <c r="A1308" i="47"/>
  <c r="A1309" i="47"/>
  <c r="A1310" i="47"/>
  <c r="A1311" i="47"/>
  <c r="A1312" i="47"/>
  <c r="A1313" i="47"/>
  <c r="A1314" i="47"/>
  <c r="A1315" i="47"/>
  <c r="A1316" i="47"/>
  <c r="A1317" i="47"/>
  <c r="A1318" i="47"/>
  <c r="A1319" i="47"/>
  <c r="A1320" i="47"/>
  <c r="A1321" i="47"/>
  <c r="A1322" i="47"/>
  <c r="A1323" i="47"/>
  <c r="A1324" i="47"/>
  <c r="A1325" i="47"/>
  <c r="A1326" i="47"/>
  <c r="A1327" i="47"/>
  <c r="A1328" i="47"/>
  <c r="A1329" i="47"/>
  <c r="A1330" i="47"/>
  <c r="A1331" i="47"/>
  <c r="A1332" i="47"/>
  <c r="A1333" i="47"/>
  <c r="A1334" i="47"/>
  <c r="A1335" i="47"/>
  <c r="A1336" i="47"/>
  <c r="A1337" i="47"/>
  <c r="A1338" i="47"/>
  <c r="A1339" i="47"/>
  <c r="A1340" i="47"/>
  <c r="A1341" i="47"/>
  <c r="A1342" i="47"/>
  <c r="A1343" i="47"/>
  <c r="A1344" i="47"/>
  <c r="A1345" i="47"/>
  <c r="A1346" i="47"/>
  <c r="A1347" i="47"/>
  <c r="A1348" i="47"/>
  <c r="A1349" i="47"/>
  <c r="A1350" i="47"/>
  <c r="A1351" i="47"/>
  <c r="A1232" i="47" l="1"/>
  <c r="A1233" i="47"/>
  <c r="A1234" i="47"/>
  <c r="A1235" i="47"/>
  <c r="A1236" i="47"/>
  <c r="A1237" i="47"/>
  <c r="A1238" i="47"/>
  <c r="A1239" i="47"/>
  <c r="A1240" i="47"/>
  <c r="A1241" i="47"/>
  <c r="A1242" i="47"/>
  <c r="A1243" i="47"/>
  <c r="A1244" i="47"/>
  <c r="A1245" i="47"/>
  <c r="A1246" i="47"/>
  <c r="A1247" i="47"/>
  <c r="A1248" i="47"/>
  <c r="A1249" i="47"/>
  <c r="A1250" i="47"/>
  <c r="A1251" i="47"/>
  <c r="A1252" i="47"/>
  <c r="A1253" i="47"/>
  <c r="A1254" i="47"/>
  <c r="A1255" i="47"/>
  <c r="A1256" i="47"/>
  <c r="A1257" i="47"/>
  <c r="A1258" i="47"/>
  <c r="A1259" i="47"/>
  <c r="A1260" i="47"/>
  <c r="A1261" i="47"/>
  <c r="A1262" i="47"/>
  <c r="A1263" i="47"/>
  <c r="A1264" i="47"/>
  <c r="A1265" i="47"/>
  <c r="A1266" i="47"/>
  <c r="A1267" i="47"/>
  <c r="A1268" i="47"/>
  <c r="A1269" i="47"/>
  <c r="A1270" i="47"/>
  <c r="A1271" i="47"/>
  <c r="A1272" i="47"/>
  <c r="A1273" i="47"/>
  <c r="A1274" i="47"/>
  <c r="A1275" i="47"/>
  <c r="A1276" i="47"/>
  <c r="A1277" i="47"/>
  <c r="A1278" i="47"/>
  <c r="A1279" i="47"/>
  <c r="A1280" i="47"/>
  <c r="A1281" i="47"/>
  <c r="A1282" i="47"/>
  <c r="A1283" i="47"/>
  <c r="A1284" i="47"/>
  <c r="A1285" i="47"/>
  <c r="A1286" i="47"/>
  <c r="A1287" i="47"/>
  <c r="A1288" i="47"/>
  <c r="A1289" i="47"/>
  <c r="A1290" i="47"/>
  <c r="A1291" i="47"/>
  <c r="A1292" i="47"/>
  <c r="A1180" i="47" l="1"/>
  <c r="A1181" i="47"/>
  <c r="A1182" i="47"/>
  <c r="A1183" i="47"/>
  <c r="A1184" i="47"/>
  <c r="A1185" i="47"/>
  <c r="A1186" i="47"/>
  <c r="A1187" i="47"/>
  <c r="A1188" i="47"/>
  <c r="A1189" i="47"/>
  <c r="A1190" i="47"/>
  <c r="A1191" i="47"/>
  <c r="A1192" i="47"/>
  <c r="A1193" i="47"/>
  <c r="A1194" i="47"/>
  <c r="A1195" i="47"/>
  <c r="A1196" i="47"/>
  <c r="A1197" i="47"/>
  <c r="A1198" i="47"/>
  <c r="A1199" i="47"/>
  <c r="A1200" i="47"/>
  <c r="A1201" i="47"/>
  <c r="A1202" i="47"/>
  <c r="A1203" i="47"/>
  <c r="A1204" i="47"/>
  <c r="A1205" i="47"/>
  <c r="A1206" i="47"/>
  <c r="A1207" i="47"/>
  <c r="A1208" i="47"/>
  <c r="A1209" i="47"/>
  <c r="A1210" i="47"/>
  <c r="A1211" i="47"/>
  <c r="A1212" i="47"/>
  <c r="A1213" i="47"/>
  <c r="A1214" i="47"/>
  <c r="A1215" i="47"/>
  <c r="A1216" i="47"/>
  <c r="A1217" i="47"/>
  <c r="A1218" i="47"/>
  <c r="A1219" i="47"/>
  <c r="A1220" i="47"/>
  <c r="A1221" i="47"/>
  <c r="A1222" i="47"/>
  <c r="A1223" i="47"/>
  <c r="A1224" i="47"/>
  <c r="A1225" i="47"/>
  <c r="A1226" i="47"/>
  <c r="A1227" i="47"/>
  <c r="A1228" i="47"/>
  <c r="A1229" i="47"/>
  <c r="A1230" i="47"/>
  <c r="A1231" i="47"/>
  <c r="A1108" i="47" l="1"/>
  <c r="A1109" i="47"/>
  <c r="A1110" i="47"/>
  <c r="A1111" i="47"/>
  <c r="A1112" i="47"/>
  <c r="A1113" i="47"/>
  <c r="A1114" i="47"/>
  <c r="A1115" i="47"/>
  <c r="A1116" i="47"/>
  <c r="A1117" i="47"/>
  <c r="A1118" i="47"/>
  <c r="A1119" i="47"/>
  <c r="A1120" i="47"/>
  <c r="A1121" i="47"/>
  <c r="A1122" i="47"/>
  <c r="A1123" i="47"/>
  <c r="A1124" i="47"/>
  <c r="A1125" i="47"/>
  <c r="A1126" i="47"/>
  <c r="A1127" i="47"/>
  <c r="A1128" i="47"/>
  <c r="A1129" i="47"/>
  <c r="A1130" i="47"/>
  <c r="A1131" i="47"/>
  <c r="A1132" i="47"/>
  <c r="A1133" i="47"/>
  <c r="A1134" i="47"/>
  <c r="A1135" i="47"/>
  <c r="A1136" i="47"/>
  <c r="A1137" i="47"/>
  <c r="A1138" i="47"/>
  <c r="A1139" i="47"/>
  <c r="A1140" i="47"/>
  <c r="A1141" i="47"/>
  <c r="A1142" i="47"/>
  <c r="A1143" i="47"/>
  <c r="A1144" i="47"/>
  <c r="A1145" i="47"/>
  <c r="A1146" i="47"/>
  <c r="A1147" i="47"/>
  <c r="A1148" i="47"/>
  <c r="A1149" i="47"/>
  <c r="A1150" i="47"/>
  <c r="A1151" i="47"/>
  <c r="A1152" i="47"/>
  <c r="A1153" i="47"/>
  <c r="A1154" i="47"/>
  <c r="A1155" i="47"/>
  <c r="A1156" i="47"/>
  <c r="A1157" i="47"/>
  <c r="A1158" i="47"/>
  <c r="A1159" i="47"/>
  <c r="A1160" i="47"/>
  <c r="A1161" i="47"/>
  <c r="A1162" i="47"/>
  <c r="A1163" i="47"/>
  <c r="A1164" i="47"/>
  <c r="A1165" i="47"/>
  <c r="A1166" i="47"/>
  <c r="A1167" i="47"/>
  <c r="A1168" i="47"/>
  <c r="A1169" i="47"/>
  <c r="A1170" i="47"/>
  <c r="A1171" i="47"/>
  <c r="A1172" i="47"/>
  <c r="A1173" i="47"/>
  <c r="A1174" i="47"/>
  <c r="A1175" i="47"/>
  <c r="A1176" i="47"/>
  <c r="A1177" i="47"/>
  <c r="A1178" i="47"/>
  <c r="A1179" i="47"/>
  <c r="A1092" i="47" l="1"/>
  <c r="A1093" i="47"/>
  <c r="A1094" i="47"/>
  <c r="A1095" i="47"/>
  <c r="A1096" i="47"/>
  <c r="A1097" i="47"/>
  <c r="A1098" i="47"/>
  <c r="A1099" i="47"/>
  <c r="A1100" i="47"/>
  <c r="A1101" i="47"/>
  <c r="A1102" i="47"/>
  <c r="A1103" i="47"/>
  <c r="A1104" i="47"/>
  <c r="A1105" i="47"/>
  <c r="A1106" i="47"/>
  <c r="A1107" i="47"/>
  <c r="A1010" i="47"/>
  <c r="A1011" i="47"/>
  <c r="A1012" i="47"/>
  <c r="A1013" i="47"/>
  <c r="A1014" i="47"/>
  <c r="A1015" i="47"/>
  <c r="A1016" i="47"/>
  <c r="A1017" i="47"/>
  <c r="A1018" i="47"/>
  <c r="A1019" i="47"/>
  <c r="A1020" i="47"/>
  <c r="A1021" i="47"/>
  <c r="A1022" i="47"/>
  <c r="A1023" i="47"/>
  <c r="A1024" i="47"/>
  <c r="A1025" i="47"/>
  <c r="A1026" i="47"/>
  <c r="A1027" i="47"/>
  <c r="A1028" i="47"/>
  <c r="A1029" i="47"/>
  <c r="A1030" i="47"/>
  <c r="A1031" i="47"/>
  <c r="A1032" i="47"/>
  <c r="A1033" i="47"/>
  <c r="A1034" i="47"/>
  <c r="A1035" i="47"/>
  <c r="A1036" i="47"/>
  <c r="A1037" i="47"/>
  <c r="A1038" i="47"/>
  <c r="A1039" i="47"/>
  <c r="A1040" i="47"/>
  <c r="A1041" i="47"/>
  <c r="A1042" i="47"/>
  <c r="A1043" i="47"/>
  <c r="A1044" i="47"/>
  <c r="A1045" i="47"/>
  <c r="A1046" i="47"/>
  <c r="A1047" i="47"/>
  <c r="A1048" i="47"/>
  <c r="A1049" i="47"/>
  <c r="A1050" i="47"/>
  <c r="A1051" i="47"/>
  <c r="A1052" i="47"/>
  <c r="A1053" i="47"/>
  <c r="A1054" i="47"/>
  <c r="A1055" i="47"/>
  <c r="A1056" i="47"/>
  <c r="A1057" i="47"/>
  <c r="A1058" i="47"/>
  <c r="A1059" i="47"/>
  <c r="A1060" i="47"/>
  <c r="A1061" i="47"/>
  <c r="A1062" i="47"/>
  <c r="A1063" i="47"/>
  <c r="A1064" i="47"/>
  <c r="A1065" i="47"/>
  <c r="A1066" i="47"/>
  <c r="A1067" i="47"/>
  <c r="A1068" i="47"/>
  <c r="A1069" i="47"/>
  <c r="A1070" i="47"/>
  <c r="A1071" i="47"/>
  <c r="A1072" i="47"/>
  <c r="A1073" i="47"/>
  <c r="A1074" i="47"/>
  <c r="A1075" i="47"/>
  <c r="A1076" i="47"/>
  <c r="A1077" i="47"/>
  <c r="A1078" i="47"/>
  <c r="A1079" i="47"/>
  <c r="A1080" i="47"/>
  <c r="A1081" i="47"/>
  <c r="A1082" i="47"/>
  <c r="A1083" i="47"/>
  <c r="A1084" i="47"/>
  <c r="A1085" i="47"/>
  <c r="A1086" i="47"/>
  <c r="A1087" i="47"/>
  <c r="A1088" i="47"/>
  <c r="A1089" i="47"/>
  <c r="A1090" i="47"/>
  <c r="A1091" i="47"/>
  <c r="A967" i="47" l="1"/>
  <c r="A968" i="47"/>
  <c r="A969" i="47"/>
  <c r="A970" i="47"/>
  <c r="A971" i="47"/>
  <c r="A972" i="47"/>
  <c r="A973" i="47"/>
  <c r="A974" i="47"/>
  <c r="A975" i="47"/>
  <c r="A976" i="47"/>
  <c r="A977" i="47"/>
  <c r="A978" i="47"/>
  <c r="A979" i="47"/>
  <c r="A980" i="47"/>
  <c r="A981" i="47"/>
  <c r="A982" i="47"/>
  <c r="A983" i="47"/>
  <c r="A984" i="47"/>
  <c r="A985" i="47"/>
  <c r="A986" i="47"/>
  <c r="A987" i="47"/>
  <c r="A988" i="47"/>
  <c r="A989" i="47"/>
  <c r="A990" i="47"/>
  <c r="A991" i="47"/>
  <c r="A992" i="47"/>
  <c r="A993" i="47"/>
  <c r="A994" i="47"/>
  <c r="A995" i="47"/>
  <c r="A996" i="47"/>
  <c r="A997" i="47"/>
  <c r="A998" i="47"/>
  <c r="A999" i="47"/>
  <c r="A1000" i="47"/>
  <c r="A1001" i="47"/>
  <c r="A1002" i="47"/>
  <c r="A1003" i="47"/>
  <c r="A1004" i="47"/>
  <c r="A1005" i="47"/>
  <c r="A1006" i="47"/>
  <c r="A1007" i="47"/>
  <c r="A1008" i="47"/>
  <c r="A1009" i="47"/>
  <c r="A915" i="47" l="1"/>
  <c r="A916" i="47"/>
  <c r="A917" i="47"/>
  <c r="A918" i="47"/>
  <c r="A919" i="47"/>
  <c r="A920" i="47"/>
  <c r="A921" i="47"/>
  <c r="A922" i="47"/>
  <c r="A923" i="47"/>
  <c r="A924" i="47"/>
  <c r="A925" i="47"/>
  <c r="A926" i="47"/>
  <c r="A927" i="47"/>
  <c r="A928" i="47"/>
  <c r="A929" i="47"/>
  <c r="A930" i="47"/>
  <c r="A931" i="47"/>
  <c r="A932" i="47"/>
  <c r="A933" i="47"/>
  <c r="A934" i="47"/>
  <c r="A935" i="47"/>
  <c r="A936" i="47"/>
  <c r="A937" i="47"/>
  <c r="A938" i="47"/>
  <c r="A939" i="47"/>
  <c r="A940" i="47"/>
  <c r="A941" i="47"/>
  <c r="A942" i="47"/>
  <c r="A943" i="47"/>
  <c r="A944" i="47"/>
  <c r="A945" i="47"/>
  <c r="A946" i="47"/>
  <c r="A947" i="47"/>
  <c r="A948" i="47"/>
  <c r="A949" i="47"/>
  <c r="A950" i="47"/>
  <c r="A951" i="47"/>
  <c r="A952" i="47"/>
  <c r="A953" i="47"/>
  <c r="A954" i="47"/>
  <c r="A955" i="47"/>
  <c r="A956" i="47"/>
  <c r="A957" i="47"/>
  <c r="A958" i="47"/>
  <c r="A959" i="47"/>
  <c r="A960" i="47"/>
  <c r="A961" i="47"/>
  <c r="A962" i="47"/>
  <c r="A963" i="47"/>
  <c r="A964" i="47"/>
  <c r="A965" i="47"/>
  <c r="A966" i="47"/>
  <c r="A870" i="47" l="1"/>
  <c r="A871" i="47"/>
  <c r="A872" i="47"/>
  <c r="A873" i="47"/>
  <c r="A874" i="47"/>
  <c r="A875" i="47"/>
  <c r="A876" i="47"/>
  <c r="A877" i="47"/>
  <c r="A878" i="47"/>
  <c r="A879" i="47"/>
  <c r="A880" i="47"/>
  <c r="A881" i="47"/>
  <c r="A882" i="47"/>
  <c r="A883" i="47"/>
  <c r="A884" i="47"/>
  <c r="A885" i="47"/>
  <c r="A886" i="47"/>
  <c r="A887" i="47"/>
  <c r="A888" i="47"/>
  <c r="A889" i="47"/>
  <c r="A890" i="47"/>
  <c r="A891" i="47"/>
  <c r="A892" i="47"/>
  <c r="A893" i="47"/>
  <c r="A894" i="47"/>
  <c r="A895" i="47"/>
  <c r="A896" i="47"/>
  <c r="A897" i="47"/>
  <c r="A898" i="47"/>
  <c r="A899" i="47"/>
  <c r="A900" i="47"/>
  <c r="A901" i="47"/>
  <c r="A902" i="47"/>
  <c r="A903" i="47"/>
  <c r="A904" i="47"/>
  <c r="A905" i="47"/>
  <c r="A906" i="47"/>
  <c r="A907" i="47"/>
  <c r="A908" i="47"/>
  <c r="A909" i="47"/>
  <c r="A910" i="47"/>
  <c r="A911" i="47"/>
  <c r="A912" i="47"/>
  <c r="A913" i="47"/>
  <c r="A914" i="47"/>
  <c r="A860" i="47" l="1"/>
  <c r="A861" i="47"/>
  <c r="A862" i="47"/>
  <c r="A863" i="47"/>
  <c r="A864" i="47"/>
  <c r="A865" i="47"/>
  <c r="A866" i="47"/>
  <c r="A867" i="47"/>
  <c r="A868" i="47"/>
  <c r="A869" i="47"/>
  <c r="A821" i="47"/>
  <c r="A822" i="47"/>
  <c r="A823" i="47"/>
  <c r="A824" i="47"/>
  <c r="A825" i="47"/>
  <c r="A826" i="47"/>
  <c r="A827" i="47"/>
  <c r="A828" i="47"/>
  <c r="A829" i="47"/>
  <c r="A830" i="47"/>
  <c r="A831" i="47"/>
  <c r="A832" i="47"/>
  <c r="A833" i="47"/>
  <c r="A834" i="47"/>
  <c r="A835" i="47"/>
  <c r="A836" i="47"/>
  <c r="A837" i="47"/>
  <c r="A838" i="47"/>
  <c r="A839" i="47"/>
  <c r="A840" i="47"/>
  <c r="A841" i="47"/>
  <c r="A842" i="47"/>
  <c r="A843" i="47"/>
  <c r="A844" i="47"/>
  <c r="A845" i="47"/>
  <c r="A846" i="47"/>
  <c r="A847" i="47"/>
  <c r="A848" i="47"/>
  <c r="A849" i="47"/>
  <c r="A850" i="47"/>
  <c r="A851" i="47"/>
  <c r="A852" i="47"/>
  <c r="A853" i="47"/>
  <c r="A854" i="47"/>
  <c r="A855" i="47"/>
  <c r="A856" i="47"/>
  <c r="A857" i="47"/>
  <c r="A858" i="47"/>
  <c r="A859" i="47"/>
  <c r="A779" i="47" l="1"/>
  <c r="A780" i="47"/>
  <c r="A781" i="47"/>
  <c r="A782" i="47"/>
  <c r="A783" i="47"/>
  <c r="A784" i="47"/>
  <c r="A785" i="47"/>
  <c r="A786" i="47"/>
  <c r="A787" i="47"/>
  <c r="A788" i="47"/>
  <c r="A789" i="47"/>
  <c r="A790" i="47"/>
  <c r="A791" i="47"/>
  <c r="A792" i="47"/>
  <c r="A793" i="47"/>
  <c r="A794" i="47"/>
  <c r="A795" i="47"/>
  <c r="A796" i="47"/>
  <c r="A797" i="47"/>
  <c r="A798" i="47"/>
  <c r="A799" i="47"/>
  <c r="A800" i="47"/>
  <c r="A801" i="47"/>
  <c r="A802" i="47"/>
  <c r="A803" i="47"/>
  <c r="A804" i="47"/>
  <c r="A805" i="47"/>
  <c r="A806" i="47"/>
  <c r="A807" i="47"/>
  <c r="A808" i="47"/>
  <c r="A809" i="47"/>
  <c r="A810" i="47"/>
  <c r="A811" i="47"/>
  <c r="A812" i="47"/>
  <c r="A813" i="47"/>
  <c r="A814" i="47"/>
  <c r="A815" i="47"/>
  <c r="A816" i="47"/>
  <c r="A817" i="47"/>
  <c r="A818" i="47"/>
  <c r="A819" i="47"/>
  <c r="A820" i="47"/>
  <c r="A738" i="47" l="1"/>
  <c r="A739" i="47"/>
  <c r="A740" i="47"/>
  <c r="A741" i="47"/>
  <c r="A742" i="47"/>
  <c r="A743" i="47"/>
  <c r="A744" i="47"/>
  <c r="A745" i="47"/>
  <c r="A746" i="47"/>
  <c r="A747" i="47"/>
  <c r="A748" i="47"/>
  <c r="A749" i="47"/>
  <c r="A750" i="47"/>
  <c r="A751" i="47"/>
  <c r="A752" i="47"/>
  <c r="A753" i="47"/>
  <c r="A754" i="47"/>
  <c r="A755" i="47"/>
  <c r="A756" i="47"/>
  <c r="A757" i="47"/>
  <c r="A758" i="47"/>
  <c r="A759" i="47"/>
  <c r="A760" i="47"/>
  <c r="A761" i="47"/>
  <c r="A762" i="47"/>
  <c r="A763" i="47"/>
  <c r="A764" i="47"/>
  <c r="A765" i="47"/>
  <c r="A766" i="47"/>
  <c r="A767" i="47"/>
  <c r="A768" i="47"/>
  <c r="A769" i="47"/>
  <c r="A770" i="47"/>
  <c r="A771" i="47"/>
  <c r="A772" i="47"/>
  <c r="A773" i="47"/>
  <c r="A774" i="47"/>
  <c r="A775" i="47"/>
  <c r="A776" i="47"/>
  <c r="A777" i="47"/>
  <c r="A778" i="47"/>
  <c r="A636" i="47" l="1"/>
  <c r="A637" i="47"/>
  <c r="A638" i="47"/>
  <c r="A639" i="47"/>
  <c r="A640" i="47"/>
  <c r="A641" i="47"/>
  <c r="A642" i="47"/>
  <c r="A643" i="47"/>
  <c r="A644" i="47"/>
  <c r="A645" i="47"/>
  <c r="A646" i="47"/>
  <c r="A647" i="47"/>
  <c r="A648" i="47"/>
  <c r="A649" i="47"/>
  <c r="A650" i="47"/>
  <c r="A651" i="47"/>
  <c r="A652" i="47"/>
  <c r="A653" i="47"/>
  <c r="A654" i="47"/>
  <c r="A655" i="47"/>
  <c r="A656" i="47"/>
  <c r="A657" i="47"/>
  <c r="A658" i="47"/>
  <c r="A659" i="47"/>
  <c r="A660" i="47"/>
  <c r="A661" i="47"/>
  <c r="A662" i="47"/>
  <c r="A663" i="47"/>
  <c r="A664" i="47"/>
  <c r="A665" i="47"/>
  <c r="A666" i="47"/>
  <c r="A667" i="47"/>
  <c r="A668" i="47"/>
  <c r="A669" i="47"/>
  <c r="A670" i="47"/>
  <c r="A671" i="47"/>
  <c r="A672" i="47"/>
  <c r="A673" i="47"/>
  <c r="A674" i="47"/>
  <c r="A675" i="47"/>
  <c r="A676" i="47"/>
  <c r="A677" i="47"/>
  <c r="A678" i="47"/>
  <c r="A679" i="47"/>
  <c r="A680" i="47"/>
  <c r="A681" i="47"/>
  <c r="A682" i="47"/>
  <c r="A683" i="47"/>
  <c r="A684" i="47"/>
  <c r="A685" i="47"/>
  <c r="A686" i="47"/>
  <c r="A687" i="47"/>
  <c r="A688" i="47"/>
  <c r="A689" i="47"/>
  <c r="A690" i="47"/>
  <c r="A691" i="47"/>
  <c r="A692" i="47"/>
  <c r="A693" i="47"/>
  <c r="A694" i="47"/>
  <c r="A695" i="47"/>
  <c r="A696" i="47"/>
  <c r="A697" i="47"/>
  <c r="A698" i="47"/>
  <c r="A699" i="47"/>
  <c r="A700" i="47"/>
  <c r="A701" i="47"/>
  <c r="A702" i="47"/>
  <c r="A703" i="47"/>
  <c r="A704" i="47"/>
  <c r="A705" i="47"/>
  <c r="A706" i="47"/>
  <c r="A707" i="47"/>
  <c r="A708" i="47"/>
  <c r="A709" i="47"/>
  <c r="A710" i="47"/>
  <c r="A711" i="47"/>
  <c r="A712" i="47"/>
  <c r="A713" i="47"/>
  <c r="A714" i="47"/>
  <c r="A715" i="47"/>
  <c r="A716" i="47"/>
  <c r="A717" i="47"/>
  <c r="A718" i="47"/>
  <c r="A719" i="47"/>
  <c r="A720" i="47"/>
  <c r="A721" i="47"/>
  <c r="A722" i="47"/>
  <c r="A723" i="47"/>
  <c r="A724" i="47"/>
  <c r="A725" i="47"/>
  <c r="A726" i="47"/>
  <c r="A727" i="47"/>
  <c r="A728" i="47"/>
  <c r="A729" i="47"/>
  <c r="A730" i="47"/>
  <c r="A731" i="47"/>
  <c r="A732" i="47"/>
  <c r="A733" i="47"/>
  <c r="A734" i="47"/>
  <c r="A735" i="47"/>
  <c r="A736" i="47"/>
  <c r="A737" i="47"/>
  <c r="A584" i="47" l="1"/>
  <c r="A585" i="47"/>
  <c r="A586" i="47"/>
  <c r="A587" i="47"/>
  <c r="A588" i="47"/>
  <c r="A589" i="47"/>
  <c r="A590" i="47"/>
  <c r="A591" i="47"/>
  <c r="A592" i="47"/>
  <c r="A593" i="47"/>
  <c r="A594" i="47"/>
  <c r="A595" i="47"/>
  <c r="A596" i="47"/>
  <c r="A597" i="47"/>
  <c r="A598" i="47"/>
  <c r="A599" i="47"/>
  <c r="A600" i="47"/>
  <c r="A601" i="47"/>
  <c r="A602" i="47"/>
  <c r="A603" i="47"/>
  <c r="A604" i="47"/>
  <c r="A605" i="47"/>
  <c r="A606" i="47"/>
  <c r="A607" i="47"/>
  <c r="A608" i="47"/>
  <c r="A609" i="47"/>
  <c r="A610" i="47"/>
  <c r="A611" i="47"/>
  <c r="A612" i="47"/>
  <c r="A613" i="47"/>
  <c r="A614" i="47"/>
  <c r="A615" i="47"/>
  <c r="A616" i="47"/>
  <c r="A617" i="47"/>
  <c r="A618" i="47"/>
  <c r="A619" i="47"/>
  <c r="A620" i="47"/>
  <c r="A621" i="47"/>
  <c r="A622" i="47"/>
  <c r="A623" i="47"/>
  <c r="A624" i="47"/>
  <c r="A625" i="47"/>
  <c r="A626" i="47"/>
  <c r="A627" i="47"/>
  <c r="A628" i="47"/>
  <c r="A629" i="47"/>
  <c r="A630" i="47"/>
  <c r="A631" i="47"/>
  <c r="A632" i="47"/>
  <c r="A633" i="47"/>
  <c r="A634" i="47"/>
  <c r="A635" i="47"/>
  <c r="A550" i="47"/>
  <c r="A551" i="47"/>
  <c r="A552" i="47"/>
  <c r="A553" i="47"/>
  <c r="A554" i="47"/>
  <c r="A555" i="47"/>
  <c r="A556" i="47"/>
  <c r="A557" i="47"/>
  <c r="A558" i="47"/>
  <c r="A559" i="47"/>
  <c r="A560" i="47"/>
  <c r="A561" i="47"/>
  <c r="A562" i="47"/>
  <c r="A563" i="47"/>
  <c r="A564" i="47"/>
  <c r="A565" i="47"/>
  <c r="A566" i="47"/>
  <c r="A567" i="47"/>
  <c r="A568" i="47"/>
  <c r="A569" i="47"/>
  <c r="A570" i="47"/>
  <c r="A571" i="47"/>
  <c r="A572" i="47"/>
  <c r="A573" i="47"/>
  <c r="A574" i="47"/>
  <c r="A575" i="47"/>
  <c r="A576" i="47"/>
  <c r="A577" i="47"/>
  <c r="A578" i="47"/>
  <c r="A579" i="47"/>
  <c r="A580" i="47"/>
  <c r="A581" i="47"/>
  <c r="A582" i="47"/>
  <c r="A583" i="47"/>
  <c r="A502" i="47"/>
  <c r="A503" i="47"/>
  <c r="A504" i="47"/>
  <c r="A505" i="47"/>
  <c r="A506" i="47"/>
  <c r="A507" i="47"/>
  <c r="A508" i="47"/>
  <c r="A509" i="47"/>
  <c r="A510" i="47"/>
  <c r="A511" i="47"/>
  <c r="A512" i="47"/>
  <c r="A513" i="47"/>
  <c r="A514" i="47"/>
  <c r="A515" i="47"/>
  <c r="A516" i="47"/>
  <c r="A517" i="47"/>
  <c r="A518" i="47"/>
  <c r="A519" i="47"/>
  <c r="A520" i="47"/>
  <c r="A521" i="47"/>
  <c r="A522" i="47"/>
  <c r="A523" i="47"/>
  <c r="A524" i="47"/>
  <c r="A525" i="47"/>
  <c r="A526" i="47"/>
  <c r="A527" i="47"/>
  <c r="A528" i="47"/>
  <c r="A529" i="47"/>
  <c r="A530" i="47"/>
  <c r="A531" i="47"/>
  <c r="A532" i="47"/>
  <c r="A533" i="47"/>
  <c r="A534" i="47"/>
  <c r="A535" i="47"/>
  <c r="A536" i="47"/>
  <c r="A537" i="47"/>
  <c r="A538" i="47"/>
  <c r="A539" i="47"/>
  <c r="A540" i="47"/>
  <c r="A541" i="47"/>
  <c r="A542" i="47"/>
  <c r="A543" i="47"/>
  <c r="A544" i="47"/>
  <c r="A545" i="47"/>
  <c r="A546" i="47"/>
  <c r="A547" i="47"/>
  <c r="A548" i="47"/>
  <c r="A549" i="47"/>
  <c r="A501" i="47"/>
  <c r="K31" i="34"/>
  <c r="K12" i="34" l="1"/>
  <c r="K15" i="34" l="1"/>
  <c r="K18" i="34"/>
  <c r="K21" i="34"/>
  <c r="K24" i="34"/>
  <c r="K25" i="34" s="1"/>
  <c r="K27" i="34"/>
  <c r="K16" i="34" l="1"/>
  <c r="K9" i="34"/>
  <c r="K32" i="34" s="1"/>
  <c r="K19" i="34"/>
  <c r="K28" i="34"/>
  <c r="K22" i="34"/>
  <c r="K13" i="34"/>
  <c r="K10" i="34" l="1"/>
  <c r="AX34" i="34"/>
  <c r="AW34" i="34"/>
  <c r="AV34" i="34"/>
  <c r="AU34" i="34"/>
  <c r="AT34" i="34"/>
  <c r="AS34" i="34"/>
  <c r="AR34" i="34"/>
  <c r="AQ34" i="34"/>
  <c r="AP34" i="34"/>
  <c r="AO34" i="34"/>
  <c r="AN34" i="34"/>
  <c r="AM34" i="34"/>
  <c r="AL34" i="34"/>
  <c r="AK34" i="34"/>
  <c r="AJ34" i="34"/>
  <c r="AI34" i="34"/>
  <c r="AH34" i="34"/>
  <c r="AG34" i="34"/>
  <c r="AF34" i="34"/>
  <c r="AE34" i="34"/>
  <c r="AD34" i="34"/>
  <c r="AC34" i="34"/>
  <c r="AB34" i="34"/>
  <c r="AA34" i="34"/>
  <c r="Z34" i="34"/>
  <c r="Y34" i="34"/>
  <c r="X34" i="34"/>
  <c r="W34" i="34"/>
  <c r="V34" i="34"/>
  <c r="U34" i="34"/>
  <c r="T34" i="34"/>
  <c r="S34" i="34"/>
  <c r="R34" i="34"/>
  <c r="Q34" i="34"/>
  <c r="P34" i="34"/>
  <c r="O34" i="34"/>
  <c r="N34" i="34"/>
  <c r="AX33" i="34"/>
  <c r="AW33" i="34"/>
  <c r="AV33" i="34"/>
  <c r="AU33" i="34"/>
  <c r="AT33" i="34"/>
  <c r="AS33" i="34"/>
  <c r="AR33" i="34"/>
  <c r="AQ33" i="34"/>
  <c r="AP33" i="34"/>
  <c r="AO33" i="34"/>
  <c r="AN33" i="34"/>
  <c r="AM33" i="34"/>
  <c r="AL33" i="34"/>
  <c r="AK33" i="34"/>
  <c r="AJ33" i="34"/>
  <c r="AI33" i="34"/>
  <c r="AH33" i="34"/>
  <c r="AG33" i="34"/>
  <c r="AF33" i="34"/>
  <c r="AE33" i="34"/>
  <c r="AD33" i="34"/>
  <c r="AC33" i="34"/>
  <c r="AB33" i="34"/>
  <c r="AA33" i="34"/>
  <c r="Z33" i="34"/>
  <c r="Y33" i="34"/>
  <c r="X33" i="34"/>
  <c r="W33" i="34"/>
  <c r="V33" i="34"/>
  <c r="U33" i="34"/>
  <c r="T33" i="34"/>
  <c r="S33" i="34"/>
  <c r="R33" i="34"/>
  <c r="Q33" i="34"/>
  <c r="P33" i="34"/>
  <c r="O33" i="34"/>
  <c r="N33" i="34"/>
  <c r="M33" i="34"/>
  <c r="I31" i="34"/>
  <c r="I33" i="34" s="1"/>
  <c r="H31" i="34"/>
  <c r="H33" i="34" s="1"/>
  <c r="G31" i="34"/>
  <c r="G33" i="34" s="1"/>
  <c r="F31" i="34"/>
  <c r="F33" i="34" s="1"/>
  <c r="AX29" i="34"/>
  <c r="AW29" i="34"/>
  <c r="AV29" i="34"/>
  <c r="AU29" i="34"/>
  <c r="AT29" i="34"/>
  <c r="AS29" i="34"/>
  <c r="AR29" i="34"/>
  <c r="AQ29" i="34"/>
  <c r="AP29" i="34"/>
  <c r="AO29" i="34"/>
  <c r="AN29" i="34"/>
  <c r="AM29" i="34"/>
  <c r="AL29" i="34"/>
  <c r="AK29" i="34"/>
  <c r="AJ29" i="34"/>
  <c r="AI29" i="34"/>
  <c r="AH29" i="34"/>
  <c r="AG29" i="34"/>
  <c r="AF29" i="34"/>
  <c r="AE29" i="34"/>
  <c r="AD29" i="34"/>
  <c r="AC29" i="34"/>
  <c r="AB29" i="34"/>
  <c r="AA29" i="34"/>
  <c r="Z29" i="34"/>
  <c r="Y29" i="34"/>
  <c r="X29" i="34"/>
  <c r="W29" i="34"/>
  <c r="V29" i="34"/>
  <c r="U29" i="34"/>
  <c r="T29" i="34"/>
  <c r="S29" i="34"/>
  <c r="R29" i="34"/>
  <c r="Q29" i="34"/>
  <c r="P29" i="34"/>
  <c r="O29" i="34"/>
  <c r="N29" i="34"/>
  <c r="AX28" i="34"/>
  <c r="AW28" i="34"/>
  <c r="AR28" i="34"/>
  <c r="AQ28" i="34"/>
  <c r="AP28" i="34"/>
  <c r="AO28" i="34"/>
  <c r="AN28" i="34"/>
  <c r="AM28" i="34"/>
  <c r="AL28" i="34"/>
  <c r="AK28" i="34"/>
  <c r="AJ28" i="34"/>
  <c r="AI28" i="34"/>
  <c r="AH28" i="34"/>
  <c r="AG28" i="34"/>
  <c r="AF28" i="34"/>
  <c r="AE28" i="34"/>
  <c r="AD28" i="34"/>
  <c r="AC28" i="34"/>
  <c r="AB28" i="34"/>
  <c r="AA28" i="34"/>
  <c r="Z28" i="34"/>
  <c r="Y28" i="34"/>
  <c r="X28" i="34"/>
  <c r="W28" i="34"/>
  <c r="V28" i="34"/>
  <c r="U28" i="34"/>
  <c r="T28" i="34"/>
  <c r="S28" i="34"/>
  <c r="R28" i="34"/>
  <c r="Q28" i="34"/>
  <c r="P28" i="34"/>
  <c r="O28" i="34"/>
  <c r="N28" i="34"/>
  <c r="M28" i="34"/>
  <c r="I27" i="34"/>
  <c r="K29" i="34" s="1"/>
  <c r="H27" i="34"/>
  <c r="G27" i="34"/>
  <c r="G28" i="34" s="1"/>
  <c r="F27" i="34"/>
  <c r="F28" i="34" s="1"/>
  <c r="AX26" i="34"/>
  <c r="AW26" i="34"/>
  <c r="AV26" i="34"/>
  <c r="AU26" i="34"/>
  <c r="AT26" i="34"/>
  <c r="AS26" i="34"/>
  <c r="AR26" i="34"/>
  <c r="AQ26" i="34"/>
  <c r="AP26" i="34"/>
  <c r="AO26" i="34"/>
  <c r="AN26" i="34"/>
  <c r="AM26" i="34"/>
  <c r="AL26" i="34"/>
  <c r="AK26" i="34"/>
  <c r="AJ26" i="34"/>
  <c r="AI26" i="34"/>
  <c r="AH26" i="34"/>
  <c r="AG26" i="34"/>
  <c r="AF26" i="34"/>
  <c r="AE26" i="34"/>
  <c r="AD26" i="34"/>
  <c r="AC26" i="34"/>
  <c r="AB26" i="34"/>
  <c r="AA26" i="34"/>
  <c r="Z26" i="34"/>
  <c r="Y26" i="34"/>
  <c r="X26" i="34"/>
  <c r="W26" i="34"/>
  <c r="V26" i="34"/>
  <c r="U26" i="34"/>
  <c r="T26" i="34"/>
  <c r="S26" i="34"/>
  <c r="R26" i="34"/>
  <c r="Q26" i="34"/>
  <c r="P26" i="34"/>
  <c r="O26" i="34"/>
  <c r="N26" i="34"/>
  <c r="AX25" i="34"/>
  <c r="AW25" i="34"/>
  <c r="AR25" i="34"/>
  <c r="AQ25" i="34"/>
  <c r="AP25" i="34"/>
  <c r="AO25" i="34"/>
  <c r="AN25" i="34"/>
  <c r="AM25" i="34"/>
  <c r="AL25" i="34"/>
  <c r="AK25" i="34"/>
  <c r="AJ25" i="34"/>
  <c r="AI25" i="34"/>
  <c r="AH25" i="34"/>
  <c r="AG25" i="34"/>
  <c r="AF25" i="34"/>
  <c r="AE25" i="34"/>
  <c r="AD25" i="34"/>
  <c r="AC25" i="34"/>
  <c r="AB25" i="34"/>
  <c r="AA25" i="34"/>
  <c r="Z25" i="34"/>
  <c r="Y25" i="34"/>
  <c r="X25" i="34"/>
  <c r="W25" i="34"/>
  <c r="V25" i="34"/>
  <c r="U25" i="34"/>
  <c r="T25" i="34"/>
  <c r="S25" i="34"/>
  <c r="R25" i="34"/>
  <c r="Q25" i="34"/>
  <c r="P25" i="34"/>
  <c r="O25" i="34"/>
  <c r="N25" i="34"/>
  <c r="M25" i="34"/>
  <c r="I24" i="34"/>
  <c r="K26" i="34" s="1"/>
  <c r="H24" i="34"/>
  <c r="G24" i="34"/>
  <c r="F24" i="34"/>
  <c r="F25" i="34" s="1"/>
  <c r="AX23" i="34"/>
  <c r="AW23" i="34"/>
  <c r="AV23" i="34"/>
  <c r="AU23" i="34"/>
  <c r="AT23" i="34"/>
  <c r="AS23" i="34"/>
  <c r="AR23" i="34"/>
  <c r="AQ23" i="34"/>
  <c r="AP23" i="34"/>
  <c r="AO23" i="34"/>
  <c r="AN23" i="34"/>
  <c r="AM23" i="34"/>
  <c r="AL23" i="34"/>
  <c r="AK23" i="34"/>
  <c r="AJ23" i="34"/>
  <c r="AI23" i="34"/>
  <c r="AH23" i="34"/>
  <c r="AG23" i="34"/>
  <c r="AF23" i="34"/>
  <c r="AE23" i="34"/>
  <c r="AD23" i="34"/>
  <c r="AC23" i="34"/>
  <c r="AB23" i="34"/>
  <c r="AA23" i="34"/>
  <c r="Z23" i="34"/>
  <c r="Y23" i="34"/>
  <c r="X23" i="34"/>
  <c r="W23" i="34"/>
  <c r="V23" i="34"/>
  <c r="U23" i="34"/>
  <c r="T23" i="34"/>
  <c r="S23" i="34"/>
  <c r="R23" i="34"/>
  <c r="Q23" i="34"/>
  <c r="P23" i="34"/>
  <c r="O23" i="34"/>
  <c r="N23" i="34"/>
  <c r="AX22" i="34"/>
  <c r="AW22" i="34"/>
  <c r="AR22" i="34"/>
  <c r="AQ22" i="34"/>
  <c r="AP22" i="34"/>
  <c r="AO22" i="34"/>
  <c r="AN22" i="34"/>
  <c r="AM22" i="34"/>
  <c r="AL22" i="34"/>
  <c r="AK22" i="34"/>
  <c r="AJ22" i="34"/>
  <c r="AI22" i="34"/>
  <c r="AH22" i="34"/>
  <c r="AG22" i="34"/>
  <c r="AF22" i="34"/>
  <c r="AE22" i="34"/>
  <c r="AD22" i="34"/>
  <c r="AC22" i="34"/>
  <c r="AB22" i="34"/>
  <c r="AA22" i="34"/>
  <c r="Z22" i="34"/>
  <c r="Y22" i="34"/>
  <c r="X22" i="34"/>
  <c r="W22" i="34"/>
  <c r="V22" i="34"/>
  <c r="U22" i="34"/>
  <c r="T22" i="34"/>
  <c r="S22" i="34"/>
  <c r="R22" i="34"/>
  <c r="Q22" i="34"/>
  <c r="P22" i="34"/>
  <c r="O22" i="34"/>
  <c r="N22" i="34"/>
  <c r="M22" i="34"/>
  <c r="I21" i="34"/>
  <c r="K23" i="34" s="1"/>
  <c r="H21" i="34"/>
  <c r="H22" i="34" s="1"/>
  <c r="G21" i="34"/>
  <c r="F21" i="34"/>
  <c r="F22" i="34" s="1"/>
  <c r="AX20" i="34"/>
  <c r="AW20" i="34"/>
  <c r="AV20" i="34"/>
  <c r="AU20" i="34"/>
  <c r="AT20" i="34"/>
  <c r="AS20" i="34"/>
  <c r="AR20" i="34"/>
  <c r="AQ20" i="34"/>
  <c r="AP20" i="34"/>
  <c r="AO20" i="34"/>
  <c r="AN20" i="34"/>
  <c r="AM20" i="34"/>
  <c r="AL20" i="34"/>
  <c r="AK20" i="34"/>
  <c r="AJ20" i="34"/>
  <c r="AI20" i="34"/>
  <c r="AH20" i="34"/>
  <c r="AG20" i="34"/>
  <c r="AF20" i="34"/>
  <c r="AE20" i="34"/>
  <c r="AD20" i="34"/>
  <c r="AC20" i="34"/>
  <c r="AB20" i="34"/>
  <c r="AA20" i="34"/>
  <c r="Z20" i="34"/>
  <c r="Y20" i="34"/>
  <c r="X20" i="34"/>
  <c r="W20" i="34"/>
  <c r="V20" i="34"/>
  <c r="U20" i="34"/>
  <c r="T20" i="34"/>
  <c r="S20" i="34"/>
  <c r="R20" i="34"/>
  <c r="Q20" i="34"/>
  <c r="P20" i="34"/>
  <c r="O20" i="34"/>
  <c r="N20" i="34"/>
  <c r="AX19" i="34"/>
  <c r="AW19" i="34"/>
  <c r="AR19" i="34"/>
  <c r="AQ19" i="34"/>
  <c r="AP19" i="34"/>
  <c r="AO19" i="34"/>
  <c r="AN19" i="34"/>
  <c r="AM19" i="34"/>
  <c r="AL19" i="34"/>
  <c r="AK19" i="34"/>
  <c r="AJ19" i="34"/>
  <c r="AI19" i="34"/>
  <c r="AH19" i="34"/>
  <c r="AG19" i="34"/>
  <c r="AF19" i="34"/>
  <c r="AE19" i="34"/>
  <c r="AD19" i="34"/>
  <c r="AC19" i="34"/>
  <c r="AB19" i="34"/>
  <c r="AA19" i="34"/>
  <c r="Z19" i="34"/>
  <c r="Y19" i="34"/>
  <c r="X19" i="34"/>
  <c r="W19" i="34"/>
  <c r="V19" i="34"/>
  <c r="U19" i="34"/>
  <c r="T19" i="34"/>
  <c r="S19" i="34"/>
  <c r="R19" i="34"/>
  <c r="Q19" i="34"/>
  <c r="P19" i="34"/>
  <c r="O19" i="34"/>
  <c r="N19" i="34"/>
  <c r="M19" i="34"/>
  <c r="I18" i="34"/>
  <c r="K20" i="34" s="1"/>
  <c r="H18" i="34"/>
  <c r="H19" i="34" s="1"/>
  <c r="G18" i="34"/>
  <c r="F18" i="34"/>
  <c r="F19" i="34" s="1"/>
  <c r="AX17" i="34"/>
  <c r="AW17" i="34"/>
  <c r="AV17" i="34"/>
  <c r="AU17" i="34"/>
  <c r="AT17" i="34"/>
  <c r="AS17" i="34"/>
  <c r="AR17" i="34"/>
  <c r="AQ17" i="34"/>
  <c r="AP17" i="34"/>
  <c r="AO17" i="34"/>
  <c r="AN17" i="34"/>
  <c r="AM17" i="34"/>
  <c r="AL17" i="34"/>
  <c r="AK17" i="34"/>
  <c r="AJ17" i="34"/>
  <c r="AI17" i="34"/>
  <c r="AH17" i="34"/>
  <c r="AG17" i="34"/>
  <c r="AF17" i="34"/>
  <c r="AE17" i="34"/>
  <c r="AD17" i="34"/>
  <c r="AC17" i="34"/>
  <c r="AB17" i="34"/>
  <c r="AA17" i="34"/>
  <c r="Z17" i="34"/>
  <c r="Y17" i="34"/>
  <c r="X17" i="34"/>
  <c r="W17" i="34"/>
  <c r="V17" i="34"/>
  <c r="U17" i="34"/>
  <c r="T17" i="34"/>
  <c r="S17" i="34"/>
  <c r="R17" i="34"/>
  <c r="Q17" i="34"/>
  <c r="P17" i="34"/>
  <c r="O17" i="34"/>
  <c r="N17" i="34"/>
  <c r="AX16" i="34"/>
  <c r="AW16" i="34"/>
  <c r="AR16" i="34"/>
  <c r="AQ16" i="34"/>
  <c r="AP16" i="34"/>
  <c r="AO16" i="34"/>
  <c r="AN16" i="34"/>
  <c r="AM16" i="34"/>
  <c r="AL16" i="34"/>
  <c r="AK16" i="34"/>
  <c r="AJ16" i="34"/>
  <c r="AI16" i="34"/>
  <c r="AH16" i="34"/>
  <c r="AG16" i="34"/>
  <c r="AF16" i="34"/>
  <c r="AE16" i="34"/>
  <c r="AD16" i="34"/>
  <c r="AC16" i="34"/>
  <c r="AB16" i="34"/>
  <c r="AA16" i="34"/>
  <c r="Z16" i="34"/>
  <c r="Y16" i="34"/>
  <c r="X16" i="34"/>
  <c r="W16" i="34"/>
  <c r="V16" i="34"/>
  <c r="U16" i="34"/>
  <c r="T16" i="34"/>
  <c r="S16" i="34"/>
  <c r="R16" i="34"/>
  <c r="Q16" i="34"/>
  <c r="P16" i="34"/>
  <c r="O16" i="34"/>
  <c r="N16" i="34"/>
  <c r="M16" i="34"/>
  <c r="I15" i="34"/>
  <c r="K17" i="34" s="1"/>
  <c r="H15" i="34"/>
  <c r="G15" i="34"/>
  <c r="G16" i="34" s="1"/>
  <c r="F15" i="34"/>
  <c r="F16" i="34" s="1"/>
  <c r="AX14" i="34"/>
  <c r="AW14" i="34"/>
  <c r="AV14" i="34"/>
  <c r="AU14" i="34"/>
  <c r="AT14" i="34"/>
  <c r="AS14" i="34"/>
  <c r="AR14" i="34"/>
  <c r="AQ14" i="34"/>
  <c r="AP14" i="34"/>
  <c r="AO14" i="34"/>
  <c r="AN14" i="34"/>
  <c r="AM14" i="34"/>
  <c r="AL14" i="34"/>
  <c r="AK14" i="34"/>
  <c r="AJ14" i="34"/>
  <c r="AI14" i="34"/>
  <c r="AH14" i="34"/>
  <c r="AG14" i="34"/>
  <c r="AF14" i="34"/>
  <c r="AE14" i="34"/>
  <c r="AD14" i="34"/>
  <c r="AC14" i="34"/>
  <c r="AB14" i="34"/>
  <c r="AA14" i="34"/>
  <c r="Z14" i="34"/>
  <c r="Y14" i="34"/>
  <c r="X14" i="34"/>
  <c r="W14" i="34"/>
  <c r="V14" i="34"/>
  <c r="U14" i="34"/>
  <c r="T14" i="34"/>
  <c r="S14" i="34"/>
  <c r="R14" i="34"/>
  <c r="Q14" i="34"/>
  <c r="P14" i="34"/>
  <c r="O14" i="34"/>
  <c r="N14" i="34"/>
  <c r="AX13" i="34"/>
  <c r="AW13" i="34"/>
  <c r="AR13" i="34"/>
  <c r="AQ13" i="34"/>
  <c r="AP13" i="34"/>
  <c r="AO13" i="34"/>
  <c r="AN13" i="34"/>
  <c r="AM13" i="34"/>
  <c r="AL13" i="34"/>
  <c r="AK13" i="34"/>
  <c r="AJ13" i="34"/>
  <c r="AI13" i="34"/>
  <c r="AH13" i="34"/>
  <c r="AG13" i="34"/>
  <c r="AF13" i="34"/>
  <c r="AE13" i="34"/>
  <c r="AD13" i="34"/>
  <c r="AC13" i="34"/>
  <c r="AB13" i="34"/>
  <c r="AA13" i="34"/>
  <c r="Z13" i="34"/>
  <c r="Y13" i="34"/>
  <c r="X13" i="34"/>
  <c r="W13" i="34"/>
  <c r="V13" i="34"/>
  <c r="U13" i="34"/>
  <c r="T13" i="34"/>
  <c r="S13" i="34"/>
  <c r="R13" i="34"/>
  <c r="Q13" i="34"/>
  <c r="P13" i="34"/>
  <c r="O13" i="34"/>
  <c r="N13" i="34"/>
  <c r="M13" i="34"/>
  <c r="I12" i="34"/>
  <c r="K14" i="34" s="1"/>
  <c r="H12" i="34"/>
  <c r="G12" i="34"/>
  <c r="G13" i="34" s="1"/>
  <c r="F12" i="34"/>
  <c r="F13" i="34" s="1"/>
  <c r="AX9" i="34"/>
  <c r="AX10" i="34" s="1"/>
  <c r="AW9" i="34"/>
  <c r="AW32" i="34" s="1"/>
  <c r="AV9" i="34"/>
  <c r="AV32" i="34" s="1"/>
  <c r="AU9" i="34"/>
  <c r="AT9" i="34"/>
  <c r="AS9" i="34"/>
  <c r="AR9" i="34"/>
  <c r="AQ9" i="34"/>
  <c r="AP9" i="34"/>
  <c r="AO9" i="34"/>
  <c r="AO10" i="34" s="1"/>
  <c r="AN9" i="34"/>
  <c r="AN10" i="34" s="1"/>
  <c r="AM9" i="34"/>
  <c r="AM32" i="34" s="1"/>
  <c r="AL9" i="34"/>
  <c r="AL32" i="34" s="1"/>
  <c r="AK9" i="34"/>
  <c r="AJ9" i="34"/>
  <c r="AI9" i="34"/>
  <c r="AH9" i="34"/>
  <c r="AH10" i="34" s="1"/>
  <c r="AG9" i="34"/>
  <c r="AF9" i="34"/>
  <c r="AF10" i="34" s="1"/>
  <c r="AE9" i="34"/>
  <c r="AE32" i="34" s="1"/>
  <c r="AD9" i="34"/>
  <c r="AD32" i="34" s="1"/>
  <c r="AC9" i="34"/>
  <c r="AB9" i="34"/>
  <c r="AA9" i="34"/>
  <c r="Z9" i="34"/>
  <c r="Y9" i="34"/>
  <c r="Y10" i="34" s="1"/>
  <c r="X9" i="34"/>
  <c r="X10" i="34" s="1"/>
  <c r="W9" i="34"/>
  <c r="W32" i="34" s="1"/>
  <c r="V9" i="34"/>
  <c r="V32" i="34" s="1"/>
  <c r="U9" i="34"/>
  <c r="T9" i="34"/>
  <c r="S9" i="34"/>
  <c r="R9" i="34"/>
  <c r="Q9" i="34"/>
  <c r="P9" i="34"/>
  <c r="P10" i="34" s="1"/>
  <c r="O9" i="34"/>
  <c r="O32" i="34" s="1"/>
  <c r="N9" i="34"/>
  <c r="N32" i="34" s="1"/>
  <c r="M9" i="34"/>
  <c r="M32" i="34" s="1"/>
  <c r="H17" i="34" l="1"/>
  <c r="U11" i="34"/>
  <c r="AC11" i="34"/>
  <c r="AS11" i="34"/>
  <c r="H14" i="34"/>
  <c r="G23" i="34"/>
  <c r="H29" i="34"/>
  <c r="R11" i="34"/>
  <c r="AT11" i="34"/>
  <c r="G17" i="34"/>
  <c r="H28" i="34"/>
  <c r="G26" i="34"/>
  <c r="S11" i="34"/>
  <c r="H16" i="34"/>
  <c r="H26" i="34"/>
  <c r="I9" i="34"/>
  <c r="K11" i="34" s="1"/>
  <c r="AK11" i="34"/>
  <c r="G20" i="34"/>
  <c r="AI11" i="34"/>
  <c r="G25" i="34"/>
  <c r="G22" i="34"/>
  <c r="G9" i="34"/>
  <c r="G32" i="34" s="1"/>
  <c r="H9" i="34"/>
  <c r="H10" i="34" s="1"/>
  <c r="H25" i="34"/>
  <c r="G19" i="34"/>
  <c r="G29" i="34"/>
  <c r="AL11" i="34"/>
  <c r="AM11" i="34"/>
  <c r="AP11" i="34"/>
  <c r="AE11" i="34"/>
  <c r="AU11" i="34"/>
  <c r="V11" i="34"/>
  <c r="W11" i="34"/>
  <c r="P32" i="34"/>
  <c r="F9" i="34"/>
  <c r="F10" i="34" s="1"/>
  <c r="Q11" i="34"/>
  <c r="AG11" i="34"/>
  <c r="AD11" i="34"/>
  <c r="H13" i="34"/>
  <c r="X32" i="34"/>
  <c r="AF32" i="34"/>
  <c r="AN32" i="34"/>
  <c r="T11" i="34"/>
  <c r="AB11" i="34"/>
  <c r="AJ11" i="34"/>
  <c r="AR11" i="34"/>
  <c r="G14" i="34"/>
  <c r="AX32" i="34"/>
  <c r="AA11" i="34"/>
  <c r="N11" i="34"/>
  <c r="H20" i="34"/>
  <c r="H23" i="34"/>
  <c r="AQ11" i="34"/>
  <c r="O11" i="34"/>
  <c r="I14" i="34"/>
  <c r="I17" i="34"/>
  <c r="I20" i="34"/>
  <c r="I23" i="34"/>
  <c r="I26" i="34"/>
  <c r="I29" i="34"/>
  <c r="AG10" i="34"/>
  <c r="AP10" i="34"/>
  <c r="Q32" i="34"/>
  <c r="Y32" i="34"/>
  <c r="AG32" i="34"/>
  <c r="AO32" i="34"/>
  <c r="R10" i="34"/>
  <c r="S10" i="34"/>
  <c r="AA10" i="34"/>
  <c r="AI10" i="34"/>
  <c r="AQ10" i="34"/>
  <c r="P11" i="34"/>
  <c r="X11" i="34"/>
  <c r="AF11" i="34"/>
  <c r="AN11" i="34"/>
  <c r="AV11" i="34"/>
  <c r="I13" i="34"/>
  <c r="I16" i="34"/>
  <c r="I19" i="34"/>
  <c r="I22" i="34"/>
  <c r="I25" i="34"/>
  <c r="I28" i="34"/>
  <c r="R32" i="34"/>
  <c r="Z32" i="34"/>
  <c r="AH32" i="34"/>
  <c r="AP32" i="34"/>
  <c r="Q10" i="34"/>
  <c r="T10" i="34"/>
  <c r="AB10" i="34"/>
  <c r="AJ10" i="34"/>
  <c r="AR10" i="34"/>
  <c r="Y11" i="34"/>
  <c r="AO11" i="34"/>
  <c r="AW11" i="34"/>
  <c r="S32" i="34"/>
  <c r="AA32" i="34"/>
  <c r="AI32" i="34"/>
  <c r="AQ32" i="34"/>
  <c r="M10" i="34"/>
  <c r="U10" i="34"/>
  <c r="AC10" i="34"/>
  <c r="AK10" i="34"/>
  <c r="AW10" i="34"/>
  <c r="Z11" i="34"/>
  <c r="AH11" i="34"/>
  <c r="AX11" i="34"/>
  <c r="T32" i="34"/>
  <c r="AB32" i="34"/>
  <c r="AJ32" i="34"/>
  <c r="AR32" i="34"/>
  <c r="Z10" i="34"/>
  <c r="N10" i="34"/>
  <c r="V10" i="34"/>
  <c r="AD10" i="34"/>
  <c r="AL10" i="34"/>
  <c r="U32" i="34"/>
  <c r="AC32" i="34"/>
  <c r="AK32" i="34"/>
  <c r="AS32" i="34"/>
  <c r="O10" i="34"/>
  <c r="W10" i="34"/>
  <c r="AE10" i="34"/>
  <c r="AM10" i="34"/>
  <c r="H32" i="34" l="1"/>
  <c r="G10" i="34"/>
  <c r="I32" i="34"/>
  <c r="H11" i="34"/>
  <c r="I10" i="34"/>
  <c r="I11" i="34"/>
  <c r="G11" i="34"/>
  <c r="F32" i="34"/>
  <c r="G34" i="34"/>
  <c r="I34" i="34"/>
  <c r="H34" i="34"/>
  <c r="AJ61" i="7" l="1"/>
  <c r="N61" i="7"/>
  <c r="M61" i="7"/>
  <c r="L61" i="7"/>
  <c r="K61" i="7"/>
  <c r="J61" i="7"/>
  <c r="I61" i="7"/>
  <c r="H61" i="7"/>
  <c r="G61" i="7"/>
  <c r="F61" i="7"/>
  <c r="AJ60" i="7"/>
  <c r="N60" i="7"/>
  <c r="M60" i="7"/>
  <c r="L60" i="7"/>
  <c r="K60" i="7"/>
  <c r="J60" i="7"/>
  <c r="I60" i="7"/>
  <c r="H60" i="7"/>
  <c r="G60" i="7"/>
  <c r="F60" i="7"/>
  <c r="AJ59" i="7"/>
  <c r="N59" i="7"/>
  <c r="M59" i="7"/>
  <c r="L59" i="7"/>
  <c r="K59" i="7"/>
  <c r="J59" i="7"/>
  <c r="I59" i="7"/>
  <c r="H59" i="7"/>
  <c r="G59" i="7"/>
  <c r="F59" i="7"/>
  <c r="AJ58" i="7"/>
  <c r="N58" i="7"/>
  <c r="M58" i="7"/>
  <c r="L58" i="7"/>
  <c r="K58" i="7"/>
  <c r="J58" i="7"/>
  <c r="I58" i="7"/>
  <c r="H58" i="7"/>
  <c r="G58" i="7"/>
  <c r="F58" i="7"/>
  <c r="AJ57" i="7"/>
  <c r="N57" i="7"/>
  <c r="M57" i="7"/>
  <c r="L57" i="7"/>
  <c r="K57" i="7"/>
  <c r="J57" i="7"/>
  <c r="I57" i="7"/>
  <c r="H57" i="7"/>
  <c r="G57" i="7"/>
  <c r="F57" i="7"/>
  <c r="AJ56" i="7"/>
  <c r="N56" i="7"/>
  <c r="M56" i="7"/>
  <c r="L56" i="7"/>
  <c r="K56" i="7"/>
  <c r="J56" i="7"/>
  <c r="I56" i="7"/>
  <c r="H56" i="7"/>
  <c r="G56" i="7"/>
  <c r="F56" i="7"/>
  <c r="AJ55" i="7"/>
  <c r="N55" i="7"/>
  <c r="M55" i="7"/>
  <c r="L55" i="7"/>
  <c r="K55" i="7"/>
  <c r="J55" i="7"/>
  <c r="I55" i="7"/>
  <c r="H55" i="7"/>
  <c r="G55" i="7"/>
  <c r="F55" i="7"/>
  <c r="AJ52" i="7"/>
  <c r="N52" i="7"/>
  <c r="M52" i="7"/>
  <c r="L52" i="7"/>
  <c r="K52" i="7"/>
  <c r="J52" i="7"/>
  <c r="I52" i="7"/>
  <c r="H52" i="7"/>
  <c r="G52" i="7"/>
  <c r="F52" i="7"/>
  <c r="AJ51" i="7"/>
  <c r="N51" i="7"/>
  <c r="M51" i="7"/>
  <c r="L51" i="7"/>
  <c r="K51" i="7"/>
  <c r="J51" i="7"/>
  <c r="I51" i="7"/>
  <c r="H51" i="7"/>
  <c r="G51" i="7"/>
  <c r="F51" i="7"/>
  <c r="AJ50" i="7"/>
  <c r="N50" i="7"/>
  <c r="M50" i="7"/>
  <c r="L50" i="7"/>
  <c r="K50" i="7"/>
  <c r="J50" i="7"/>
  <c r="I50" i="7"/>
  <c r="H50" i="7"/>
  <c r="G50" i="7"/>
  <c r="F50" i="7"/>
  <c r="AJ49" i="7"/>
  <c r="N49" i="7"/>
  <c r="M49" i="7"/>
  <c r="L49" i="7"/>
  <c r="K49" i="7"/>
  <c r="J49" i="7"/>
  <c r="I49" i="7"/>
  <c r="H49" i="7"/>
  <c r="G49" i="7"/>
  <c r="F49" i="7"/>
  <c r="AJ48" i="7"/>
  <c r="N48" i="7"/>
  <c r="M48" i="7"/>
  <c r="L48" i="7"/>
  <c r="K48" i="7"/>
  <c r="J48" i="7"/>
  <c r="I48" i="7"/>
  <c r="H48" i="7"/>
  <c r="G48" i="7"/>
  <c r="F48" i="7"/>
  <c r="AJ47" i="7"/>
  <c r="N47" i="7"/>
  <c r="M47" i="7"/>
  <c r="L47" i="7"/>
  <c r="K47" i="7"/>
  <c r="J47" i="7"/>
  <c r="I47" i="7"/>
  <c r="H47" i="7"/>
  <c r="G47" i="7"/>
  <c r="F47" i="7"/>
  <c r="AJ46" i="7"/>
  <c r="N46" i="7"/>
  <c r="M46" i="7"/>
  <c r="L46" i="7"/>
  <c r="K46" i="7"/>
  <c r="J46" i="7"/>
  <c r="I46" i="7"/>
  <c r="H46" i="7"/>
  <c r="G46" i="7"/>
  <c r="F46" i="7"/>
  <c r="AJ43" i="7"/>
  <c r="N43" i="7"/>
  <c r="M43" i="7"/>
  <c r="L43" i="7"/>
  <c r="K43" i="7"/>
  <c r="J43" i="7"/>
  <c r="I43" i="7"/>
  <c r="H43" i="7"/>
  <c r="G43" i="7"/>
  <c r="F43" i="7"/>
  <c r="AJ42" i="7"/>
  <c r="N42" i="7"/>
  <c r="M42" i="7"/>
  <c r="L42" i="7"/>
  <c r="K42" i="7"/>
  <c r="J42" i="7"/>
  <c r="I42" i="7"/>
  <c r="H42" i="7"/>
  <c r="G42" i="7"/>
  <c r="F42" i="7"/>
  <c r="AJ41" i="7"/>
  <c r="N41" i="7"/>
  <c r="M41" i="7"/>
  <c r="L41" i="7"/>
  <c r="K41" i="7"/>
  <c r="J41" i="7"/>
  <c r="I41" i="7"/>
  <c r="H41" i="7"/>
  <c r="G41" i="7"/>
  <c r="F41" i="7"/>
  <c r="AJ40" i="7"/>
  <c r="N40" i="7"/>
  <c r="M40" i="7"/>
  <c r="L40" i="7"/>
  <c r="K40" i="7"/>
  <c r="J40" i="7"/>
  <c r="I40" i="7"/>
  <c r="H40" i="7"/>
  <c r="G40" i="7"/>
  <c r="F40" i="7"/>
  <c r="AJ39" i="7"/>
  <c r="N39" i="7"/>
  <c r="M39" i="7"/>
  <c r="L39" i="7"/>
  <c r="K39" i="7"/>
  <c r="J39" i="7"/>
  <c r="I39" i="7"/>
  <c r="H39" i="7"/>
  <c r="G39" i="7"/>
  <c r="F39" i="7"/>
  <c r="AJ38" i="7"/>
  <c r="N38" i="7"/>
  <c r="M38" i="7"/>
  <c r="L38" i="7"/>
  <c r="K38" i="7"/>
  <c r="J38" i="7"/>
  <c r="I38" i="7"/>
  <c r="H38" i="7"/>
  <c r="G38" i="7"/>
  <c r="F38" i="7"/>
  <c r="AJ37" i="7"/>
  <c r="N37" i="7"/>
  <c r="M37" i="7"/>
  <c r="L37" i="7"/>
  <c r="K37" i="7"/>
  <c r="J37" i="7"/>
  <c r="I37" i="7"/>
  <c r="H37" i="7"/>
  <c r="G37" i="7"/>
  <c r="F37" i="7"/>
  <c r="AJ33" i="7"/>
  <c r="N33" i="7"/>
  <c r="M33" i="7"/>
  <c r="L33" i="7"/>
  <c r="K33" i="7"/>
  <c r="J33" i="7"/>
  <c r="I33" i="7"/>
  <c r="H33" i="7"/>
  <c r="G33" i="7"/>
  <c r="F33" i="7"/>
  <c r="AJ32" i="7"/>
  <c r="N32" i="7"/>
  <c r="M32" i="7"/>
  <c r="L32" i="7"/>
  <c r="K32" i="7"/>
  <c r="J32" i="7"/>
  <c r="I32" i="7"/>
  <c r="H32" i="7"/>
  <c r="G32" i="7"/>
  <c r="F32" i="7"/>
  <c r="AJ31" i="7"/>
  <c r="N31" i="7"/>
  <c r="M31" i="7"/>
  <c r="L31" i="7"/>
  <c r="K31" i="7"/>
  <c r="J31" i="7"/>
  <c r="I31" i="7"/>
  <c r="H31" i="7"/>
  <c r="G31" i="7"/>
  <c r="F31" i="7"/>
  <c r="AJ30" i="7"/>
  <c r="N30" i="7"/>
  <c r="M30" i="7"/>
  <c r="L30" i="7"/>
  <c r="K30" i="7"/>
  <c r="J30" i="7"/>
  <c r="I30" i="7"/>
  <c r="H30" i="7"/>
  <c r="G30" i="7"/>
  <c r="F30" i="7"/>
  <c r="AJ29" i="7"/>
  <c r="N29" i="7"/>
  <c r="M29" i="7"/>
  <c r="L29" i="7"/>
  <c r="K29" i="7"/>
  <c r="J29" i="7"/>
  <c r="I29" i="7"/>
  <c r="H29" i="7"/>
  <c r="G29" i="7"/>
  <c r="F29" i="7"/>
  <c r="AJ28" i="7"/>
  <c r="N28" i="7"/>
  <c r="M28" i="7"/>
  <c r="L28" i="7"/>
  <c r="K28" i="7"/>
  <c r="J28" i="7"/>
  <c r="I28" i="7"/>
  <c r="H28" i="7"/>
  <c r="G28" i="7"/>
  <c r="F28" i="7"/>
  <c r="AJ27" i="7"/>
  <c r="N27" i="7"/>
  <c r="M27" i="7"/>
  <c r="L27" i="7"/>
  <c r="K27" i="7"/>
  <c r="J27" i="7"/>
  <c r="I27" i="7"/>
  <c r="H27" i="7"/>
  <c r="G27" i="7"/>
  <c r="F27" i="7"/>
  <c r="AJ24" i="7"/>
  <c r="N24" i="7"/>
  <c r="M24" i="7"/>
  <c r="L24" i="7"/>
  <c r="K24" i="7"/>
  <c r="J24" i="7"/>
  <c r="I24" i="7"/>
  <c r="H24" i="7"/>
  <c r="G24" i="7"/>
  <c r="F24" i="7"/>
  <c r="AJ23" i="7"/>
  <c r="N23" i="7"/>
  <c r="M23" i="7"/>
  <c r="L23" i="7"/>
  <c r="K23" i="7"/>
  <c r="J23" i="7"/>
  <c r="I23" i="7"/>
  <c r="H23" i="7"/>
  <c r="G23" i="7"/>
  <c r="F23" i="7"/>
  <c r="AJ22" i="7"/>
  <c r="N22" i="7"/>
  <c r="M22" i="7"/>
  <c r="L22" i="7"/>
  <c r="K22" i="7"/>
  <c r="J22" i="7"/>
  <c r="I22" i="7"/>
  <c r="H22" i="7"/>
  <c r="G22" i="7"/>
  <c r="F22" i="7"/>
  <c r="AJ21" i="7"/>
  <c r="N21" i="7"/>
  <c r="M21" i="7"/>
  <c r="L21" i="7"/>
  <c r="K21" i="7"/>
  <c r="J21" i="7"/>
  <c r="I21" i="7"/>
  <c r="H21" i="7"/>
  <c r="G21" i="7"/>
  <c r="F21" i="7"/>
  <c r="AJ20" i="7"/>
  <c r="N20" i="7"/>
  <c r="M20" i="7"/>
  <c r="L20" i="7"/>
  <c r="K20" i="7"/>
  <c r="J20" i="7"/>
  <c r="I20" i="7"/>
  <c r="H20" i="7"/>
  <c r="G20" i="7"/>
  <c r="F20" i="7"/>
  <c r="AJ19" i="7"/>
  <c r="N19" i="7"/>
  <c r="M19" i="7"/>
  <c r="L19" i="7"/>
  <c r="K19" i="7"/>
  <c r="J19" i="7"/>
  <c r="I19" i="7"/>
  <c r="H19" i="7"/>
  <c r="G19" i="7"/>
  <c r="F19" i="7"/>
  <c r="AJ18" i="7"/>
  <c r="N18" i="7"/>
  <c r="M18" i="7"/>
  <c r="L18" i="7"/>
  <c r="K18" i="7"/>
  <c r="J18" i="7"/>
  <c r="I18" i="7"/>
  <c r="H18" i="7"/>
  <c r="G18" i="7"/>
  <c r="F18" i="7"/>
  <c r="E15" i="7"/>
  <c r="AJ12" i="7"/>
  <c r="N12" i="7"/>
  <c r="M12" i="7"/>
  <c r="L12" i="7"/>
  <c r="K12" i="7"/>
  <c r="J12" i="7"/>
  <c r="I12" i="7"/>
  <c r="H12" i="7"/>
  <c r="G12" i="7"/>
  <c r="F12" i="7"/>
  <c r="AJ11" i="7"/>
  <c r="N11" i="7"/>
  <c r="M11" i="7"/>
  <c r="L11" i="7"/>
  <c r="K11" i="7"/>
  <c r="J11" i="7"/>
  <c r="I11" i="7"/>
  <c r="H11" i="7"/>
  <c r="G11" i="7"/>
  <c r="F11" i="7"/>
  <c r="AJ10" i="7"/>
  <c r="N10" i="7"/>
  <c r="M10" i="7"/>
  <c r="L10" i="7"/>
  <c r="K10" i="7"/>
  <c r="J10" i="7"/>
  <c r="I10" i="7"/>
  <c r="H10" i="7"/>
  <c r="G10" i="7"/>
  <c r="F10" i="7"/>
  <c r="AJ9" i="7"/>
  <c r="N9" i="7"/>
  <c r="M9" i="7"/>
  <c r="L9" i="7"/>
  <c r="K9" i="7"/>
  <c r="J9" i="7"/>
  <c r="I9" i="7"/>
  <c r="H9" i="7"/>
  <c r="G9" i="7"/>
  <c r="F9" i="7"/>
  <c r="AJ8" i="7"/>
  <c r="N8" i="7"/>
  <c r="M8" i="7"/>
  <c r="L8" i="7"/>
  <c r="K8" i="7"/>
  <c r="J8" i="7"/>
  <c r="I8" i="7"/>
  <c r="H8" i="7"/>
  <c r="G8" i="7"/>
  <c r="F8" i="7"/>
  <c r="AJ7" i="7"/>
  <c r="N7" i="7"/>
  <c r="M7" i="7"/>
  <c r="L7" i="7"/>
  <c r="K7" i="7"/>
  <c r="J7" i="7"/>
  <c r="I7" i="7"/>
  <c r="H7" i="7"/>
  <c r="G7" i="7"/>
  <c r="F7" i="7"/>
  <c r="E15" i="8"/>
  <c r="G62" i="7" l="1"/>
  <c r="AJ62" i="7"/>
  <c r="I62" i="7"/>
  <c r="K62" i="7"/>
  <c r="M62" i="7"/>
  <c r="J62" i="7"/>
  <c r="F62" i="7"/>
  <c r="N62" i="7"/>
  <c r="H62" i="7"/>
  <c r="L62" i="7"/>
  <c r="G53" i="7"/>
  <c r="K53" i="7"/>
  <c r="AJ53" i="7"/>
  <c r="I53" i="7"/>
  <c r="M53" i="7"/>
  <c r="E59" i="7"/>
  <c r="E57" i="7"/>
  <c r="E61" i="7"/>
  <c r="G34" i="7"/>
  <c r="K34" i="7"/>
  <c r="AJ34" i="7"/>
  <c r="G25" i="7"/>
  <c r="AJ25" i="7"/>
  <c r="K44" i="7"/>
  <c r="AJ44" i="7"/>
  <c r="K25" i="7"/>
  <c r="G44" i="7"/>
  <c r="H53" i="7"/>
  <c r="L53" i="7"/>
  <c r="H44" i="7"/>
  <c r="L44" i="7"/>
  <c r="F53" i="7"/>
  <c r="J53" i="7"/>
  <c r="N53" i="7"/>
  <c r="H34" i="7"/>
  <c r="L34" i="7"/>
  <c r="F44" i="7"/>
  <c r="J44" i="7"/>
  <c r="N44" i="7"/>
  <c r="F34" i="7"/>
  <c r="J34" i="7"/>
  <c r="N34" i="7"/>
  <c r="AJ13" i="7"/>
  <c r="E37" i="7"/>
  <c r="E39" i="7"/>
  <c r="E41" i="7"/>
  <c r="E43" i="7"/>
  <c r="E47" i="7"/>
  <c r="E49" i="7"/>
  <c r="E51" i="7"/>
  <c r="H25" i="7"/>
  <c r="L25" i="7"/>
  <c r="H13" i="7"/>
  <c r="L13" i="7"/>
  <c r="E55" i="7"/>
  <c r="M13" i="7"/>
  <c r="I13" i="7"/>
  <c r="E23" i="7"/>
  <c r="E29" i="7"/>
  <c r="E33" i="7"/>
  <c r="E38" i="7"/>
  <c r="E40" i="7"/>
  <c r="E42" i="7"/>
  <c r="E19" i="7"/>
  <c r="E46" i="7"/>
  <c r="E48" i="7"/>
  <c r="E50" i="7"/>
  <c r="E52" i="7"/>
  <c r="E56" i="7"/>
  <c r="E58" i="7"/>
  <c r="E60" i="7"/>
  <c r="I25" i="7"/>
  <c r="M25" i="7"/>
  <c r="E8" i="7"/>
  <c r="E18" i="7"/>
  <c r="J25" i="7"/>
  <c r="N25" i="7"/>
  <c r="E22" i="7"/>
  <c r="I34" i="7"/>
  <c r="M34" i="7"/>
  <c r="E28" i="7"/>
  <c r="E32" i="7"/>
  <c r="F13" i="7"/>
  <c r="J13" i="7"/>
  <c r="N13" i="7"/>
  <c r="E21" i="7"/>
  <c r="E27" i="7"/>
  <c r="E31" i="7"/>
  <c r="G13" i="7"/>
  <c r="E20" i="7"/>
  <c r="E24" i="7"/>
  <c r="E30" i="7"/>
  <c r="I44" i="7"/>
  <c r="M44" i="7"/>
  <c r="E25" i="8"/>
  <c r="K13" i="7"/>
  <c r="F25" i="7"/>
  <c r="E34" i="8"/>
  <c r="E61" i="8"/>
  <c r="E43" i="8"/>
  <c r="E7" i="7"/>
  <c r="E9" i="7"/>
  <c r="E10" i="7"/>
  <c r="E11" i="7"/>
  <c r="E12" i="7"/>
  <c r="E42" i="8"/>
  <c r="E45" i="8"/>
  <c r="E49" i="8"/>
  <c r="E55" i="8"/>
  <c r="E59" i="8"/>
  <c r="E20" i="8"/>
  <c r="E24" i="8"/>
  <c r="E30" i="8"/>
  <c r="E37" i="8"/>
  <c r="E58" i="8"/>
  <c r="E22" i="8"/>
  <c r="E28" i="8"/>
  <c r="E32" i="8"/>
  <c r="E39" i="8"/>
  <c r="E46" i="8"/>
  <c r="E50" i="8"/>
  <c r="E56" i="8"/>
  <c r="E60" i="8"/>
  <c r="E21" i="8"/>
  <c r="E27" i="8"/>
  <c r="E31" i="8"/>
  <c r="E38" i="8"/>
  <c r="E41" i="8"/>
  <c r="E48" i="8"/>
  <c r="E54" i="8"/>
  <c r="E7" i="8"/>
  <c r="E8" i="8"/>
  <c r="E9" i="8"/>
  <c r="E10" i="8"/>
  <c r="E11" i="8"/>
  <c r="E12" i="8"/>
  <c r="E19" i="8"/>
  <c r="E23" i="8"/>
  <c r="E29" i="8"/>
  <c r="E33" i="8"/>
  <c r="E36" i="8"/>
  <c r="E40" i="8"/>
  <c r="E47" i="8"/>
  <c r="E51" i="8"/>
  <c r="E57" i="8"/>
  <c r="E52" i="8"/>
  <c r="E18" i="8"/>
  <c r="E62" i="7" l="1"/>
  <c r="E53" i="7"/>
  <c r="E44" i="7"/>
  <c r="E13" i="7"/>
  <c r="E34" i="7"/>
  <c r="E13" i="8"/>
  <c r="E25" i="7"/>
  <c r="K33" i="34" l="1"/>
  <c r="K34" i="34"/>
</calcChain>
</file>

<file path=xl/sharedStrings.xml><?xml version="1.0" encoding="utf-8"?>
<sst xmlns="http://schemas.openxmlformats.org/spreadsheetml/2006/main" count="18277" uniqueCount="9545">
  <si>
    <t>서울2</t>
    <phoneticPr fontId="1" type="noConversion"/>
  </si>
  <si>
    <t>기술4팀</t>
  </si>
  <si>
    <t>서울1</t>
    <phoneticPr fontId="1" type="noConversion"/>
  </si>
  <si>
    <t>부산1</t>
    <phoneticPr fontId="1" type="noConversion"/>
  </si>
  <si>
    <t>부산2</t>
    <phoneticPr fontId="1" type="noConversion"/>
  </si>
  <si>
    <t>기술1팀</t>
    <phoneticPr fontId="1" type="noConversion"/>
  </si>
  <si>
    <t>전주</t>
    <phoneticPr fontId="1" type="noConversion"/>
  </si>
  <si>
    <t>서울2</t>
  </si>
  <si>
    <t>기술2팀</t>
  </si>
  <si>
    <t>기술3팀</t>
  </si>
  <si>
    <t>기술5팀</t>
  </si>
  <si>
    <t>기술7팀</t>
  </si>
  <si>
    <t>기타(오입력)</t>
    <phoneticPr fontId="1" type="noConversion"/>
  </si>
  <si>
    <t>합계</t>
    <phoneticPr fontId="1" type="noConversion"/>
  </si>
  <si>
    <t>스캔</t>
    <phoneticPr fontId="1" type="noConversion"/>
  </si>
  <si>
    <t>기술6팀</t>
  </si>
  <si>
    <t>1. 전체 원격점검 접수 통계</t>
    <phoneticPr fontId="1" type="noConversion"/>
  </si>
  <si>
    <t>기타(오입력)</t>
  </si>
  <si>
    <t>부산2</t>
    <phoneticPr fontId="1" type="noConversion"/>
  </si>
  <si>
    <t>기술1팀</t>
    <phoneticPr fontId="1" type="noConversion"/>
  </si>
  <si>
    <t>기술1팀</t>
    <phoneticPr fontId="1" type="noConversion"/>
  </si>
  <si>
    <t>2. 센터별 접수 통계</t>
    <phoneticPr fontId="1" type="noConversion"/>
  </si>
  <si>
    <t>11월</t>
    <phoneticPr fontId="1" type="noConversion"/>
  </si>
  <si>
    <t>구분</t>
    <phoneticPr fontId="1" type="noConversion"/>
  </si>
  <si>
    <t>2017년 11월 스마트원격진단 접수 현황</t>
    <phoneticPr fontId="1" type="noConversion"/>
  </si>
  <si>
    <t>2017년 12월 스마트원격진단 접수 현황</t>
    <phoneticPr fontId="1" type="noConversion"/>
  </si>
  <si>
    <t>12월</t>
    <phoneticPr fontId="1" type="noConversion"/>
  </si>
  <si>
    <t>스 캔</t>
    <phoneticPr fontId="1" type="noConversion"/>
  </si>
  <si>
    <t>기타</t>
    <phoneticPr fontId="1" type="noConversion"/>
  </si>
  <si>
    <t>CSONE부산2센터</t>
    <phoneticPr fontId="1" type="noConversion"/>
  </si>
  <si>
    <t>CSONE서울1센터</t>
    <phoneticPr fontId="1" type="noConversion"/>
  </si>
  <si>
    <t>LB휴넷전주센터</t>
    <phoneticPr fontId="1" type="noConversion"/>
  </si>
  <si>
    <t>LB휴넷서울센터</t>
    <phoneticPr fontId="1" type="noConversion"/>
  </si>
  <si>
    <t>CSONE부산1센터</t>
    <phoneticPr fontId="1" type="noConversion"/>
  </si>
  <si>
    <t>1월</t>
  </si>
  <si>
    <t>2월</t>
  </si>
  <si>
    <t>3월</t>
  </si>
  <si>
    <t>4월</t>
  </si>
  <si>
    <t>5월</t>
  </si>
  <si>
    <t>6월</t>
  </si>
  <si>
    <t>7월</t>
  </si>
  <si>
    <t>8월</t>
  </si>
  <si>
    <t>9월</t>
  </si>
  <si>
    <t>10월</t>
  </si>
  <si>
    <t>11월</t>
  </si>
  <si>
    <t>12월</t>
  </si>
  <si>
    <t>2019년 월간실적</t>
  </si>
  <si>
    <t>2020년 월간실적</t>
  </si>
  <si>
    <t>2018년</t>
  </si>
  <si>
    <t>2019년</t>
  </si>
  <si>
    <t>2주차</t>
  </si>
  <si>
    <t>3주차</t>
  </si>
  <si>
    <t>4주차</t>
  </si>
  <si>
    <t>5주차</t>
  </si>
  <si>
    <t>접수</t>
  </si>
  <si>
    <t>평균</t>
  </si>
  <si>
    <t>전월 대비</t>
  </si>
  <si>
    <t>AS 재접수건</t>
    <phoneticPr fontId="1" type="noConversion"/>
  </si>
  <si>
    <t>구   분</t>
    <phoneticPr fontId="1" type="noConversion"/>
  </si>
  <si>
    <t>누적
합계</t>
    <phoneticPr fontId="1" type="noConversion"/>
  </si>
  <si>
    <t>연간 통계</t>
    <phoneticPr fontId="1" type="noConversion"/>
  </si>
  <si>
    <t>2018년 월간실적</t>
    <phoneticPr fontId="1" type="noConversion"/>
  </si>
  <si>
    <t>2017년</t>
    <phoneticPr fontId="1" type="noConversion"/>
  </si>
  <si>
    <t>가. CSONE서울1센터</t>
    <phoneticPr fontId="1" type="noConversion"/>
  </si>
  <si>
    <t>2017년 월간실적</t>
    <phoneticPr fontId="1" type="noConversion"/>
  </si>
  <si>
    <t>2020년</t>
    <phoneticPr fontId="1" type="noConversion"/>
  </si>
  <si>
    <t>11월</t>
    <phoneticPr fontId="1" type="noConversion"/>
  </si>
  <si>
    <t>12월</t>
    <phoneticPr fontId="1" type="noConversion"/>
  </si>
  <si>
    <t xml:space="preserve"> 1. 접수 통계</t>
    <phoneticPr fontId="1" type="noConversion"/>
  </si>
  <si>
    <t>접수</t>
    <phoneticPr fontId="1" type="noConversion"/>
  </si>
  <si>
    <t>평균</t>
    <phoneticPr fontId="1" type="noConversion"/>
  </si>
  <si>
    <t>전월 대비</t>
    <phoneticPr fontId="1" type="noConversion"/>
  </si>
  <si>
    <t>나. LB휴넷서울센터</t>
    <phoneticPr fontId="1" type="noConversion"/>
  </si>
  <si>
    <t>다. CSONE부산1센터</t>
    <phoneticPr fontId="1" type="noConversion"/>
  </si>
  <si>
    <t>라. CSONE부산2센터</t>
    <phoneticPr fontId="1" type="noConversion"/>
  </si>
  <si>
    <t>마.LB휴넷전주센터</t>
    <phoneticPr fontId="1" type="noConversion"/>
  </si>
  <si>
    <t>바.기타</t>
    <phoneticPr fontId="1" type="noConversion"/>
  </si>
  <si>
    <t xml:space="preserve"> 2. 방문 AS 접수</t>
    <phoneticPr fontId="1" type="noConversion"/>
  </si>
  <si>
    <t>가. 방문AS 접수건</t>
    <phoneticPr fontId="1" type="noConversion"/>
  </si>
  <si>
    <t>다 AS접수 비율</t>
    <phoneticPr fontId="1" type="noConversion"/>
  </si>
  <si>
    <t>나 평균 접수건</t>
    <phoneticPr fontId="1" type="noConversion"/>
  </si>
  <si>
    <t>라 전월 대비</t>
    <phoneticPr fontId="1" type="noConversion"/>
  </si>
  <si>
    <t/>
  </si>
  <si>
    <t>주차별 통계</t>
    <phoneticPr fontId="1" type="noConversion"/>
  </si>
  <si>
    <t>1주차</t>
    <phoneticPr fontId="1" type="noConversion"/>
  </si>
  <si>
    <t>2021년</t>
  </si>
  <si>
    <t>2022년</t>
    <phoneticPr fontId="1" type="noConversion"/>
  </si>
  <si>
    <t>2021년 월간실적</t>
  </si>
  <si>
    <t>2022년 월간실적</t>
    <phoneticPr fontId="1" type="noConversion"/>
  </si>
  <si>
    <t>당월
현황</t>
    <phoneticPr fontId="1" type="noConversion"/>
  </si>
  <si>
    <t>당월</t>
    <phoneticPr fontId="1" type="noConversion"/>
  </si>
  <si>
    <t>실적</t>
    <phoneticPr fontId="1" type="noConversion"/>
  </si>
  <si>
    <t>2. 센터별 접수 통계</t>
    <phoneticPr fontId="1" type="noConversion"/>
  </si>
  <si>
    <t>CSONE서울1센터</t>
    <phoneticPr fontId="1" type="noConversion"/>
  </si>
  <si>
    <t>기술1팀</t>
    <phoneticPr fontId="1" type="noConversion"/>
  </si>
  <si>
    <t>기술A1</t>
    <phoneticPr fontId="1" type="noConversion"/>
  </si>
  <si>
    <t>기술A1</t>
    <phoneticPr fontId="1" type="noConversion"/>
  </si>
  <si>
    <t>기술A2</t>
    <phoneticPr fontId="1" type="noConversion"/>
  </si>
  <si>
    <t>기술맞춤제안1팀</t>
    <phoneticPr fontId="1" type="noConversion"/>
  </si>
  <si>
    <t>멀티</t>
    <phoneticPr fontId="1" type="noConversion"/>
  </si>
  <si>
    <t>기타</t>
    <phoneticPr fontId="1" type="noConversion"/>
  </si>
  <si>
    <t>LB휴넷서울센터</t>
    <phoneticPr fontId="1" type="noConversion"/>
  </si>
  <si>
    <t>기술맞춤제안1팀</t>
    <phoneticPr fontId="1" type="noConversion"/>
  </si>
  <si>
    <t>기타</t>
    <phoneticPr fontId="1" type="noConversion"/>
  </si>
  <si>
    <t>CSONE부산1센터</t>
    <phoneticPr fontId="1" type="noConversion"/>
  </si>
  <si>
    <t>기술1팀</t>
    <phoneticPr fontId="1" type="noConversion"/>
  </si>
  <si>
    <t>기술맞춤제안1팀</t>
    <phoneticPr fontId="1" type="noConversion"/>
  </si>
  <si>
    <t>멀티</t>
    <phoneticPr fontId="1" type="noConversion"/>
  </si>
  <si>
    <t>CSONE부산2센터</t>
    <phoneticPr fontId="1" type="noConversion"/>
  </si>
  <si>
    <t>LB휴넷전주센터</t>
    <phoneticPr fontId="1" type="noConversion"/>
  </si>
  <si>
    <t>기술1팀</t>
    <phoneticPr fontId="1" type="noConversion"/>
  </si>
  <si>
    <t>기술A2</t>
    <phoneticPr fontId="1" type="noConversion"/>
  </si>
  <si>
    <t>기타</t>
    <phoneticPr fontId="1" type="noConversion"/>
  </si>
  <si>
    <t>화</t>
  </si>
  <si>
    <t>수</t>
  </si>
  <si>
    <t>목</t>
  </si>
  <si>
    <t>금</t>
  </si>
  <si>
    <t>토</t>
  </si>
  <si>
    <t>일</t>
  </si>
  <si>
    <t>월</t>
  </si>
  <si>
    <t>2025년  4월 스마트원격진단 접수 현황</t>
    <phoneticPr fontId="1" type="noConversion"/>
  </si>
  <si>
    <t>CSONE서울1센터</t>
  </si>
  <si>
    <t>LB휴넷서울센터</t>
  </si>
  <si>
    <t>CSONE부산1센터</t>
  </si>
  <si>
    <t>CSONE부산2센터</t>
  </si>
  <si>
    <t>LB휴넷전주센터</t>
  </si>
  <si>
    <t>No.</t>
    <phoneticPr fontId="1" type="noConversion"/>
  </si>
  <si>
    <t>접수일자</t>
    <phoneticPr fontId="1" type="noConversion"/>
  </si>
  <si>
    <t>접수시간</t>
    <phoneticPr fontId="1" type="noConversion"/>
  </si>
  <si>
    <t>리뷰점수</t>
    <phoneticPr fontId="1" type="noConversion"/>
  </si>
  <si>
    <t>리뷰</t>
    <phoneticPr fontId="1" type="noConversion"/>
  </si>
  <si>
    <t>늦은 시간에 친절하게 작업 해 주셔서 감사합니다.</t>
  </si>
  <si>
    <t>감사합니다</t>
  </si>
  <si>
    <t>빠르고 친절한 답변, 처리도 매우 빠르게 진행해주셨습니다.</t>
  </si>
  <si>
    <t>신속하게 정확하게 진단을 해주셔서 좋았습니다.</t>
  </si>
  <si>
    <t>기사님 친절하시고 잘 이해할수 있도록 설명해주셨습니다.</t>
  </si>
  <si>
    <t>친절하고 빠르고 아주 좋앗습니다.</t>
  </si>
  <si>
    <t>궁금한 것도 친절히 알려주시고, 감사하네요~ 막히면 바로 연락 드려서 또 서비스 받고 싶고... 아 그러면 너무 피곤해지시려나요? ㅎ 원활하게 해결해 주셔서 감사드립니다~ 꾸벅 (-.-)(_ _)</t>
  </si>
  <si>
    <t>꼼꼼하게 잘 체크해주셨습니다.</t>
  </si>
  <si>
    <t>엉청 친절하시고 이유 설명을 잘 해주십니다</t>
  </si>
  <si>
    <t>친절한 설명 감사합니다^^</t>
  </si>
  <si>
    <t>원격조정 해주신 기사님분께서 빠르게 원인을 찾아주시고 친절하게 설명주셔서 문제점을 해결할 수 있었습니다. 최고</t>
  </si>
  <si>
    <t>아주 친절하고 세심하게 설명을 잘 해주셨습니다. 빠른 대응 감사합니다.</t>
  </si>
  <si>
    <t>친절 하고 빠른 해결 감사합니다 ~</t>
  </si>
  <si>
    <t>친절하셔서 너무 좋았어요 부담 안가지고 문의할 수 있어서 좋네요</t>
  </si>
  <si>
    <t>열심히 봐 주십니다</t>
  </si>
  <si>
    <t>친절하시고 설명이 깔끔하다</t>
  </si>
  <si>
    <t>인터넷 끊김현상으로 원격서비스를 받았는데 어떤게 문제가 있는지 점검해보시고 상세히 설명도 해주시고 다음에도 문제가 있을 시 해결방안도 알려주셨습니다. 친절하시고 원격점검 서비스에 별 5개 드립니다.</t>
  </si>
  <si>
    <t>친절하심</t>
  </si>
  <si>
    <t>친절하게 성심성의껏 설명해주셨고 정확한 진단을 위한 조치와 구체적인 해결방법을 몇가지로 구분하여 잘 설명해주시고 추가적인 조치방법등을 친절하게 설명해주셨습니다.</t>
  </si>
  <si>
    <t>궁금한점도 잘 답변해주시고 상담해주신분도 친절하셔서 좋은 상담이 됐습니다.</t>
  </si>
  <si>
    <t>설명도 친절하시고 알아듣기 쉽게 설명 잘 해주셨어요 ! 감사합니다!</t>
  </si>
  <si>
    <t>감사합니다~~~~~~</t>
  </si>
  <si>
    <t>간편하게 진단 및 문제점 진단 친절한 안내 감사합니다.</t>
  </si>
  <si>
    <t>PC에서 인터넷 끊김이 있어 문의 했는데 매니저 분이 아주 친절하게 설명해주시고, 드라이버 업데이트도 진행해 주시어 감사했습니다. 항상 건강하세요</t>
  </si>
  <si>
    <t>친절하게 잘 알려주셔서 좋았습니다 덕분에 잘 사용할 것 같아요!</t>
  </si>
  <si>
    <t>문제 잘 해결 되었고 친절한 상담 감사합니다.</t>
  </si>
  <si>
    <t>친절히 잘 받았습니다</t>
  </si>
  <si>
    <t>친절, 감사합니다.좋은하루되세요.</t>
  </si>
  <si>
    <t>친절하게 잘 설명해 주셔서 감사합니다</t>
  </si>
  <si>
    <t>너무 잘 도와주셨고 사례를 알기 쉽게 설명해주셔서 빠르게 문제해결은 물론 원인까지 파악하게 되어 사이다 같은 서비스 지원 받았습니다. 감사합니다.</t>
  </si>
  <si>
    <t>친절한 상담 및 신속한 진단 감사합니다.</t>
  </si>
  <si>
    <t>만족합니다 수고하셨습니다</t>
  </si>
  <si>
    <t>감사합니다 ㅎㅎ 다음에도 또 하고싶습니다 !</t>
  </si>
  <si>
    <t>너무 친절하게 설명해 주셔서 정말 감사드립니다 감기 조심하시고 전강하세요</t>
  </si>
  <si>
    <t>아주 정확하고 명확한 설명 명쾌합니다. 너무 좋아요 엔지니어님 최고!</t>
  </si>
  <si>
    <t>친절하고 깔끔한 진단 감사합니다.</t>
  </si>
  <si>
    <t>감사드립니다. 너무 친절하시고 제가 문의한데에는 어려움과 답답함이 있었는데 한결 해소가 되어서 그 도움과 지식에 다시한번 감사드립니다. 일교차가 심한 날씨인데 감기 조심하시고 건강하세요</t>
  </si>
  <si>
    <t>안녕하세요 너무도 친절하게 알려주셔서 감사합니다 큰 도움 잘 받았습니다</t>
  </si>
  <si>
    <t>원격으로 하니 너무편하고 좋네요 문제 해결도 시원하게 해주시고 감사합니다.</t>
  </si>
  <si>
    <t>설명 너무 친절하게 잘 해주셨습니다~ !!</t>
  </si>
  <si>
    <t>꼼꼼하고 친절하게 진행해주셨습니다. 답답했는데 덕분에 잘 해결했습니다. 감사합니다!!</t>
  </si>
  <si>
    <t>친절하게 상담 및 요청내용 고쳐주셔서 감사합니다</t>
  </si>
  <si>
    <t>친절한 응대 감사합니다.</t>
  </si>
  <si>
    <t>너무 너무 감사 합니다~~~~~~~~~~~</t>
  </si>
  <si>
    <t>고객의 요구사항을 정확하게 인지하신후 알기 쉽게 설명.처리해주셨습니다.</t>
  </si>
  <si>
    <t>친절하고 정확한 조치 감사드립니다</t>
  </si>
  <si>
    <t>자세한 설명 완전굿입니다. 최고의 해결사분이시네요~</t>
  </si>
  <si>
    <t>아주 친절하고 적극적으로 상담하고 점검해주셨습니다 감사합니다!!!</t>
  </si>
  <si>
    <t>친절한 상담 감사합니다.</t>
  </si>
  <si>
    <t>친절한 응대 감사합니다.!</t>
  </si>
  <si>
    <t>너무친절한 응대에 감사드립니다~~</t>
  </si>
  <si>
    <t>신속한 접속과 진단을 해주셨습니다. 그외에도 여러가지 질문에 친절하게 답변 해주셔서 감사 드립니다</t>
  </si>
  <si>
    <t>신속하고 빠른처리 감사합니다</t>
  </si>
  <si>
    <t>친절하시고 추후에 해결 방법 까지 다 안내해 주셨습니다 .</t>
  </si>
  <si>
    <t>매우 편리했고 상담해주시는 기술팀이 너무나 일을 깔끔히 친절히 잘해주셨습니다</t>
  </si>
  <si>
    <t>설명 잘해줘서 좋아요</t>
  </si>
  <si>
    <t>원격진행 신청햇섯는데요 신속한처리 해주셧구여 너무 감사합니다. 즐거운 하루되세요^^</t>
  </si>
  <si>
    <t>안정 기사님게서 너무 친절하고 빠르고 정확하게 문제 해결해주셨어요... 작업 하시는 화면 보는데 '와..정확하다 빠르다' 라는 생각이 들었고 3년전에도 문제 해결해주셨는데 3년후에 이사하고 좀 라우터쪽 ip가 꼬였었는데 히스토리 바로 캐치해주셔서 문제해결 바로해주셨어요 멋지십니다 역시 프로는 다르네요 신속하고 센스있는 친절한 응대 정말 감사합니다</t>
  </si>
  <si>
    <t>문제의 원인을 해결했어요 감사합니다 나중에 또 문제생기면 상담할게요</t>
  </si>
  <si>
    <t>처음부터 끝까지 너무 친절하게 응대해주셨습니다. 추가로 문의했던 내용의 해결 뿐 만 아니라, 문의를 하게 된 이유를 듣고 최종적으로 하고자 하는 목표에 도달할 수 있게 세심하게 하나씩 봐주셔서 고민하던 문제들을 한번에 해결해주셔서 너무 만족했으며, 그 과정에 도달하기 위해 필요한 정보들이 무엇인지 하나씩 설명해주셔서 도움이 많이 되었습니다. 너무 감사합니다.</t>
  </si>
  <si>
    <t>최고 입니다 수고했습니다</t>
  </si>
  <si>
    <t>친절하고 빠르게 필요한 부분을 도와주셔서 감사합니다.</t>
  </si>
  <si>
    <t>친절하시고 궁금한 점도 이해하기 쉽게 설명해 주셨습니다. 감사합니다.</t>
  </si>
  <si>
    <t>친절해요</t>
  </si>
  <si>
    <t>친절하게 설명해주셔서 좋았네여!</t>
  </si>
  <si>
    <t>생소한 건데 기사님이 친절하게 해결할수 있도록 알려줘서 문제를 해결했습니다.</t>
  </si>
  <si>
    <t>자세한 설명과 잘 진단해주셔서 감사드립니다</t>
  </si>
  <si>
    <t>친절하셨어요</t>
  </si>
  <si>
    <t>정말 친절하게 증상에 대해서 잘 설명해주시고, 해결도 신속하게 해주시면서 추가적인 문제가 발생했을 때 대안까지 완벽하게 알려주셨습니다. 이러한 훌륭한 고객서비스가 있어서 LG U+를 계속해서 이용하는거 같습니다. 감사합니다.</t>
  </si>
  <si>
    <t>빠르게 처리 완</t>
  </si>
  <si>
    <t>최고</t>
  </si>
  <si>
    <t>최고의원격러 너무친절하고 너무스피드해서 대만족</t>
  </si>
  <si>
    <t>간편하고 친절하게 상담해주시고 빠르게 고쳐주셔서 감사합니다</t>
  </si>
  <si>
    <t>참 삼당하시는 기술자분 참 친절하게 잘 가르쳐 주셔서 저 또한 하나 배웠습니다.^^</t>
  </si>
  <si>
    <t>할수있는 최선을 다해주셨음 해결은 못했지만 다음 절차에대해서 친절하게 알려주심</t>
  </si>
  <si>
    <t>기사님이 친절하시고 좋아요. 설명도 잘 해주셨습니다.</t>
  </si>
  <si>
    <t>모르는거 친절하게 설명해주셨음 추가적인 질문도 받아주시면서 어려운부분해결해주셨음 정말 최고입니다!!</t>
  </si>
  <si>
    <t>원격진단으로 쉽고 빠르게 원인을 찾고 해결 방법에 대한 설명을 들을 수 있었다.</t>
  </si>
  <si>
    <t>친절한 상담 감사합니다.~~</t>
  </si>
  <si>
    <t>확인차 문의했는데 친절하게 상담해주셔서 만족합니다!!!</t>
  </si>
  <si>
    <t>전문가의 입장에서 처리하여 주셨습니다. 좋은 서비스 감사합니다.</t>
  </si>
  <si>
    <t>아들때문에 정신없었지만 친절한 상담 감사합니다.</t>
  </si>
  <si>
    <t>친절하게 잘 해주셨씁니다!</t>
  </si>
  <si>
    <t>친절하게 설명해주셔서 감사합니다.</t>
  </si>
  <si>
    <t>매우만족합니다</t>
  </si>
  <si>
    <t>포트포워딩시 외부IP 접속이 내부망에서 안되는 부분은 사실상 처음 겪어봅니다. 차후에는 개선됐으면 합니다. 서비스는 친절하게 응대해주셔서 쉽게 해결됐습니다.</t>
  </si>
  <si>
    <t>나이스 했습니당</t>
  </si>
  <si>
    <t>빠른서비스와 정확한 진단에 감사드립니다</t>
  </si>
  <si>
    <t>네 잘받았습니다</t>
  </si>
  <si>
    <t>잘 알려주셨습니다</t>
  </si>
  <si>
    <t>많은 시간 할애해서 고객의 컴퓨터를 꼼꼼하게 봐 주셨습니다 너무 감사합니다.^^</t>
  </si>
  <si>
    <t>서비스를 이용하면서 친절한 안내와 신속한 문제 해결 덕분에 매우 만족스러웠습니다.</t>
  </si>
  <si>
    <t>친절하고 정확합니다.</t>
  </si>
  <si>
    <t>유튜브 트랙픽 해결 안됨~~</t>
  </si>
  <si>
    <t>너무 편하네요</t>
  </si>
  <si>
    <t>신속하고 친절하게 업무 처리해주셔서 만족스러웠습니다</t>
  </si>
  <si>
    <t>친절하게 설명해주시고 빠르게 처리해주셔서 감사합니다.</t>
  </si>
  <si>
    <t>친절학고 자세하게 설명들었습니다</t>
  </si>
  <si>
    <t>빠르고 정확한 처리 훌륭합니다. 친절한 목소리에 매너좋게 잘 해주시네요.</t>
  </si>
  <si>
    <t>정확한 정보와 빠른 대처 방법 설명에 진심으로 감사드립니다. 즐거운 하루 보내세요 고맙습니다</t>
  </si>
  <si>
    <t>친절하게 자세하게 잘받았습니다 그래서 10년이상 엘쥐만 쓰고있지요 감사합니다</t>
  </si>
  <si>
    <t>오늘 서비스해 주신 담당자님에게 감샤~^^ "최고입니다."</t>
  </si>
  <si>
    <t>빠르고 친절하게 그리고 자세히 설명해주시고 처리해주셨습니다</t>
  </si>
  <si>
    <t>HTS 사용 중 주문장애가발생하여 급하게 전화해서 확인 했음에도 공감해주고 친절하게 안내해 주어서 감사합니다.</t>
  </si>
  <si>
    <t>설명 감사합니다.</t>
  </si>
  <si>
    <t>친절한 상담 감사합니다...</t>
  </si>
  <si>
    <t>친절하게 잘 설명해주심</t>
  </si>
  <si>
    <t>빠르고 신속하게 안내해 주셨습니다.</t>
  </si>
  <si>
    <t>ㅈㅎㅇ았어요</t>
  </si>
  <si>
    <t>친절히 잘 설명해주시고 조치해 주셨습니다. 감사합니다.</t>
  </si>
  <si>
    <t>상세한 설명과 친절함에 감사합니다^^</t>
  </si>
  <si>
    <t>친철합니다</t>
  </si>
  <si>
    <t>상세하게 알려주셧음</t>
  </si>
  <si>
    <t>감사합니다.</t>
  </si>
  <si>
    <t>친절하시고 안내 잘해주시고 대만족합니다</t>
  </si>
  <si>
    <t>친절합니다</t>
  </si>
  <si>
    <t>아주 설명을 잘해주셨습니다~</t>
  </si>
  <si>
    <t>매우 친절하시고 잘 설명해 주셨습니다. 감사합니다.</t>
  </si>
  <si>
    <t>설명잘해주시네요~</t>
  </si>
  <si>
    <t>친절하게 봐주셔서 감사합니다 좋은 하루 보내세요 :)</t>
  </si>
  <si>
    <t>친절하고 빠른 상담 감사합니다.</t>
  </si>
  <si>
    <t>친절하시고 잘해결해주셨습니다.</t>
  </si>
  <si>
    <t>친절하고 꼼꼼한 점검으로 문제의 원인을 잘 설명해 주어서 만족스러웠습니다. 감사합니다.</t>
  </si>
  <si>
    <t>빠른 해결 감사드립니다!</t>
  </si>
  <si>
    <t>너무 친절하고 부담가지 않게 설명해주셨고 문제도 잘 해결되었습니다 앞으로도 문제 생긴다면 같은 기사님께 해결 받고 싶습니다. 감사합니다.</t>
  </si>
  <si>
    <t>너무 친절해서 감동 받았어요~감사합니다.</t>
  </si>
  <si>
    <t>지금 너무 편하고 질문들을 시원하게 답해주시고 모르는것들을 알려주시고 어떤상황에서도 잘 해결해 주셧습니다</t>
  </si>
  <si>
    <t>너무 친절하세요. 이해가 잘되게 설명도 해주시고요. 최고십니다. 번창하시고 성공하세요~~!!</t>
  </si>
  <si>
    <t>상세하고 친절하게 안내 해주셨습니다. 감사합니다</t>
  </si>
  <si>
    <t>단순 접촉 불량으로 번거롭게 해드린 것 같아 죄송합니다... 완벽히 해결 되었고 추후에 문제가 발생 시 빠르게 처리 할 수 있게 도와 주신다고 하니 믿고 사용할 수 있을 것 같습니다 정말 감사합니다 행복한 하루 마무리 되시길 바랍니다!! 연결 해주신 상담사님 , 원격으로 해결해주신 상담사님 두분 정 말 감사합니다 친절한 상담 이였습니다.</t>
  </si>
  <si>
    <t>친절하게 잘 설명해주셨습니다~!</t>
  </si>
  <si>
    <t>너무 친철하게 빠른처라해주셔서 너무 감사합니다^^</t>
  </si>
  <si>
    <t>먼저 귀사의 무궁한 발전을 기원하요며, 민원에 대한 담당 직원님의 신속하고 유용한 처리에 진심으로 감사드립니다.</t>
  </si>
  <si>
    <t>굿!</t>
  </si>
  <si>
    <t>상세점검 친절한 A/S 감사합니다</t>
  </si>
  <si>
    <t>상세히 설명해주셔서 좋아요</t>
  </si>
  <si>
    <t>정확하고 친절하게 조치해 주셨어요</t>
  </si>
  <si>
    <t>빠른 조치와 명확한 원인을 찾아서 해결해주셨습니다. 이해하기 쉽게 설명해주셔서 감사합니다.</t>
  </si>
  <si>
    <t>매우친절</t>
  </si>
  <si>
    <t>매우 만족한 서비스였습니다. 원격으로 친절한설명 잘들었습니다. ~~</t>
  </si>
  <si>
    <t>자세하고 꼼꼼하게 설명해주셔서 좋았어요^^</t>
  </si>
  <si>
    <t>정말씬속하게 친절하게 조치래주었습니다 많은사람들에게 엘지유프러스 알리겠습니다 우리집사람도 lg 출신입니다 확인전화도 주시고 너무 감사했습니다 새로워진 lg 유프러스 되세요</t>
  </si>
  <si>
    <t>.</t>
  </si>
  <si>
    <t>빠르게 진단 해주시고 조치 해주셔서 감사합니다.</t>
  </si>
  <si>
    <t>친절 하십니다.</t>
  </si>
  <si>
    <t>안녕하세요 많이 도움주세감사합니다 고맙습니다</t>
  </si>
  <si>
    <t>기사님이 친절하세여!! 감사합니다 : ) 좋은 하루 되세용!!!</t>
  </si>
  <si>
    <t>제가 원했던 해결을 빠르게 처리해주셔서 감사합니다! :D 좋은 하루 되세요!</t>
  </si>
  <si>
    <t>간결하고 이해하기 쉽게 설명해주셔서 너무너무너무 감사드리고 최고예요</t>
  </si>
  <si>
    <t>친절하고 빠르게 처리 해주셔서 감사합니다 ^^</t>
  </si>
  <si>
    <t>감사합니다. 좋은 상담 해주셨어요</t>
  </si>
  <si>
    <t>매우 친절하게 설명해 주셨어요. 예약까지 잡아주셔서 편리하기도 하구요. 아주 만족스러워요</t>
  </si>
  <si>
    <t>인터넷 속도 때문에 상담 요청드렸는데요. 제가 평소에 고민이 많던 부분인 아이들 스마트기기 사용시간 통제문제까지 한번에 시원하게 상담해 주시고 해결해 주셔서 저에계는 매우 금쪽같은 귀중한 진단 시간이었습니다. 제가 시스템 관련 이해가 어려워 상담해 주기 굉장히 귀찮고 시간이 많이 걸렸는데 끝까지 친절하고 꼼꼼하게 알려주시고 서비스 잘 마무리 해주셔서 너무 감하했습니다. 친철한 상담사님 덕분에 기분좋게 하루 시작합니다. 감사합니다.</t>
  </si>
  <si>
    <t>만족합니다.</t>
  </si>
  <si>
    <t>감사합니다 신속한 해결~~~^^</t>
  </si>
  <si>
    <t>너무 친절하게 상담해주시고 문제해결에 도움을 주셔서 감사합니다 200% 만족도의 상담이였습니다.</t>
  </si>
  <si>
    <t>문제가 생길때마다 원인을 찾아내서 해결해 주셨습니다. 문제가 생기는 원인도 질문에 상세히 이해가 갈 수 있게 설명해 주셔서 답답한 마음을 해소해 주셨어요. 안심하고 작업할 수 있게 되었습니다. 감사해요~!!</t>
  </si>
  <si>
    <t>만족합니다</t>
  </si>
  <si>
    <t>네 매우 만족합니다</t>
  </si>
  <si>
    <t>너무 친절하시고 원격도 빠릿빠릿하게 해주십니다! 유플러스가 짱이네요</t>
  </si>
  <si>
    <t>친절하게 잘 설명해주셔서 감사합니다.</t>
  </si>
  <si>
    <t>친절히잘응대받았습니다.</t>
  </si>
  <si>
    <t>친절하고 전문적인 상담이었습니다. 주말에 고생많으십니다. 문제는 해결안되었지만 기다려 보겠습니다.</t>
  </si>
  <si>
    <t>너무 친절하게 잘해주셨습니다.</t>
  </si>
  <si>
    <t>빠르고 정확하게 진단해주셔서 상담받는동안 이해가 너무 잘됬습니다 감사합니다</t>
  </si>
  <si>
    <t>제가 원했던것을 전부 친절히 해결해 주셔서 너무 감사합니다</t>
  </si>
  <si>
    <t>감사합니다. 너무 친절하게 잘 진단 받았습니다.</t>
  </si>
  <si>
    <t>문제를 상세히 설명과 함께 친절하게 해결해주었습니다 감사합니다</t>
  </si>
  <si>
    <t>친절하게 해결해주셨습니다</t>
  </si>
  <si>
    <t>친절하고 상세하게 설명해주셨습니다.</t>
  </si>
  <si>
    <t>친절하게 잘 처리해주셨어요 원격으로 할 수 있는 조치는 다 해주셨는데 물리적 진단이 필요해서 A/S 기사 접수까지 잘 도와주셨어요.</t>
  </si>
  <si>
    <t>감사합니다. 늦은시간에도 친철하게 대해주시고 즉시 처리해주셔서 감사합니다.</t>
  </si>
  <si>
    <t>엘지 인터넷 ㅡㅡ 하아.....</t>
  </si>
  <si>
    <t>친절한 도움 감사합니다</t>
  </si>
  <si>
    <t>엄청 최고십니다 너무 감사합니다 직원 분들 다 착하시네요 ㅎㅎ</t>
  </si>
  <si>
    <t>친절하게 해결해 주셨습니다.</t>
  </si>
  <si>
    <t>스마트 원격 진단으로 문제파악은 빨라서 좋네요. 이 편한걸 왜 방문기사님은 못해주신건지..</t>
  </si>
  <si>
    <t>설명 잘해주셔서 잘 이해했습니다. 감사합니다.</t>
  </si>
  <si>
    <t>태어나서 이렇게 자세하게 설명해주시는 분은 처음입니다. 최고의 기사님을 만나 너무 행복한 인터넷을 쓸 수 있습니다. 팁 제도가 있다면 팁을 드리고 싶을 정도로 저의 니즈를 정확히 파악해 주셨습니다. 정말 감사합니다.</t>
  </si>
  <si>
    <t>뭔가 신경써서 많이 해주셨어요. 잘 모르는 분야지만 많이 조언해주셔서 감사했습니다. 이후 더이상 문제가 없었으면 좋겠네요. 수고하셨습니다~</t>
  </si>
  <si>
    <t>서비스 잘 받았습니다.</t>
  </si>
  <si>
    <t>만족합니다 감사합니다.</t>
  </si>
  <si>
    <t>친절하십니다</t>
  </si>
  <si>
    <t>친절한 답변 감사합니다.</t>
  </si>
  <si>
    <t>기술자 원격까지 연결은 다소 시간이 걸렸으나 연결후 신속한 상황판단 및 대처에 감사를 표합니다.</t>
  </si>
  <si>
    <t>잘해주심니다</t>
  </si>
  <si>
    <t>너~무 친절하십니다. 그리고 제가 착각을 해서 랜선을 빼두고 와이파이로 인터넷이 잡힌 상태였는데 갑자기 느려진거 같아 통신장애가 생길걸로 알았습니다. 어찌되었건 기사님이 잘 알려주셔서 아무 문제없이 사용할수 있게 되었네요..감사합니다.</t>
  </si>
  <si>
    <t>친절하고 정확하게 잘 알려 주셨습니다 감사합니다</t>
  </si>
  <si>
    <t>치전하게 잘받음</t>
  </si>
  <si>
    <t>여러번 유선 문제가 생겨서 자세한 내용 상담이 필요했습니다. 원인을 찾는데 이번 상담이 도움이 많이 되었습니다. 친절하게 상담해 주셔서 감사드립니다!</t>
  </si>
  <si>
    <t>친절하게 문제점을 빠르게 파악하고 빠르게 해결해주셨어요 감사합니다.</t>
  </si>
  <si>
    <t>친절한 답변 조치 감사합니다</t>
  </si>
  <si>
    <t>친절히 안내해주셔서 감사합니다</t>
  </si>
  <si>
    <t>친절하고 깔끔하게 해주셨습니다 ~!</t>
  </si>
  <si>
    <t>친절한 서비스 감사드립니다</t>
  </si>
  <si>
    <t>빠르고 친절합니다</t>
  </si>
  <si>
    <t>한 부분 한 부분 친절하게 밝게 가르쳐 주셔서 너무 감사합니다! 이해하기 쉽게 잘 설명해 주셨습니다 ㅎㅎ</t>
  </si>
  <si>
    <t>친절하게 잘 처리해주셨는데.... 티비랑 인터넷이 제대로 잘 되면 좋겠네요.. 건강하세요!!</t>
  </si>
  <si>
    <t>진짜 진짜 감사해요~~~~ 최고에요^^ 한참 애먹은 부분 ... 문제 해결해주셔서 너무너무 감사드려요~~ 최고입니다!!!</t>
  </si>
  <si>
    <t>자세하고친절하게바쁘실텐데도사용방법부터모르고있던것을자세하게설명하여주시어감사합니다</t>
  </si>
  <si>
    <t>빠르고 해결해주시고 인터넷에 다른 문제도 없는지 다 확인하고 점검해주셨습니다.</t>
  </si>
  <si>
    <t>해결이 명쾌하십니다 아주 만족스럽고 친절하세요 감사합니다~~</t>
  </si>
  <si>
    <t>LG 10년 넘게 사용하면서 원격 진단을 한다는거에 놀라웠고 현재 컴퓨터 상태및 상황과 내가 말하는 증상에 연관성에 대해서 알기쉽게 설명을 해주어서 이해가 빠르게 되었습니다</t>
  </si>
  <si>
    <t>깔끔하고 신속하게 처리 해주셨어요 설명도 잘해주심</t>
  </si>
  <si>
    <t>친절하게 안내해 주시고, 신속하게 처리해 주셔서 정말 감사합니다~^^ 오늘도 즐겁고 행복한 하루 되세요🤞</t>
  </si>
  <si>
    <t>LG그룹의 건승을 기원 합니다 친절한 서비스 감사 드립니다</t>
  </si>
  <si>
    <t>good 너무 친절하십니다. 고맙습니다.</t>
  </si>
  <si>
    <t>친절하게 잘 응대해 주셔서 감사합니다.</t>
  </si>
  <si>
    <t>친절하십니다요</t>
  </si>
  <si>
    <t>꼼꼼히 점검해주셔서 감사합니다</t>
  </si>
  <si>
    <t>감사합니다 친절하게 도움 잘받았습니다</t>
  </si>
  <si>
    <t>담당하시는 분이 친절하게 잘 봐주셔서 편하게 점검 받았습니다</t>
  </si>
  <si>
    <t>신속하게 처리되어 서비스에 만족합니다.</t>
  </si>
  <si>
    <t>친절하게 설명해주셨습니다 감사합니다</t>
  </si>
  <si>
    <t>서비스만족도잘나왔습니다</t>
  </si>
  <si>
    <t>고생하셨습니다.</t>
  </si>
  <si>
    <t>좋아요!!! 친절하고 빠르게 처리해주셨어요!!!</t>
  </si>
  <si>
    <t>친절하고 빠른 답변과 무엇보다 고장 원인을 정확히 발견하시는 실력이 뛰어나서 대단히 만족합니다. 감사합니다.</t>
  </si>
  <si>
    <t>아주 좋아요 ㅎㅎ</t>
  </si>
  <si>
    <t>비대면으로 편리하고 프라이빗한 서비스 만족합니다.</t>
  </si>
  <si>
    <t>친절히 설명 잘 들었습니다.</t>
  </si>
  <si>
    <t>해결 잘 해주셨네요 乃</t>
  </si>
  <si>
    <t>늦은시간까지 해결해주셔서 감사합니다~~</t>
  </si>
  <si>
    <t>친절한 설명 감사드립니다</t>
  </si>
  <si>
    <t>친절히 안내해 주셨습니다</t>
  </si>
  <si>
    <t>감사합니다 잘 해결됏어요</t>
  </si>
  <si>
    <t>친절하고.빠르셨습니다</t>
  </si>
  <si>
    <t>상담 친절히 잘받았습니다. 감사합니다.</t>
  </si>
  <si>
    <t>U 프러스 안내 참 고맙습니다 .</t>
  </si>
  <si>
    <t>친절하고 빠르시고 딕션이 좋으셔서 알아듣기 편했어요. 컴알못인 제가 개떡같이 말해도 찰떡같이 알아들어주세요. 제 눈높이에 맞춰서 잘 설명해주시는 것 같아요.</t>
  </si>
  <si>
    <t>친절하게 알려주셔서 너무 감사했어요 다음에도 이렇게 친절하신분과 연결 되었으면 좋겠어요!! 아니면 이분하고 연결 됐으면 또 좋겠네요 감사합니다 ㅎㅎ</t>
  </si>
  <si>
    <t>능력있고 상황판단 능력이 좋으셔서 문제를 쉽게 해결해 주셨습니다 감사합니다</t>
  </si>
  <si>
    <t>친절하시고 열정적이셔서 기분이 좋았습니다. 감사합니다.</t>
  </si>
  <si>
    <t>빠른 진단 감사합니다</t>
  </si>
  <si>
    <t>너무 친절하십니다.굿이에요</t>
  </si>
  <si>
    <t>친철한 상담 감사합니다</t>
  </si>
  <si>
    <t>번거롭고 수고스러운데 친절히 가르쳐 주셔서 감사합니다</t>
  </si>
  <si>
    <t>매우 친절하고 이해하기 쉬운 설명과 빠른 문제해결로 큰도움이 되었습니다. 서비스가 정말 만족스럽습니다. 앞으로도 계속 LGU+ 를 이용하고 싶습니다. 감사합니다.</t>
  </si>
  <si>
    <t>점검 후 조치 감사합니다.</t>
  </si>
  <si>
    <t>좋아용</t>
  </si>
  <si>
    <t>친절 하시고 알고싶었던 내용을 전부다 풀어서 고객의 입장에서 이해할 수 있게 설명 해주셨습니다. 추후 안될경우에는 또 다른 방법까지도 알려주셧고 매우 만족 합니다.</t>
  </si>
  <si>
    <t>친절하시고 자세한 설명을 잘해 주심</t>
  </si>
  <si>
    <t>늘 감사하고요 친절하세서 매우 만족 합니다. 건강하세요...</t>
  </si>
  <si>
    <t>빠르게 잘 해주셨습니다</t>
  </si>
  <si>
    <t>제가 원하는 상담을 신속하고 깔끔하게 해주셨습니다! 추천드립니다</t>
  </si>
  <si>
    <t>친절하게 잘 설명해주고 빠르게 해결해 주셨습니다.</t>
  </si>
  <si>
    <t>너무 친절하신 기사님이셨습니다!!</t>
  </si>
  <si>
    <t>너무 친절하게 잘 설명해주셔서 너무 감사합니다!</t>
  </si>
  <si>
    <t>너무 친절하게 상담을 해주셨습니다 또, 아주 빠르게 진단 해주셔서 너무 감사합니다 수고하셨습니다!</t>
  </si>
  <si>
    <t>너무친절히 잘알려주시고 잘봐주셔서 기분좋게 받았습니다~</t>
  </si>
  <si>
    <t>감사합니다 ㅎㅎ</t>
  </si>
  <si>
    <t>공유기 전원 리부팅으로 해결되었습니다. 혼자 해결했으면 막막했을텐데 감사합니다~</t>
  </si>
  <si>
    <t>담당님께서 점검요청한 불편사항들을 정확하게 인지하시고, 어느곳이 문제가 있는지 근거를 제시하면서 알아듣기 쉽게 설명을 잘 해주셨습니다 ^^ 컴퓨터나 인터넷을 잘 모르는 사람들도 너무 간편하게 이용할 수 있는 좋은 서비스인거 같고 문제점을 정확하게 파악하여 안내해 주시면서 해결 방안까지 놓치지 않고 친절하게 설명해 주셔서 너무 감사했네요 ^^ 일교차가 심한데 감기 걸리시지않게 건강하세요!!</t>
  </si>
  <si>
    <t>친절하게 잘 진행 받았습니다.</t>
  </si>
  <si>
    <t>정확한 진단과 설명으로 완전한 이해로 만족도가 최고 입니다.</t>
  </si>
  <si>
    <t>아주 친전하게 해주셔서 감사합니다</t>
  </si>
  <si>
    <t>친절하고 빠르게 처리해주셨습니다.</t>
  </si>
  <si>
    <t>아주 좋았습니다. 굿!</t>
  </si>
  <si>
    <t>친절하게 상담해주셨습니다. 직접 조치할 수 없는 환경이라 직접 처리 할 수 있는 방법도 알려주셔서 감사합니다.</t>
  </si>
  <si>
    <t>친절하고 적절한 조치 감사합니다.</t>
  </si>
  <si>
    <t>친절하게 문제가 되는 부분을 잘 해결해 주셨습니다. 감사합니다.</t>
  </si>
  <si>
    <t>원격도 빠르게 진단잘해주시고 설명도 너무 잘해주시네요~</t>
  </si>
  <si>
    <t>최고로 친절한 서비스를 받은 듯 합니다. 성함도 못 물어봤네요.. 만점 입니다.</t>
  </si>
  <si>
    <t>늦은 시간 혼자만의 즐거운 시간을 보낼려고 햇는데 인터넷이 느려서져서 빡쳣지만 대응 선생님이 잘 해결해주시고 설명 잘해주셔서 해결이 되엇네요 정말 감사합니다.!</t>
  </si>
  <si>
    <t>속도 최고</t>
  </si>
  <si>
    <t>수고하셨습니다!!!</t>
  </si>
  <si>
    <t>제 인터넷의 문제점을 명확하게 말씀해주셨습니다</t>
  </si>
  <si>
    <t>친절 하셨으며 설명이 쉬웠어요 감사해요</t>
  </si>
  <si>
    <t>친절한 설명과 조치 감사드려요</t>
  </si>
  <si>
    <t>착하고 빠르고 괜찮았습니다. 좋았습니다~~~</t>
  </si>
  <si>
    <t>계속 인터넷이 잘 안되고 좀 기분이 안좋았던 찰나에 기사님께서 친절하게 잘 해주시고 꼼꼼하게 봐주셨습니다. 그리고 수리 방문기사님 스케줄까지 일정 잡아주셔서 편하게 접수 할 수 있어서 좋았어요. 감사합니다.</t>
  </si>
  <si>
    <t>친절하게 모르는 부분 설명해주시며 원격 진단 해주셔서 감사합니다</t>
  </si>
  <si>
    <t>전화 연결 후 친절하게 대응해주셨습니다</t>
  </si>
  <si>
    <t>모르는 것을 친절하게 잘 안내 해 주셨습니다.</t>
  </si>
  <si>
    <t>차분하게 설명해주셔서 감사했습니다 !</t>
  </si>
  <si>
    <t>good</t>
  </si>
  <si>
    <t>빠르고 친절하고 자세히 설명해주시고 해결해주셨습니다.</t>
  </si>
  <si>
    <t>알아서 되니까 신기하고 잘 설명해줍니다</t>
  </si>
  <si>
    <t>상담사분이 친절하고 장애 내용에 맞게 잘 설명해 주셨습니다.</t>
  </si>
  <si>
    <t>신속하고 친절한 상담 감사합니다</t>
  </si>
  <si>
    <t>빠르고 정확한 원격진단 해주셨네요 감사합니다 ^^</t>
  </si>
  <si>
    <t>친절하게 잘 설명해주시고 궁금 한걸 해결해주셔서 감사합니다</t>
  </si>
  <si>
    <t>상담사 분들이 친절하게 증상 설명 해주시고 해결해주셨어요</t>
  </si>
  <si>
    <t>네 친절하게 잘 받았어요.</t>
  </si>
  <si>
    <t>친절하십니다!</t>
  </si>
  <si>
    <t>차분하고 꼼꼼하게 문제 해결에 노력해 주셔서 감사^^</t>
  </si>
  <si>
    <t>기술지원팀 안정 선생님 너무 감사합니다! 몇시간째 골머리를 앓고 있던 문제였는데 너무도 친절하고 신속하게 해결해 주셨습니다. U+로 옮긴지 일주일도 되지 않았지만 안정 선생님의 너무도 친절하신 업무 처리에 통신사를 옮기길 잘했다는 생각이 드네요! 저에게 기쁨을 주셔서 감사합니다. 항상 건강하고 행복하세요</t>
  </si>
  <si>
    <t>친절한 설명 감사합니다</t>
  </si>
  <si>
    <t>설명도 정말 잘해주시고, 신경 잘 써주셨습니다.</t>
  </si>
  <si>
    <t>친절하고 상세히 설명 잘해주셨고 이후 문제발생시 대처하는 방법까지 잘 설명해주셨습니다。</t>
  </si>
  <si>
    <t>이런 시스템이 있는 줄 몰랐네요. 상담원분도 매우 친절하시고 빠른 대처에 감동했습니다. 정말 감사합니다.</t>
  </si>
  <si>
    <t>친절하신 기사님이 문제를 신속하게 해결해주셨어요~ㅎㅎ</t>
  </si>
  <si>
    <t>확인 잘 해주셔서 감사합니다</t>
  </si>
  <si>
    <t>좋은상담감사합니다</t>
  </si>
  <si>
    <t>너무 친절하십니다</t>
  </si>
  <si>
    <t>친절하시네요</t>
  </si>
  <si>
    <t>감사합니다, 수고많이하셨습니다,</t>
  </si>
  <si>
    <t>원리까지 확실하게 설명해주시고 다음에 혼자서도 해결할 수 있게 잘 설명해주셨습니다 감사합니다</t>
  </si>
  <si>
    <t>친절하고 알기쉽게 고객입장에서 설명해주셔서 감사드립니다</t>
  </si>
  <si>
    <t>아주 빠르고 정확하고 친절합니다. 엘지유플러스 좋아요. 감사합니다.</t>
  </si>
  <si>
    <t>설명을 잘 해주셔서 서비스 만족합니다</t>
  </si>
  <si>
    <t>원격진행해주신 직원분 친절하시고 빠르게 문제 해결을 해주시네요!!! 원격진행으로 상담 받아본 건 처음인데 만족도 100%입니다~! 빠르게 고쳐주시고 원인도 자세하게 설명해주셔서 감사합니다~!</t>
  </si>
  <si>
    <t>좋습니다</t>
  </si>
  <si>
    <t>친절하시고 귀에 쏙속 들어오게 설명을 잘해주시네요~</t>
  </si>
  <si>
    <t>완벽한 문제 해결, 상세한 설명, 더할나위없네요</t>
  </si>
  <si>
    <t>친절하고 빠르게 해결 해주셨습니다! 서비스 만족 최상!</t>
  </si>
  <si>
    <t>친절하게! 설명도 쉽게 잘 해 주시고, 신속하게 처리해 주셔서 감사합니다. 처음 전화 응대해 주신 여성 상담원도 굉장히 친절했고 원격진단 진행해 주신 남성 상담원도 꼼꼼하게 잘 알려 줘서 고맙습니다. 두분 친절에 감사드립니다.^^</t>
  </si>
  <si>
    <t>자세한 설명 감사드립니다</t>
  </si>
  <si>
    <t>친절하고 알기쉽게 설명해주시네요 감사합니다</t>
  </si>
  <si>
    <t>친절하고 빠르게 해결해주셨어요.너무 좋아요</t>
  </si>
  <si>
    <t>원격진단 처음이였는데 친절하고 편하게 해주셨습니다</t>
  </si>
  <si>
    <t>편리하고 친절하게 진단 받았습니다... 감사합니다.</t>
  </si>
  <si>
    <t>친절한 상담 감사드립니다.</t>
  </si>
  <si>
    <t>친절하게 잘 받았습니다</t>
  </si>
  <si>
    <t>상담이 친절하고 빠르게 문제해결을 도와주었습니다.</t>
  </si>
  <si>
    <t>친절한 안내 감사합니다~ 공유기에 설정 값 저장/불러오기 기능 좀 넣어주세요....</t>
  </si>
  <si>
    <t>친절한 상담 확실한 문제 해결을 위해 도움주셨습니다 ! 감사합니다</t>
  </si>
  <si>
    <t>좋아요</t>
  </si>
  <si>
    <t>문제점을 해결하려고 같이 노력해주시고 해결해주셔서 감사합니다.</t>
  </si>
  <si>
    <t>s네 감사합니다</t>
  </si>
  <si>
    <t>빠른써비스 이쁜 말투 항 상 감사합니다 lg 사랑해요</t>
  </si>
  <si>
    <t>친절하고 상세하고 신속하게 잘 해결해주셨어요, 감사합니다!</t>
  </si>
  <si>
    <t>매우 만족합니다.</t>
  </si>
  <si>
    <t>기사님이 너무 친절하게 설명해주시고 도와주셨어요 ! 너무 감사드립니다~! 자칫하면 출장비가 나올뻔한것도 막아주시고 ㅎㅎ 너무 감사해요</t>
  </si>
  <si>
    <t>신속히 처리해주셔서 감사합니다</t>
  </si>
  <si>
    <t>업무 처리 속도가 빨라요.</t>
  </si>
  <si>
    <t>도움 감사합니다 수고하세요</t>
  </si>
  <si>
    <t>인터넷 속도 관련해서 질문 많았는데 친절하게 해결 방안 제시해주시고 알아듣기 쉽게 화면 상으로 띄워 쉽게 설명해주셨습니다. 덕분에 해결할 수 있을 것 같습니다. 감사합니다. 좋은 하루 되세요</t>
  </si>
  <si>
    <t>엄지쳑</t>
  </si>
  <si>
    <t>친철하고, 빠르게 처리 해주셔서 감사합니다.</t>
  </si>
  <si>
    <t>친절하게 알려주시고 안내해주셔서 많은 도움이 되었습니다!</t>
  </si>
  <si>
    <t>진짜 진짜 감사합니다. 랜선문제일줄은 상상도 못했네요 친절한 이경훈 상담사님과 원격서비스 담당자분 감사합니다</t>
  </si>
  <si>
    <t>친절하시고 정확한 설명 감사합니다 최고이십니다</t>
  </si>
  <si>
    <t>빠른 시간내에 진단과 분석을 해주셨고, 굉장히 합리적으로 타당하고 근거를 제시해주어서 문제를 파악할 수 있게 해주었습니다. 또한 문제 해결을 위한 다양한 방법들을 제시해주었고, 이로 인하여 문제 해결을 할 수 있게 해주었습니다. 짧은 시간에 이런 진단과 해결 방법을 제시해 주어 최고의 경험을 하였습니다.</t>
  </si>
  <si>
    <t>상세하고 친절한 상담 감사드립니다~</t>
  </si>
  <si>
    <t>정말 도움이됫습니다 그리고 어떻게 해지하는지도 할게되어 기쁩니다</t>
  </si>
  <si>
    <t>친절하고 정확하고 빠른 상담과 서비스진행에 감사드립니다.</t>
  </si>
  <si>
    <t>친절하고 정확한 상담응대 감사드립니다</t>
  </si>
  <si>
    <t>세심하게 체크해주셔서 감사합니다</t>
  </si>
  <si>
    <t>친절해요.</t>
  </si>
  <si>
    <t>꼼꼼히 점검해주셨고 질문에 대해서 성실하게 답변해주셔서 잘 해결되었습니다. 친절하고 좋았습니다. ㅇㅇ/</t>
  </si>
  <si>
    <t>전문기사님이전화하셔너무친절하게설명해주신걱많은도움이됏읍니다감사합니다</t>
  </si>
  <si>
    <t>너무 감사드립니다 사장님</t>
  </si>
  <si>
    <t>다들 왤캐 친절한겁니까 목소리도 좋고 암튼 좋슴다</t>
  </si>
  <si>
    <t>친절해용</t>
  </si>
  <si>
    <t>dgood</t>
  </si>
  <si>
    <t>친절하게 잘 설명 해주셔 감사합니다</t>
  </si>
  <si>
    <t>자세히알려주셔서 감사합니다</t>
  </si>
  <si>
    <t>친절한 안내 감사합니다</t>
  </si>
  <si>
    <t>자세한 설명 감사함니다.</t>
  </si>
  <si>
    <t>친절하시고 자세하게 봐주셨습니다~</t>
  </si>
  <si>
    <t>친절하게 상담 잘해주셔서 감사했습니다!</t>
  </si>
  <si>
    <t>친절하게 설명을 해줌</t>
  </si>
  <si>
    <t>상세하고 친절한 상담 감사합니다.</t>
  </si>
  <si>
    <t>신속하게 해결해주시고 의외의 상황에서 대처법도 친절하게 알려주셨습니다. 감사합니다</t>
  </si>
  <si>
    <t>친절하게 잘 알려 주셔서 무사히 해결했습니다.</t>
  </si>
  <si>
    <t>친절하고 알기 쉽게 설명해주셨어요 제가 이해를 못해도 이해 할때까지 설명 감사합니다</t>
  </si>
  <si>
    <t>친절하게 잘 상담해주셨습니다.</t>
  </si>
  <si>
    <t>친절하게 잘 해주셔서 감사합니다~!</t>
  </si>
  <si>
    <t>필요했던 정보들에 대해서 정말 잘 설명해주셨습니다. 사소한 궁금증이었지만 친절하시네요</t>
  </si>
  <si>
    <t>친절하게 안내해주셔서 고맙습니다~</t>
  </si>
  <si>
    <t>고맙습니다.</t>
  </si>
  <si>
    <t>친절하고 설명을 잘해주셔서 이해가 되었습니다!</t>
  </si>
  <si>
    <t>자세한 설명 감사합니다.</t>
  </si>
  <si>
    <t>친절함</t>
  </si>
  <si>
    <t>아주 친절하게 하나하나 다 알려주시고 최고입니다!!</t>
  </si>
  <si>
    <t>혹시나 과정이 복잡하고 별 도움은 안될까봐 그냥 안 하려고 했었는데 막상 받아보니 꼼꼼히 진단해 주시고 저에게 꼭 필요한 진단 결과를 남겨주셨습니다. 또한 친절히 대해주셔서 더욱 감사했습니다.</t>
  </si>
  <si>
    <t>lg 컴퓨터 점검 서비스 있어서 도움 받고 있습니다. 친철하시고 도와줄수 있는 부분은 해결해 주시려고 해서 감사합니다</t>
  </si>
  <si>
    <t>친절하시고 신속 대응 좋습니다</t>
  </si>
  <si>
    <t>만족했습니다</t>
  </si>
  <si>
    <t>자세한 설명과 친절함에 감사드림니다</t>
  </si>
  <si>
    <t>와이파이 연결이 안되어서 상담을 받았습니다. 너무 친철하게 설명을 잘 해주셔서 감사합니다. 시간이 많이 걸렸는데도 자세하게 설명해 주시고 문제점이 없이 사용 할 수 있게 도와주셔서 감사합니다. 굿! 입니다. 행복한 하루 보내세요^^</t>
  </si>
  <si>
    <t>감사합니다. 잘 됩니다.</t>
  </si>
  <si>
    <t>차분하고 친절하게 잘 알려주셔서 감사드립니다.</t>
  </si>
  <si>
    <t>컴맹이여서 이것저것 어려웠는데 자세히 설명하고 도와주셔서 감사합니다.^^</t>
  </si>
  <si>
    <t>자세한 설명가 친절한 서비스감사합니다</t>
  </si>
  <si>
    <t>기사님께서 본인의 업무쪽이 아니신데도 불구하고, 끝까지 마무리 해 주시려 노력하시는 모습이 보기 좋고, 감사하네요.</t>
  </si>
  <si>
    <t>일단 상담사님이 너무 친절하게 응대해주셨습니다 감사합니다</t>
  </si>
  <si>
    <t>친절하게 안내주셔서 문제가 잘 해결됐습니다.</t>
  </si>
  <si>
    <t>친절하게 잘도와주셨습니다</t>
  </si>
  <si>
    <t>궁금했던 부분 모두 이해할 수 있게 친절하게 설명해주셔서 좋았습니다.</t>
  </si>
  <si>
    <t>정확한 안내와 대처로 초고이십니다. 감사합니다.</t>
  </si>
  <si>
    <t>최고입니다 ..정확하게 친절하게 빠르게 상담해주셧습니다 ..수고하셧습니다</t>
  </si>
  <si>
    <t>친절하고 정확하게 상담받고 처리되었습니다. 감사합니다.</t>
  </si>
  <si>
    <t>간단하고 빠르게 진단해주셨습니다 감사합니다</t>
  </si>
  <si>
    <t>전화만 몇번을 하게만드는건지</t>
  </si>
  <si>
    <t>너무 친절합니다.</t>
  </si>
  <si>
    <t>친철하게 설명해 주셔서 감사합니다.</t>
  </si>
  <si>
    <t>너무 전문적이시고 설명도 이해하기쉽게 그림판에서 설명해주시니 이해가 확 가네요.. 최고였어요</t>
  </si>
  <si>
    <t>상담사분 너부 친절하셧구요 잘알라듣게 설명하셔서 고마웟습니다</t>
  </si>
  <si>
    <t>친절하게 해주셨습니다 불편한점을 자세하게 안내후 추후 이용문제까지 잘알려주셔서 감사합니다 ~</t>
  </si>
  <si>
    <t>원격진단을 친절하고 자세히설명해주셔서 고마웠읍니다</t>
  </si>
  <si>
    <t>친절하게 마지막까지 점검해주셔서 감사합니다~!</t>
  </si>
  <si>
    <t>친절하게 설명 잘해주셔서 감사함니다</t>
  </si>
  <si>
    <t>못하디 못한 나의 컴퓨더 실력에 미안함과 감사, 깊은 존경을 담아 폭싹 속았수다.</t>
  </si>
  <si>
    <t>아주 친절하시고 설명을 잘해 주십니다. 감사합니다.</t>
  </si>
  <si>
    <t>너무 친절하시고 바로 해주셔서 감사합니다</t>
  </si>
  <si>
    <t>빠른 처리 감사 합니다!</t>
  </si>
  <si>
    <t>정확하고 친절하게 상담해 주셔서 고맙습니다.</t>
  </si>
  <si>
    <t>빠른조치감사합니다</t>
  </si>
  <si>
    <t>차근차근 친절한 서비스 감사합니다 ^^</t>
  </si>
  <si>
    <t>친절한 설명과 구체적인 설명으로 인터넷 사용 환경을 개선하는 방법을 잘 알려주었음.</t>
  </si>
  <si>
    <t>친절한 설명과 전문적인 지식에 감동 합니다.</t>
  </si>
  <si>
    <t>감사합니다,,빠른처리 감사입니다</t>
  </si>
  <si>
    <t>친절한 상담 잘 받았습니다. 감사합니다.</t>
  </si>
  <si>
    <t>매우 만족합니다</t>
  </si>
  <si>
    <t>굿</t>
  </si>
  <si>
    <t>편안하고 즉각적인 조치 취해주셔서 감사합니다</t>
  </si>
  <si>
    <t>원격 기사 님이 잘 알려주시고 문의한 내용 잘 알려 주셨습니다 감사합니다</t>
  </si>
  <si>
    <t>빠르고 친절하게 원격으로 제가 원하는 서비스를 잘이행해주셨습니다 감사합니다</t>
  </si>
  <si>
    <t>컴퓨터 모르는 아줌마인데 차분하고 친절하게 잘 알려주셔서 너무 감사합니다. 좋은 하루 되세요~~</t>
  </si>
  <si>
    <t>안녕하세요 상담이겠도아주세요 감사합니다</t>
  </si>
  <si>
    <t>너무 만족하고요. 목소리가 너무 자상하신 목소리예요. 상담사 유연미분도 너무 친절하게 해주어서 너무나 기분이 좋았는데 원격으로 기술지원해주신 장재훈분도 너무 친철해주셔서 감사합니다. 가족이 LG를 좋아하서 사용하게 되었는데 그동안 안좋았던 인식이 많이 바뀌게 되는 계기가 되었던것 같습니다. 바쁘신데 친절하게 대응해주셔서 감사드립니다.</t>
  </si>
  <si>
    <t>친절하게 알려주셨습니다</t>
  </si>
  <si>
    <t>고생하셨습니다 감사합니다</t>
  </si>
  <si>
    <t>ㅡ좋음</t>
  </si>
  <si>
    <t>친절히 잘 설명해주셧고 다른 문제점도 부탁드렷는데 상세히 잘 가르켜주셧어요. 칭찬합니다.</t>
  </si>
  <si>
    <t>가장 확실하고, 가장 신속한 서비스 , 가장 훌륭한 응대, 가장 훌륭한 해결사 입니다. 늘 건강하고 가내 에도 건강과 행복이 같이 하시길 기원 합니다.</t>
  </si>
  <si>
    <t>인터넷좀 고쳐주시게끔 친절하십니다 방문기사님도 친절하셧으면 좋겠네요 돈을 안받아도되는데 사기치는 분을 뵌적이있어서</t>
  </si>
  <si>
    <t>빠른 에이에스 감사합니다</t>
  </si>
  <si>
    <t>전문적이시고 엄청 친절하셔요 구조적으로 더 나은 구성까지 추천해주시네요 감사합니다!!</t>
  </si>
  <si>
    <t>너무 유용하게 잘 사용하였습니다. 감사합니다!</t>
  </si>
  <si>
    <t>설명도 잘해주시고 친절하시고, 며칠 안되서 힘들었는데 해결해주셔서 너무 감사드립니다. 다음에도 문제있으면 지금 기사님한테 받고 싶네요~~감사요~</t>
  </si>
  <si>
    <t>너무 친절하게 상담해주셔서 감사합니다.</t>
  </si>
  <si>
    <t>친절한 응대에 언제나 감사드립니다. 다른 통신사를 비교조차 안합니다. lg와 직원 여러분의 노고에 충성 고객입니다.</t>
  </si>
  <si>
    <t>친절하게 안내 해 주셔서 감사 드려요^^</t>
  </si>
  <si>
    <t>친절하게 도와주셔서 감사합니다.</t>
  </si>
  <si>
    <t>좋았습니다! 해결해 주시는 것도 빠르셨고, 다른 문의 사항 없는지 물어봐 주셔서 좋았어요!</t>
  </si>
  <si>
    <t>설명 잘 해주셔서 감사합니다. ^^</t>
  </si>
  <si>
    <t>큰 도움 되었습니다. 서버 담당자를 조지러 갑니다.</t>
  </si>
  <si>
    <t>잘받았습니다</t>
  </si>
  <si>
    <t>친절한 상담직원과 원격지원직원분의 침착한 해결방안제시로으로 몇일동안 쌓인 분노들이 사라졌습니다. 너무너무 감사하고 최고입니다!</t>
  </si>
  <si>
    <t>친절히 알기쉽게 설명해주셨습니다.</t>
  </si>
  <si>
    <t>빠르게 잘해결해주셔서 감사합니다!</t>
  </si>
  <si>
    <t>친절한 상담 감사합니다</t>
  </si>
  <si>
    <t>속도문제로 원격신청하였는데 상담사분도 친절하며 원인도 깔끔하게 발견하였네요 수고하셨습니다 감사합니다</t>
  </si>
  <si>
    <t>너무 좋은 서비스 감사합니다</t>
  </si>
  <si>
    <t>감사합니다. 친절하게 상담해주시고 인터넷도 너무 잘됩니다. 잘 사용하겠습니다.</t>
  </si>
  <si>
    <t>전문적인 상담 고맙습니다</t>
  </si>
  <si>
    <t>친절하게 설명 잘 받았습니다. 감사합니다.</t>
  </si>
  <si>
    <t>아주 친절하시고 설명도 잘해주셨습니다. 감사합니다.</t>
  </si>
  <si>
    <t>전문가 다우시군요. 오랜 시간 동안 잘 해결해 주셔서 고맙습니다.</t>
  </si>
  <si>
    <t>제가 기계치라 잘 모르는데 상세하게 설명을 해주셔서 도움을 많이 받았습니다. 그리고 많이 친정하신점도 좋았습니다. 감사드립니다.</t>
  </si>
  <si>
    <t>매우 친절한 서비스 매우 매우 감사합니다</t>
  </si>
  <si>
    <t>친절한 서비스 감사합니다.</t>
  </si>
  <si>
    <t>정말 친절하게 잘해주시고 설명 잘들었습니다 감사합니다</t>
  </si>
  <si>
    <t>빠르고 정확하고 잘해주셨음</t>
  </si>
  <si>
    <t>친절하게 상담해주셨고, 문제도 잘 해결했습니다.</t>
  </si>
  <si>
    <t>친절하게 응대해주시고 해결해 주셔서 감사합니다</t>
  </si>
  <si>
    <t>100점</t>
  </si>
  <si>
    <t>친절한 안내와 서비스 감사합니다. 수고하세요.</t>
  </si>
  <si>
    <t>친절한 설명 완벽한 해결 방안 최고의 원격진단 이었습니다 고생하셨습니다</t>
  </si>
  <si>
    <t>너무 친절하세요 잘 받았습니다 최고입니다!</t>
  </si>
  <si>
    <t>설명을 엄청 잘해주세요</t>
  </si>
  <si>
    <t>친절한 설명과 문제해결을 잘 해 주셔서 감사합니다.</t>
  </si>
  <si>
    <t>친절하고 확실한 피드백 감사드립니다 설명이 잘 이해되었고 후속조치까지 확실하게 받았습니다.</t>
  </si>
  <si>
    <t>너무 친절하고 자세하게 잘 설명해주셨습니다 감사합니다!</t>
  </si>
  <si>
    <t>친절하고 빠른상담과 처리 감사합니다^^</t>
  </si>
  <si>
    <t>원격으론 처음 서비스를 받아봤습니다. 평소에는 괜찮다가 요즘 들어 주말에 현격하게 꾾기거나 느려지는 현상으로요. 일단 기사 분께서도 꾾김이 확인이 되었다 하시고 이에 대한 조치를 취하셨다고 하니 며칠 사용해보고 다시 점검토록해보겠습니다. 101번 상담해부시는 분과 원격해주신 분께 고맙다는 인사 드립니다.</t>
  </si>
  <si>
    <t>친절하게 제가 원하는 서비스에 정확하게 응대하여 주시고 차후 변경이나 문제 대응에 대하여 까지 자세하게 알려 주셔서 감동 받았습니다. LG U+ 뿐만 아니라 공기 청정기 구입하려 하는데 LG로 선택하겠습니다. 상담 엔지니어 님께 감사, 감사드립니다.</t>
  </si>
  <si>
    <t>궁금증이 모두 해결되었습니다. 감사합니다~</t>
  </si>
  <si>
    <t>친절하고 자세한 설명으로 이해가 쉬웠습니다. 혹시 모를 나중 문제 발생 시 조치 사항도 알려주셔서 감사합니다.</t>
  </si>
  <si>
    <t>친절한 설명과 조치 감사드립니다</t>
  </si>
  <si>
    <t>인터넷 오류 문제로 불편을 겪고 있던 프로 재택러입니다. 오늘 유플러스에서 결합상품 요금제 안내로 전화가 왔는데 저는 해당이 없는 안내였고 유플러스에 화가 너무 나서 받자마자 기분이 좋지 않고 빨리 끊고 싶었어요. 그래서 그 상담분께 사실 제가 네이버 이메일을 사적 사용과 업무용을 나눠놓았는데 네이버에서 이IP의 계정 전체를 보호조치를 취해서 유플러스로 인터넷을 바꾼 후로 계정 블락을 너무 심하게 당하고 있다고 말씀드렸거든요. 그래서 결합 요금이고 나발이고 2년 약정만 채우면 KT로 옮기려고 별렀다고 말이지요. 그랬더니 친절하게 내부 상담부서로 연결해주셔서 이렇게 스마트 원격진단을 받아보게 되었는데요. 세상에! 제가 겪고 있던 넷플릭스 유튜브의 여러 복합적인 문제들도 IP 주소 문제에서 올 수 있다는 걸 너무 친절하게 잘 설명해주시더라구요. 저는 그것도 모르고 2년 전에 고사양으로 새로 맞춘 데스트톱이 뭔가 잘못 됐다 업자가 장비를 후려친게 아닌가 의심하고 있었거든요. 저는 재택근무로 웹으로 일을 하다보니 주말에 계정 블록을 당해서 월요일까지 풀 수 없는 상태가 되면 너무 고통스러워서 무선 와이파이를 렌탈할까, 아님 약정기간이고 나발이고 유플러스를 끊어버리는게 낫겠다 너무너무 스트레스를 받고있었는데 흑흑. 이걸로 해결이 되면 좋겠는데 말씀하신 여러 사안들이 딱 저한테 해당되는 이야기여서 사용 더 해봐야 알겠지만 매우 개선에 희망적일 것 같다는 느낌을 받았어요. 이거 고쳐지면 저는 유플러스 계속 쓸 것입니다. 집 티비도 엘지여서 엘지 홈바랑 시너지가 좋거든요. 아 진짜 이런 서비스가 있는지 몰랐어요... 너무너무 감사합니다. 제가 그동안 답답한게 쌓여서 구구절절 말씀드리는데 고객 불편 사례로 생각하셔서 성의있게 잘 들어주시고 대답해주셨어요. 정말 고맙습니다. 유플러스 짱!</t>
  </si>
  <si>
    <t>문제점을 바로 찾아 방문서비스를 신청해주었습니다.</t>
  </si>
  <si>
    <t>만족했습니다 컴퓨터에 대해서 모르는분들에게 엄청 큰 도움이 될거 같습니다</t>
  </si>
  <si>
    <t>속도 관련 문의 였어요. 진단 잘해주시고, 편안하게 응대하시니 좋았어요. 감사해요.</t>
  </si>
  <si>
    <t>큰도움감사합니다</t>
  </si>
  <si>
    <t>친절한 상담 덕분에 문제해결 했습니다</t>
  </si>
  <si>
    <t>기술사님께서 너무 친절하게 수리해주셔서 너무너무 감사했습니다.</t>
  </si>
  <si>
    <t>컴퓨터가 느려 검진을 받았는데 하나 하나 설명을 잘 해 주시고 처리해 주셔서 너무 감사합니다. 모르는 프로그램도 다 제거해주시고 속도가 빨라지는 것 까지 확인해 주시고 전화를 끊으셔도 너무너무 감사했습니다. LG를 20년 넘게 써 왔는데 오늘도 너무 쁘듯하네요. 좋은 하루 되세요</t>
  </si>
  <si>
    <t>원격지원센타 성심성의것 봐주시네요^^</t>
  </si>
  <si>
    <t>아주 좋습니다. 이런 서비스가 적극적으로 해줫으면 좋겟습니다. 고센에서 시간을 너무 잡아 먹습니다 해결 안될거 같으면 진작 원격센터로 연결해줫으면 빨리 해결 됫을거를..</t>
  </si>
  <si>
    <t>빠른 원격및 처리로 인해 매우 만족 합니다. 허나 늦은 저녁 101 유선 연결시 원활하지 않은부분이 조금 아쉽운 부분입니다.</t>
  </si>
  <si>
    <t>너무너무 친절하시고 궁금한점 문제해결 다 해주셨어요 최고최고 완전최고 !!!!</t>
  </si>
  <si>
    <t>친절한 서비스 감사합니다 항상 행복하시길 기원합니다</t>
  </si>
  <si>
    <t>늦은 시간 빠르게 해결해주어 빨리 총질하러 갑니다! 감사합니다!</t>
  </si>
  <si>
    <t>간단한 작업이엇지만 정말 도움이 많이 됐습니다 감사합니다 !!!!</t>
  </si>
  <si>
    <t>친절한 상담 감사함니다</t>
  </si>
  <si>
    <t>잘 해주셔서 감사합니다</t>
  </si>
  <si>
    <t>쏙쏙 이해하기 쉽게 설명을 해주셔서 10년 묵은 체증이 내려간 느낌입니다. 너무 감사해요!^^ 제 궁금증 전부를 알려주시기에는 원격 시스템이 한계가 있었을텐데, 최대한 알려주시려고 노력하셨고, 덕분에 쉽게 해결이 되었네요. 역시 서비스는 LG가 최고입니다. 기사님 최고에요*^^*</t>
  </si>
  <si>
    <t>친절하게 잘 상담 받았습니다.</t>
  </si>
  <si>
    <t>서비스만족합니다.</t>
  </si>
  <si>
    <t>친절하게 잘 안내해주셨습니다 감사합니다</t>
  </si>
  <si>
    <t>원격 진단 서비스에 매우 만족합니다. 전화 통화로만 기사님과 대화 나누었는데요, 무엇보다도 일단 친절하셨고 제 얘기를 잘 듣고 그에 따른 답변을 친절하게 해주셔서 너무 믿음이 가고 좋았습니다. 오히려 집에 방문하신 방문 기사님 보다도 더 신뢰가는 말씀을 해주시고 로그 분석 데이터를 보여주시면서 설명해주셔서 제 pc 상태나 인터넷 상태 등을 정확히 체크할 수 있었습니다. 모든 기사님들이 오늘 전화주셨던 기사님처럼 응대해주시는 그날까지 LG 서비스가 계속 발전하길 기원합니다!</t>
  </si>
  <si>
    <t>정확한 진단과 신속한 판단으로 매우 만족합니다 유플러스에 대한 신뢰도가 많이 올라가서 계속 사용할것 같습니다 감사합니다 수고하세요</t>
  </si>
  <si>
    <t>친절한 서비스로 고장의심의되는 부분 조치 잘 된것 같아 좋습니다</t>
  </si>
  <si>
    <t>친절하게 상담해주셔서 감사합니다</t>
  </si>
  <si>
    <t>장시간 나이먹은사람에게 친절하고 섬세하게 안내해주시고 잘 고쳐주쎠서 감사합니다 아주기분좋은 만남이었습니다</t>
  </si>
  <si>
    <t>너무 친절하고 이해하기 쉽게 설명해주시고 해결도 해주셨습니다~! 감사합니다</t>
  </si>
  <si>
    <t>너무 친절하고 꼼꼼하게 응대해주시고 해결점을 잘 찾아주셨습니다 !</t>
  </si>
  <si>
    <t>빠르고! 친절합니다!</t>
  </si>
  <si>
    <t>장시간 통화에도 짜증도 안내시고 친절하시네요. 근래 보기 드물게 좋은 상담원 만나서 즐거웟습니다.</t>
  </si>
  <si>
    <t>잘해주셨음! 감사해요!</t>
  </si>
  <si>
    <t>원격 점검 잘받았고요 다시 이상 증상이 생길경우 소비자가 우선적으로 직접 해볼수있는 방법도 알려주셔서 감사합니다 제가 수년간 엘지유플러스만 사용하는이유중 하나가 서비스가 타 업체보다 월등하다고 느끼기에 사용중인데 늘 친절하게 해주셔서 넘 감사합니다</t>
  </si>
  <si>
    <t>아주 깔끔하게 설명해줘서 만족했어요</t>
  </si>
  <si>
    <t>빠른 조치 감사합니다.</t>
  </si>
  <si>
    <t>빠르게 확인하고 추후 조치를 설명해줘서 좋네요</t>
  </si>
  <si>
    <t>인터넷이 느려진 경험이 있어, 114 통화한김에 연락을 남겼는데 친절하게 원격으로 상태를 확인해주시고, 대응해주셨습니다. 감사합니다. 추후 문제가 있을시에, 제가할수 있는 방법도 알려주시고 친절하게 AS 해주셔서 감사드립니다</t>
  </si>
  <si>
    <t>훌륭합니다.</t>
  </si>
  <si>
    <t>이해하기 쉽게 친절한 설명 감사합니다,</t>
  </si>
  <si>
    <t>기사님의 상세한 설명 감사드립니다^^</t>
  </si>
  <si>
    <t>친절하시고 기분좋게 상담받았어요</t>
  </si>
  <si>
    <t>상담사님 원격서비스 기사님 모두 친절하시고 상세히 설명해 주셔서 감사합니다</t>
  </si>
  <si>
    <t>친절,쾌속,정확하게 잘 해주셨습니다</t>
  </si>
  <si>
    <t>친절하게 안내해주셔서 감사합니다.</t>
  </si>
  <si>
    <t>친절하시고 신속 정확 최고입니다~</t>
  </si>
  <si>
    <t>친절하게 기다려주시고 설명도 잘 해주셔서 원인 파악에 좋았습니다!!</t>
  </si>
  <si>
    <t>너무 도움 되었습니다.</t>
  </si>
  <si>
    <t>무엇이 문제였는지 자세하게 알려주셔서 신속하고 편리하게 진단 받았습니다~!!!</t>
  </si>
  <si>
    <t>간단하고 명확하게 설명해주셔서 감사합니다</t>
  </si>
  <si>
    <t>친절히 잘해주셔서감사합다,</t>
  </si>
  <si>
    <t>상담감사합니다 100% 만족합니다 최고였구요 오리하루최상의 하루 앞으로도 고객님과 최고의상담 부탁 드립니다 감사합니다 만족도 만% 만족합니다 꾸벅</t>
  </si>
  <si>
    <t>안내 잘 받았습니다</t>
  </si>
  <si>
    <t>CS 최고세요 기사님 감사합니다</t>
  </si>
  <si>
    <t>친절하게 해주셨습니다.</t>
  </si>
  <si>
    <t>잘 받았습니다.</t>
  </si>
  <si>
    <t>만족합다 감사합니다</t>
  </si>
  <si>
    <t>빠르고 친절하게 잘 해주십니다</t>
  </si>
  <si>
    <t>정말 만족합니다. 감사합니다.</t>
  </si>
  <si>
    <t>너무 친절하시고 전문적이시고 너무 만족합니다. 감사합니다.</t>
  </si>
  <si>
    <t>상세하고 친절하고 지금까지 받았던 어떤 서비스 보다도 최고였습니다!!</t>
  </si>
  <si>
    <t>고맙습니다</t>
  </si>
  <si>
    <t>원하는 내용을 빠르고 상세하게 설명해줘서 정말 편했습니다.</t>
  </si>
  <si>
    <t>최고입니다 아주 만족해요</t>
  </si>
  <si>
    <t>매우 정확한 설명 감사합니다</t>
  </si>
  <si>
    <t>친절하게 잘 설명해주셨습니다</t>
  </si>
  <si>
    <t>상세하게 점검해주셔서 감사합니다</t>
  </si>
  <si>
    <t>답답합니다~</t>
  </si>
  <si>
    <t>깔끔 하게 해주셔서 감사합니다. 문제 해결 되었고 친절한 서비스 고맙습니다.</t>
  </si>
  <si>
    <t>상세한설명 넘감사합니다</t>
  </si>
  <si>
    <t>원격진단을 해주시고 친절하게 상담해주셔서 감사합니다</t>
  </si>
  <si>
    <t>친절하고 꼼꼼하게 알려주셧습니다</t>
  </si>
  <si>
    <t>자세한 설명과 친절함 감사합니다~~</t>
  </si>
  <si>
    <t>너무 친절히 원격지원 해주셔서 감사합니다 유튜브 보는데 로딩속도가 느려 답답했는데 원격지원진단으로 너무 빨라졌습니다 수고하세요 감사합니다</t>
  </si>
  <si>
    <t>추가접수까지 해주시고 친절하셔서 좋아요~</t>
  </si>
  <si>
    <t>네-감사합니다설명잘들었습니다</t>
  </si>
  <si>
    <t>기술적으로 설명도 편하게 해주셨고, 상세한 내용도 성심성의껏 답변해주셨습니다.</t>
  </si>
  <si>
    <t>친절한 상담과 서비스 감사 드립니다~^_^</t>
  </si>
  <si>
    <t>친절하게 잘 점검 받았습니다</t>
  </si>
  <si>
    <t>친절한상담좋았습니다.</t>
  </si>
  <si>
    <t>친절해요 간단히 알아듣게 설명을 잘해주네요</t>
  </si>
  <si>
    <t>안내를 다른것으로 선택 되었는데 해결할수 있도록 친절하게 연결 해주시고 원격으로 너무 자세히 친절하게 처리해주셨습니다 감사합니다</t>
  </si>
  <si>
    <t>친절하게 상담해주셔서 감사했습니당</t>
  </si>
  <si>
    <t>상담 감사합니다 꾸벅 100%만족 합니다 언제나 행운가득 우슴가득 복많이 받으셔요 만%이상 만족합니다 감사합니다 꾸벅</t>
  </si>
  <si>
    <t>문제점을 이해하기 쉽고 편리하게 잘 해결해 주셔서 너무 괜찮은 서비스 였던 것 같습니다.</t>
  </si>
  <si>
    <t>서비스잘받았습니다</t>
  </si>
  <si>
    <t>친절한 응대 진심으로 감사드립니다. 좋은 하루 보내세요.</t>
  </si>
  <si>
    <t>매우만족</t>
  </si>
  <si>
    <t>너무 친철하게 꼼꼼히 살퍼 주셨서 감사했습니다</t>
  </si>
  <si>
    <t>빠른 연락 친절한상담 후 처리방안 안내까지 상세한 설명 감사합니다</t>
  </si>
  <si>
    <t>친절하고 잘 해결해주셔서 감사합니다</t>
  </si>
  <si>
    <t>문제가 빠르게 잘 해결되었습니다. 감사합니다.</t>
  </si>
  <si>
    <t>친절하게 진단 및 후속 조치까지 알려주셔서 많은 도움이 됬습니다. 수고하셧습니다.</t>
  </si>
  <si>
    <t>빠르게 잘 해주셨어요</t>
  </si>
  <si>
    <t>굉장히 친절하게 설명해주셔서 너무나 만족스러웠습니다.</t>
  </si>
  <si>
    <t>매우 친절하시고 설명을 잘해주셨습니다!!</t>
  </si>
  <si>
    <t>늦은 시간까지 수고하셨습니다. 감사합니다.</t>
  </si>
  <si>
    <t>친절한 원격진단 감사합니다.</t>
  </si>
  <si>
    <t>친절한 설명 감사합니다.</t>
  </si>
  <si>
    <t>친절하시고 빠른 조치로 문제를 해결했습니다. 감사합니다</t>
  </si>
  <si>
    <t>이런서비스가 있었는지 몰랐네요.... 감사합니다.</t>
  </si>
  <si>
    <t>잘해결해주셨씁니다</t>
  </si>
  <si>
    <t>오늘 하루 종일 나름 문제를 해결해보고자 노력했는데 안되서 고생했는데 원격 진단을 통해서 문제해결이 되었습니다. 담당자분들 너무 수고하셨고 감사드립니다.</t>
  </si>
  <si>
    <t>해결 못하던걸 원격으로 빠르고 쉽게 해결했습니다 서비스 만족 입니다 감사합니다~</t>
  </si>
  <si>
    <t>엘지유플러스와 관련없는 부분까지 추가로 인터넷 설정 도와주셔서 정말 감사드립니다. 정말 친절하게 기다려주시고 안내해 주셔서 해결할 수 있었습니다. 감사합니다.</t>
  </si>
  <si>
    <t>너무 친절하게 안내해주시고 해결방법까지 알려주셨어요~감사합니다.</t>
  </si>
  <si>
    <t>수고했습니다</t>
  </si>
  <si>
    <t>상담사 분이 너무 친절하게 응대해주셔서 편안하게 서비스 받았습니다. 다시한번 감사드립니다.</t>
  </si>
  <si>
    <t>친절히 상담잘받았읍니다</t>
  </si>
  <si>
    <t>친절히 안내 잘받았습니다</t>
  </si>
  <si>
    <t>아주좋아요 아주친절하고 잘해결해주시네요.</t>
  </si>
  <si>
    <t>불편한점 문제엿던거 모두 친절하게 설명해주면서 일일이 해결해주셧습니다 너무 감사합니다</t>
  </si>
  <si>
    <t>컴퓨터 점검 받아볼게요 감사합니다</t>
  </si>
  <si>
    <t>차분하고 친절하게 상담을해주셨습니다</t>
  </si>
  <si>
    <t>든든하게 설명해주셔서 감사합니다!</t>
  </si>
  <si>
    <t>상담사 3분 거쳐서 상담 받았는데 3분 모두 너무 친절하시구 알기쉽게 설명해주셨어요~ 당장 처리는 안되었지만 기사 요청까지 알아서 해주셔서 너무 편했습니다. 감사합니다~</t>
  </si>
  <si>
    <t>친절하고 상냥하게 응대해 주셔서 너무 감사합니다 역시 엘지 입니다..좋은 하루 되시길 바랍니다</t>
  </si>
  <si>
    <t>친절하고 상세하게 내용 설명해주셔서 너무 감사합니다</t>
  </si>
  <si>
    <t>감사 합니다.</t>
  </si>
  <si>
    <t>네트워크 기기나 컴퓨터에 대해 잘 모르는 사람도 이해하기 쉽게 설명해주셔서 정말 좋았습니다.</t>
  </si>
  <si>
    <t>hjkoioil</t>
  </si>
  <si>
    <t>친절하고 신속한 조치에 감사드려요. 매우 친절합니다!</t>
  </si>
  <si>
    <t>친절하시고 일도 잘해결해줘서 감사합니다</t>
  </si>
  <si>
    <t>아주 친절 하셔서 만점을 드립니다^^ 고생하여고 감사드립니다^^^^6</t>
  </si>
  <si>
    <t>감사합니다. 다시 문의 드렸을 때 친절하고 신속하게 알려주셔서 감사합니다</t>
  </si>
  <si>
    <t>막힌 혈이 뻥 뚫린 기분입니다 너무 감사합니다 정말 감사합니다</t>
  </si>
  <si>
    <t>훌륭합니다</t>
  </si>
  <si>
    <t>천천히 알아듣기 쉽게 설명해주셔서 알아듣기 좋았습니다. 친절하게 응대해 주셔서 고맙습니다.</t>
  </si>
  <si>
    <t>친절하고 알기 쉽게 설명해 주시고, 확실하게 해결해주셔서 감사합니다.</t>
  </si>
  <si>
    <t>문제해결을 정확하고 빠르고 친절하게 해주셨습니다</t>
  </si>
  <si>
    <t>장재훈님께 컴퓨터 속도가 느려져 점검을 받았는데 상담부터 점검후 조치까지 너무 친절하게 신속하게 처리해주셔서 정말 감사했습니다. 설명도 이해하기 쉽게 해주셔서 믿음이 갔고 서비스 덕분에 컴퓨터가 훨씬 빨라졌어요 만족도 감사합니다.</t>
  </si>
  <si>
    <t>결론적으로 완전한 해결은 못하셨지만 짜증내지 않고 침착하게 잘 응대해 주셨어요.</t>
  </si>
  <si>
    <t>인터넷이 지속적으로 끊겨서 tv랑 pc 멈춤현장이 있어 as요청 드렸습니다. 당장의 문제는 보일지 모르겠으나 대응이 빨라서 좋았습니다~ 친절히 응대해 주셔서 감사합니다~~</t>
  </si>
  <si>
    <t>진짜 업마 아빠한테 죽을뻔한거 살려주셔서 감사합니다</t>
  </si>
  <si>
    <t>진짜 최고였어요! 막힌 속을 뻥!!!</t>
  </si>
  <si>
    <t>친절하고 신속하게 처리해주시려고 하십니다</t>
  </si>
  <si>
    <t>원격지원 상담사님 빠르고 정확하게 분석해주셔서 너무 감사합니다.</t>
  </si>
  <si>
    <t>친덜하게 잘 설명해 주셨습니다~~!!</t>
  </si>
  <si>
    <t>만족입니다</t>
  </si>
  <si>
    <t>너무친절하시고 내맘은 알았어 하니까좋아요</t>
  </si>
  <si>
    <t>굳</t>
  </si>
  <si>
    <t>출장비 발생 여부에 대해 문의 했는데, 인터넷 선 문제로 출장비 발생하지 않는다는 점과 인터넷 속도 저하에 대한 원인 파악에 대해 친절하게 상담해 주시고 방문 점검도 대리로 신청해 주셔서 좋았습니다. 모든게 원활 했습니다.</t>
  </si>
  <si>
    <t>빠른진단으로 원격진행해주셨습니다.</t>
  </si>
  <si>
    <t>최고입니다. 대박입니다.</t>
  </si>
  <si>
    <t>해결됨</t>
  </si>
  <si>
    <t>굉장히 친절하게 처리해주셨습니다.</t>
  </si>
  <si>
    <t>친절한 설명 감사합니다 공유기 변경 후 재 확인토록 하겠습니다~ 수고하셨습니다</t>
  </si>
  <si>
    <t>빠르게 처리해주셔서 감사합니다.</t>
  </si>
  <si>
    <t>도움 주셔서 감사 합니다. 즐거운 하루 되세요^^</t>
  </si>
  <si>
    <t>친절하고 감사합니다.</t>
  </si>
  <si>
    <t>친절하게 잘해주셧습니다 추가로 .. 휴대폰관련 해킹파악을 받고싶습니다</t>
  </si>
  <si>
    <t>너무친절하게 상담해주셔서감사합니다</t>
  </si>
  <si>
    <t>빠른 확인 감사합니다.</t>
  </si>
  <si>
    <t>친절하게 하나하나 잘 설명 해주셔서 알아듣기 편하게 서비스 잘 받았습니다! 감사합니다!</t>
  </si>
  <si>
    <t>너무 친절 하시고 빠르게 해결 되네요 최고입니다</t>
  </si>
  <si>
    <t>친절히 잘 봐주셔서 감사합니다.</t>
  </si>
  <si>
    <t>정말 친절하시고 바로바로 해결해주셔서 감사합니다.</t>
  </si>
  <si>
    <t>최고입니다!</t>
  </si>
  <si>
    <t>궁금한점 잘 해결되었습니다. 감사합니다.</t>
  </si>
  <si>
    <t>어떤게 무제인지 자세히 알려주고 친절해서 너무 좋아요!</t>
  </si>
  <si>
    <t>자세하고 시원하게 진단해주셔서 감사합니다.</t>
  </si>
  <si>
    <t>친절히 문제를 잘 해결해주셔서 감사합니다 !</t>
  </si>
  <si>
    <t>제대로 진단 받은거 같습니다</t>
  </si>
  <si>
    <t>스마트원격진단 서비스를 이용해보니 정말 편리했습니다. 기사님이 직접 방문하지 않아도 집에서 간편하게 진단를 받을 수 있어 시간과 비용을 아낄 수 있었어요. 특히 증상 설명 후 빠르게 기사님의 피드백을 받을 수 있어 만족스러웠습니다. 인터넷 품질도 안정적이었고, 진단 결과와 해결책도 바로 확인할 수 있어 좋았습니다. 바쁜 일상 속에서 효율적인 인터넷 진단을 해주셔서 감사합니다.</t>
  </si>
  <si>
    <t>문제를 빠르게 잘 해결하였습니다 ~ 도움 주셔 감사합니다 ^^</t>
  </si>
  <si>
    <t>영상 볼 때 불편했는데 끊김이 있음을 확인해 주셨고 1차 해결해주셔서 사용해보겠습니다. 감사합니다.</t>
  </si>
  <si>
    <t>너무친절하세요 설명도 너무 잘해주시구요 감사합니다.</t>
  </si>
  <si>
    <t>컴퓨터에 대해 잘 몰랐는데 하나하나 알아듣기 쉽게 말씀해주셔서 이해가 정말 잘되었고 질문도 많았는데 친절히 하나하나 알려주셔서 정말 감사했습니다. 좋은 하루 보내세요^^</t>
  </si>
  <si>
    <t>작업하시면서 몇 번 연락 주셔서 친절하고 자세하게 설명해주셨습니다. 감사합니다.</t>
  </si>
  <si>
    <t>친절하게 잘 알려주십니다</t>
  </si>
  <si>
    <t>: ) 친절하게 응대 해주신 상담사님과 기사님께 감사의 말씀 드립니다.</t>
  </si>
  <si>
    <t>상담 기사분이 정말 친절하게 잘 해결 해주셨습니다 다음번에도 이 기사분이시면 좋을정도로 잘해주셨습니다</t>
  </si>
  <si>
    <t>알아듣게 설명을 섬세하게 잘 해주시고 해결 방안을 도와주려고 노력 하시는 그 마음이 너무 멋지고 고마웠습니다. 항상 고객들 우선순위로 생각 해주시는 그 마음을 오래 오래 유지 해 주셨으면 감사 하겠습니다.감사합니다</t>
  </si>
  <si>
    <t>존나 친절하네 엘지 계속 쓰게끔 열일하네 진짜</t>
  </si>
  <si>
    <t>친절,신속,정확 감사합니다.</t>
  </si>
  <si>
    <t>너무친절하고상세히응대해주셨서 고마우서요</t>
  </si>
  <si>
    <t>먀우 친절하게 무엇이 문제가 있는지 없는지 자세히 설명해 주셨고 목소리 힘차고 발으셔서 긍정의 에네지 뿜뿜 ~~</t>
  </si>
  <si>
    <t>궁금한 질문에 대해서 친절하게 잘 설명해주셨습니다. 추후 문제가 발생한다면 또 이용 할 것 같습니다.</t>
  </si>
  <si>
    <t>친절하게 대응해 주셔서 감사합니다.</t>
  </si>
  <si>
    <t>인터넷 속도가 저하되어 문의 드렸는데 원격으로 처리도 해주시고 좋았습니다.!</t>
    <phoneticPr fontId="1" type="noConversion"/>
  </si>
  <si>
    <t>매우친절하시고 편안했습니다 이쪽으로는 전혀 모르는 상태여서 제가 느리게 해도 괜찮다고 천천히 해도 된다고 해주시고 설정관련 답답했었는데 해결해 주셔서 감사합니다 칭찬합니다</t>
    <phoneticPr fontId="1" type="noConversion"/>
  </si>
  <si>
    <t>고객센터에서 원격 점검이라는 서비스가 있다고 안내해 주셔서 오늘 처음 받아봤는데, 전문가 분께서 짧지 않은 시간 동안 무척 친절하고 상세하게 설명해 주시고, 단계별로 문제점을 확인해 주셨습니다. 추천해주신 고객센터 상담사분과 원격진단 실시해주신 전문가분께 모두 친절하고 효율적인 상담을 받게 되어 무척 만족스럽습니다. 감사합니다.</t>
    <phoneticPr fontId="1" type="noConversion"/>
  </si>
  <si>
    <t>기술1팀</t>
  </si>
  <si>
    <t>기술 맞춤제안1팀</t>
  </si>
  <si>
    <t>기술A1팀</t>
  </si>
  <si>
    <t>기술A2팀</t>
  </si>
  <si>
    <t>친절한 상담 감사합니다 상담사님도 원격기사님도 설명도 잘 해주시고 궁금한 점도 해결해주셨습니다 감사합니다</t>
  </si>
  <si>
    <t>빠르고 친절하게 응대해줘요</t>
  </si>
  <si>
    <t>상세한 설명으로 스마트원격진단을 잘받았습니다. 감사합니다.</t>
  </si>
  <si>
    <t>빠른조치</t>
  </si>
  <si>
    <t>음 일단 설명은 잘해주시는데 말속도가 너무 빠릅니다 기계같은 느낌 차분하게 설명하면 지금 보다 더 좋을꺼 같습니다</t>
  </si>
  <si>
    <t>인터넷 속도느려서 답답했는데 원인을 찾게되어 감사드립니다 많은도움 되었습니다.</t>
  </si>
  <si>
    <t>친절하고 전문적으로 안내해주십니다</t>
  </si>
  <si>
    <t>수고하셨습니다</t>
  </si>
  <si>
    <t>제가 필요로한 설정을 진행해주셔서 감사하고 제가 몰랐던 통신에 대해서도 친절하고 자세하게 설명해주셨습니다.</t>
  </si>
  <si>
    <t>기사님 너무 친철합니다. 감사합니다.</t>
  </si>
  <si>
    <t>빠르고 친절한 점검 감사합니다.^^</t>
  </si>
  <si>
    <t>제가 필요한 부분을 잘 캐치 하셔서 빠르게 처리해주시니 감사합니다.</t>
  </si>
  <si>
    <t>편하게 잘 받았습니다</t>
  </si>
  <si>
    <t>전문적이고 친절한 조치 감사합니다</t>
  </si>
  <si>
    <t>속도가 느려서 문의 드렸는데, 왜 그런 문제가 생긴 지 설명해주시고 문제 해결 도와주셔서 감사합니다. 특별한 문제가 발생하지 않았으면 좋겠습니다. 감사합니다</t>
  </si>
  <si>
    <t>원격지원팀 윤찬호 기사님 !!! 친절하시고 사근사근하셔서 부담없이 모르는것 여쭤볼수있었어요! 감사합니다</t>
  </si>
  <si>
    <t>감사합니담</t>
  </si>
  <si>
    <t>친절하고 빨라서 좋아요</t>
  </si>
  <si>
    <t>편하고 바로 문제에 대하여 진단 받고 서비스기사 연결해줘서 좋음</t>
  </si>
  <si>
    <t>친절한 상담을 통해서 인터넷 끈김현상에 해결하였음. 다만 같은 증상이 발현되었을때 재 상담을 통해 해결을 하라는 조언까지 받아 LG 사용에 있어 더욱더 신뢰가 생김. 감사합니다</t>
  </si>
  <si>
    <t>친절한 상담 감사합니다!!!!</t>
  </si>
  <si>
    <t>친절하고 상세하게 알려주셔서 문제를 정확히 파악할 수 있었습니다. 감사합니다.</t>
  </si>
  <si>
    <t>빠르고 정확한 문제해결을 친절하게 해주셨어요</t>
  </si>
  <si>
    <t>너무 친절하세요.감사합니다</t>
  </si>
  <si>
    <t>꼼꼼히 잘 봐주신거 같아요</t>
  </si>
  <si>
    <t>빠르고, 친절하시네요^^</t>
  </si>
  <si>
    <t>친절하고 빠르게 대응해 주셔서 감사합니다. 이분 말고 전화연결이 정말 어렵습니다. 더욱이 점심시간 전화했더니 한 참을 30초 이상, 상황설명후 점심시간 이라 다시 전화해라니 이게 서비스인지...ㅎㅎ</t>
  </si>
  <si>
    <t>30분 동안 고생많으셨습니다 서비스 정말 잘 받았습니다 친절 하셔서 정말 좋았습니다</t>
  </si>
  <si>
    <t>서비스 감사합니다. 수고하셨어요.</t>
  </si>
  <si>
    <t>자세히 설명주셔서 감사합니다.</t>
  </si>
  <si>
    <t>원격설명이 자세히 설명해 주셔서 오해 없이 잘 이해 했습니다, 빠른 조치 부탁드립니다.</t>
  </si>
  <si>
    <t>친절하게 해주셨어요</t>
  </si>
  <si>
    <t>친절하게 안내해주시고 해결해 주셔서 감사합니다.</t>
  </si>
  <si>
    <t>이해 빠르게 설명도 잘해주시고 후속 기사님 신청까지 신청해주셨습니다.~</t>
  </si>
  <si>
    <t>적극적으로 바로문제점을 처리해 주셔서 감사드립니다</t>
  </si>
  <si>
    <t>빠르게 조치해주시고 친절하십니다</t>
  </si>
  <si>
    <t>해결하고 싶은 문제를 차분히 물어봐 주시면서 해결해주시려고 노력해주셨습니다. 감사합니다</t>
  </si>
  <si>
    <t>필요한 기능을 즉시 해결해주셨습니다. 감사합니다.</t>
  </si>
  <si>
    <t>친절하게 상담해 주셨고, 원격으로 봐주시면서 업그레이드 안 된 부분까지 봐 주셨습니다. 친절하게 상담 감사합니다. ~ 행복한 하루 되세요 ^^</t>
  </si>
  <si>
    <t>친절하게 잘 설명해주셔서 이해를 잘할수 있었습니다 감사합니다</t>
  </si>
  <si>
    <t>빠르고 신속한 조치 감사합니다.</t>
  </si>
  <si>
    <t>친절하고 정확한 원격진단 감사합니다.</t>
  </si>
  <si>
    <t>진단 및 도움주셔서 감사합니다.</t>
  </si>
  <si>
    <t>선생님께서 매우친절하게 원하는 대로 잘 대처 해주셔서 깊은 감사을 표합니다 , 감사합니다 기쁨가득한 하루 되십시요 복 많이 받으시구요~~~</t>
    <phoneticPr fontId="1" type="noConversion"/>
  </si>
  <si>
    <t>먼저 감사를 드리고요, 공유기와 복사기 와의 연결이 안되서 부탁을 드렸는데 매우 만족 합니다; 끈기 있게 문제해결을 하여 주셔서 기분 좋습니다. 써비스 하신 담당하신 분께 미안할 정도로 끝까지 해결하여 주신것을 진심으로 감사한 마음입니다 , 힘든 세상살이 속에 청량제가 되어준 귀하의 엎날을 축복합니다, 엘지 유프러스 부흥 되길 원합니다. 감사합니다. ---------</t>
    <phoneticPr fontId="1" type="noConversion"/>
  </si>
  <si>
    <t>인터넷끊김으로 인한 불편함을 원격진단을 통해 해결 할 수 있었고, 실시간 화면 공유와 전화통화로 이해하기 쉽게 설명해주셔서 좋았습니다. 다행히 문제를 해결 할 수 있는 방법을 제시해 주셔서 감사합니다.</t>
    <phoneticPr fontId="1" type="noConversion"/>
  </si>
  <si>
    <t>적극적으로 잘 해결해주셨습니다. 원래는 삼성전자가 이렇게 해줘야 할 것 같은데 잘 들어주시고, 해결해주셔서 정말 감사합니다. 늦은 밤에 답답했는데 최고입니다!!!!!!!!!!!!!!</t>
  </si>
  <si>
    <t>자세한 설명 감사 드립니다</t>
  </si>
  <si>
    <t>잘 알려주셔서 감사합니다.</t>
  </si>
  <si>
    <t>친절한 말투와 성심성의껏 상담해주셔서 감사합니다... 빠른처리되어 잘 이용하겠습니다,,, 감사합니다...상담사님 최고!!</t>
  </si>
  <si>
    <t>최고로 만족 함</t>
  </si>
  <si>
    <t>설명을 자세히 해주십니다</t>
  </si>
  <si>
    <t>친절 최고입니다</t>
  </si>
  <si>
    <t>쉽게 설명을 잘해주셔서 많은 도움이 되었습니다 감사합니다</t>
  </si>
  <si>
    <t>만족스러운 결과를 알려주셔서...</t>
  </si>
  <si>
    <t>친절하게 문제해결 되어서 굉장히 만족합니다.</t>
  </si>
  <si>
    <t>친절하게 하나씩 확인해주시는 모습이 보기 좋았습니다.</t>
  </si>
  <si>
    <t>신속정확 명료한 진단과 평가로 빠른처리 감사드립니다.</t>
  </si>
  <si>
    <t>친절</t>
  </si>
  <si>
    <t>잘 됬습니다</t>
  </si>
  <si>
    <t>감사합니다 기술지원팀 장재훈 기사님 인테넷 문제 해결을 잘 설명 해주신 덕분에 고민 해결 완료 . 화이팅</t>
  </si>
  <si>
    <t>문제도 잘 해결해주시고 친절하게 잘 안내해주셨습니다. 감사합니다.</t>
  </si>
  <si>
    <t>수고 하셨읍니다. 매우 만족합니다.^^</t>
  </si>
  <si>
    <t>친절하게 잘설명해주셨어요</t>
  </si>
  <si>
    <t>원격점검서비스를 처음 받아봤는데 상담해주신 상담원님이 인터넷상담도 친절하게 해주셔서 너무 감사했어요..감사합니다..</t>
  </si>
  <si>
    <t>친절히 대응해주셨어요 감사합니다.</t>
  </si>
  <si>
    <t>서비스 도 좋았고, 이런저런 질문에도 자세히 답변해주시고 알려주셔서 아주 만족스러웠습니다.</t>
  </si>
  <si>
    <t>까다로운 일이었는데 그래도 끝까지 도움을 주시려고 하셔서 감사했습니다.</t>
  </si>
  <si>
    <t>너무 친절하세요!!!!</t>
  </si>
  <si>
    <t>친절하게 진단해주셔서 감사합니다.</t>
  </si>
  <si>
    <t>조아용</t>
  </si>
  <si>
    <t>친절하고 빠른상담 감사합니다</t>
  </si>
  <si>
    <t>와이파이 비밀번호 변경 감사합니다.</t>
  </si>
  <si>
    <t>친절하시고 좋아요</t>
  </si>
  <si>
    <t>친절하고 빠른 조치 잘 받았습니다. 감사합니다!</t>
  </si>
  <si>
    <t>친절희 너무 감사하게 조치해 주셨습니다 감사합니다 좋은 하루 되세요</t>
  </si>
  <si>
    <t>빠르게 잘 응대하여주셧어요.</t>
  </si>
  <si>
    <t>빠르고 친절하게 처리해주셔서 감사합니다</t>
  </si>
  <si>
    <t>아주 만족합니다 친절하시고 자상하고 정확하게 잘 안내받았습니다 최고십니다</t>
  </si>
  <si>
    <t>친절히 도와주셔서 감사합니다</t>
  </si>
  <si>
    <t>친절하게잘진행 해주었고이해가되도록 설명도잘해주었읍니다</t>
  </si>
  <si>
    <t>모두 친절하셔서 감사합니다 .</t>
  </si>
  <si>
    <t>신속, 정확, 친절한 서비스에 감사드립니다</t>
  </si>
  <si>
    <t>원격 연결 바로 직후에 문제 의심되는 건을 찾아주셔서 빠르게 해결하였습니다. 진단 내내 친절하게 응대해주셔서 기분 좋게 해결할 수 있었습니다. 인터넷 문제 외에도 개인적인 컴퓨터 결함에 대해 질문 드렸음에도 하나하나 꼼꼼히 설명해주셨어요~! 만족합니다.</t>
    <phoneticPr fontId="1" type="noConversion"/>
  </si>
  <si>
    <t>네트워크 문제로 기사님이 오셨는데 다른 방법으로 사용을 해보라고하시고 원격서비스로 컴퓨터도 업그레이드 해주셔서 너무 만족합니다 일단 사용해봐야알겠지만 너무 친절히 응대해주셔서 만족합니다</t>
    <phoneticPr fontId="1" type="noConversion"/>
  </si>
  <si>
    <t>컴알못 저에게 이런 서비스라니...정말 필요했던 것이였어요 ㅠㅠㅠㅠㅠㅠ이게 무슨일이야 엘지유플러스 댕큰칭찬... 인터넷속도도 빠르게 처리 되는것도 아주 만족중인데 이런 원격점검.../.퇴근시간에도 사람이 굳이 오지 않고 원격으로 제 문제를 해결해주셔서 정말 감사합니다! 친절한 대응과 해결 감사했어요ㅕ!!</t>
    <phoneticPr fontId="1" type="noConversion"/>
  </si>
  <si>
    <t>넘모좋고요 나이스 그라샤</t>
  </si>
  <si>
    <t>빠르게 원인 찾아주시고 처리해주셨습니다 감사합니다</t>
  </si>
  <si>
    <t>친절하시고, 서비스가 너무 만족스럽습니다. 감사합니다!!</t>
  </si>
  <si>
    <t>친절한 상담을 해주셔서 편했음</t>
  </si>
  <si>
    <t>친철하게 안내해주셔서 이해도 빠르고 좋앗어요~^^ 만족해요</t>
  </si>
  <si>
    <t>잘해주셔서 감사드립니다 ^^</t>
  </si>
  <si>
    <t>친절하게 점검을 해주셨어요 감사합니다</t>
  </si>
  <si>
    <t>잘받았어여</t>
  </si>
  <si>
    <t>최고!</t>
  </si>
  <si>
    <t>엄청 친절하게 응대해주셨어요. 감사합니다.</t>
  </si>
  <si>
    <t>pc부분및 통신환경까지 상세한 설명과 진단해 주셨습니다.</t>
  </si>
  <si>
    <t>친절하게 안되는 부분들을 설명해주시고 점검 받을 수 있게 안내해주셨어요</t>
  </si>
  <si>
    <t>친절하게 설명해주셨습니다. 감사합니다.</t>
  </si>
  <si>
    <t>최고로만족스럽개답변하고해결해주셨슴니다</t>
  </si>
  <si>
    <t>친절히 잘 설명해주시고 빠른 as처리 해주셔서 좋았습니다</t>
  </si>
  <si>
    <t>친절한 상담 너무 감사합니다.</t>
  </si>
  <si>
    <t>빠른 상황파악 후 빠른 해결조치를 해주셨습니다 고생하셨습니다</t>
  </si>
  <si>
    <t>궁금한점을 친절하게 설명해주셨습니다.</t>
  </si>
  <si>
    <t>친절한 상담과 설명 감사합니다</t>
  </si>
  <si>
    <t>친절하고 상세한 안내 감사합니다.</t>
  </si>
  <si>
    <t>ip4 방식으로 바꿔 주셔서 감사드립니다.!</t>
  </si>
  <si>
    <t>친절하고 자세히 설명해주셔서 감사합니다.</t>
  </si>
  <si>
    <t>답답하던 게 잘 해결되었습니다. 만족합니다. 수고하셨습니다.</t>
  </si>
  <si>
    <t>친절하게 점검 후 필요한 사항에 대한 후속조치까지 깔끔하고 빠르게 진행해주셧습니다. 감사합니다~</t>
  </si>
  <si>
    <t>친절하게 잘 설명해 주심</t>
  </si>
  <si>
    <t>빠른확인과 신속한 조치로 만점드립니다 굿!!</t>
  </si>
  <si>
    <t>친절하게 대응해주시고 바로바로 문제점 알려주시면서 잘 대처방안을 제시해주셔서 너무 감사합니다</t>
  </si>
  <si>
    <t>정확하고빠르게처리되었습니다.만족합니다</t>
  </si>
  <si>
    <t>친절하게 안내해주셨습니다</t>
  </si>
  <si>
    <t>네 친절하게 스마트하게 잘 하셨어요^^</t>
  </si>
  <si>
    <t>최고의 서비스를 해주셨습니다...몇 달간 사용하지못했던 무선프린터 설정 문제를 해결해주셨습니다.</t>
    <phoneticPr fontId="1" type="noConversion"/>
  </si>
  <si>
    <t>하나 부터 열까지 자세히 알려주시고 도움 많이 주셨습니다. 엄청 친절하십니다~ 요청한 점검이외에도 다양한 부분에서 도움주셔서 정말 감사했습니다~ 좋은 하루 되시길 바래요.</t>
    <phoneticPr fontId="1" type="noConversion"/>
  </si>
  <si>
    <t>친절한 상담과 서비스 대응에 감사드립니다.. 행복한 하루 되세요..</t>
    <phoneticPr fontId="1" type="noConversion"/>
  </si>
  <si>
    <t>장재훈 기사님꼐서 친절하고 꼼꼼하게 잘 상담해주셨습니다</t>
    <phoneticPr fontId="1" type="noConversion"/>
  </si>
  <si>
    <t>이상중상을 점검 해결해 주시고 궁금한 내용을 천절하게 잘 설명해 주시고 감사합니다</t>
  </si>
  <si>
    <t>만족합니다. 잘 대응해 주셔서 해결했습니다. 앞으로도 건승하세요!</t>
  </si>
  <si>
    <t>친절하게 질문에 대답도 잘 해주시고 감사합니다. 다시 연결은 잘 되네요. 감사합니다.</t>
  </si>
  <si>
    <t>처음으로 스마트원격진단 받아봤는데 빠르게 처리해주시고 잘 설명해주셔서 좋았습니다! 그리고 여러가지 물어봤는데 잘알려주셔서 해결되었어요! 또 다른 문제가 있다면 언제든지 연락주면 해결해주시겠다고 해서 편했습니다 ㅎㅎ 다음에도 잘부탁드립니다~</t>
  </si>
  <si>
    <t>친절하게 상담진행</t>
  </si>
  <si>
    <t>친절하고 빠르게 잘 해결해주셨습니다</t>
  </si>
  <si>
    <t>잘 받았습니다. 감사합니다.</t>
  </si>
  <si>
    <t>친절하게 응대해주셨고 최선을 다해주셨습니다 감사합니다</t>
  </si>
  <si>
    <t>친절하게 잘 알려주셔서 감사합니다^^ 좋은하루 되세요!</t>
  </si>
  <si>
    <t>친절하게 응대해주시고 적절한 조치를 취해주셨으며 혹시 있을 문제에 어떤 방법으로 대응해야할지 안내해주셨습니다. 감사합니다!</t>
  </si>
  <si>
    <t>좋습니다!</t>
  </si>
  <si>
    <t>불편한 점을 해결해주려 애써주셔서 감사합니다~</t>
  </si>
  <si>
    <t>덕분에 잘 해결했습니다.</t>
  </si>
  <si>
    <t>굿입니다</t>
  </si>
  <si>
    <t>너무 친절하시고 빠르게 접수 및 a/s 진행을 해주셔서 너무 좋은거같습니다</t>
  </si>
  <si>
    <t>빠르고 친절하게 문제를 해결 해주셨습니다 감사합니다 :)</t>
  </si>
  <si>
    <t>원격연결 전 통화중이던 상담사분의 설명이 약간 길어져서 원격연결 된 기술 직원분의 전화를 두번째에 받게 됐습니다. 이미 원격 연결은 됐으나 전화가 안돼서 많이 답답하셨을 수 있음에도 정말 친절하게 문제의 원인이 될 수 있는 요인을 설명해 주셨습니다. 물론 사용하는 통신사의 전문가 분이지만 내 pc를 타인이 원격제어를 하여 사용하는 부분을 예민하게 생각할 수 도 있는데, 어떤 부분 때문에 문제의 요인이 될 수 있는지, 그리고 그 요인을 해결할 수 있는 방안으로 어떻게 변경할 계획이신지 상세히 설명을 해주셔서 마음이 편안했습니다. 빠른 시간 안에 해당 사항들을 처리해 주셨고 추가적으로 걱정되는 사안을 여쭤봤을때 명확하게 답변을 해주셔서 추가적인 걱정도 말끔하게 해소되었습니다. 한 분야의 전문가로서 일처리를 하는것이 어찌보면 당연하다 생각할 수 있지만, 말씀하시는 워딩 하나도 사용자를 안심할 수 있게 해주시면서 빠르고 정확한 일처리를 해주셔서 저의 만족도는 100%를 넘은 수준이라 생각됩니다. 원격제어를 통해 기술부분 서비스를 제공해주신 직원분께 다시한번 감사드리고, 원래 후기를 정말 잘 안쓰는데 혹시나 이달의 칭찬사원이라던지? 뭔가가 있다면 해당 직원분께서 조금 더 플러스 될 수 있었으면 좋겠다는 마음이 들어서 만족도 조사를 임합니다. 감사했습니다 건강하세요</t>
  </si>
  <si>
    <t>친절하고 문제점을 정확하게 지적해줍니다. 감사합니다.</t>
  </si>
  <si>
    <t>아주 친절한 상담 감사합나다. 앞으로도 많은 지원 부탁드립니다.</t>
  </si>
  <si>
    <t>현재의 문제점에 대해 자세히 설명해주시고 무엇이 문제일지 세세하게 짚어주셔서 이해하기 쉬웠습니다.</t>
  </si>
  <si>
    <t>알기 쉽고 빠르게 문제 해결 및 기타 문의 사항까지 친절하고 정확하세 해결해 주셨습니다.</t>
  </si>
  <si>
    <t>친절하고 상세한 설명 감사합니다.</t>
  </si>
  <si>
    <t>자세히 잘 설명해주셨습니다.</t>
  </si>
  <si>
    <t>친절하게 잘 응대해주셨습니다 감사합니다</t>
  </si>
  <si>
    <t>꼼꼼히 살펴보시고 안내해주셔서 좋았습니다. 감사합니다.</t>
  </si>
  <si>
    <t>자세하게 설명해주셔서 고맙습니다</t>
  </si>
  <si>
    <t>114 안내부터 원격진료까지 안내가 매우 친절하고 편리하였으며, 원격서비스도 매우 친절하고 세밀하게 진행되었습니다. 감사합니다.</t>
  </si>
  <si>
    <t>상세한 설명 감사합니다.</t>
  </si>
  <si>
    <t>친절하게 잘 안내해주셨습니다.</t>
  </si>
  <si>
    <t>친절하고 상세히 잘 설명해주셨고 해결했습니다</t>
  </si>
  <si>
    <t>친절한 상담이였습니다.</t>
  </si>
  <si>
    <t>친절하고 자세한 설명과 확인 감사합니다.~</t>
  </si>
  <si>
    <t>너무 친절하게 잘 설명해주시고 컴퓨터 잘 모르는데 이것저것 필요한것들 알아서 너무 잘해주셨어요!!! 감사합니다ㅎㅎ</t>
  </si>
  <si>
    <t>빠른 진단과 적절한 솔루션 감사드립니다.</t>
  </si>
  <si>
    <t>최고였습니다 감사합니다</t>
  </si>
  <si>
    <t>친절히 응대해 주시고 답변 해줘서 감사합니다</t>
  </si>
  <si>
    <t>친절하시고 꼼꼼하게 점검해주셔서 너무 만족합니다.</t>
  </si>
  <si>
    <t>친절하고 스마트 하시네요 굿!!!!!!!!!!!!!! 별 더없나요??? 더 체크 하고싶은데....</t>
  </si>
  <si>
    <t>친절하고 빠른서비스 감사합니다</t>
  </si>
  <si>
    <t>장애가 있던부분을 빠르게 처리해주셨고 다른 불편한 사항까지도 찾아내어 해결해주셨습니다 감사합니다</t>
  </si>
  <si>
    <t>빠르게 진단 잘 해주셨습니다 원격으로 해결 할 수 없는 상황을 친절히 알려주셔서 방문 기사님 요청하기로 하였습니다</t>
    <phoneticPr fontId="1" type="noConversion"/>
  </si>
  <si>
    <t>안녕하십니까 담당직원께서 아주 친절하게 쉬운 설명으로 문제 해결에 도움을 주셔서 직원분께 다시 한 번 감사드리며, 엘지유플러스에 대한 고객의 긍정도가 업데이트 되었습니다. 감사합니다.</t>
    <phoneticPr fontId="1" type="noConversion"/>
  </si>
  <si>
    <t>친절하게 잘 알려주십니다. 궁금한점이 있는지 여러번 물어봐주시고, 해결해주시려고 하십니다.</t>
    <phoneticPr fontId="1" type="noConversion"/>
  </si>
  <si>
    <t>굿 좋아요</t>
  </si>
  <si>
    <t>설명 친절하시구 신속하게 해결 된거같아요!</t>
  </si>
  <si>
    <t>늦은 시간 대응 감사합니다</t>
  </si>
  <si>
    <t>빠르고 정확하게 해결책을 제시해주셨습니다.</t>
  </si>
  <si>
    <t>좋다</t>
  </si>
  <si>
    <t>빠른 문제해결에 매우 만족합니다.</t>
  </si>
  <si>
    <t>친절하게 안내해주셔서 감사합니다~</t>
  </si>
  <si>
    <t>친절하게 응대해 주셔서 감사 드립니다. 컴퓨터 문제 다시 확인해 볼께요</t>
  </si>
  <si>
    <t>친절하고 빠른 해결 감사합니다.</t>
  </si>
  <si>
    <t>감사합니다 덕분에 해결되었습니다.</t>
  </si>
  <si>
    <t>정밀하고 친절한 상담 감사합니다.</t>
  </si>
  <si>
    <t>노트북 문제였던거 같은대 친절하게 도와주셔서 감사합니다.</t>
  </si>
  <si>
    <t>매우 친절하셨습니다!!</t>
  </si>
  <si>
    <t>상담에 만족합니다.</t>
  </si>
  <si>
    <t>네 매우 만족했어요</t>
  </si>
  <si>
    <t>매우 친절했습니다</t>
  </si>
  <si>
    <t>인터넷 속도 확인 상담사 분 께서 원인 설명 및 이후 조치 사항 등을 친절히 알려주셨습니다.</t>
  </si>
  <si>
    <t>친절히 원인해결에 적극적으로 대응해주셧습니다</t>
  </si>
  <si>
    <t>상세한 설명 감사합니다 ! 컴알못인 제가 들었는데 이해하기 쉬웠어요 감사드려요 !</t>
  </si>
  <si>
    <t>친철히 잘알려주셨습니다</t>
  </si>
  <si>
    <t>너무 친절하게 잘 설명해주셨습니다.</t>
  </si>
  <si>
    <t>친절히 문제파악하고, 문제해결해주심.</t>
  </si>
  <si>
    <t>궁금한 부분이 해결되었습니다. 원격 진단으로 빠른 A/S 처리까지 감사드립니다.</t>
  </si>
  <si>
    <t>정말친절하시고 자세한설명 감사합니다</t>
  </si>
  <si>
    <t>네 너무 친절히 잘 상담받았습니다^^</t>
  </si>
  <si>
    <t>설명 잘 해주셔서 해결됏어요</t>
  </si>
  <si>
    <t>자세하고 친절한 안내가 도움이 됐습니다. 감사합니다.</t>
  </si>
  <si>
    <t>너무 친절했습니다^^</t>
  </si>
  <si>
    <t>친절하게 봐주셨습니다.</t>
  </si>
  <si>
    <t>원격시스템의 서비스 품질 만족합니다. 스스로 진단해주는 서비스 만족입니다.</t>
  </si>
  <si>
    <t>문제가 어떤건지 명확하게 알려주셔서 감사합니다</t>
  </si>
  <si>
    <t>친절하고 신속하게 처리하여 주셔서 감사합니다</t>
  </si>
  <si>
    <t>넥플릭스에 전화 해도 안되고, 답답해 죽는 줄 알았는데 한방에 해결해 주셨네요. 다음에 이런 오류가 났을 때 어떻게 해야 하는지도 친절히 알려 주셨어요. 감사합니다. 행복한 하루 되세요</t>
  </si>
  <si>
    <t>친절히 응대 해 주셔서 감사합니다.</t>
  </si>
  <si>
    <t>친절하고 자세한 설명. 이해하기 쉽게 설명해 주셔서 감사합니다.</t>
  </si>
  <si>
    <t>친절한 응대 고맙습니다</t>
  </si>
  <si>
    <t>친절하신 안내 감사합니다</t>
  </si>
  <si>
    <t>상담원이 되게 친절하고 자세히 설명해 주셨습니다. 감사합니다.</t>
  </si>
  <si>
    <t>잘 해결해주셨어요!!!</t>
  </si>
  <si>
    <t>bb</t>
    <phoneticPr fontId="1" type="noConversion"/>
  </si>
  <si>
    <t>원격진단을 어제 휴알에 사전 신청 접수한바 오늘 정확한 시간에 전화 결려와 친절하고 자세하게 안내 받았습니다 감사합니다</t>
    <phoneticPr fontId="1" type="noConversion"/>
  </si>
  <si>
    <t>친절하고 빠르고, 이유까지 잘 설명해주셨습니다. 만족스러운 서비스였습니다. 좋은 분을 만나서 반갑고 고마웠습니다. 다음에도 문제점이 생긴다면 이분한테 받고 싶네요. 감사합니다.</t>
    <phoneticPr fontId="1" type="noConversion"/>
  </si>
  <si>
    <t>빠르고 친절한 해결에 원인 설명과 차후 대처 방법까지 잘 설명해주셨습니다. 감사합니다.</t>
  </si>
  <si>
    <t>친절히 설명 잘 해주셔서 잘 들었습니다</t>
  </si>
  <si>
    <t>와 너무 친절하시고 빠르게 문제를 해결해 주셔서 너무 편했습니다. 기분이 너무 좋네요</t>
  </si>
  <si>
    <t>점검 잘 해주시고 외부에서 들어오는 신호는 잘 들어오는거 확인했고 저의 랜카드 문제라는점 확인했습니다. 설명 잘 해주셨고 도움되었습니다.</t>
  </si>
  <si>
    <t>신속하게 빠르게 잘 점검해주셨습니다.</t>
  </si>
  <si>
    <t>너무너무 친절하게 문제를 해결해주시고, 필요한 모든 정보를 다 알려주시고 설명해 주셨습니다. 진짜 감동적인 서비스 였어요!!! 지금까지 살면서 받았던 모든 AS 통틀어 최고의 AS 였습니다. 꼭꼭 칭찬드리고 싶습니다.</t>
  </si>
  <si>
    <t>너무 친절하시고 정확한 진단 너무감사합니다</t>
  </si>
  <si>
    <t>작원분이 매우 친절하게 설명햊시고 기다려주셔서 아주 만족했습니다;다음에도 이 직원분께 상담 받고싶네요.10점만점 중 10점</t>
  </si>
  <si>
    <t>기사님이 친절하시고 신속하게 처리해주셨습니다.</t>
  </si>
  <si>
    <t>친절하게 잘 설명 해주시고 안내해주셔서 감사합니다.</t>
  </si>
  <si>
    <t>원격점검서비스 담당자님께서 이해하기 쉽게 설명해주셨으며, 친절한 상담으로 보다 편안하게 상담진행하였습니다.</t>
  </si>
  <si>
    <t>너무 친절히 상담해 주셔셔 감사합니다. 궁금한거 이거저거 물어봤는데도, 하나하나 다 설명 주셨어요!!</t>
  </si>
  <si>
    <t>편해요</t>
  </si>
  <si>
    <t>친절하고 정확한 진단 감사합니다</t>
  </si>
  <si>
    <t>친절하게 대응해주시고 컴알못 인데 자세하게 설명해주셔서 믿음이 가네요 바쁘신데도 컴퓨터 정리도 해주시고 너무 감사합니다 최고입니다</t>
  </si>
  <si>
    <t>너무 친절하게 대해주셔서 감사합니다.</t>
  </si>
  <si>
    <t>빠르고 잘 해결된거 같습니다 !</t>
  </si>
  <si>
    <t>빠르고 친절하게 응대해주셔서 부족함 없이 불편한 사항에 대해 안내 받았습니다</t>
  </si>
  <si>
    <t>상담원님께서 친절하게 잘봐주셨고 알려줘서 감사합니다 건강하세영</t>
  </si>
  <si>
    <t>친절하게 상담완료했습니다..해결은안됐지만요..ㅠㅠ</t>
  </si>
  <si>
    <t>자세하고 친절하게 상담해주셔서 감사합니다.</t>
  </si>
  <si>
    <t>친절하셔서 좋았습니다.</t>
  </si>
  <si>
    <t>직원분께서 친절하게 잘 조치해주셔서 만족스럽습니다</t>
  </si>
  <si>
    <t>친절하게 원하는 내용 잘 이해해주시고 처리 해 주셨습니다. 감사합니다.</t>
  </si>
  <si>
    <t>자세히 직접 끝까지 친절하게 상담 감사,감사 드립니다</t>
  </si>
  <si>
    <t>상세하게 설명 잘 들었습니다 감사합니다 즐거운 하루되십시요^^</t>
  </si>
  <si>
    <t>상담내용을 친절하고 빠르고 정확하게 대응해 주셔서 감사합니다.</t>
  </si>
  <si>
    <t>a</t>
  </si>
  <si>
    <t>빠르고 친절한 상담 감사합니다</t>
  </si>
  <si>
    <t>자세하게 설명해주셧습니다</t>
  </si>
  <si>
    <t>요청사항 빠르고 간편하게 적용해주셨어요.</t>
  </si>
  <si>
    <t>친절하고 자세한 설명 감사 드립니다. 최고 서비스 입니다~~</t>
  </si>
  <si>
    <t>너무 친절하게 잘해주셨습니다. 감사합니다.</t>
  </si>
  <si>
    <t>잘해결됬고 너무 친절하세요</t>
  </si>
  <si>
    <t>간단하고 쉬운 설명 감사합니다.</t>
  </si>
  <si>
    <t>친절한 설명 문제점 잘해결하여 주었습니다,</t>
  </si>
  <si>
    <t>대박 너무너무 친절하고 잘 가르쳐주네요</t>
  </si>
  <si>
    <t>일단 조치는 잘 받았습니다.</t>
  </si>
  <si>
    <t>원격이라 처음엔 당황하였으나 전화로 잘 상담해주셔서 편안했습니다.</t>
  </si>
  <si>
    <t>친절하시고 전문적으로 진단 해주셨습니다</t>
  </si>
  <si>
    <t>이사후 정확한 상태를 점검확인하여 만족스럽습니다. 계약정보와 크게 다르지 않는 인터넷환경이라 다행입니다 친절한 응대에 감사합니다</t>
    <phoneticPr fontId="1" type="noConversion"/>
  </si>
  <si>
    <t>로봇청소기 와이파이 연결로 불편했는데 한방에 해결해주셔서 감사합니다 :) 역쉬~LG U+</t>
    <phoneticPr fontId="1" type="noConversion"/>
  </si>
  <si>
    <t>친절한 상담과 물어보지 않은 부분으로 안내를 받아서 많이 감사한 마음이 드네요 상냥한 말투와 문제 상황으로 인한 걱정들에 대한 설명을 이해를 하기 쉽게 해 주셔서 문제 상황에 대한 해결과 상관없이 도움이 되었습니다 감사합니다 수고하세요</t>
    <phoneticPr fontId="1" type="noConversion"/>
  </si>
  <si>
    <t>뭐가어떻게 된 건지 모르겠네요 어디가 이상이 있는지 이야기를 해주셔야 되는데 이야기도 안해주시고</t>
  </si>
  <si>
    <t>너무 친절하고 확실하게 설명주셔서 감사합니다. 그리고,, 이상하게,, 현재는 인터넷이 잘 되고 있습니다. 사실 뭘 바꾼건 없는상태입니다만, 문제도 해결이 되었고,, 개념도 이해를 했습니다. 아무쪼록 감사합니다. 복 받으세요</t>
  </si>
  <si>
    <t>친절하시고 너무 꼼꼼히 봐주셔서 감사했습니다</t>
  </si>
  <si>
    <t>너무 친절하게 응대해주시고 설명해주셔서 너무 편했어요 ~</t>
  </si>
  <si>
    <t>신속하고 빠르게 안내 해주셔서 만족합니다 어떤 부분이 문제인지 순차적으로 테스트 하는 과정과 어떤 부분부터 체크해야 하는지 정확히 알려주셔서 빠른 해결이 가능했습니다 감사합니다</t>
  </si>
  <si>
    <t>정말 친절하게 제가 이해하기 쉽게 잘 설명해주시고 만족스러운 원격점검서비스였습니다.</t>
  </si>
  <si>
    <t>감사합니다. 친절하십니다. 모르는것도 잘 알려주시네요 ㅎㅎ</t>
  </si>
  <si>
    <t>친절하시고 자세히 설명해주셨습니다. 도움이 되었습니다. 감사합니다.</t>
  </si>
  <si>
    <t>친절하시고 꼼꼼하게 알려주셨습니다. 문제해결이 빠르게 되었어요. 이후에 또 문제가 될 경우를 대비해 예방방법도 알려주셔서 좋았습니다. 감사합니다.</t>
  </si>
  <si>
    <t>상담사분 말투 너무 친절하시고 지식도 많으셔서 해킹에 대해 걱정하고있었는데 잘 알려주셨습니다. 감사합니다!! 최고네요~~</t>
  </si>
  <si>
    <t>좋은 해결 감사합니다.</t>
  </si>
  <si>
    <t>빠르고 친절하게 조치해주셨습니다.</t>
  </si>
  <si>
    <t>진단후 추가적인 방법으로 안내해주었습니다.</t>
  </si>
  <si>
    <t>친절한서비스 감사합니다</t>
  </si>
  <si>
    <t>상세하게 잘안내해주셔서 문제잘해결했습니다~~</t>
  </si>
  <si>
    <t>친절하고좋은서비스받았습니다</t>
  </si>
  <si>
    <t>친절하세요</t>
  </si>
  <si>
    <t>너무 친절하게 점검해주시고 업뎃도 해주시고 완전 만족합니다~~~!</t>
  </si>
  <si>
    <t>친절하게 응대 해주셨어요.</t>
  </si>
  <si>
    <t>너무 친절하셨습니다. 감사합니다.</t>
  </si>
  <si>
    <t>궁금증해결했어요</t>
  </si>
  <si>
    <t>빠른 조치와 친절한 안내 감사합니다</t>
  </si>
  <si>
    <t>너무 친절하게 잘 가르쳐주셔서 감사합니다.</t>
  </si>
  <si>
    <t>친절하게 팁도 알려주시고 잘받았습니다.</t>
  </si>
  <si>
    <t>이해 하기 쉽게 설명을해주시면서 조치를 해주셔서 감사합니다</t>
  </si>
  <si>
    <t>덕분에 인터넷이 빨라졌습니다. 수고 하셨습니다</t>
  </si>
  <si>
    <t>신속하게 바로 처리 해주셔서 너무 감사합니다.</t>
  </si>
  <si>
    <t>장비 자체의 문제라서 원격으로 해결은 안됐지만 어떻게 해야 할지 방법을 친절하게 알려주셨습니다.</t>
  </si>
  <si>
    <t>빠르고 정확한 문제해결 감사합니다!</t>
  </si>
  <si>
    <t>친절하게 설명해주시고 잘 해결되어 감사합니다.</t>
  </si>
  <si>
    <t>정확하고 친절하게 원인 및 결과를 잘 설명해주시고 빠르게 문제를 해결 해 주셨습니다.</t>
  </si>
  <si>
    <t>다들 친절하시고 담당부서로 옮겨가면서도 불쾌한느낌이나 느리다는 느낌없이 쾌적한 상담이었습니다. 감사합니다.</t>
  </si>
  <si>
    <t>자세한 설명과 친절히 응대 감사합니다!</t>
  </si>
  <si>
    <t>친절하시고 설명을 쉽게 해주셔서 어렵지 않게 알아들을 수 있었습니다.</t>
  </si>
  <si>
    <t>상황 해결은 되지 않았지만 친절하게 설명 잘해주셨습니다.</t>
  </si>
  <si>
    <t>친절하게 설명해 주셔서 감사합니다^^</t>
  </si>
  <si>
    <t>친절하게 잘 해결해주셨습니다.</t>
  </si>
  <si>
    <t>확인 감사합니다.</t>
  </si>
  <si>
    <t>문제 해결을 위해 장시간 너무 친절하게 처리해 주셔서 정말 감사합니다.</t>
  </si>
  <si>
    <t>친절하고 신속하게 문제점을 찾아 해결해주셔서 감사합니다. 언제나 마음 편하게 이용할 수 있을 것 같습니다. 서비스 너무나 만족스러웠습니다. 항상 고생 많으십니다!</t>
    <phoneticPr fontId="1" type="noConversion"/>
  </si>
  <si>
    <t>친절하게 설명해주셔서 너무 감사하고, 덕분에 좋은 하루가 될 거 같은 네잎클로버 같은 상담 이었네요. 정말 엘지는 다른 타사에 비해 친절도가 확실한거 같습니다.</t>
    <phoneticPr fontId="1" type="noConversion"/>
  </si>
  <si>
    <t>혼자 해보려고 했는데 안되던 부분들을 바로 해결해주셔서 불편한점이 완벽하게 해결됐습니다. 상담도 친절하셨고, 정말 감사했습니다.</t>
    <phoneticPr fontId="1" type="noConversion"/>
  </si>
  <si>
    <t>친절합니다 ^^</t>
  </si>
  <si>
    <t>친절하고 상세하게 설명해주시면서 알려주셔서 매우만족입니다 ~~</t>
  </si>
  <si>
    <t>신속 친절 만족합니다</t>
  </si>
  <si>
    <t>빠르고 친절하게 해주셨어요! 역시 엘지!! 너무 감사합니다!</t>
  </si>
  <si>
    <t>기사님께서 정말 친절하십니다. 증상 잘 전달 받고 as기사님 부르는 것으로 완료 되었습니다. 감사합니다!</t>
  </si>
  <si>
    <t>친절하고 빠르며 설명을 잘 해주십니다.</t>
  </si>
  <si>
    <t>휴일에도 장시간 고생하시면서 짜증한번 안내셨습니다. 최고의 원격 직원님이셨습니다.</t>
  </si>
  <si>
    <t>항상 상담받지만 너무 친절하게 대해주셔서 감사해요. 만족합니다~~~!!</t>
  </si>
  <si>
    <t>친절한 점검 감사합니다.</t>
  </si>
  <si>
    <t>감사합니다최고입니다</t>
  </si>
  <si>
    <t>친절한 안내 매우 감사합니다.</t>
  </si>
  <si>
    <t>한심합니다. 실력도 말투도.</t>
  </si>
  <si>
    <t>빠르고 친절하고...정말 감사드립니다~</t>
  </si>
  <si>
    <t>되게 친철하고 좋았습니다.</t>
  </si>
  <si>
    <t>신속하고 친절하게 문제 해결해주셨습니다. 정말 감사합니다.</t>
  </si>
  <si>
    <t>해결해주셨어요</t>
  </si>
  <si>
    <t>굿~ 친절하십니다~ 굿~</t>
  </si>
  <si>
    <t>친절하게 속도 저하의 여러 요소들을 꼼꼼히 살펴봐주셨습니다.</t>
  </si>
  <si>
    <t>빠르게 잘 진단해 주심에 감사드립니다.</t>
  </si>
  <si>
    <t>빠르고 친절한응대로 문제해결에 도움 주셔서 감사합니다.</t>
  </si>
  <si>
    <t>친절하게 해주셔서 너무도감사합니다</t>
  </si>
  <si>
    <t>스마트원격진단으로 간편하고 빠르게 진단 받을 수 있어서 좋고요 그리고 통화하면서 진행하기 때문에 궁금한 점이나 불편한 추가 내용을 말할 수 있어서 최고입니다</t>
  </si>
  <si>
    <t>인터넷 끊김 관련 원격으로 확인 지원 받았습니다. 빠르게 확인 조치 해주셨어요.</t>
  </si>
  <si>
    <t>빠른업무처리 감사합니다.</t>
  </si>
  <si>
    <t>엄청 친절하시고 이해하기 쉽고 세세하게 알려주십니다. 기사님 방문 예약도 따로 잡아주시고 친절하신 기사님 덕분에 오늘 하루도 기분 좋게 마무리하게 되네요~~ 기사님도 항상 행복하세요~~</t>
  </si>
  <si>
    <t>친철하게 잘 처리해주셨습니다 최고에요~^^</t>
  </si>
  <si>
    <t>친절하게 설명해주셨습니다.</t>
  </si>
  <si>
    <t>친절하고 빠르고 목소리가 잘들리십니다.</t>
  </si>
  <si>
    <t>제데 상담해주신 김태훈 기사님 너무너무 친절하시고 정말 신속히 서비스해주셔서 절말 큰도움이 되엇습니다. 너무 칭찬해드리고싶고 신뢰가 쌓입니다 ^^ 감사합니다 ^^</t>
  </si>
  <si>
    <t>조치 잘됐다 하니 잘 이용 해볼게요^^</t>
  </si>
  <si>
    <t>친절하게 수리해주셔서 감사합니다.</t>
  </si>
  <si>
    <t>친절하게 잘 설명해 주셔서 이해했습니다.</t>
  </si>
  <si>
    <t>빠르고 신속한 처리 감사합니다.</t>
  </si>
  <si>
    <t>빠르고 정확히 진단해주셔서 많은 도움이 됐습니다</t>
  </si>
  <si>
    <t>친절하게 잘 설명해주심. 엘지는 윗대가리가 문제지 서비스하는 분들은 문제없음.</t>
  </si>
  <si>
    <t>빠른 처리 아주 만족합니다. 감사합니다.</t>
  </si>
  <si>
    <t>해결완료되었습니다 아주감사합니다.</t>
  </si>
  <si>
    <t>네 만족했습니다 자세히 설명해주시고 친절하게 상담 잘 받았습니다</t>
  </si>
  <si>
    <t>쉬운설명과 친절히 해결해주셔서 감사합니다</t>
  </si>
  <si>
    <t>친절하게 잘해주셨고 정확히 해결되었는지는 모르겠지만 오류 발견하셨고 조치 잘해주셨습니다</t>
  </si>
  <si>
    <t>충분히 알아듣게 설명해 주었습니다 만족한 서비스엿습니다</t>
  </si>
  <si>
    <t>자세히 상담해주셔서 만족합니다</t>
  </si>
  <si>
    <t>서비스 감사합니다.</t>
  </si>
  <si>
    <t>비교적 잘 처리 해 주었습니다. 감사합니다</t>
  </si>
  <si>
    <t>노트북에 와이파이 목록이 뜨지 않아서 불편함을 겪었는데, 문제 해결해주셔서 감사합니다.</t>
  </si>
  <si>
    <t>LG 최고~~ LG만 써요. 핸드폰부터 가전, 컴퓨터까지 모두 다 이번 원격진단도 엄청 좋았습니다. 역쉬 엘지 입니다. LG fighting ~</t>
  </si>
  <si>
    <t>빠른 처리 감사합니다.</t>
  </si>
  <si>
    <t>친절하고 하나하나 자세히 알려주셔서 감사합니다 !</t>
  </si>
  <si>
    <t>시원하게 문제 해결해 주셨내요. 감사합니다.</t>
  </si>
  <si>
    <t>친절하시고 설명을 알아들을수있게 잘해주셔서 만족스로운 서비스였습니다</t>
  </si>
  <si>
    <t>친절하게 잘 설명해주시고 안내해주셨습니다.</t>
  </si>
  <si>
    <t>명확하게 설명해주셔서 빠르게 원인이 파악되었습니다! 그리고 이런게 있는 줄 몰랐네요</t>
  </si>
  <si>
    <t>친절하고 원할한 상담에 감사함을 느꼈습니다. 단순한 문의였고, 여러 질문에도 상세히 설명해주셔서 감동했어요 정말 감사합니다.</t>
  </si>
  <si>
    <t>신기하고 잘 설명해주시면서 잘 고쳐주셨습니다</t>
  </si>
  <si>
    <t>친절하게 안내 해주셨습니다.</t>
  </si>
  <si>
    <t>친절하게 상담 잘 받았습니다 감사합니다</t>
  </si>
  <si>
    <t>이해하기 쉽게 설명을 잘 해 주셨고, 차후에 발생할 수 있는 상황까지 꼼꼼하게 확인 해 주셔서 감사합니다</t>
  </si>
  <si>
    <t>친절하게 설명잘해주셔서 감사합니다..</t>
  </si>
  <si>
    <t>이런 서비스가 있는 줄 몰랐네요. 너무 만족스러워요!</t>
  </si>
  <si>
    <t>친절한 응대가 인상적입니다. 문제도 잘 해결되었습니다. 감사합니다.</t>
  </si>
  <si>
    <t>친절하게 잘 알려주시고 문제가 어떤건지 정확하게 알려주시고 조치를 취해주셨습니다.</t>
  </si>
  <si>
    <t>전문적이며 친절했습니다.</t>
  </si>
  <si>
    <t>전화상담사 및 진단해주시는 기사님도 너무너무 친절하시고 일처리를 재빠르게 잘 해 주십니다. 마음같아선 아이스아메리카노 기프티콘을 보내드리고 싶습니다. 올해 10월이면 약정 기간이 끝나지만 이러한 분들이 계서서 재약정 해서 계속 lgu 플러스를 쓰겠습니다. skt같은 모지리 짓만 하지 않으셨으면 합니다. LGU+ 파이팅</t>
  </si>
  <si>
    <t>너무나도 친절하게 상담에 주시고 한결 마음이 좋아졌습니다.</t>
  </si>
  <si>
    <t>원격 서비스로 고민거리 해결하였느데 상담원이 너무 친절하고 잘 설명해서 큰 감명을 받았읍니다.복 받어세요.</t>
  </si>
  <si>
    <t>서비스 잘 받았습니다 친절하게 안내해 줬어요</t>
  </si>
  <si>
    <t>친절하게 서비스 해주셔서 감사합니다.</t>
  </si>
  <si>
    <t>수고하시고 감사합니다</t>
  </si>
  <si>
    <t>친절하고 정확한 설명 감사합니다. 덕분에 잘 해결되었습니다. 수고하세요.</t>
  </si>
  <si>
    <t>친절하시고 알기 쉽게 점검 사항과 진행 그리고 사후 조치까지 취해주셨습니다.</t>
  </si>
  <si>
    <t>빠른 응대 매우감사드립니다</t>
  </si>
  <si>
    <t>친절하시고 궁금한거 물어봤는데 답변도 잘 해주셨어요. 감사합니다</t>
  </si>
  <si>
    <t>친절하게 잘알려주셨습니다</t>
  </si>
  <si>
    <t>rt</t>
  </si>
  <si>
    <t>친절하게 점검받고 감사합니다.</t>
  </si>
  <si>
    <t>친철하게 대응해주셔서 감사합니다.</t>
  </si>
  <si>
    <t>매우친절하고 자세히 해주셨습니다. 감사합니다.</t>
  </si>
  <si>
    <t>아주 친절한 설명과 응대에 감사합니다.</t>
  </si>
  <si>
    <t>잘 모르는 부분을 친절히 알기 쉽게 설명을 잘해주셔서 좋았습니다</t>
  </si>
  <si>
    <t>빠르고 정확한 대응에 감사드립니다.</t>
  </si>
  <si>
    <t>친절하고 세세하게 잘 알려주셔서 너무 만족합니다</t>
  </si>
  <si>
    <t>친절하고 잘 알려주셔서 만족합니다</t>
  </si>
  <si>
    <t>엄청 친절하시고 안되는 부분을 잘 캐치하셔서 꼼꼼하게 여러번 봐주시고 해결해주셔서 너무 만족스럽습니다!</t>
    <phoneticPr fontId="1" type="noConversion"/>
  </si>
  <si>
    <t>엘지유플러스 인터넷을 이용 중인데 갑자기 노트북에서 와이파이가 연결되지 않아 당황스러운 상황이었습니다. 여러 번 시도해도 해결되지 않아 고객센터에 서비스 요청을 하게 되었고, 상담사분께서 매우 친절하고 침착하게 응대해주셨습니다. 복잡하게 느껴질 수 있는 기술적인 문제임에도 불구하고 이해하기 쉽게 설명해주시고, 단계별로 차근차근 안내해주셔서 신뢰가 갔습니다. 안내해주신 대로 따라하니 바로 와이파이 연결 문제가 해결되었고, 빠르고 정확한 대응에 깊이 감동했습니다. 고객 입장에서 최선을 다해주는 모습이 인상 깊었고, 앞으로도 엘지유플러스 서비스를 믿고 이용할 수 있을 것 같다는 확신이 들었습니다. 다시 한 번 감사드리며, 이런 훌륭한 서비스를 제공해주셔서 칭찬드리고 싶습니다.</t>
    <phoneticPr fontId="1" type="noConversion"/>
  </si>
  <si>
    <t>안녕하세요! 상담 받은 고객입니다. 원격 조치해주신 상담사님 부드러운 화법으로 진행하셨습니다. 작업관리자를 통한 메모리 보는법, 관리, 점검까지 해주셔서 빠르게 조치되었습니다. 그 이 후에 조치가 안되었을 가정도 생각하면서 고려해야한다는 말씀을 주셨는데 고객입장에서는 최고조치였습니다. 점심 맛있게 식사하시고 비타민같은 하루 되세요!</t>
    <phoneticPr fontId="1" type="noConversion"/>
  </si>
  <si>
    <t>설명 잘 해줘서 감사합니다. 대안도 잘 알려주셔서 한 번 다시 해볼께요</t>
  </si>
  <si>
    <t>너무 친절하시고 빠른 조치해주셔서 감사합니다.</t>
  </si>
  <si>
    <t>네..친절하고 상냥하게 잘 안내해주셨어요..감사합니다.</t>
  </si>
  <si>
    <t>인터넷 렉걸림과 끊킴 문제로 원격진단 받았고 완벽히 해결되었습니다. 친절한 상담 감사합니다!</t>
  </si>
  <si>
    <t>원격 진단 이해하기 쉽게 설명을 해주셔서 좋았습니다.</t>
  </si>
  <si>
    <t>상담사 분이랑 기사님 너무 실력도 좋고 친절해서 좋아요!!!</t>
  </si>
  <si>
    <t>5분도 안되서 해결해주시고 감사드립니다. 수고하세요</t>
  </si>
  <si>
    <t>감사합니다 친절한 설명도요</t>
  </si>
  <si>
    <t>너무 친절하고 빠르게 상담해주셨어요!! 너무 감사합니당!</t>
  </si>
  <si>
    <t>정말 친절하게 해결해 주셨어요</t>
  </si>
  <si>
    <t>원격진단해주셔서 고맙습니다.</t>
  </si>
  <si>
    <t>명료한 원인 분석과 깔끔하고 빠른 처리가 인상적이었습니다.</t>
  </si>
  <si>
    <t>신속한 원격지원 감사합니다. TV쪽 유투브 테스트하고 잘 사용 하겠습니다.</t>
  </si>
  <si>
    <t>빠르고 친절하게 알려주셨습니다. 궁금한 부분을 잘 설명해주셨어요</t>
  </si>
  <si>
    <t>신속 하고 친절하게 문제 해결 해주셨습니다!</t>
  </si>
  <si>
    <t>신속하고 빠르게 점검해주시고 문제의원인에 대해서도 친절하게 잘 설명잘해주셧습니다 아무 문제없이 만족하게 서비스 받은 느낌이네요 !</t>
  </si>
  <si>
    <t>정확하고 친절하게 잘 해주셧습니다 수고하세요~~</t>
  </si>
  <si>
    <t>해결 문제에 아주 도움이되었습니다 감사합니다</t>
  </si>
  <si>
    <t>정말 잘 가르쳐주시고 친절하십니다</t>
  </si>
  <si>
    <t>친절한 설명 감사드립니다.해결되었네요.굿입니다!!!!!!</t>
  </si>
  <si>
    <t>친절하게 원격 지원해주셔서 감사합니다.</t>
  </si>
  <si>
    <t>기사님이 친절하게 설명도 잘 해주시고 꼼꼼하게해주셨어요</t>
  </si>
  <si>
    <t>친절한 상담으로 문제 해결이 되었네요 부족한 부분에서도 분석도 해주시고 감사합니다</t>
  </si>
  <si>
    <t>매우 친절히 설명 잘들었습니다</t>
  </si>
  <si>
    <t>친절하고 빠른조치 감사합니다</t>
  </si>
  <si>
    <t>직원분들이 전체적으로 친절하고 해결을 도와주셔서 좋았습니다</t>
  </si>
  <si>
    <t>친절하게 설명 잘해주셨습니다</t>
  </si>
  <si>
    <t>감사합니다,원격잘받았습니다</t>
  </si>
  <si>
    <t>성심을 다해 살펴봐주시고 점검해주셔서 정말 감사합니다.. 좋은하루되세요.^^</t>
  </si>
  <si>
    <t>친절하시고 신속하십니다. 궁금한점 여쭤보니 자세히 설명해 주시네요 너무 감사드려요 최곱니다.</t>
  </si>
  <si>
    <t>최고 입니다.</t>
  </si>
  <si>
    <t>빠르고 친절하게 해결해주셨습니다 감사합니다.</t>
  </si>
  <si>
    <t>친절한 설명과 빠른 대처 감사합니다~~!!</t>
  </si>
  <si>
    <t>네 감사합니다.</t>
  </si>
  <si>
    <t>친절하세요^^</t>
  </si>
  <si>
    <t>VPN으로 동일사용자가 걸렸던건지..아니면 아이피가? 해킹당한건지.. 밤새면서 당황했는데 ㅠㅠ 친절하시고 너무 스마트하시게 완전 빠르게 해결해주셨어요 감사합니다!</t>
  </si>
  <si>
    <t>Thanks a lot 장재훈 상담사 선생님. 최고에요</t>
  </si>
  <si>
    <t>문제점 확인후 바로 처리 해주셨습니다.</t>
  </si>
  <si>
    <t>신기하고 엘지 서비스 최고입니다. 너무 너무 감사합니다. 복 많이 받으세요.^^</t>
  </si>
  <si>
    <t>친절하고 안내가 빠릅니다</t>
  </si>
  <si>
    <t>너무 친절하셨습니다 ! 문제 해결완료 ! 감사합니다</t>
  </si>
  <si>
    <t>친절에 감사드립니다.</t>
  </si>
  <si>
    <t>정말 좋았습니다. 편하고 빠르게 서비스를 받았습니다.</t>
  </si>
  <si>
    <t>주변기기 사용에 미숙해서 상담하는 내내 많이 답답하셨을것 같은데도 끝까지 친절하게 응대해주셔서 너무 감사드립니다 감사합니다.</t>
  </si>
  <si>
    <t>친절하셨습니당</t>
  </si>
  <si>
    <t>친절해요~ 감사합니다.</t>
  </si>
  <si>
    <t>친절하게 잘 해주셨습니다. 감사합니다~</t>
  </si>
  <si>
    <t>해결</t>
  </si>
  <si>
    <t>최고에요</t>
  </si>
  <si>
    <t>해결은 안 됐지만 깔끔하고 빠르게 진행해주셨습니다.</t>
  </si>
  <si>
    <t>신속한 처리 감사합니다</t>
  </si>
  <si>
    <t>친절하고 쉽게 설명해주시고, 빠르게 문제해결 해주셔서 너무 감사합니다.</t>
  </si>
  <si>
    <t>편하고 빠르고 설명도 알아듣기 쉬웠습니다 정말 좋은 서비스인것같습니다</t>
  </si>
  <si>
    <t>친절한 서비스 감사합니다</t>
  </si>
  <si>
    <t>상담사분이 기기 및 소프트웨어에 대한 지식이 너무나 훌륭</t>
  </si>
  <si>
    <t>서비스기사님이 친절하고 자세하게 알려주셔서 바로 해결되었습니다. 감사합니다^^</t>
  </si>
  <si>
    <t>친절히 잘 응대 해주셔서 기분좋게 받았습니다 감사합니다</t>
  </si>
  <si>
    <t>친절하게 상담해주시고 일처리도 완벽히 잘 해주었습니다.</t>
  </si>
  <si>
    <t>친절한서비스 굿굿</t>
  </si>
  <si>
    <t>녜 수고 많으셨습니다.</t>
  </si>
  <si>
    <t>친절히 안내해 주셔서 많은 도움이 되었습니다. 감사합니다.</t>
  </si>
  <si>
    <t>정말 친절하고 정확한 문제해결 능력이 있습니다. 부서간에 협조도 잘 되고 의사소통도 원활한 것 같습니다. 최치원 사원님의 실력을 높이 평가합니다. U+ 사장님이 잘 지도해 주신 것 가같습니다. 감사합니다.</t>
    <phoneticPr fontId="1" type="noConversion"/>
  </si>
  <si>
    <t>현장방문드려서 선로점검 및 댁내 장비교체후에도 끊김증상있다하셔서 유선 CEM상으로도 문제 없어보이고 어떻게 조치해드려야할지 난감한 상황에서 원격진단을 통해 점검받고 혹시 동일 증상발생시라도 원격진단 요청을 통해 난해할수 있는 PC쪽 문제도 점검해볼수 있어서 큰 도움이 됩니다.</t>
    <phoneticPr fontId="1" type="noConversion"/>
  </si>
  <si>
    <t>너무 친절하시고, 컴퓨터 잘 모르는데 설명을 잘하셔서 이해가 잘 되었어요.!! 너무 감사합니다!</t>
    <phoneticPr fontId="1" type="noConversion"/>
  </si>
  <si>
    <t>친절하고 빠르게 해결해주시고 이해하기 쉽게 설명해주셔서 감사합니다. 많은 고객들을 만나시고 힘드실텐데 친절하고 빠르게 응대해주셔서 정말 감사해요!</t>
    <phoneticPr fontId="1" type="noConversion"/>
  </si>
  <si>
    <t>친절하게 잘 대처해줌</t>
  </si>
  <si>
    <t>굉장히 편리합니다. 컴퓨터나 인터넷에 미숙한 사람들도 편히 이용할 수 있게 좋은 서비스를 만들어 두셨군요,</t>
  </si>
  <si>
    <t>빠르게 잘대처해주시고 친절하게 잘 설명해주셨고 비슷한 문의사항도 먼저 알려주셔서 너무감사합니다.</t>
  </si>
  <si>
    <t>빠른시간내 잘처리되어 만족합니다.</t>
  </si>
  <si>
    <t>신속한 해결 감사합니다</t>
  </si>
  <si>
    <t>친절하게 질문에 알기 쉽게 설명과 대답해 주셔서 감사합니다. perfect</t>
  </si>
  <si>
    <t>빠르고 친절한 서비스에 감동이에요~!</t>
  </si>
  <si>
    <t>친절하게 설명해주셔서 좋았습니다.</t>
  </si>
  <si>
    <t>자세한 설명도 해주시고 해당 건 뿐만아니라 전반적인 점검까지 같이 요청드렸는데 흔쾌히 진행해주셨습니다. 감사합니다.</t>
  </si>
  <si>
    <t>원격 기사님이 착하시고 설명을 잘 해주십니다</t>
  </si>
  <si>
    <t>현 시점에서 문제점을 찾을 수 없고 기사님이 직접 방문을 해야 하는 부분이였지만 이 과정에서 원격으로 진행 해주신 기사님이 친절하셨습니다.</t>
  </si>
  <si>
    <t>친절하게 잘 진단해주셨습니다</t>
  </si>
  <si>
    <t>친절하고 목소리가 밝으시다.</t>
  </si>
  <si>
    <t>친절한 설명 감사합니다. 다른곳과 다르게 사용자 문제라고 치부하지 않고 문제점 찾아주셔서 감사해요.</t>
  </si>
  <si>
    <t>덕분에 신속하고 정확하게 해결이 되었습니다. 정말 감사합니다!</t>
  </si>
  <si>
    <t>친절 신속 정확하십니다 감사합니다.</t>
  </si>
  <si>
    <t>빠른 지원 감사드립니다.</t>
  </si>
  <si>
    <t>설명도잘해주셔서 감사합니다</t>
  </si>
  <si>
    <t>친절하고 명확한 설명감사합니다</t>
  </si>
  <si>
    <t>이해하기 쉽게 설명해주시고 추후 대응 절차까지 친절하게 설명해주셔서 아주 만족 스러웠습니다.</t>
  </si>
  <si>
    <t>궁금한 부분 정말 친절하게 잘 안내해주셨습니다. 빠른 처리도 감사합니다.</t>
  </si>
  <si>
    <t>아주 친절하고 자세히 설명 잘 해주셨습니다~^^</t>
  </si>
  <si>
    <t>친절하게 상담해주시고 해결해주셔서 감사합니다.</t>
  </si>
  <si>
    <t>굉장히 친절하고 잘해주셔서 만족스럽습니다. :)</t>
  </si>
  <si>
    <t>친절히 조치 잘 받았습니다.감사합니다</t>
  </si>
  <si>
    <t>수고해 주신 엔지니어님 감사합니다</t>
  </si>
  <si>
    <t>기술지원팀의 안정님께서 처음부터 끝까지 설명을 너무 쉽게 잘해주시고 포트포워딩,dmz 설정 등 번거로운 설정까지 전부 친절하게 도와주셔서 너무 감사드립니다.</t>
  </si>
  <si>
    <t>온라인 응대및 서비스 점검 사항 모두 만족 합니다. 수고 하셨습니다</t>
  </si>
  <si>
    <t>로그만 말 그대로 진단만 하는거라서 평가할게 있나 싶습니다.</t>
  </si>
  <si>
    <t>두말할필요없이 하고픈얘기를 미리 알고계시는듯 아주 스마트하게 상담과해결 해주셨어여! best of the best!!!!</t>
  </si>
  <si>
    <t>친절하고 상세하게 궁금한 부분과 문제들을 해결해 주셨습니다. 정말 감사드립니다!</t>
  </si>
  <si>
    <t>원격조정 및 인터넷 속도 저하로 혹시나 하고 전화했는데 진즉할 걸하는 생각이 드네요 카톡이 느려서 불편했는데 잘 되것죠... 감사합니다. 생각보다 다양한 서비스가 있군요...감사합니다.</t>
  </si>
  <si>
    <t>여러가지로 점검하고 친절하게 대응하여 주셔서 감사합니다.</t>
  </si>
  <si>
    <t>알아봐주셔서 감사합니다.</t>
  </si>
  <si>
    <t>친절하고 좋네요 잘고쳐주셔서 감사합니다</t>
  </si>
  <si>
    <t>친절하게 점검 해주십니다</t>
  </si>
  <si>
    <t>친절하게 상담 해주십니다</t>
  </si>
  <si>
    <t>친절하게 잘 응대해주셨어요 기분좋게 하루 시작합니다 감사합니다</t>
  </si>
  <si>
    <t>신속하게 문제 해결에 도움 주셔서 감사합니다.</t>
  </si>
  <si>
    <t>친절함 상담 및 처리 감사드립니다</t>
  </si>
  <si>
    <t>PC확인이 필요해 해결은 되지 않았으나, 친절한 상담 감사드립니다.</t>
  </si>
  <si>
    <t>간단 명료하고 빠르게 해결되어 최고 만족합니다. 수고많으셨습니다.</t>
  </si>
  <si>
    <t>아주 최고입니다. 문제해결완벽하게 처리해서 다행입니다. 상담사님의 전문적인 처리에 감동받았습니다 굳굳 칭찬드립니다.</t>
  </si>
  <si>
    <t>어려운 용어도 쉽게 풀어서 설명해주시고 그림판에 그림까지 그려주시면서 설명해주셔서 잘 이해했어요 감사합니다!</t>
  </si>
  <si>
    <t>너무 친절하게 잘 상담해주셔서 마음 편히 상담 받아볼 수 있었습니다. 헷갈리는 부분 없게, 메모장에 메모 또한 같이 남겨주셔서 감사합니다.</t>
  </si>
  <si>
    <t>불편했던 사항을 쉽게 해결해 주셔서 감사합니다 귀 사의 무궁한 발전을 기원합니다</t>
    <phoneticPr fontId="1" type="noConversion"/>
  </si>
  <si>
    <t>LG U+ 친절하게 불편하지않게 처리해주셔서 진심으로 감사드립니다 언제나 세상이 친절하게 서로가 이해하면서 살았으면 좋겠습니다 한번더 감사드립니다</t>
    <phoneticPr fontId="1" type="noConversion"/>
  </si>
  <si>
    <t>컴퓨터 운용과 보안 관련 점검에 참여해주신 담당자의 수고에 깊은 감사를 드립니다. 컴퓨터 속도와 보안에 대한 꼼꼼한 체크와 확인으로 서비스해주셔 제기된 문제가 잘 해결된 것같아 고맙게 생각합니다. 무엇보다 점심시간에도 불구하고 끝까지 살펴주셔서 그 성의에 또한 대단히 고맙게 생각합니다! LG의 지속적인 발전과 성장을 고대하며 꾸준히 LG와 함께하고자 합니다. 최고입니다. 고맙습니다!O</t>
    <phoneticPr fontId="1" type="noConversion"/>
  </si>
  <si>
    <t>빠른 상담 및 조치 감사합니다.</t>
  </si>
  <si>
    <t>lg유플러스 상담사분이 넘 친절하구요 원격 하시는 분도 넘 친절 하시네요 점검 잘 받았구요 잘 활용해서 잘 쓰도록 하겠습니다 감사합니다</t>
  </si>
  <si>
    <t>매우 친절하고 성실한 답변을 주셔서 너무 만족했습니다. 감사합니다.</t>
  </si>
  <si>
    <t>친절한 상담 감사합니다. 추후에 또 의문점 생기면 신청하겠습니다.</t>
  </si>
  <si>
    <t>전문성이 있으시며 친절히 설명해주시고 이해시켜 주셨음</t>
  </si>
  <si>
    <t>문제점 전달할 때 잘 들어주시고 친절한 설명과 A/S에 대해 감사합니다!</t>
  </si>
  <si>
    <t>친절하고 신속함</t>
  </si>
  <si>
    <t>정확한설명과신속한처리에감사드립니다</t>
  </si>
  <si>
    <t>너무 친절하고 잘 알려주시네요</t>
  </si>
  <si>
    <t>친절한 상담 원격 최고입니다..감사합니다</t>
  </si>
  <si>
    <t>친절한 업무진행과 안내 감사합니다</t>
  </si>
  <si>
    <t>친절하게 설명도 잘해주시고 금방 이해했습니다! 감사합니다</t>
  </si>
  <si>
    <t>친절히 상담해주셨습니다</t>
  </si>
  <si>
    <t>오랜시간이 걸라는데도 정말 친절하게 해결해주셔서 감사합니다.</t>
  </si>
  <si>
    <t>정말 친절하시고 문제 빠르게 해결해주셨습니다. 감사합니다. ^3^ ~</t>
  </si>
  <si>
    <t>친절하고 좋습니다</t>
  </si>
  <si>
    <t>문제점을 파악 후 알아 듣기 쉽게 친절히 잘 설명해 주셔서 감사합니다.</t>
  </si>
  <si>
    <t>길지 않은 대기시간을 통해 서비스받아서 상당히 만족합니다</t>
  </si>
  <si>
    <t>수고하셨습니다 감사합니다</t>
  </si>
  <si>
    <t>친절하고 빠르게 해결해주셨습니다</t>
  </si>
  <si>
    <t>친절한 설명 감사드립니다. 잘해결되었습니다.</t>
  </si>
  <si>
    <t>정말 친절하고 정확하게 점검해주시고 안내해주셨습니다. 감사합니다.</t>
  </si>
  <si>
    <t>자세한 설명에 감사 드립니다.</t>
  </si>
  <si>
    <t>친절하고 자세한 서비스 감사합니다</t>
  </si>
  <si>
    <t>친절하고 빠르게 처리 해주셨습니다 감사합니다</t>
  </si>
  <si>
    <t>친절합니다.</t>
  </si>
  <si>
    <t>원격하면서 설명도 상세히 해주셔서 좋았습니다</t>
  </si>
  <si>
    <t>친절하시구 궁금한 부분에 대해 질문시 이해가 쉽도록 답변해주십니다</t>
  </si>
  <si>
    <t>자세하게 설명 잘 해주셔서 궁금한점 해결되었습니다. 감사합니다.</t>
  </si>
  <si>
    <t>감사합니다~</t>
  </si>
  <si>
    <t>아주 친절하셨습니다</t>
  </si>
  <si>
    <t>친절한 대응이 인상적이었습니다 설명도 충분했고 서비스에 만족합니다</t>
  </si>
  <si>
    <t>친절하게 꼼꼼히 잘 설명해주셨어요!</t>
  </si>
  <si>
    <t>담당자분께서 너무 친절하게 원격 진단을 해주셨습니다. 해결책도 알려주시고 해당 문제가 지속적인 경우에도 해결책을 알려주셔서 매우 감사했습니다!</t>
  </si>
  <si>
    <t>친절하게 잘응대해 주셔서 감사드립니다 목소리도 차분하게 잘 해주셔서 편안하게 상담받았어요</t>
  </si>
  <si>
    <t>너무 친절하게 잘 파악해서 설명도 잘 해 주셨습니다. 감사합니다.</t>
  </si>
  <si>
    <t>친절하게 잘 설명해주셨어요! 감사합니다!</t>
  </si>
  <si>
    <t>담당자님께서 신속하고 친절하게 응대해주시고 조치해주셔서 무척 고맙습니다. 감사합니다. 수고하세요.</t>
  </si>
  <si>
    <t>친절하게 상담해주시고 문제를 해결해주셨어요</t>
  </si>
  <si>
    <t>친절하십니다.</t>
  </si>
  <si>
    <t>아직 해결은 안됬지만 확실히 친절하십니다. 장비 문제 가능성이 높아서 어쩔수없네요.</t>
  </si>
  <si>
    <t>너무 친절하고 잘해주시고 빠르게 해결해주셨어요</t>
  </si>
  <si>
    <t>친절하고 신속하고 정확하게 진단해주셨습니다. 감사합니다.</t>
  </si>
  <si>
    <t>상담을ㅈ잘해주셔세감사합니다</t>
  </si>
  <si>
    <t>성실한 서비스 감사합니다</t>
  </si>
  <si>
    <t>친절한 상담, 빠른해결 감사합니다.</t>
  </si>
  <si>
    <t>정말 친절하시고 빠르세요</t>
  </si>
  <si>
    <t>빠르고 친절해요</t>
  </si>
  <si>
    <t>수고요 알려주셔서 감사</t>
  </si>
  <si>
    <t>친절하시고 빠르게 처리해 주셨네요 설명도 잘 해주셨어요</t>
  </si>
  <si>
    <t>유해차단 사이트 비밀번호 초기화 문제로 문의드렸는데, 단순한 초기화 문제가 아니라 서비스 자체의 이슈였던 걸 친절하게 설명해주셨어요. 복잡할 수 있는 내용도 이해하기 쉽게 안내해주시고, 관련해서 유용한 정보도 함께 알려주셔서 정말 도움이 많이 됐습니다. 응대도 빠르고 친절해서 만족스러웠어요!</t>
    <phoneticPr fontId="1" type="noConversion"/>
  </si>
  <si>
    <t>로그를 읽어보며 해당 사항이 진짜로 발생하였는지 여부를 확인하여 주시고, 어느 문제점 때문인지 바로 확인하여 대응을 해주셔서 매우 이해도 편하고 빠르게 서비스 받았습니다.</t>
    <phoneticPr fontId="1" type="noConversion"/>
  </si>
  <si>
    <t>김성길 기사님 맞으신지.... 자꾸만 인터넷이 끊겨서 전화드렸는데요 , 늦은시간에도 불구하고 하나하나 노트북에서 속도가 나오지 않는 이유에 대해알려주시고 또 휴대폰에으로도 속도가 확인까지 해주시면 이해를 해주시고 다시한번 재차 불편한 부분에대해서 처리해주시면서 다시 속도체크도 하고 와이파이 문제도 확인해주시고 또 속도향상을 위해 필요한 부분을 추천해주셔서 너무 감사합니다 . 전문적인 내용이라 전부다 백프로 이해하긴 어려웠지만 가급적 이해하기쉽게 차근차근 알려주시면서 지금까지 만난 서비스통화중 가장만족스러웠어요 서비스 점검끝으로 불편할수있는 부분까지 체크해주셔서 감동먹었습니다. 금요일 늦은시간에 일하는것 만으로도 짜증날텐데 싫은기색하나 없이 친절한 음성으로 말씀해주셔서 남편과 저모두 기분좋은 통화를 했습니다 ^^ 유플러스에 다시한번 좋은 인상을 받게해주셔서 감사합니다,.</t>
    <phoneticPr fontId="1" type="noConversion"/>
  </si>
  <si>
    <t>빠른 처리와 친절하게 상담해주셔서 좋았어요</t>
  </si>
  <si>
    <t>이해하기 좋게 설면 잘해주시네요.ㅎ</t>
  </si>
  <si>
    <t>빠른 점검 및 늦은 시간에도 불구하고 친절한 안내 감사합니다</t>
  </si>
  <si>
    <t>친절 하시고 감사합니다</t>
  </si>
  <si>
    <t>해결을 엄청 빠르게 해주십니다 감사합니다</t>
  </si>
  <si>
    <t>원하는 서비스 친절한 설명과 함께 잘 받았습니다.</t>
  </si>
  <si>
    <t>설명 너무 친절하게 잘해주셔서 이해가 쏙쏙 되었습니다. 질문이 많았는데... 정말 하나하나 답변 잘해주시고 궁금증이 시원하게 해결되었습니다. 친절하고 깔끔하게 설명해주셔서 너무너무 감사합니다. 좋은 하루 보내세요</t>
  </si>
  <si>
    <t>빠르고 꼼꼼하게 잘해주셨음...혹시나 원격진단 재가동 되진 않죠? 자동삭제된다던데 믿으도 되겠죠?</t>
  </si>
  <si>
    <t>친절하게 말씀해주셔서 감사합니다</t>
  </si>
  <si>
    <t>친절하게 안내 잘 받았습니다.</t>
  </si>
  <si>
    <t>완벽히 해결되었는지는 여러 방법을 찿아보고 판단을 하겠지만, 친절하고 자세한 설명에 만족합니다.</t>
  </si>
  <si>
    <t>스마트원격진단 친절하게 잘 해주셔서 감사합니다.</t>
  </si>
  <si>
    <t>일단 불필요한 업그레이드를 막아주신 부분에 높이 평가합니다 자잘한 불편 부분을 개선해주시려 노력하셨고 사용을 더 해봐야 알겠지만 너무 친절하고 편리하고 만족스럽습니다</t>
  </si>
  <si>
    <t>성의껏 상세하게 설명해주셔서 너무 감사합니다</t>
  </si>
  <si>
    <t>수고하셨습니다. 감사합니다.</t>
  </si>
  <si>
    <t>친절하고 상세한 점검 감사합니다.</t>
  </si>
  <si>
    <t>친절하게 설명도 잘 해주시고, 처리도 빠르게 잘 해주셨습니다. 서비스를 받고 원활한 이용이 되기를 간절히 바라는 마음으로 친절한 상담 감사드립니다.</t>
  </si>
  <si>
    <t>매우 친절하시고 서비스가 좋았습니다.</t>
  </si>
  <si>
    <t>친절하게 잘 진행해 주셔서 이해 할수 있었습니다. 감사합니다.</t>
  </si>
  <si>
    <t>친절하게 설명해주시고 점검 감사합니다</t>
  </si>
  <si>
    <t>원격으로 친절히 봐주셔서 좋았습니다 저는 노트북 사용중이고 컴퓨터는 남편이 사용중이라 아무것도 모르는데 그럼에도 불구하고 친절히 잘 봐주셔서 좋았습니다!!</t>
  </si>
  <si>
    <t>친절하게 상담해주셔서 감사합니다.</t>
  </si>
  <si>
    <t>간단하게 설명 잘 해주셔서 이해에 많이 도움되었습니다</t>
  </si>
  <si>
    <t>친절한상담고맙습니다</t>
  </si>
  <si>
    <t>빠르고 친절한 서비스 감사드립니다~~</t>
  </si>
  <si>
    <t>편리하고 좋습니다. 감사합니다.^^</t>
  </si>
  <si>
    <t>친절한 말투와 정확한 발음으로 하나하나 잘 설명해주시면서 잘 조치해주셨고 조치 후에는 어떤 원인 때문에 문제가 생겼는지 까지 설명해주셔서 이해가 잘 되어서 추후 동일한 문제 발생 시 혼자 대처할 수 있을 정도로 잘 설명해주셨습니다 감사합니다</t>
  </si>
  <si>
    <t>친절하게 도움주셨습니다. 감사합니다.</t>
  </si>
  <si>
    <t>친절하게 잘 처리해주셔서 감사합니다.</t>
  </si>
  <si>
    <t>처리할 업무가 있어서 시간이 촉박했는데 빠른처리 해주셔서 감사합니다! 수고하셨습니다^^</t>
  </si>
  <si>
    <t>자세한 설명 감사했어요~</t>
  </si>
  <si>
    <t>기사님자세하게안네 해주셨 감사합니다</t>
  </si>
  <si>
    <t>빠르고 친절하게 설명 잘 해주십니다</t>
  </si>
  <si>
    <t>친절하시고 신속하게 문제 해결 해주셨습니다 감사합니다</t>
  </si>
  <si>
    <t>완전 친절 잘 알아봐주심 감사합니당</t>
  </si>
  <si>
    <t>어떤 문제가 있을수 있는지 이해하기 쉽게 설명을 잘해 주셔서 대단히 만족합니다</t>
  </si>
  <si>
    <t>너무 친절하시고 문제 해결을 위해 힘 써주셔서 감사합니다!!</t>
  </si>
  <si>
    <t>정말 친절하게 잘받았습니다</t>
  </si>
  <si>
    <t>서비스 만족합니다.</t>
  </si>
  <si>
    <t>친절하시구 좋아용</t>
  </si>
  <si>
    <t>친절하시고 설명도 잘해주시내요 감사합니다</t>
  </si>
  <si>
    <t>매우 친절하게 상담해 주셨습니다. 감사합니다.</t>
  </si>
  <si>
    <t>친절한 안내로몰랐던부분을알게됐어요 하루에 제한 있는거 몰랐는데 알고쓰게되니 편하네요</t>
  </si>
  <si>
    <t>며칠동안 답답했는데 너무나 친절히 답해주시고 해결해 주셔서 너무나 감사합니다.</t>
  </si>
  <si>
    <t>시간이 오래걸려도 친절하게 잘 해주셔서 감사합니다.</t>
  </si>
  <si>
    <t>친절한 상담 감사드립니다</t>
  </si>
  <si>
    <t>친절하게 설명 해주셔서 감사합니다 ~~!</t>
  </si>
  <si>
    <t>서비스 잘받고 만족도 200% 입니다 감사합니다</t>
  </si>
  <si>
    <t>친절한 상담 너무 감사드립니다. 최고예요</t>
  </si>
  <si>
    <t>친절히 잘해주셔서 감사합니다.</t>
  </si>
  <si>
    <t>서비스 아주 만족 했습니다</t>
  </si>
  <si>
    <t>친절하고 빨리 해주셨어요</t>
  </si>
  <si>
    <t>아주 깔끔하고 제가 드리는 질문에 막힘없이 말씀주시는게 확실히 전문가 셨습니다.</t>
    <phoneticPr fontId="1" type="noConversion"/>
  </si>
  <si>
    <t>빠른 조치 친절한 상담 감사합니다. LG 서비스부분은 이용에 불편이 생겨도 타 사와 다르게 화가 나거나 짜증이 나지 않고 신속 하게 처리해줘서 만족함</t>
    <phoneticPr fontId="1" type="noConversion"/>
  </si>
  <si>
    <t>어떻게 보면 검색하면 할 수 있다고 생각할 수 있는거라..망설였는데.. 여러 질문에도 너무 친절하게 답변해주시고, 문제를 해결해 주셔서 감사드립니다.</t>
    <phoneticPr fontId="1" type="noConversion"/>
  </si>
  <si>
    <t>빠른 진단과 해결 감사합니다.</t>
  </si>
  <si>
    <t>원격진단 상담원의 친절한 상담과 안내 정말 좋았어요. U+ 고객센터에서는 문제가 발생한 부분과 해결책에 대해서 좀 더 교육을 받았으면 하네요.</t>
  </si>
  <si>
    <t>네 안전하게 점검 해주셔서 만족했습니다.</t>
  </si>
  <si>
    <t>늦은 시간에도 점검해주시고 빠르게 처리 가능한게 편하고 좋습니다</t>
  </si>
  <si>
    <t>너무 빠르고 친절하게 응대 해결해주셔서 너무너무 감사합니다. 다음에 똑같은 문제가 생기거나 다른문제가 생기면 다른거 볼 꺼 없이 바로 연락드리겠습니다. 너무 감사합니다.</t>
  </si>
  <si>
    <t>친절하고 빠른 상담 해주셨습니다. 감사합니다.</t>
  </si>
  <si>
    <t>친절하게 잘해줬습니다.</t>
  </si>
  <si>
    <t>궁금한 내용을 자세히 친절하게 알려주셨습니다. 감사합니다!</t>
  </si>
  <si>
    <t>빠르게 지원해주셔서 감사합니다.</t>
  </si>
  <si>
    <t>친절한 점검 및 설명 감사합니다.</t>
  </si>
  <si>
    <t>친절한 가이드 감사합니다.</t>
  </si>
  <si>
    <t>궁금증도 해결하고 친절히 상담 잘 받았습니다 감사합니다~~</t>
  </si>
  <si>
    <t>lg유플러스 덕분에 프린터가잘되서 기분이 좋아졌습니다. 앞으로도 친절하고 질좋은 서비스 부탁합니다. 감사합니다.</t>
  </si>
  <si>
    <t>모두 잘 해결되었습니다!</t>
  </si>
  <si>
    <t>너무 친절하시고 자세한 설명 감사드립니다!</t>
  </si>
  <si>
    <t>친절하시고 자세히봐주십니다 감사합니다</t>
  </si>
  <si>
    <t>긴 시간동안 최대한 친절하게 설명해주셨습니다.</t>
  </si>
  <si>
    <t>서비스 너무 잘 해주셔서 감사합니다.</t>
  </si>
  <si>
    <t>친절한 설명과 함께 문제를 완벽하게 해결해주셔서 감사드립니다.</t>
  </si>
  <si>
    <t>만족합니다.수고하셨습니다.</t>
  </si>
  <si>
    <t>빠른 상담 감사합니다.</t>
  </si>
  <si>
    <t>너무친절하게 잘처리해주셔서 감동 받았습니다</t>
  </si>
  <si>
    <t>자세히 친절하게 잘 설명해주셨습니다</t>
  </si>
  <si>
    <t>친절히 잘 설명해주셨습니다.</t>
  </si>
  <si>
    <t>친절히 잘봐주셨어요 감사합니다</t>
  </si>
  <si>
    <t>여러가지 조언들 감사드립니다!!</t>
  </si>
  <si>
    <t>친절하게 원격 상담 해주셨습니다 매우 만족합니다</t>
  </si>
  <si>
    <t>완전만족 대만족 서비스가 굿 ^^</t>
  </si>
  <si>
    <t>생각했던 것보다 만족도가 높은 원격진단이었습니다.</t>
  </si>
  <si>
    <t>처음 받아 봤는데 무슨 문제인지 잘 알려주시네요</t>
  </si>
  <si>
    <t>자세히 설명해주시고 너무 친절하시네요 감사합니다</t>
  </si>
  <si>
    <t>dd</t>
  </si>
  <si>
    <t>친절하시고 정확하세요</t>
  </si>
  <si>
    <t>친절한상담 감사합니다</t>
  </si>
  <si>
    <t>친절한 상담과 빠른처리를 해주셔서 너무 좋으네요 감사합니다.</t>
  </si>
  <si>
    <t>친절하고 상냥하게 설명 잘해주셔서 넘 고맙습니다.</t>
  </si>
  <si>
    <t>친절하게 잘 설명해주셔서 바로 이해 할수 있었네요 감사합니다</t>
  </si>
  <si>
    <t>일처리를 빠르게 해주시고 후에 문제가 다시 생길 시 에 대처방법도 알려주셨습니다.</t>
  </si>
  <si>
    <t>친절하였고, 문제점은 잘 파악하여 만족합니다.</t>
  </si>
  <si>
    <t>1차? 2차? 두분다 너무 친절하시고 궁금한걸 차근히 그리고 상세히 알려 주셔서 답답하지 않고 발 상담을 받은거 같아요</t>
  </si>
  <si>
    <t>너무 친절하게 설명해주셔서 감사합니다 ^^</t>
  </si>
  <si>
    <t>바로 처리해 주셔서 편리했습니다. 수고하세요</t>
  </si>
  <si>
    <t>서비스 속도, 친절도 만족스럽습니다.</t>
  </si>
  <si>
    <t>친절하고 상세하게 잘 안내해주셔서 감사합니다~</t>
  </si>
  <si>
    <t>인터넷이 자주 끈켜 힘드셨을텐데도 친절하게 자세히 잘 알려주셔서 감사합니다.^^</t>
  </si>
  <si>
    <t>정말 수고 하셨읍니다</t>
  </si>
  <si>
    <t>진짜 친절 하시고 상담 잘받었습니다. 대단히 감사드립니다.</t>
  </si>
  <si>
    <t>열심히 문제 해결을 위해 상담 해주셨습니다.</t>
  </si>
  <si>
    <t>친절하게 잘 설명해주셔서 좋았습니다</t>
  </si>
  <si>
    <t>여러가지 문의를 드렸는데 친절하게 잘 상담 해주셨습니다.</t>
  </si>
  <si>
    <t>매우 친절하게 알려주셨습니다. 감사합니다.</t>
  </si>
  <si>
    <t>친절하게 천천히 설명해 주셔서 감사합니다. 덕분에 수월하게 해결되었습니다.</t>
  </si>
  <si>
    <t>친절하게 설명해 주셔서 감사 합니다</t>
  </si>
  <si>
    <t>LG U+ 스마트원격진단 원격점검센터 기사님께 깊이 감사드립니다. 문제를 신속하게 해결해주셨을 뿐만 아니라, 저의 사용 환경에 맞는 인터넷 설정까지 꼼꼼하게 안내해주셔서 정말 도움이 많이 되었습니다. 차분하고 친절하게 설명해주신 덕분에 이해도 쉬웠고, 작은 질문에도 성의 있게 답변해주셔서 마음이 편안했습니다. 앞으로도 이런 따뜻하고 세심한 서비스를 계속 이용하고 싶습니다. 고맙습니다.</t>
    <phoneticPr fontId="1" type="noConversion"/>
  </si>
  <si>
    <t>제가 원하는 바를 정확하게 이해하시고 추후 사용방법까지 메모장에 직접 메모해가며 자세히 설명해주셔서 정말 유용했습니다. 감사합니다.</t>
    <phoneticPr fontId="1" type="noConversion"/>
  </si>
  <si>
    <t>너무너무 친절하시고 잘알아듣게설명해주시고 너무감사합니다 서비스업종 직원 이 다이분같으면 좋겠읍니다 친절한상담 감사합니다</t>
    <phoneticPr fontId="1" type="noConversion"/>
  </si>
  <si>
    <t>친절한 설명 감사합니다. 원격지원 잘 받아서 잘 되는것 같습니다.</t>
  </si>
  <si>
    <t>갑자기 특정 웹사이트 접속이 안되서 모든 해결 방법을 동원해도 해결하지 못하고 있었는데 기사님께서 너무 친절하게 잘 해결해주셔서 덕분에 스트레스 받지 않고 빠르게 해결되어서 너무 기분 좋습니다! ㅎㅎㅎ 정말 감사드립니다!</t>
  </si>
  <si>
    <t>m</t>
  </si>
  <si>
    <t>oo</t>
  </si>
  <si>
    <t>친절하게 잘 알려주셨습니다</t>
  </si>
  <si>
    <t>친절한 상담 해주셔서 감사합니다.</t>
  </si>
  <si>
    <t>친절하게 잘 해주셨어요 감사합니다</t>
  </si>
  <si>
    <t>친절하게 설명해주시고 알아듣게 잘 해주셨습니다</t>
  </si>
  <si>
    <t>친절하셔요ㅕ</t>
  </si>
  <si>
    <t>매우친절하게설명하여주어서 감사드립니다</t>
  </si>
  <si>
    <t>상담사 분과 기술자 분 2분 모두 친절하시고 설명을 잘해주셔서 이해도 쉽고 기분좋게 상담 완료했습니다.</t>
  </si>
  <si>
    <t>아주 빠른 속도로 설정을 바꿔주었습니다. 우선은 사용을 해봐야 정확하게 알겠지만 문제를 빠르게 찾아 바꿔주시니 좋았습니다. 시간이 촉박?해서 인터넷 문제가 실제로 있었는지 정확하게 듣지 못했던 점은 약간 아쉽네요</t>
  </si>
  <si>
    <t>너무 친절히 해결해주셔 오히려 제가 더 미안한 마음으로 서비스 받았네요 정말감사드려요</t>
  </si>
  <si>
    <t>장시간 신경써주시고 원격으로 잘 해주셔서 감사합니다</t>
  </si>
  <si>
    <t>엄청 친절하시고 설명같은 부분도 완전 무지한 사람들도 잘 알아들을 수 있게끔 설명 기가 막히게 해주십니다!</t>
  </si>
  <si>
    <t>상담자 분께서 친절히 잘 설명및 후 조치까지 잘 설명해 주셔서 고맙습니다.</t>
  </si>
  <si>
    <t>친절하게 이유까지 잘 설명해주셨습니다. 감사합니다.</t>
  </si>
  <si>
    <t>너무 친절하시고 빠르게 진단 해주셔서 너무 만족합니다!!!</t>
  </si>
  <si>
    <t>너무 감사합니다 해결은 안됐지만.너무 친철하게 잘 알려주시고 제가 알아 들을수 있게 편안하게 알려주셨습니다.그래서 서비스 100%만족합니다.</t>
  </si>
  <si>
    <t>친절하게 잘 설명도 해주시고 문제해결을 위해 접수도 빠르게 해주셨습니다. 서비스에 매우만족합니다</t>
  </si>
  <si>
    <t>친절하구 넘 꼼꼼하게 잘해주셨어요</t>
  </si>
  <si>
    <t>직원분들이 모두 친절하시네요</t>
  </si>
  <si>
    <t>여러가지 경우의 수를 고민해서 얘기해주셔서 감사합니다</t>
  </si>
  <si>
    <t>전체적으로 점검 해주셔서 고맙습니다.</t>
  </si>
  <si>
    <t>10분35초 동안 최고의 상담과 설정을 도아주셔서 감사합니다. 계속 유플러스를 사용할 수 있겠네요. 상담사의 친절이 최고 입니다.</t>
  </si>
  <si>
    <t>친절하시고 빠른 원격진단 이루어짐. 굿~</t>
  </si>
  <si>
    <t>친절하고 빠르게 문제 해결해주셨습니다 감사합니다!!</t>
  </si>
  <si>
    <t>친절하게 잘 해주셔서 감사합니다</t>
  </si>
  <si>
    <t>굳굳 지렷다</t>
  </si>
  <si>
    <t>최선을 다해주셔서 감사합니다</t>
  </si>
  <si>
    <t>정말 친절하시고 꼼꼼하게 잘 봐주셨어요. 감사합니다</t>
  </si>
  <si>
    <t>궁금하고 필요했던 부분을 자세하고 이해하기 쉽게 잘 설명해주셨다. 친절하게 설명해주고 문제점을 해결해주셔서 좋았다.</t>
  </si>
  <si>
    <t>서비스 기사님께서 음성도 차분하시고 친절하게 처리해 주셔서 너무 감사합니다^^</t>
  </si>
  <si>
    <t>자세히 이야기 잘해주셔서 감사 했읍니다 친절하고 상냥 해서 만족 합니다 감사 합니다</t>
  </si>
  <si>
    <t>확인감사합니다</t>
  </si>
  <si>
    <t>빠른조치 갑사합니다. 굿! 오늘도 화이팅 하세여.</t>
  </si>
  <si>
    <t>친절하게 알려주시고 고쳐주시고 감사합니다</t>
  </si>
  <si>
    <t>꼼꼼하게 살펴봐주시고 친절한 상담 감사합니당~!!!</t>
  </si>
  <si>
    <t>무척 친절하게 설명을 해주셔서 감사합니다</t>
  </si>
  <si>
    <t>친절하게 잘 상담해주셨습니다. 기사님이 방문해 주신다니 오셔서 잘 해결해 주시길 바랍니다</t>
  </si>
  <si>
    <t>빠른 대응 감사합니다</t>
  </si>
  <si>
    <t>최고의 만족 감사합니다 만% 100% 이상의 만족도와 최고의 기분으로 오늘 하루를 맞이 하고 생활 할수있도록 해주셔서 감사 합니다 꾸벅 다른 고객님과도 만족할수 있는 좋은 상담 이루시도록 기원 합니다 수고 하셔요 감사합니다 꾸벅</t>
    <phoneticPr fontId="1" type="noConversion"/>
  </si>
  <si>
    <t>진짜 친절하시고 자세히 설명 주셨습니다. 덕분에 오류 때문에 기분 안좋았던 것, 바로 해소 됐습니다 다음에도 문의 발생시 잘 부탁드립니다</t>
    <phoneticPr fontId="1" type="noConversion"/>
  </si>
  <si>
    <t>늦은 시간에도 친절하게 질문 및 답변을 해주셨으며 컴퓨터 및 인터넷을 전문으로 하는 직업이 아니고서는 알지 못하는 자세한 내용들도 이해하기 쉽게 설명해주시며 문제점을 바로 확인하시고 적극 조치해주시려는 노력을 해주셨습니다. 늦은 밤 갑자기 단절된 인터넷으로 많이 당황스러웠는데 상담사분께서도 원격점검 해주시는 분께서도 너무 친절히 알려주시고 응대해주셔서 금방 문제를 해결할 수 있었습니다. 너무 감사드린다는 말 다시한번 드리고 싶습니다.</t>
    <phoneticPr fontId="1" type="noConversion"/>
  </si>
  <si>
    <t>친절하십니다~</t>
  </si>
  <si>
    <t>렉 문제로 진단을 하게 되었습니다. 아무것도 몰랐지만 상담원의 친절하고 빠른 대응을 통하여 빠르게 해결할 수 있었어요! 그리고 어떻게 진행되는지도 간단하게 설명해주시는데 이해하기 쉽게 설명해주셔서 정말 감사하다는 말을 안아낄 수가 없네요. 상담원들 목소리도 전화 넘어 친절하다는 것이 느껴졌습니다. 잘 진행해주셔서 감사합니다.</t>
  </si>
  <si>
    <t>오늘 인터넷이 갑자기 끊기는 현상때믄에 상담 받았는데 친절 하게 세심 하게 원격으로 잘 대처해주셔서 감사 합니다</t>
  </si>
  <si>
    <t>친절한 상담 감사 합니다. 잘 해결 되었습니다.</t>
  </si>
  <si>
    <t>친절하고 전문적인 지식으로 문제가 잘 해결되었습니다. 최고에요.</t>
  </si>
  <si>
    <t>원격진단 세심하게 점검하여 주여서 감사합니다.</t>
  </si>
  <si>
    <t>수고하세요</t>
  </si>
  <si>
    <t>늦은 시간임에도 친절한 서비스 감사합니다.</t>
  </si>
  <si>
    <t>빠르고 정확한 설명과 진단 감사합니다</t>
  </si>
  <si>
    <t>상담사분 친절하셔서 좋았습니다</t>
  </si>
  <si>
    <t>친절하게 잘 해결해주셨씁니다.</t>
  </si>
  <si>
    <t>친절하게 잘 응대해 주셨습니다. 아주 과학적 방식으로 체크해주시네요</t>
  </si>
  <si>
    <t>친철하게 설명 잘해주셨고 기사님 방문시간까지 잘 정해주셨네요 ^^</t>
  </si>
  <si>
    <t>친절한 상담 감사합니다!</t>
  </si>
  <si>
    <t>친절하게 잘 설명해주셨습니다.</t>
  </si>
  <si>
    <t>친절하게 잘 처리해주셨어요 감사합니다</t>
  </si>
  <si>
    <t>인터넷문제가 아님에도 불구하고 기타 사항까지 상담해주시고 신속하고 정확하게 답변해주셔서 좋았습니다 서비스 좋으네요</t>
  </si>
  <si>
    <t>친절하게 궁금한내용 잘 응대해주셨습니다. 감사합니다!</t>
  </si>
  <si>
    <t>혼자 끙끙대다가 스마트원격진단을 알게됐는데 너무 편하고 좋네요. 친절하시고 전문적이어서 너무 만족했습니다! 감사합니다!</t>
  </si>
  <si>
    <t>친절하게 잘 안내해주셨습니다 감사합니다!</t>
  </si>
  <si>
    <t>김민석 기사님으로부터 서비스를 친절히 받게돼여 감사히 생각합니다~ 최고입니다~수고하세요^^</t>
  </si>
  <si>
    <t>네 만족합니다</t>
  </si>
  <si>
    <t>정말 친절하게 문제를 설명해주셨고, 후속 조치까지 깔끔하게 안내 받았습니다. 감사합니다!</t>
  </si>
  <si>
    <t>s네 감사합니다 친절히 잘 대응헤 주셧어요</t>
  </si>
  <si>
    <t>두 분하고 연결되었는데 두 분 다 정~~말 친절하고 상세하게 설명해주셨어요. 완전 대만족해요</t>
  </si>
  <si>
    <t>친절히 봐주셔서 감사합니다.</t>
  </si>
  <si>
    <t>편하고 알기 쉽게 설명잘해 주어서 많은 도움이 됬읍니다 오늘 남은시간도 즐거운 시간되시길.......</t>
  </si>
  <si>
    <t>친절한 대응 기분 좋네요 속도가 좋아지면 더 좋겠네요</t>
  </si>
  <si>
    <t>친절하게 도와주셔서 감사 합니다. 앞으로도 수고 많이 하십시오. Thanks very much.</t>
  </si>
  <si>
    <t>상담 너무 친절하시고 문제해결도 신속히 해주셨어요 ^^ 감사합니다~</t>
  </si>
  <si>
    <t>아주 예전에 점검 받았을 때는 상담사 통화를 하면서 제가 직접 명령어 입력하며 확인 했어야 하는데 원격으로 진단을 받으니 간편하고 알기 쉽네요</t>
  </si>
  <si>
    <t>친절하게 잘 해주셨어요</t>
  </si>
  <si>
    <t>원하던 문제가 해결된게 아니어서 그래도 진행 잘 해주셨어요.</t>
  </si>
  <si>
    <t>무진장 빠르게 일처리를 해주셨고 너무 이해하기 쉽게 설명해주셨습니다. 감사합니다.</t>
  </si>
  <si>
    <t>상담사의 친절한 서비스가 인상적입니다. 복 많이받으세요!!!</t>
  </si>
  <si>
    <t>친철하고 자세한 상담 감사합니다.</t>
  </si>
  <si>
    <t>친절하게 상담과 진행 감사합니다 !!</t>
  </si>
  <si>
    <t>너무 친절하고 만족스럽게 응대해주셨어요. 감사합니다</t>
  </si>
  <si>
    <t>잘 해결됐습니다.</t>
  </si>
  <si>
    <t>친절하고 신속한 서비스 감사합니다!</t>
  </si>
  <si>
    <t>최고. 감사합니다.</t>
  </si>
  <si>
    <t>인터넷 속도가 느려서 요청했는데, 이것저것 다 잘봐주시고, 해결도 해주시고 피드백도 완벽하게 해주시네요. 너무 만족해서 완전 강추드립니다. 감사합니다.</t>
  </si>
  <si>
    <t>tn수고하셨습니다. 감사합니다.</t>
  </si>
  <si>
    <t>빠르게 해결해주셨습니다</t>
  </si>
  <si>
    <t>친절한설명</t>
  </si>
  <si>
    <t>친절하고 꼼꼼하게 점검 해주십니다</t>
  </si>
  <si>
    <t>너무 친절하게 잘 진행해주시고 무엇보다 신속하고 정확하게 해결해주셔서 기분이 좋았습니다ㅠㅠ 감사합니다!</t>
  </si>
  <si>
    <t>감사합니다 해결됐습니다. 정말 감사합니다</t>
  </si>
  <si>
    <t>점심 시간인지 모르고 인터넷 끊김 현상으로 전화 연결 상담원의 신속, 원격 서비스 기사님이 안내 및 해결해 주셨습니다. 감사합니다..</t>
  </si>
  <si>
    <t>꼼꼼하게 점검 하고 친절하게 안내해주시며 AS기사 연결까지 잘 안내해주셧습니다.</t>
  </si>
  <si>
    <t>빠르고 정확하고 성실하게 지원해주셔서 궁금한 사항이 모두 해결되었습니다. 매우 감사드립니다.</t>
  </si>
  <si>
    <t>불편한점이 있는지 없는지 잘 이야기해주시고 아주 친절하게 그리고 설명도 아주쉽게 이야기 해주셔서 너무 좋네요</t>
  </si>
  <si>
    <t>친절하게 설명해주셨습니다</t>
  </si>
  <si>
    <t>네 아주 만족스럽습니다 감사합니다</t>
  </si>
  <si>
    <t>해결했어요 감사해요</t>
  </si>
  <si>
    <t>친절하고 신속하게 작업해 주셔서 감사드립니다</t>
  </si>
  <si>
    <t>비도오는데 방문도못하셨지만 원격으로 친절하게 고쳐주셔서 감사합니다</t>
  </si>
  <si>
    <t>빠른 처리 감사합니다</t>
  </si>
  <si>
    <t>공유기 이상이면 고객센터에 접수를 직접 먼저 해주셨으면 하네요.</t>
  </si>
  <si>
    <t>친절하게 잘 해주셔서 감사합니다.</t>
  </si>
  <si>
    <t>상담사님, 기사님 모두 친절하고 빠르게 답변주시고 해결해 주셨어요!! 너무 감사드리고 역시 전문가는 다르네요!! ㅎㅎ</t>
  </si>
  <si>
    <t>친절하게 설명해주셔서 감사했습니다</t>
  </si>
  <si>
    <t>나스 구매후 설정 오류문제로 제품판매사인 아이피타임 고객센터와 통화후 유플러스 고객센터를 통해 연락드렸네요. 엔지니어분의 이야기 부분은 전문가가 아니다보니 어느정도 이했구요. 나머지부분은 제품판매사(아이피타임) 고객센터와 마무리 하겠습니다. 감사합니다.</t>
  </si>
  <si>
    <t>인터넷 끊김은 아니지만 특정웹사이트 접속불가 한 업무처리도 친절하게 상담해주셔서 좋았습니다!</t>
  </si>
  <si>
    <t>아주 간단 명료하게 바로 문제 해결 해주셨습니다~ 최고입니다~!!</t>
  </si>
  <si>
    <t>매우친절하십니다.</t>
  </si>
  <si>
    <t>원격 진단해 주신 김성길님?(잠깐 뜨고 사라진 창에서 본거라 정확하지 않지만..) 담당자님 빠르고 정확하게 잘 진단해주시고 해결해주셨습니다. 해결 후에도 추후에 어떻게 하면 되는지도 알려주시고, 인터넷 연결자체의 문제가 아니라고 하더라도 가입된 안심요금제로 문의드릴 수 있을을 알려주셨습니다. 너무 감사해요!! 2시간동안 혼자 해결 안되서 답답했었는데 10분만에 해결해주신 능력자!!! 감사합니다. 복 받으실거예요~~!!! 친절하고 신속한 해결 감사합니다! 원격해주신 분 최고예요~!!</t>
  </si>
  <si>
    <t>친절하게 예상가는 원인들 설명해주시고 신속히 해결해주셔서 감사합니다!</t>
  </si>
  <si>
    <t>절차적으로 문제를 잘 처리해주었습니다. 불필요한 접근 없이 필수적인 단계만 밟았습니다.</t>
  </si>
  <si>
    <t>친절히 잘봐주셨습니다</t>
  </si>
  <si>
    <t>궁금했던 내용에대해 전문적인 지식으로 이해하기 쉽게 설명해주셔서 좋았습니다</t>
  </si>
  <si>
    <t>6시 좀 안돼서 연결이 되셨는데 시간이 퇴근 시간 이였으며 도 깔끔하게 친절하게 잘해주셨습니다 통화도 되게 친절하게 해주시고 어떤 부분이 잘못 됐는지 알려주시고 너무 좋았습니다 감사합니다</t>
  </si>
  <si>
    <t>이런 좋은 시스템이 있는지 몰랐네요 알았다면 진작에 요청을 했을텐데요 많은 홍보가 필요해 보입니다. 아무튼 너무 편하게 또 잘 진단해주셔서 일단 잘 사용해볼 생각입니다. 수고하셨습니다</t>
  </si>
  <si>
    <t>원격으로 친절하고 정확하게 잘 받아봤습니다.</t>
  </si>
  <si>
    <t>너무나 친절한 응대에 감사드리며 원인과 결과 등을 업무 용어가 아닌 일반 사람들이 쉽게 알 수 있게 설명해 주셔서 감사합니다^^ 오늘도 즐거운 하루로 마무리 하시길 바라겠습니다. 덕분에 저도 오늘 기분좋게 하루를 마무리 할 것 같네요</t>
  </si>
  <si>
    <t>친절한서비스대화에 감사드리고 좋은하루되세요~</t>
  </si>
  <si>
    <t>친절하게 자세히 알려주시면서 상담해주셨어요</t>
  </si>
  <si>
    <t>빠르고 정확하게 처리해주셔서 너무 감사드립니다. 이런분들만 계셔주셨음 좋겠네요, 여러번 시도했지만 다른분들통해선 처리가 안됐거든요</t>
  </si>
  <si>
    <t>상세하고 친절하게 알려주셧습니다 감사합니다</t>
  </si>
  <si>
    <t>친절하고 꼼꼼하게 점검 해셔셔 감사합니다^^</t>
  </si>
  <si>
    <t>방문지원 서비스 안내, 금액적인 부분 안내 등 여러 안내를 잘 해주셔서 방문점검을 원활하게 신청하게 됐습니다! 감사합니다</t>
  </si>
  <si>
    <t>친절하고 정확한 상담 좋습니다</t>
  </si>
  <si>
    <t>신속하게 처리 완료해주셨어요! :) 감사합니다</t>
  </si>
  <si>
    <t>해당 문제 해결에 있어서 정확하고 빠른 상담 서비스 좋았습니다. 감사합니다</t>
  </si>
  <si>
    <t>빠른 해결과 자세하고 친절한 설명 너무 감사합니다.</t>
  </si>
  <si>
    <t>친절하고 짱입니다 ㄹㅇ</t>
  </si>
  <si>
    <t>친절하고 신속하게 조치 해주셨습니다. 감사합니다.</t>
  </si>
  <si>
    <t>네.원격으로 진단 받아 빠르고 신속한 처리가 참 좋습니다. 원격 상담 처리 기사 김민석님 감사합니다.참으로 친절 하시고 세심하게 봐 주심에 감사드립니다.^^</t>
  </si>
  <si>
    <t>친절하게 설명잘해주셨습니다.</t>
  </si>
  <si>
    <t>친절한설명 감사합니다</t>
  </si>
  <si>
    <t>친절하고 좋아요</t>
  </si>
  <si>
    <t>친절하게 전화상담 원격지원해주셨어요~너무감사합니다</t>
  </si>
  <si>
    <t>너무 친절하시고 후속 확인까지 꼼꼼히 해주셔서 너무 감사드립니다! 많은 도움이 되었어요!</t>
  </si>
  <si>
    <t>친철하고 정확한 설명 감사합니다.</t>
  </si>
  <si>
    <t>친절하시고 명확하게 설명해주셔서 감사합니다.</t>
  </si>
  <si>
    <t>친절하시고 이해하기쉽게 말씀해주셔서 무슨문제인지 정확히 알았습니다 감사합니다</t>
  </si>
  <si>
    <t>친절하고 신속 정확한 진단에 감사드립니다.</t>
  </si>
  <si>
    <t>친절하셨어용</t>
  </si>
  <si>
    <t>친절하게 상담 받았어요 모르는부분까지 친절하게 안내 해주시네요</t>
  </si>
  <si>
    <t>알기 쉬운 이유 설명과 빠르고 친절한 설명 및 해결 해주셨습니다 너무너무 감사해요 ㅠㅠ</t>
  </si>
  <si>
    <t>서비스가 최악이군요 계약해지에대하여 심사숙고중</t>
  </si>
  <si>
    <t>상담사 분들 모두 너무 친절하시고 따뜻한 목소리로 차분히 알려주셔서 매우 만족스러운 상담이었습니다. 개선 점 또한 천천히 알려주셔서 감사했습니다.</t>
  </si>
  <si>
    <t>몰랐던 부분까지 꼼꼼히 설명해주셔서 감사합니다^^ 큰 도움되었습니다!</t>
  </si>
  <si>
    <t>친절한 서비스 잘 받아보았습니다~~~ 감사합니다~</t>
  </si>
  <si>
    <t>문제점 해결과 동시에 다른 불편사항까지 극도록 친절하게 상담해 주시고 해결까지 완벽하게 도와주셨습니다 정말 감사 했습니다 감동 했습니다</t>
  </si>
  <si>
    <t>최고입니다</t>
  </si>
  <si>
    <t>기사님이 공유기초기화도 해주시고 친절하시고 빠르게 응대해주셔서 만족했습니다</t>
  </si>
  <si>
    <t>아주 친절하세요~</t>
  </si>
  <si>
    <t>어떻해서든 적극적으로 문제해결을 해주시려고 노력하시는 모습이 참 좋았습니다</t>
  </si>
  <si>
    <t>김태환 원격지원 상담사님 엄청 친절하고 자세히 설명해주시고 최곱니다!! 엘지 유플러스는 이런 사원님 에게 보너스를 마땅히 지급해야 한다고 생각합니다. 꼭 이분에게 인센티브를 주시기 바랍니다. 이런분이 인재이고 앞으로 엘지에 더 많아져야 합니다!!!!</t>
  </si>
  <si>
    <t>엘지 서비스팀 너무 친절하시고 잘 도와 주셔서 감사합니다 공종현 이한웅님 너무 감사해요</t>
  </si>
  <si>
    <t>인터넷과 와이파이 속도가 느려서 문의 드렸는데 앱을 다운 받아 측정했던 속도보다는 많이 향상된 것으로 나옵니다.(계속 사용해 봐야 알겠지만 우선 눈으로 보이는 속도는 향상된 것 같습니다) 친절하게 차근차근 설명해 주셔서 따라하기가 편했습니다.</t>
  </si>
  <si>
    <t>이렇게 쉽게 고치시다니 감사합니다~~</t>
  </si>
  <si>
    <t>내것인것 처럼 꼼꼼히 살펴봐 주시고 해결책 알려주셔서 너무 너무 감사드립니다.</t>
  </si>
  <si>
    <t>바로바로 빠르게 응대해주시고 상당히 상냥하셨어요..최고네요!!! 이해도 잘되게 설명 잘 해주셔서 컴퓨터 잘 모르는 저도 믿음이 가고 편안했습니다... 감사합니다...점검 잘 받았습니다...</t>
  </si>
  <si>
    <t>네 만족 합니다. 너무 친절하십니다...</t>
  </si>
  <si>
    <t>친절한 상담해주셔서 감사합니다~</t>
  </si>
  <si>
    <t>친절하고 쉬운설명으로 이해할 수 있었다.</t>
  </si>
  <si>
    <t>아주 친절하게 응대해 주셨고, 현재 해결이 된 것 같습니다. 궁금한 점에 대해 자세히 설명해 주었으며, 먄약 문제가 다시 생기면 또 해결을 약속했습니다. 스마트원격진단이 참 편리하다는 생각을 하게 됐습니다. 빠르고 정확한 해결이었습니다. 칭찬합니다.</t>
  </si>
  <si>
    <t>친절하게 눈높이에 맞춰 해주신 설명 감사했습니다. 수고하셔요 조언해주신대로 해보겠습니다. 감사합니다.</t>
  </si>
  <si>
    <t>친절하시고 빠르게 해결해주셔서 너무 감사했습니다. 너무 빠르게 문제를 해결해주셔서 자주 찾는데, 항상 친절하십니다!!!감사합니다~</t>
    <phoneticPr fontId="1" type="noConversion"/>
  </si>
  <si>
    <t>너무너무 감사합니다. 지난번 상담때와는 다르게 이해하기도 쉽게 설명해주시고 문제를 일으키는 원인도 알게 된 것 같아서 체증이 내려가는 듯 해요. 진짜 감사해요!! 최고최고!! 이름 기억하려고 메모도 해두었어요. 김태환 기사님 ^^ 좋은 일만 있으시길요 !! ㅎㅎ</t>
    <phoneticPr fontId="1" type="noConversion"/>
  </si>
  <si>
    <t>조치해주신 기술자분께서 친절하게 설명해주시고 도움을 주셔서 어떤 게 문제였는지 알았고, 빠른 조치로 도움이 되었습니다. 감사합니다.</t>
    <phoneticPr fontId="1" type="noConversion"/>
  </si>
  <si>
    <t>불편사항을 빠르고 신속하게 처리해주시고 추후 어떻게 해야할지 알려주신점 매우 좋아요 점검 받고 아직 인터넷 사용은 아직이지만 추후 문제 발생시에도 또 신속하게 해주실꺼라 믿음이가고 또한 상담원분도 친절하게 확인까지 해주셔서 감사합니다.</t>
    <phoneticPr fontId="1" type="noConversion"/>
  </si>
  <si>
    <t>엄청 친절하게 잘 상담해주셧슴니다!</t>
  </si>
  <si>
    <t>친절하시고 문제이슈 정상작동잘되도록 조치해주셧어요.</t>
  </si>
  <si>
    <t>빠르고 친절하게 알려주셔서 이해하는데 어려움이 없었습니다</t>
  </si>
  <si>
    <t>너무 친절하게 상담해주시고 엄청 조치도 잘 취해 주셨어요 너무 감사드립니다. 앞으로도 잘부탁드립니다</t>
  </si>
  <si>
    <t>친철하게 설명 잘 받았습니다.</t>
  </si>
  <si>
    <t>처음으로 서비스를 맡겨봤는데 정말 친절하게 잘 알려주시고 자세 히 알려주셔서 잘 모르는데도 이해하기 쉬웠워요. 다음에도 잘 모르면 부탁할것같습니다.</t>
  </si>
  <si>
    <t>상담원이 매우 친절하고 알아듣기 쉽게 설명해 주셨어요.기분 좋은 상담 이었습니다^^</t>
  </si>
  <si>
    <t>친절하고 신속한 상담 및 서비스 감사드립니다. 수고많으셨습니다~</t>
  </si>
  <si>
    <t>차분하게 설명해주셔서 진행 잘했어요.</t>
  </si>
  <si>
    <t>친절하게 응대해주셔서 좋았어요</t>
  </si>
  <si>
    <t>만족합니다 친절하시네요~~</t>
  </si>
  <si>
    <t>친절하고 빠르게 잘 진행해주셧습니다.</t>
  </si>
  <si>
    <t>빠른처리 감사합니다.</t>
  </si>
  <si>
    <t>기사님 방문없이 스마트원격진단으로 문제를 해결해서 너무 좋아요!</t>
  </si>
  <si>
    <t>친절 하였습니다</t>
  </si>
  <si>
    <t>친절 굿</t>
  </si>
  <si>
    <t>만족하고 친절함에 감사드립니다.</t>
  </si>
  <si>
    <t>네 친절하고 자세히 잘 받았습니다. 감사합니다!!</t>
  </si>
  <si>
    <t>정확하고 빠른 진단과 조치에 감사드립니다..</t>
  </si>
  <si>
    <t>조치를 참잘해주셨어요. 만족스러운서비스였습니다</t>
  </si>
  <si>
    <t>편리하게 이용 지원해주셔서 감사합니다</t>
  </si>
  <si>
    <t>친절한서비스 잘받았습니다</t>
  </si>
  <si>
    <t>늘 친절한 목소리로 신속하게 해결해 주십니다. 멋져요</t>
  </si>
  <si>
    <t>친절하게 빠른처리 감사합니다 수고하셨습니다</t>
  </si>
  <si>
    <t>인터넷 끊김 문제로 문의 드렸는데 바로 해결되었어요 감사합니다 ^^</t>
  </si>
  <si>
    <t>친절한 상담</t>
  </si>
  <si>
    <t>너무 친절하셔서 좋았고 확실하게 문제점 파악 및 해결방법 제시가 좋았습니다</t>
  </si>
  <si>
    <t>만족햡니다</t>
  </si>
  <si>
    <t>빠르고 깔끔하게 해주셨습니다. 감사해요.</t>
  </si>
  <si>
    <t>친절하게 응대해주셨습니다.</t>
  </si>
  <si>
    <t>친절하게 상담 해주셨어요</t>
  </si>
  <si>
    <t>친절한 서비스를 제공합니다.</t>
  </si>
  <si>
    <t>친절하게 해주셔서 너무 감사합니다 !</t>
  </si>
  <si>
    <t>신속하게 문제를 해결해주셔서 너무 감사합니다~</t>
  </si>
  <si>
    <t>친절하시고 알기 쉽게 설명을 잘해주셨습니다.</t>
  </si>
  <si>
    <t>친절하게 설명해주시고 감사합니다,,,</t>
  </si>
  <si>
    <t>친절한 설명에 문제해결에 많은 도움이 되었습니다.</t>
  </si>
  <si>
    <t>친절하게 잘 조치해주셨습니다.</t>
  </si>
  <si>
    <t>친절하게 설명도 잘 해주시고 빨리 끝났읍니다.</t>
  </si>
  <si>
    <t>친절하게 상담해주시고 모르는 것들을 친절히 알려주시고 문제를 해결을 도와주시는거 같아서 만족하였고 좋았습ㄴ디ㅏ</t>
    <phoneticPr fontId="1" type="noConversion"/>
  </si>
  <si>
    <t>가입자 입장에서 해당서비스느 최고로 편리하고 좋은 서비스 인것 같아요 원격 지원해 주신 기사님도 친절하시고 전문적으로 작업해 주셔서 좋았습니다. 감사합니다. 기사님께서 알려주신데로 임하겠습니다.</t>
    <phoneticPr fontId="1" type="noConversion"/>
  </si>
  <si>
    <t>문제점을 바로 찾아내시네요 바로 신속하고 친절하게 해결해주셨어요 인터넷 이미지가 잘 안떠서 너무 답답했는데 앞으로 사용하는데 불편함이 없을거같아요. 감사합니다. 만족합니다!</t>
    <phoneticPr fontId="1" type="noConversion"/>
  </si>
  <si>
    <t>늦은 시간 친절한 상담 감사합니다^^</t>
  </si>
  <si>
    <t>너무 친절하게 응대해주셔서 감동받았습니다.</t>
  </si>
  <si>
    <t>엄청 친절하게 설명도 해주시고 설명도 하나하나 알려주셔서 엄청 도움이 됩니다 감사합니다 다음에도 문의 하겠습니다</t>
  </si>
  <si>
    <t>여러가지로 신경 써 주셔서 감사합니다.</t>
  </si>
  <si>
    <t>친절한 상담과 명쾌한 해답 감사합니다.</t>
  </si>
  <si>
    <t>굉장히 적극적이시며 전문적입니다. 빠른 원격 진단으로 많은 부분 해소되었으며, 그 외 적인 문제들도 알려주셔서 큰 도움이 되었습니다. LG의 훌륭한 직원 분들께 감사인사드립니다.</t>
  </si>
  <si>
    <t>근 한달 동안 씨름했는데 너무 친절하게 시스템을 확인해주시고 사용할 수 있게 해주셔서 너무 감사드립니다. 좋은 하루 되십시오.</t>
  </si>
  <si>
    <t>친절한 설명과 적절한 조치를 해주셔서 만족했습니다.</t>
  </si>
  <si>
    <t>친절하고 상세한 설명 감사드립니다.</t>
  </si>
  <si>
    <t>친절하게 상담해주시고 문제점도 잘 해결해 주셨습니다 감사합니다</t>
  </si>
  <si>
    <t>친절하게 안내해주시면서 장비에 문제 있는부분 해결해주셨습니다.</t>
  </si>
  <si>
    <t>설명도 없이 통화 종료 후 점검 진행 하면서 문제점이 발견 됐을때는 마치 본인이 이겼다는 식으로 말씀 하시는게 참 기분이 좋지 않네요 ㅋㅋㅋㅋㅋㅋ 마지막에 광고 정보 제공 동의는 왜 광고라는 말도 없이 이 회사에서 연락 가도 되냐는 워딩으로 교묘하게 광고 유도를 하시나요? lg 개판인건 알았는데 이 정도일 줄은 몰랐네요!</t>
  </si>
  <si>
    <t>친절/편안함</t>
  </si>
  <si>
    <t>친절하게 알려주셔서 감사합니다</t>
  </si>
  <si>
    <t>빠르고 신속하게 불편해소 되었네요 친절하게 응대해주셔서 감사합니다</t>
  </si>
  <si>
    <t>친절하게 잘 설명 주셔서 감사드립니다! 좋은 하루 보내세요!</t>
  </si>
  <si>
    <t>불편한 부분 완벽하게 조치 해주시고 나중에 어떻게 해야할지도 잘 알려주셨어요 감사합니다</t>
  </si>
  <si>
    <t>궁금한 점이나 관련 서비스 질문에 답변을 친절하게 해주셔서 매우 만족합니다.</t>
  </si>
  <si>
    <t>원격점검 담당부서직원분께서 상세하게 잘알려주셔서 너무 만족합니다 감사합니다.</t>
  </si>
  <si>
    <t>시간이 걸림에도 불구하고 여러가지 방향으로 속도 개선을 위해 애써주셔서 감사합니다.</t>
  </si>
  <si>
    <t>질문에도 잘답해주시고 친절하게 진행해주고 있습니다.</t>
  </si>
  <si>
    <t>친절하게 설명잘해주셔서 감사합니다</t>
  </si>
  <si>
    <t>빠른대처 감사합니다</t>
  </si>
  <si>
    <t>빠르고 친절합니다.</t>
  </si>
  <si>
    <t>친절하고 빠르게 서비스 해주셨습니다. 감사합니다.</t>
  </si>
  <si>
    <t>도와 주셔서 감사드립다</t>
  </si>
  <si>
    <t>다른거 까지 자세히 알려 주셔서 너무 편하게 진행 하였습니다 감사합니다</t>
  </si>
  <si>
    <t>어떤 방식으로 진행되는지 어떤 것이 문제 요인인지 해결방법을 제시 해주고 해결까지 친절하게 해주셔서 만족스럽습니다.</t>
  </si>
  <si>
    <t>만족</t>
  </si>
  <si>
    <t>기사님이 점검잘해주시고 질문응답에 친절하게 대답해주셔서 이해가 빠르게 댓어요</t>
  </si>
  <si>
    <t>너무 친절하게 잘해주셔서 너무좋습니다</t>
  </si>
  <si>
    <t>좋은 설명 감사합니다~</t>
  </si>
  <si>
    <t>친절하고 자세한 설명 감사드립니다 ㅎㅎ 전문가 최고!</t>
  </si>
  <si>
    <t>친절하게 설명 잘 해주시고 조치해 주셨어요</t>
  </si>
  <si>
    <t>써비스..너무좋아요.....감사합니다</t>
  </si>
  <si>
    <t>감사합니다..</t>
  </si>
  <si>
    <t>수고하셨고요 감사 합니다</t>
  </si>
  <si>
    <t>설명 을 잘 쉽게 잘해주셔서 매우 만족합니다 감사합니다 좋은 하루보내세요^^</t>
  </si>
  <si>
    <t>친절한 안내 감사합니다.</t>
  </si>
  <si>
    <t>상담해주신 상담사분께 정말 고맙습니다. 그동안 장비를 구매 후 외부망 하고 연결이 안돼 많은 시간을 소비했는데, 상담해주시면서 장시간에 걸처 만족한 상담을 받아 기분도 좋고 오늘 하루도 행복한 시간이 될것 같습니다.</t>
    <phoneticPr fontId="1" type="noConversion"/>
  </si>
  <si>
    <t>잘 안되는 부분을 한 번에 이해해주시고 빠른 시간 내에 고쳐 주셨어요 여러번 설명해도 원하고자하는 걸 서로 이해가 안되서 시간을 낭비할 때가 종종 있었는데 정말 감사했어요</t>
    <phoneticPr fontId="1" type="noConversion"/>
  </si>
  <si>
    <t>개인 사업자입니다. IP문제로 큰 어려움을 겪었으나 담당해주시는 직원들 / 엔지니어분들께서 친절히 상담후 처리해 주셔서 큰 어려움을 해결하였습니다. 감사드립니다.</t>
    <phoneticPr fontId="1" type="noConversion"/>
  </si>
  <si>
    <t>최고!!!!</t>
  </si>
  <si>
    <t>빠르게 처리 완료</t>
  </si>
  <si>
    <t>설명잘해주셔서 변경잘했습니다.</t>
  </si>
  <si>
    <t>오 깔끔하게 설명해주시고 처리해주셔서 감사합니다 좋네요!</t>
  </si>
  <si>
    <t>친절히 해주셔서 감사합니다</t>
  </si>
  <si>
    <t>친절 하게 이해하기 쉽게 알려주십니다</t>
  </si>
  <si>
    <t>좋네요</t>
  </si>
  <si>
    <t>친절하고 빠른 응답과 서비스 감사합니다.</t>
  </si>
  <si>
    <t>하나하나 다 설명해주시고 친절하게 해주셨어요 감사합니다.</t>
  </si>
  <si>
    <t>매우 친절하게 응대 해주시고, 모르는 부분도 친절히 알려주셨습니다. 최고입니다!</t>
  </si>
  <si>
    <t>친절하고, 알아듣기 쉬운 설명으로 문제를 금방 해결했습니다. 감사합니다.</t>
  </si>
  <si>
    <t>참 친절하고 상냥하네요^^ 금방 일도 처리해주고 LGU+ 좋네요^^</t>
  </si>
  <si>
    <t>친철하게 잘받았습니다.</t>
  </si>
  <si>
    <t>세심하게 잘 살펴주셔서 대단히 만족스럽습니다. 감사합니다.</t>
  </si>
  <si>
    <t>일처리를 빠르고 명확하게 잘 해주셔서 도움이 많이되었습니다</t>
  </si>
  <si>
    <t>친절히 상담해 주시고 빠르게 진행해 주셔서 감사합니다.</t>
  </si>
  <si>
    <t>친절하시고 꼼꼼히 봐주셨습니다</t>
  </si>
  <si>
    <t>친절하고 신속하게 직접 모든 궁금증을 해결해 주셨습니다. 감사합니다.</t>
  </si>
  <si>
    <t>친절하셨습니다.</t>
  </si>
  <si>
    <t>아주 잘 받았습니다~감사합니다</t>
  </si>
  <si>
    <t>빠르고 친절하게 해결 및 설명해주셔서 좋았습니다. 게임하다가 끊기면 화가 날 수 밖에 없는데 그것 마저 누그러뜨리게 만드는 친절함과 빠른 대처였어요. 감사합니다.</t>
  </si>
  <si>
    <t>문제 상황을 빠르고 정확하게 인지하고 해결해주셨어요.</t>
  </si>
  <si>
    <t>기사님 자세한설명ㅊ최곱니다</t>
  </si>
  <si>
    <t>잘해주셨습니다 감사합니다!!!</t>
  </si>
  <si>
    <t>친철한 서비스에 감사드립니다.</t>
  </si>
  <si>
    <t>친절하고 빠르게 잘 해결해주셨습니다 ~ 감사합니다</t>
  </si>
  <si>
    <t>친절하고 잘 서비스해 주셔서 감사합니다.</t>
  </si>
  <si>
    <t>친절하게 상담 잘 받고 처리하였습니다.</t>
  </si>
  <si>
    <t>감사드립니다</t>
  </si>
  <si>
    <t>친절하게 설명해주시고 꼼꼼하게 점검해주셨어요!</t>
  </si>
  <si>
    <t>많이 좋아져네요</t>
  </si>
  <si>
    <t>문제점 확인 및 대응이 좋습니다.</t>
  </si>
  <si>
    <t>빠른 시간 안에 고객의 궁금점을 정확하게 설명해줘서 감사합니다.</t>
  </si>
  <si>
    <t>넘 친절하시구 너무 잘 해주셔서 감사합니다. 속이 시원하네요^.^ 좋은하루되세요!!</t>
  </si>
  <si>
    <t>상담사분이 너무 친절하게 잘 해주셔서 해결이 잘 됬습니다 감사합니다</t>
  </si>
  <si>
    <t>너무친절합니다</t>
  </si>
  <si>
    <t>친절하셨지만 문제해결은 되지 않았고 또 다른 부처에 전화해야하는 번거로움이 있어서 아쉽습니다. 기사님 잘못은 없고 U+에서 증폭을 안해주는것 같음</t>
  </si>
  <si>
    <t>처리가 빠름</t>
  </si>
  <si>
    <t>친절하고 편리하게 진단을 받았습니다. 오류를 정확하고 빠르게 수정해 주셔서, 오래 기다리지 않았고, 금방 해결되어 기사님의 전문성과 문제 해결력에 높은 신뢰를 보냅니다. 감사합니다.</t>
    <phoneticPr fontId="1" type="noConversion"/>
  </si>
  <si>
    <t>역시 엘지u+ 좋아요~~~ ^^ as 받을때 항상 기사님 방문 맞춰서 기다려야 되고 시간 맞추는게 쉽지 않았는데 원격으로 되는걸 처음 받아 봤습니다. 원격조정 서비스를 받아본 고객 입장에서는 너무도 획기적인 서비스라고 느껴집니다. 기사님도 친절 하시고 매끄러운 진행 서비스 너무나 만족합니다. 항상 힘써주시는 엘지 가족분들 덕에 저는 언제나 오로지 엘지만 사용합니다. ㅎㅎㅎ 감사합니다.</t>
    <phoneticPr fontId="1" type="noConversion"/>
  </si>
  <si>
    <t>신세계입니다~~ 어제부터 끙끙댔는데 원격으로 한방에 해결됐습니다 역시 전문가십니다. .짝짝짝</t>
    <phoneticPr fontId="1" type="noConversion"/>
  </si>
  <si>
    <t>친절하고 잘 설명해주셨습니다</t>
  </si>
  <si>
    <t>아주만족합니다</t>
  </si>
  <si>
    <t>너무 잘 해결해 주셨어요</t>
  </si>
  <si>
    <t>무선프린터기 인식문제로 상담요청을 드렸습니다 빠른 조치와 친절한 상담으로 문제 해결을 해주셔서 정말 감사드립니다</t>
  </si>
  <si>
    <t>전문적으로 빠르게 점검해주셨어요 친절해요</t>
  </si>
  <si>
    <t>원격진단 상담 만족합니다</t>
  </si>
  <si>
    <t>친절하시고 설명을 잘해주세요</t>
  </si>
  <si>
    <t>매우 친절하시고 꼼꼼하게 작업해 주십니다 감사 드립니다</t>
  </si>
  <si>
    <t>친절하게 설명 잘해주셔서 감사합니다.</t>
  </si>
  <si>
    <t>빠른 대응에 감사 드립니다.</t>
  </si>
  <si>
    <t>안심 서비스 해지를 통해서 접속안되던 사이트 해결하였습니다. 감사합니다ㅜㅜㅜㅜㅜ너무 답답했는데 친절하게 도와주셔서 정말 감사합니다 좋은하루되세요</t>
  </si>
  <si>
    <t>친절한 상담과 확실한 서비스로 만족합니다. 잘 처리되어 원래의 정상적인 서비스 사용 중입니다..</t>
  </si>
  <si>
    <t>빠른 상담 및 처리해 주셔서 감사합니다.</t>
  </si>
  <si>
    <t>친절하게 잘 안내 해주셨습니다</t>
  </si>
  <si>
    <t>친절하십니다 ^^</t>
  </si>
  <si>
    <t>제가 말씀드렸던 부분에 대해서 정확하게 어떤 부분이 문제일 수 있다고 말씀해주셔서 좋았습니다.</t>
  </si>
  <si>
    <t>그래도 어느정도 답답한 부분이 해결이 되었어요. 내방한 기사님 너무 친절하시고 원격으로 컴퓨터 점검해주셔서 감사합니다.</t>
  </si>
  <si>
    <t>친절하게 상담해주셨습니다.</t>
  </si>
  <si>
    <t>너무 친절하게 설명도 해주시고 원격 서비스 너무 감사합니다. 다가오는 더운 날씨에도 건강 하세요^^</t>
  </si>
  <si>
    <t>신속한처리로 매우만족합니다.</t>
  </si>
  <si>
    <t>잘 해결되어 너무 좋습니다.</t>
  </si>
  <si>
    <t>친절히 잘 설명해주셨습니다</t>
  </si>
  <si>
    <t>빠른 점검 매우 감사합니다.</t>
  </si>
  <si>
    <t>친절하시고 문제 해결에 노력하시려는 것이 보여 너무 만족 스럽습니다.</t>
  </si>
  <si>
    <t>수고하셨습니다.</t>
  </si>
  <si>
    <t>친절하시고 빠르게 진단파악하셔 처리해주셨어요</t>
  </si>
  <si>
    <t>엄청친절하셨고, 또 다시 고장으로 연락드리게 되면 이분과 진행하고싶습니다.</t>
  </si>
  <si>
    <t>친절하게 자세히 설명잘해주시면서 문제 해결해주셨어요 ! 최고에요:)</t>
  </si>
  <si>
    <t>매우 만족스런 서비스입니다.진작 생겼으면 더 좋았을 서비스 매우 감사합니다.</t>
  </si>
  <si>
    <t>상담원님께서 너무 친절하시게 문제를 해결해주셔서 기분 좋은 하루입니다~^^ 감사합니다.</t>
  </si>
  <si>
    <t>친절하게 안내 받고 고쳤습니다</t>
  </si>
  <si>
    <t>친절하게 설명해주시고 처리도 잘해주셨습니다.</t>
  </si>
  <si>
    <t>친절하고 빠르게 해주셔서 감사합니다</t>
  </si>
  <si>
    <t>해결은 안되었지만 친절하고 빠른 상담 감사합니다.</t>
  </si>
  <si>
    <t>빠르게 확인해주시고 친절하십니다.</t>
  </si>
  <si>
    <t>상담사나 기사분이 친절히 응대하시고, 문제점을 잘 처리해 주셔서 감사드립니다</t>
  </si>
  <si>
    <t>친절하고 상담을 잘 해주십니다. ^^</t>
  </si>
  <si>
    <t>친절하시고 잘해주십니다</t>
  </si>
  <si>
    <t>아주 친철하시고 문제점을 빠르게 해결해주셔서 정말 감사합니다 아침부터 신속하게 문제해결 해주셔서 감사합니다</t>
    <phoneticPr fontId="1" type="noConversion"/>
  </si>
  <si>
    <t>컴퓨터에 대해 잘 모르는 사람도 알기 쉽게 설명해주셨어요. 문제점을 빠르게 파악해주시고 잘 해결해주셨습니다! 덕분에 무사히 작업을 진행할 수 있게 되었어요~ 다시 한 번 감사드립니다!</t>
    <phoneticPr fontId="1" type="noConversion"/>
  </si>
  <si>
    <t>빠른 답변과 궁금증 대한 답변 역시도 알아듣기 싶게 설명을 해주셨어 좋았습니다. 또한 문제를 최대한 해결 해주고 자 노력을 무척이나 하시는 모습이 전화상으로도 느껴질 정도였습니다.</t>
    <phoneticPr fontId="1" type="noConversion"/>
  </si>
  <si>
    <t>@..수고했습니다^^</t>
  </si>
  <si>
    <t>직원분 되게 친절하시고 설명도 깔끔 명확하게 잘해주십니다 좋은 하루 보내세요~</t>
  </si>
  <si>
    <t>주말이라 연결되기까지가 시간 소요가 다소 있었지만 빠른 안내와 정확한 판단해주시고 빠르게 해결 방안 제시 해주셨습니다. 대 만족입니다.</t>
  </si>
  <si>
    <t>빠르게 해결해주시고 잘 마무리 해주셔서 너무 좋았습니다 감사합니다!!</t>
  </si>
  <si>
    <t>필요한 부분을 빠르게 파악하여 확인하여 잘 안내해주셨습니다. 감사합니다 :)</t>
  </si>
  <si>
    <t>친절하시고 이해하기 쉽게 설명해주셔서 좋았습니다.!</t>
  </si>
  <si>
    <t>쵝오! 감사합니다_</t>
  </si>
  <si>
    <t>감사합니다~친절한설명 너무 이해가 잘됐네요~혹시라도 같은 증상들이 있을때 연락드리겠습니다 즐거운 주말되세요~감사드려요~^^</t>
  </si>
  <si>
    <t>친절하고 신속하게 진단해 주셨어요. 감사드려요</t>
  </si>
  <si>
    <t>상세하게 설명해주셔서 감사합니다. 원인 확실히 알려줘서 도움이 많이 되었습니다.</t>
  </si>
  <si>
    <t>너무 친절하시고 문제점도 빨리 잘 찾아주셨습니다 너무 감사합니다. 좋은 하루 보내세</t>
  </si>
  <si>
    <t>매우만족 매우친절</t>
  </si>
  <si>
    <t>알기쉽게 잘 설명해주셔서 문제가 쉽게 해결됐습니다</t>
  </si>
  <si>
    <t>완전 감사합니다!!!</t>
  </si>
  <si>
    <t>친절한 응대와 빠른 해결 정말 감사합니다.</t>
  </si>
  <si>
    <t>진단 잘 받았습니다. 궁금증이 해결됐습니다. 감사합니다.</t>
  </si>
  <si>
    <t>친절하고 빠른 조치 감사합니다.</t>
  </si>
  <si>
    <t>친절하고 이해하기 쉽도록 해주어서 감사합니다</t>
  </si>
  <si>
    <t>아쥬 명쾌하고 확실하고 빠르게 진행해주셨습니다 엄지척</t>
  </si>
  <si>
    <t>친절하게 상담해주셔서 편했네요 굿~</t>
  </si>
  <si>
    <t>어렵게 어렵게 돌아서 연결된 기술자 분께서 너무 쉽게 해결해주셨습니다. 역시 기술자 입니다...^^ 감사합니다~~</t>
  </si>
  <si>
    <t>기사님께서 상세하게 설명을 잘해주어서 저 또한 기분이 좋습니다.</t>
  </si>
  <si>
    <t>알기 쉽게 진행해 주셔서 감사합니다. 수고하세요:)</t>
  </si>
  <si>
    <t>간단하고 쉽게 설명해주셨고 해결해주셨습니다.</t>
  </si>
  <si>
    <t>세상에서 제일 좋은 서비스 감사합니다.</t>
  </si>
  <si>
    <t>친절하며, 빠른진단을 해주셨습니다.</t>
  </si>
  <si>
    <t>신속하게 원하는것 바로 해결 해주셔서 너무 감사합니다</t>
  </si>
  <si>
    <t>불편사항에 대한 빠른 조치</t>
  </si>
  <si>
    <t>친절히 잘해주셨어요</t>
  </si>
  <si>
    <t>친절하게 잘 봐주셨어요!</t>
  </si>
  <si>
    <t>원격상담사분 너무 친절하시고 만족도 100000 % 입니다 이런 직원분은 칭찬사원으로 추천 합니다</t>
  </si>
  <si>
    <t>친절하시고 좋았습니다 감사합니다.</t>
  </si>
  <si>
    <t>친절하게 처리해주셨어요</t>
  </si>
  <si>
    <t>친절하고 상세한 설명 감사드립니다...</t>
  </si>
  <si>
    <t>친절하게 상담 잘 해주셨습니다</t>
  </si>
  <si>
    <t>바로 해결되었습니다.</t>
  </si>
  <si>
    <t>친절하고 학습하는데에 있어 도움이 되었습니다.</t>
  </si>
  <si>
    <t>최고입니다^^</t>
  </si>
  <si>
    <t>원인과 과정 조치까지 꼼꼼하게 해주시고 친절합니다 감사합니다~</t>
  </si>
  <si>
    <t>원격 진단으로 문제를 해결해 주시니 궁금증이 바로 해결되고 좋습니다</t>
  </si>
  <si>
    <t>필요한 부분을 빠르고 정확하게 도움 받을 수 있었습니다.</t>
  </si>
  <si>
    <t>너무 친절해용</t>
  </si>
  <si>
    <t>친절하게 잘 해주셨어요 예상시간까지 안내해주시고 도움이 많이 됐습니다</t>
  </si>
  <si>
    <t>빠른 대처 마좋았습니다</t>
  </si>
  <si>
    <t>학습하는데에 있어서 정말 큰 도움이 되었습니다.</t>
  </si>
  <si>
    <t>빠르고, 친절하고 신속하게 상담해주시고 원격으로 문제점을 정확하게 진단파악 - 처리 해 주셨네요~ 감사드립니다~^^</t>
  </si>
  <si>
    <t>기사님최고입니다</t>
  </si>
  <si>
    <t>인터넷 사용에 불편을 겪고 있었는데 해소 시켜주셨습니다. 너무 친절하시고 꼼꼼히 봐주신 것 같아요. 감사합니다^^</t>
    <phoneticPr fontId="1" type="noConversion"/>
  </si>
  <si>
    <t>상담 감사합니다 항상 뿌듯한 배려에 너무나 시원합니다 감사드립니다 100% 1,000% 10,000% 억만% 그이상 만족하고도 남을 만큼 감사하구요 다른 고객님께도 항상친절 하시기를 원합니다 감사합니다 꾸벅 건강하셔요</t>
    <phoneticPr fontId="1" type="noConversion"/>
  </si>
  <si>
    <t>오늘 저를 상담해 주신 김원태님의 친절한 설명 매우 감사드립니다. 원인을 문제의 원인을 알게 되었습니다. 다시한번 감사드리며, LG유플러스 서비스센터 직원분들 늘 수고해 주심에도 격려와 감사를 드립니다. 모두 행복하시고, 평안하십시오.</t>
    <phoneticPr fontId="1" type="noConversion"/>
  </si>
  <si>
    <t>정말 친절하게 상세하게 알려주셔서 많은 도움이 되었습니다 감사합니다</t>
  </si>
  <si>
    <t>늦은시간까지 불편사항을 깔끔하게 해결해주셔서 정말 감사드립니다! 유선상으로도 신속하고 친절하게 설명도 잘해주셔서 만족스럽고 좋았습니다. 다시 한번 감사드립니다.</t>
  </si>
  <si>
    <t>최선을 다해서 정검해주시고 친절하게 설명까지 다해주셨습니다.</t>
  </si>
  <si>
    <t>친절하게 잘 설명해주시고 원만하게 잘해결해주셔서 감사합니다</t>
  </si>
  <si>
    <t>친절히 잘 처리 해주셨습니다.</t>
  </si>
  <si>
    <t>너무 꼼꼼 하게 친절하게 잘 설명 해주셔서 너무너무 감사 드립니다. 엘지 유플러스 최고 입니다^^</t>
  </si>
  <si>
    <t>명쾌하고 알기 쉽게 잘 설명 해 주시고 조치까지 해 주셨습니다. 감사합니다.</t>
  </si>
  <si>
    <t>와.. 출장 안오고 바로 해결할 수 있게 원격으로 바뀌어서 너무너무 편하고 좋습니다. 처음으로 LG U+가 좋아졌네요 매우 만족합니다 진짜로</t>
  </si>
  <si>
    <t>이해하기 쉽게 설명해주셨습니다 !</t>
  </si>
  <si>
    <t>빠르게 상담 도와주셨고 문제해결에 대한 부분들을 세세하게 잘 설명해주셨습니다</t>
  </si>
  <si>
    <t>고생많았습니다. 친철하고 서비스 최고입니다.</t>
  </si>
  <si>
    <t>스마트원격진단 서비스는 매우 만족스러웠습니다. 문제를 빠르고 정확하게 진단해주고, 복잡한 과정 없이 비대면으로 해결할 수 있어 편리했습니다. 상담도 친절하고, 사용자 입장에서 이해하기 쉽게 안내해줘서 신뢰감이 들었습니다. 앞으로도 계속 이용하고 싶은 서비스입니다</t>
  </si>
  <si>
    <t>고객이 이해 할수 있도록 설명도 너무 잘하시고 문제 해결까지 완벽했습니다 진짜 대단하시다고 말씀드리고 싶네요</t>
  </si>
  <si>
    <t>친절한 안내 및 상담 감사합니다.</t>
  </si>
  <si>
    <t>빠르게 진행되었습니다.</t>
  </si>
  <si>
    <t>ㅎ 매우친절하시게설명해저시고 너무나감사ㅏㅎ</t>
  </si>
  <si>
    <t>편리하고 문제점과 해결방안을 바로 알려주셔서 좋았습니다.</t>
  </si>
  <si>
    <t>친절하셨고 생각지도 않았던 문제를 먼저 확인해주셔서 좋았습니당</t>
  </si>
  <si>
    <t>친절하게 응대해주셨습니다!</t>
  </si>
  <si>
    <t>실력있는 분이 친절하게 진단해 주셔서 대만족합니다. 감사합니다.</t>
  </si>
  <si>
    <t>정말 친절하게 오랜 시간 동안 해결해주셨습니다.</t>
  </si>
  <si>
    <t>문제를 해결해주시기위해 신경써주셔서 감사합니다.</t>
  </si>
  <si>
    <t>잘 설명해주시고 친절하셔서 좋습니다</t>
  </si>
  <si>
    <t>노트북이 인식을 못해서 원격진단을 통해서 바로 문제해결을 잘받았습니다. 상담자분께서 친절하고 정확하게 바로 진단을 해주어서 신속하게 해결이 되어서 매우 서비스에 만족합니다. 앞으로 LG U+을 잘이용하도록 하겠습니다. 감사합니다. 수고하세요.</t>
  </si>
  <si>
    <t>친저라게 설명주셨어요</t>
  </si>
  <si>
    <t>불편한 점이 있었는데 해결해주시고 갔어요 ~ 친절하시고 감사합니다 ~</t>
  </si>
  <si>
    <t>친절하고 알기쉽게 설명해주심</t>
  </si>
  <si>
    <t>궁금한걸 쉽고 편하고 친절하게 안내 해주시네요 감사합니다</t>
  </si>
  <si>
    <t>바로바로 알아듣지 못하는데도 친절하게 설명해주시고 기다려주셔서 정말 감사합니다 즐거운 오후되세요</t>
  </si>
  <si>
    <t>친절히 확인해주시고 설명해주셔서 감사했습니다.</t>
  </si>
  <si>
    <t>인터넷 속도 장애로 인하여 스마트 원격진단을 실시하게 되었습니다. 원격진단결과 내일 기사가 직접 우리 집을 방문하게 됨으로써 잘 처리가 되었으면 합니다. 친절한 응대에 감사드립니다.</t>
  </si>
  <si>
    <t>상담사의 친철한 상담에 감사드립니다</t>
  </si>
  <si>
    <t>친절한 상담 감사합니다. 얼마전 00전자 as 신청했는데 상담체계와 서비스가 월등하네요. 감사합니다.</t>
  </si>
  <si>
    <t>너무 친절하게 잘 설명해주시고 조취해주셨습니다.</t>
  </si>
  <si>
    <t>생각했던것보다 더좋은해결책을 주셨어요 감사합니다</t>
  </si>
  <si>
    <t>접수처리가 잘 되었습니다</t>
  </si>
  <si>
    <t>친절하시고 알기쉽게 설명을 잘해주셨습니다</t>
  </si>
  <si>
    <t>진단 고쳐주시고 친절한 설명에 감사합니다.</t>
  </si>
  <si>
    <t>안내전화 대기도 없이 신속하고 친절하게 처리해주셨습니다 매우 만족해요</t>
  </si>
  <si>
    <t>100만점에200점</t>
  </si>
  <si>
    <t>친절한 상담 감사합니ㄷ다</t>
  </si>
  <si>
    <t>친절하고 꼼꼼하게 점검해주셨습니다.</t>
  </si>
  <si>
    <t>친절한 상담 감사합니다. 해결되지 않은 점은 예약방문으로 해결하기로 했습니다. 감사합니다.</t>
  </si>
  <si>
    <t>친철하고 자세하게 점검하고 문제해결을 적극적으로 도와주셨습니다~</t>
  </si>
  <si>
    <t>김태훈 기사님이 잘 처리 해주셔서 쉽게 이해 했습니다.</t>
  </si>
  <si>
    <t>친절하게 대응해주셔서 감사합니다.</t>
  </si>
  <si>
    <t>친절하고 정확한 기술지원 감샇바니다</t>
  </si>
  <si>
    <t>원격이라 답답하셨을텐데 하나하나 친절하게 알려주셔서 고맙습니다.</t>
  </si>
  <si>
    <t>꼼꼼히 확인해주시고, 친절하게 설명해주십니다. 구체적으로 설명해주셔서 이해하기도 쉬웠습니다.</t>
  </si>
  <si>
    <t>차분하게 상담해주셔셔 감사드립니다</t>
  </si>
  <si>
    <t>좋았습니다!!</t>
  </si>
  <si>
    <t>빠르고 친절한 응대 감사합니다. 너무 만족스러웠어요!</t>
  </si>
  <si>
    <t>c친절한 상담 고맙습니다.</t>
  </si>
  <si>
    <t>친절한 상담으로 불편사항이 해소 되었습니다 감사합니다</t>
  </si>
  <si>
    <t>친절하게 문제 해결을 해주셔서 너무 감사드립니다. 새로운 한주도 즐거운날들 되시기 바랍니다. 감사합니다</t>
  </si>
  <si>
    <t>빠르게 점검해 주셨습니다</t>
  </si>
  <si>
    <t>친절하고 상세한 설명 고맙습니다. 다음에 또 부탁드릴게요 좋은 하루 되세요</t>
  </si>
  <si>
    <t>신속하고 친절하게 진단을 받아 좋았습니다.</t>
  </si>
  <si>
    <t>친절하고 알기쉽게 잘알려주셨어요^^</t>
  </si>
  <si>
    <t>엘지30년넘게 사용한보람이 있네요 항상 고객응대가 빠르시고 친절의 최상급입니다. 이래서 계속 엘지만 /쓰게되나봅니다. 덕분에 감사합니다. 수고하세요^^</t>
    <phoneticPr fontId="1" type="noConversion"/>
  </si>
  <si>
    <t>기술상담사님이 친절히 설명해주시고 안내해주셔서 걱정했던 부분이 큰 이상이 아님을 알려주셨고 후속 조치도 알려주셔서 감사합니다 수고하세요</t>
    <phoneticPr fontId="1" type="noConversion"/>
  </si>
  <si>
    <t>중요한 서류를 출력해야하는 상황에서 프린터기가 인터넷연결이 안되어 매우 당황하였는데 기사님께서 원격으로 설치 및 IP주소 고정까지 잘 해주셔서 한번에 해결되었습니다. 감사드립니다!!!!</t>
    <phoneticPr fontId="1" type="noConversion"/>
  </si>
  <si>
    <t>화면 보면서 전화로 친절히 설명 해 주셔서 감사합니다</t>
  </si>
  <si>
    <t>설명도 잘해주고 잘고쳐주셨습니다 감사합니다</t>
  </si>
  <si>
    <t>친절하게 제가 궁금한 것들도 알려주시고 왜 안되는지에 대한 의문도 알려주셔서 제가 대처할 수 있게끔 해주셔서 정말 좋았습니다. 특히 문제가 무엇인지 5분이내에 끝내서 너무 전문가라는 느낌을 받아 계속 이용할것 같습니다.문제가 생겨도 바로 해결된다는 믿음이 생겼기 때문이지요.</t>
  </si>
  <si>
    <t>너무 친절하게 자세히 원인과 결과를 잘 설명 해주셨고 처리까지 깔끔하게 도와주셔서 너무 감사합니다!!</t>
  </si>
  <si>
    <t>아주 빠른 시간에 친절하게 말씀해 주셔서 감사합니다. 컴퓨터 관련 내용을 듣고 지시대로 하는 것에 긴장을 엄청 하는 성격인데 기사님이 무척 친절하고 자세하게 설명해 주셔서 정말정말 감사합니다. 김성길 선생님 최고입니다.</t>
  </si>
  <si>
    <t>전문적인 지식으로 정확하고 명확한 문제진단을 해주시고, 고객입장에 맞춰 매우 알아듣기 편한설명이 매우만족스러운 원격진단 서비스였습니다.</t>
  </si>
  <si>
    <t>꼭 기사님 출동을 받아야 만 하는줄 알았는데 그게 아니라서 편리하고 좋았습니다. 그리고 기사님이 옆에서 하시는 것 처럼 전화도 연결 되서 편리하네요</t>
  </si>
  <si>
    <t>빠른 문제 확인 및 해결방안 감사합니다.//</t>
  </si>
  <si>
    <t>ㅅㄱ 하셔씀다</t>
  </si>
  <si>
    <t>정말친절하시고 인내심있게 기다려주셔서 감사합니다 추천합니다!</t>
  </si>
  <si>
    <t>네트워크에 대한 지식이 없어도 이해할 수 있도록 세세한 부분까지 잘 설명해주셨습니다.</t>
  </si>
  <si>
    <t>친절하게 잘 봐주셨습니다</t>
  </si>
  <si>
    <t>친절한 안내 감사합니다^^</t>
  </si>
  <si>
    <t>너무 친절하시고 이해하기 쉽게 설명해주셔서 만족스러웠어요 그리고 무엇보다 업무처리속도가 빠르신것 같아요!!</t>
  </si>
  <si>
    <t>친절하고 자세한 상담 감사드립니다</t>
  </si>
  <si>
    <t>친절하게 설명 잘 해주셔서 감사합니다!</t>
  </si>
  <si>
    <t>너무 친절하게 설명 잘해주셔서 감사합니다.</t>
  </si>
  <si>
    <t>친절하시고 빠른 서비스를 위해 도움 받았습니다 감사합니다</t>
  </si>
  <si>
    <t>열심히 설명해 주셔서 감사합니다~</t>
  </si>
  <si>
    <t>공부방을 하는지라 컴퓨터 없인 모든 일이 안되는 직업입니다. 친절하게 원격수리 잘 해주셔서 덕분에 잘 쓰겠습니다^^ 항상 믿고 쓰는 엘지 유플러스~ 엘지 유플러스는 사랑입니당~^^</t>
  </si>
  <si>
    <t>상담사 박형민님 너무 친절하시고 상담 잘 해주셔서 감사합니다! 최고에요^^ 항상 건강하시고 감사합니다!</t>
  </si>
  <si>
    <t>방금 원격으로 서비스를 받았는데요. 너무나 친절히 말씀도 잘해주시고 설명까지 잘해주시네요 항상 이런마음가짐으로 고객을 대하신다면 최고의LG가 될듯싶네요 바쁘신대도 제가 이것저것 물어봐서 너무 죄송해요 항상 건강하시고 행복하세요 감사합니다</t>
  </si>
  <si>
    <t>친절하고 정확한 설명 감사합니다. 원격진단으로 문제가 잘 해결되었으면 좋겠습니다.</t>
  </si>
  <si>
    <t>사정상 2.4G 사용해야 해서 상담원분과 연결후 이한웅기사님의 친절하고,상냥한 말씨로 상담받고 원활하게 해결이 되어 너무나도 감동 받았습니다. 시간이 걸린 부분인데도 친절하게 응대와 처리까지 도와 주셔서 또한번 감동했네요 LG상담원분과 기사님 들에게 정말 감사드립니다 저 같은 분들이 많을텐데 항상 수고해 주시길 바라면서 고맙습니다. 행복하세요 LG 여러분</t>
  </si>
  <si>
    <t>잘 점검해주셔서 감사합니다.</t>
  </si>
  <si>
    <t>너무 친절하고 자세하게 설명잘해주셨어요.감사합니다^^</t>
  </si>
  <si>
    <t>바로 원인 파악해주시고 빠른 처리해주시며 친절한 말투로 좋은 조치 받았습니다.감사합니다.</t>
  </si>
  <si>
    <t>빠르게 문제 해결 해주시고 친절하게 상담해주셨습니다. 감사합니다.</t>
  </si>
  <si>
    <t>친절하게 설명해주셨서 감사합니다</t>
  </si>
  <si>
    <t>네 최고입니다</t>
  </si>
  <si>
    <t>꼼꼼하게 확인해주셔서 감사합니다. 여러방면으로 요청하신 부분에 관하여 정보도 알아봐주셔서 아주 만족합니다. 다음에 또다른 불편상황이 왔을때도 믿고 사용가능할거같아요!</t>
  </si>
  <si>
    <t>항상 자세히 친절히 가르쳐주십니다. 해결은 덤이구요</t>
  </si>
  <si>
    <t>신속하면서도 친절하게 안내를 잘해주셔 너무 감사합니다.</t>
  </si>
  <si>
    <t>무척 친절하시고 신속한 처리로 해결해 주셨습니다 감사합니다</t>
  </si>
  <si>
    <t>상담사분들께서 정말 잘해 주셨습니다!!!</t>
  </si>
  <si>
    <t>엄청 친절 합니다 빠른 수리 감사 합나다 !!</t>
  </si>
  <si>
    <t>친절하게 꼼꼼히 잘 봐주셨습니다.</t>
  </si>
  <si>
    <t>친절하게 잘 받았습니다..</t>
  </si>
  <si>
    <t>기사님의 친절하고 자세한 설명 넘 감사드려요</t>
  </si>
  <si>
    <t>친절하고 자세한 상담해주셨습니다.</t>
  </si>
  <si>
    <t>문제 해결 잘 되었습니다</t>
  </si>
  <si>
    <t>친절하게 안내해 주셨습니다.</t>
  </si>
  <si>
    <t>ㅇㅖ ㄱㅏㅁ사ㅎㅏㅂㄴㅣ다 ㄴㅓ무 수고 하ㅅㅕㄴㅔㅇㅛ</t>
  </si>
  <si>
    <t>친절한 상담 감사드립니다~</t>
  </si>
  <si>
    <t>친절해서 좋았습니다.</t>
  </si>
  <si>
    <t>누구보다 빠르게 일 처리 해주십니다. 성격 급한 저로써는 너무 최고였어요 감사합니다.</t>
  </si>
  <si>
    <t>친천하시고 설명도 잘 해주셔서 쉽에 알수 있었습니다.</t>
  </si>
  <si>
    <t>꼼꼼하게 확인해주셔서 감사합니다. 여러방면으로 요청하신 부분에 관하여 정보도 알아봐주셔서 아주 만족합니다. 다음에 또다른 불편상황이 왔을때도 믿고 사용가능할거같아요!</t>
    <phoneticPr fontId="1" type="noConversion"/>
  </si>
  <si>
    <t>사정상 2.4G 사용해야 해서 상담원분과 연결후 이한웅기사님의 친절하고,상냥한 말씨로 상담받고 원활하게 해결이 되어 너무나도 감동 받았습니다. 시간이 걸린 부분인데도 친절하게 응대와 처리까지 도와 주셔서 또한번 감동했네요 LG상담원분과 기사님 들에게 정말 감사드립니다 저 같은 분들이 많을텐데 항상 수고해 주시길 바라면서 고맙습니다. 행복하세요 LG 여러분</t>
    <phoneticPr fontId="1" type="noConversion"/>
  </si>
  <si>
    <t>방금 원격으로 서비스를 받았는데요. 너무나 친절히 말씀도 잘해주시고 설명까지 잘해주시네요 항상 이런마음가짐으로 고객을 대하신다면 최고의LG가 될듯싶네요 바쁘신대도 제가 이것저것 물어봐서 너무 죄송해요 항상 건강하시고 행복하세요 감사합니다</t>
    <phoneticPr fontId="1" type="noConversion"/>
  </si>
  <si>
    <t>밤늦은 시간에 방법이 없어서 원격진단을 신청했는데 모르는 부분도 설명 잘 해주시고 질문도 많았는데 친절하게 응대해 주셔서 감사합니다.</t>
  </si>
  <si>
    <t>상당히만족한답변받앗습니다 수고하세요</t>
  </si>
  <si>
    <t>완전 친절하십니다. 여러가지 질문에 상세하게 답변도 잘해 주셨습니다.</t>
  </si>
  <si>
    <t>전문적으로 신속히 처리해주셔서 감사합니다.</t>
  </si>
  <si>
    <t>친절한 서비스 감사합니다^^</t>
  </si>
  <si>
    <t>친절하게 알려주셨습니다 오늘은 하루 저한테 (지혜)선물을 주셨습니다 한여름에 산타씨 고마워요</t>
  </si>
  <si>
    <t>친절하시고 빠르게 조치 해주셨습니다</t>
  </si>
  <si>
    <t>설명도 잘해주시고 도움이 되었습니다.</t>
  </si>
  <si>
    <t>빠른 설치 해주셨습니다.</t>
  </si>
  <si>
    <t>일부러 요금제까지 변경해서 썼는데 너무 화는 나는데 오늘 해주신분이 이렇게 빨리 처리해주셔서 정말 감사합니다.</t>
  </si>
  <si>
    <t>정말 친절 한 상담 감사합니다</t>
  </si>
  <si>
    <t>깔끔하게 설명을 잘해주심</t>
  </si>
  <si>
    <t>친절하게 잘 설명해주시면서 진행해주셔서 감사합니다.</t>
  </si>
  <si>
    <t>친절하게 잘 해 주셨어요</t>
  </si>
  <si>
    <t>상담원 두 분 모두 친절하고 꼼꼼하게 잘 살펴주셨습니다. 감사합니다.</t>
  </si>
  <si>
    <t>원격 상담사 분이 너무친절하게 하나하나 제대로 알려주셔서 조치 취하기 수월했어여!!! 기사님 오래오래 일해주세요!!!!</t>
  </si>
  <si>
    <t>친절하게 응대해주셔서 감사합니다.</t>
  </si>
  <si>
    <t>친절한 안내와 알기 쉽게 설명해주어서 고맙습니다</t>
  </si>
  <si>
    <t>한달동안 불편했는데 친절하게 잘 설명해 주시고 해결해주셨습니다. 감사합니다.</t>
  </si>
  <si>
    <t>친절하고 편안하게 설명해주시고 서비스해주셔서 너무 감사합니다.</t>
  </si>
  <si>
    <t>친절한 설명 감사합니다. 밝은 목소리도 좋았어요~</t>
  </si>
  <si>
    <t>친절하게 설명도잘해주시고 사용할수있게 잘해주심 감사합니다!</t>
  </si>
  <si>
    <t>친절하고 잘 해주셨습다</t>
  </si>
  <si>
    <t>친절하게 잘 설명해주셨습니다. 문제도 잘 해결되었습니다. 감사드립니다.</t>
  </si>
  <si>
    <t>친절하시고 설명도 잘해주고 마무리도 잘되었습니다^^ 감사합니다</t>
  </si>
  <si>
    <t>원격점검 상담사를통해 처음 알게 되었는데...컴퓨터를 모르는 저한테는 좋은 서비스인거 같습니다.상담사분들도 친절하시고 좋은 서비스인거 같습니다</t>
  </si>
  <si>
    <t>친절하고 자세한 점검 및 안내 감사드립니다.</t>
  </si>
  <si>
    <t>기사님께서 친절하게 상황을 들어주시고 꼼꼼하게 해결해주시려 노력하셨습니다!</t>
  </si>
  <si>
    <t>친절하시고 잘 알려주십니다.</t>
  </si>
  <si>
    <t>친절하시게 문제 해결 잘해주셨습니다</t>
  </si>
  <si>
    <t>친절하신고 실 력이좋으시네요. 감사합니다.</t>
  </si>
  <si>
    <t>고객센터 통화하신분들 정말 친절히 응대 감사합니다 작업 친절 신속처리 해주셔서 대단히 감사 합니다</t>
  </si>
  <si>
    <t>친절하고 자세하게 안내해주셔서 이해가 잘 되었어요 감사합니다.</t>
  </si>
  <si>
    <t>기사님이 친절하게 다 설명해주시고 궁금한것도 여쭤봤는데 잘 알려주셨습니다. 감사합니다.</t>
  </si>
  <si>
    <t>친절한 응대와 후처리 피드백에 매우 만족했습니다. 감사합니다 좋은하루되세요~</t>
  </si>
  <si>
    <t>good！！！</t>
  </si>
  <si>
    <t>친절하고 빠른 조치에 감사드립니다 ~</t>
  </si>
  <si>
    <t>네. 현재는 잘 되고 있습니다. 수고하셨습니다. 감사합니다.</t>
  </si>
  <si>
    <t>빠르게 문제 해결해주셔서 감사합니다 ^^</t>
  </si>
  <si>
    <t>친절한 설명 너무 감사합니다</t>
  </si>
  <si>
    <t>잘알려주셨습니다</t>
  </si>
  <si>
    <t>친절하고 최고입니다</t>
  </si>
  <si>
    <t>친절하게 응대해주셔거 좋았습니다</t>
  </si>
  <si>
    <t>유선 상 증상 관련 재확인 및 점검 진행 해주시고 그에 따른 내용 확인, 후속 조치, 정보 전달을 잘해주셔서 이해하기 쉬었으며 위와 같은 동일 현상 발생시 후속 조치 진행 관련 안내해 주셔서 이해 하기 편리 했습니다.</t>
    <phoneticPr fontId="1" type="noConversion"/>
  </si>
  <si>
    <t>매우 친절하고 자세히 문제점을 설명하면서 Internet 작동 불량상태를 정상으로 고쳐주었습니다. 현재 Intenet은 불편없이 정상적으로 사용하고 있습니다. 잘 도와주셔서 감사합니다.</t>
    <phoneticPr fontId="1" type="noConversion"/>
  </si>
  <si>
    <t>매우 전문적이고 심도있게 문제의 원인을 찾아 해결해 주셨습니다. 차근차근 설명도 잘 해주시고 문제 파악도 아주 빠르게 해 주셔서 감사합니다.</t>
    <phoneticPr fontId="1" type="noConversion"/>
  </si>
  <si>
    <t>너무 친절하게 잘 해주셔서 좋았습니다.</t>
  </si>
  <si>
    <t>신속하고 정확하고 꼼꼼하게 일 처리해주셔서 감사합니다!!</t>
  </si>
  <si>
    <t>좋은 안내 감사 드립니다. 담에도 부탁드릴께요</t>
  </si>
  <si>
    <t>생소한 내용에 대해 세세히 이해하기 쉽게 설명해주셔서 너무 감사합니다.! 서비스 굿이었습니다!!</t>
  </si>
  <si>
    <t>친절하고 신속하게 그리고 정확하게 문제를 해결해 주셨습니다. 감사합니다!!</t>
  </si>
  <si>
    <t>너무 친절하시고 잘 해주셨습니다.</t>
  </si>
  <si>
    <t>아주 친절하고 빠르게 서비스를 잘 받았습니다</t>
  </si>
  <si>
    <t>빠르게 문제점을 신속하게 확인할수 있게 도와주셨습니다.</t>
  </si>
  <si>
    <t>절차에 대해서 친절하고 상세히 해주셨습니다.</t>
  </si>
  <si>
    <t>친절하게 상담 잘 받았습니다. 덕분에 문제점 해결했습니다.</t>
  </si>
  <si>
    <t>친절하고 신속한 문제 해결 감사합니다</t>
  </si>
  <si>
    <t>친절하시고 적정한 조치를 해 주셨습니다!!</t>
  </si>
  <si>
    <t>자세한 설명과 추가적인 서비스 부분까지 챙겨주셔서 감사했습니다</t>
  </si>
  <si>
    <t>빠른 대응과 친절함에 감사합니다</t>
  </si>
  <si>
    <t>우선, 너무 친절하시고 신속한 문제해결과 와이파이 외에 다른 문제점들까지 모두 속 시원하게 해결해주셨습니다. 감사합니다</t>
  </si>
  <si>
    <t>친절하게 조차 잘 해주셔서 감사합니다.</t>
  </si>
  <si>
    <t>너무 친절하십니다 문제점도 정확히 알려주셨어요 감사합니다</t>
  </si>
  <si>
    <t>친절하게 잘 해주셨습니다~</t>
  </si>
  <si>
    <t>너무친절하시고 감사합니다</t>
  </si>
  <si>
    <t>완벽합니다. 최고의 점검입니다.</t>
  </si>
  <si>
    <t>친절하고 원하는 모든 사항을 잘 봐줘서 참 좋았습니다.</t>
  </si>
  <si>
    <t>바쁘신데도 이렇게 시간내어서 관리해주시는것에 대해서 너무 감사드립니다</t>
  </si>
  <si>
    <t>너무나 친절하고 너무나 성실하게 문제를 해결해 주셨습니다 . 감사합니다.</t>
  </si>
  <si>
    <t>친절하게 상담해 주셔서 감사합니다</t>
  </si>
  <si>
    <t>상담잘해주셔서 감사합니다</t>
  </si>
  <si>
    <t>친절하게 설명해주셨구요 고객이 질문을하면 적극적으로 응대해주셨서 감사했습니다</t>
  </si>
  <si>
    <t>쉽고 빠른 설명 .해결 감사합니다.</t>
  </si>
  <si>
    <t>친절하게 잘 상담해주고 해결해주셨습니다. 감사합니다!</t>
  </si>
  <si>
    <t>상담사분들과 기술팀들 전부 수고가많으십니다. 모두 마치 명품매장을 방문하는것같이 친절하셨습니다!</t>
  </si>
  <si>
    <t>매우잘해주셨어요</t>
  </si>
  <si>
    <t>친절하고 정확한 설명으로 문제해결이 되어서 만족합니다 ^^</t>
  </si>
  <si>
    <t>빠르고 적극적인 해결 감사합니다</t>
  </si>
  <si>
    <t>너무 친절하게 잘설명해주시고 적극적으로 문제해결을 해주시려고 노력하셨습니다. 너무 감사합니다!</t>
  </si>
  <si>
    <t>친절하고 꼼꼼하게 점검 해주십니다 감사합니다</t>
  </si>
  <si>
    <t>친절하게 원격 진단 잘 받았습니다.</t>
  </si>
  <si>
    <t>아주 빠르고 정확한 설명이었습니다.</t>
  </si>
  <si>
    <t>친절하게 잘 도와주셔서 감사했습니다! 문제도 개선되었고 그 원인과 개선 방법도 하나씩 자세히 설명해 주셨어요!</t>
    <phoneticPr fontId="1" type="noConversion"/>
  </si>
  <si>
    <t>문제가 있는 부분 완벽히 해결해주셨고, 질문사항에도 친절히 알려주셔서 매우 감동했습니다. 빠른처리 감사드립니다</t>
    <phoneticPr fontId="1" type="noConversion"/>
  </si>
  <si>
    <t>최고의 상담이였습니다. 모든 문제점을 해결해주셨고 그리고 이해하기 쉽게 또 는 간단한 조치를 직접 할수 있게끔 설명도 해주셨습니다. 감사합니다 ~~~!!</t>
    <phoneticPr fontId="1" type="noConversion"/>
  </si>
  <si>
    <t>까다로운 랜카드 문제되는 부분에 대해서 잘 알려주시고 도움 주셔서 감사했습니다. 만점 드리고 싶습니다.</t>
  </si>
  <si>
    <t>친절하고 깔끔하심</t>
  </si>
  <si>
    <t>빠른문제해결로 모든게잘해결되었읍니다 고맙읍니다.</t>
  </si>
  <si>
    <t>주말인데도 친절하고 빠른 대응 감사드립니다. 정말 좋은 서비스에 기분까지 좋았습니다.. 유플러스 직원분들 항상 좋은하루 보내세요</t>
  </si>
  <si>
    <t>토요일인데도 빠르고 신속하네요 굿굿</t>
  </si>
  <si>
    <t>친절과 완벽한 설명으로 고객이 편한하고 이하하기 쉽게 하여 칭찬합니다.</t>
  </si>
  <si>
    <t>친절하고 감사합니다</t>
  </si>
  <si>
    <t>기사님도 너무 친절하시고 인터넷이 너무 자주 끊겨서 업무하는 것도 힘들었는데 해결까지 빠르게 해주셔서 정말 좋았습니다! 감사합니다!</t>
  </si>
  <si>
    <t>정확한 시간 준수, 빠른 점검, 시원스런 상황 설명, 친절한 안내 등등 감사하게 생각합니다. 안타까운 부분은 아직 정확한 원인 파악이 되지 않아서 일주일 정도 더 써 보고 추가적인 요청을 할 예정입니다. 바쁘신데 도움 주셔서 감사합니다.</t>
  </si>
  <si>
    <t>깔끔한 설명과 서비스 좋습니다.</t>
  </si>
  <si>
    <t>신속하게 처리해줘서 감사합니다</t>
  </si>
  <si>
    <t>친절하게 설명해주시고, 신속하게 조치해주셨습니다. 감사합니다.</t>
  </si>
  <si>
    <t>친철하게 점검 잘 받았습니다 감사합니다</t>
  </si>
  <si>
    <t>사용상에 어려움이 있었지만 장시간동안 테스트 및 방안을 강구하여 정상적으로 사용할 수있도록 해주셔서 너무 감사드립니다. 늦은 시간까지 고생해주셔서 많은 도움이 되었습니다.</t>
  </si>
  <si>
    <t>자세한 설명과 조치를 해주셨어요~</t>
  </si>
  <si>
    <t>잘 알려주십니다.</t>
  </si>
  <si>
    <t>친절하게 잘 응대해 주시고 빠른 처리를 도와주셨습니다. 최곱니다</t>
  </si>
  <si>
    <t>친절하게 설명해 주셔서 감사합니다.</t>
  </si>
  <si>
    <t>친절한 안내와 서비스 매우 만족합니다. 수고하셨습니다.</t>
  </si>
  <si>
    <t>빠르고 정확한 안내 및 조치 감사합니다.</t>
  </si>
  <si>
    <t>친절하시고 자세하게 설명을 잘 해주셨어요</t>
  </si>
  <si>
    <t>친절한 상담 너무 좋았어요</t>
  </si>
  <si>
    <t>친절하고 정확하게 상담해주셨습니다!</t>
  </si>
  <si>
    <t>궁금한게 있어서 물어봐도 친절하게 알려주셔서 너무 좋았습니다</t>
  </si>
  <si>
    <t>친절하게 원인과 해결책을 이야기 해주셔서 좋았습니다. 궁금한 게 많았는데 친절하게 알려주셔서 감사합니다. : )</t>
  </si>
  <si>
    <t>친절하게 설명해주셔서 좋았습니다!</t>
  </si>
  <si>
    <t>문제점을 친절히 신속하게 처리해주시네요. 고마웠습니다</t>
  </si>
  <si>
    <t>인터넷 속도 저하에 관련한 설명을 깔끔하게 해주었습니다</t>
  </si>
  <si>
    <t>서비스를 알려주신 상담원분과 원격해주신 분 모두에게 친절하고 세심한 점검 잘 받았습니다 감사합니다</t>
  </si>
  <si>
    <t>친절히 잘 응대 해 주셨습니다. 많은 도움이 되었습니다. 감사합니다.</t>
  </si>
  <si>
    <t>참 조았씁니다</t>
  </si>
  <si>
    <t>시간 여유가 없어 급하게 말씀 드렸는데 친절하게 인터넷 점검해 주셔서 감사드립니다.</t>
  </si>
  <si>
    <t>버벅거렸는데 친절하게 잘 설명해주시고 해결해주셔서 좋았습니다. 감사합니다.</t>
  </si>
  <si>
    <t>친절하고 안내를 쉽게 설명해주었습니다 감사합니다</t>
  </si>
  <si>
    <t>친절하게 잘 알려주시고 처리해주셨어요 감사합니다:)</t>
  </si>
  <si>
    <t>신속히 처방 처리 해주셔서 감사합니다</t>
  </si>
  <si>
    <t>잘받앗스빈다</t>
  </si>
  <si>
    <t>전혀 도움되지 않았습니다.</t>
  </si>
  <si>
    <t>완전 친절하고 어떤게 문제인지 정확히 알려주시고 대처방안을 메모장에 잘 적어주셔서 이해하기 쉽게 상담할수 있었습니다. 감사합니다</t>
  </si>
  <si>
    <t>친절하시고 문제해결 정확히 이해하기 쉽게 설명해주셨습니다.</t>
  </si>
  <si>
    <t>서비스 정말 감사히 잘 받았습니다 ^^</t>
  </si>
  <si>
    <t>감사합니다!!</t>
  </si>
  <si>
    <t>매우만족합니다. 최고 맞네요. 친철하시네요. 수고하세요.</t>
  </si>
  <si>
    <t>빠르게 원인 파악을 해주셔서 감사합니다.</t>
  </si>
  <si>
    <t>친절하게 잘 응대 해주셔서 감사했습니다.</t>
  </si>
  <si>
    <t>친절한 상담.. 정말 감사 드립니다.~~~~</t>
  </si>
  <si>
    <t>ㄲ</t>
  </si>
  <si>
    <t>친절하게 고정ip 잡는법 잘 설명해주셨습니다</t>
  </si>
  <si>
    <t>지금 상담사분과 몇번째 통화인지는 모르겠습니다. 항상 원격으로 모든 문제점을 해결해주시기 위해 최선을 다해주셨으며 친절하게 설명까지 다 해주셨습니다. 감사 합니다 ~</t>
    <phoneticPr fontId="1" type="noConversion"/>
  </si>
  <si>
    <t>상담사님 너무 친절하시구 완전 센스 대봑 그리구 속도가 어마무시하게 처리속도가 빠르심! 직급 올려주세요 이런 사람 놓치면 안됩니다</t>
    <phoneticPr fontId="1" type="noConversion"/>
  </si>
  <si>
    <t>전화 상담보다 확실한 진단이 가능해서 좋았습니다. 특히 기사님이 최고의 전문가로 문제를 완벽하게 해결해 주셨습니다. 다만, 최근 해킹 및 보안 관련 이슈가 발생 중인 만큼 이용 전 이에대한 공지가 이루어지면 더 좋겠습니다.</t>
    <phoneticPr fontId="1" type="noConversion"/>
  </si>
  <si>
    <t>친절하게 전화 안내 바로바로 해주셔서 불편 했던 마음이 사라졌습니다. 계속 반복적으로 끊키는 증상 때문에 컴퓨터 사용 하는게 어려 웠는데 빠른 조치해 주셔서 좋았고, 한번 써보도 불편하면 선 작업을 해야 한다는 안내 또한 좋았습니다.</t>
    <phoneticPr fontId="1" type="noConversion"/>
  </si>
  <si>
    <t>친절하고 좋아요~감사합니다.</t>
  </si>
  <si>
    <t>친절한 응대 고맙습니다.</t>
  </si>
  <si>
    <t>인터넷 관련 장비에 관한 지식이 없었음에도 눈높이에 맞춰 차분히 쉽게 설명해 주셔서 이해를 할 수 있었고 이를 통해 해결 방법을 찾을 수 있었음</t>
  </si>
  <si>
    <t>친절하고 빠른 문제 해결 감사합니다</t>
  </si>
  <si>
    <t>서둘러 문제 해결해주셨고 친절히 안내해주셔서 너무 만족스럽습니다!</t>
  </si>
  <si>
    <t>CS 최고</t>
  </si>
  <si>
    <t>차분하게 친절하게 설명해주셨습니다.</t>
  </si>
  <si>
    <t>신속하게 친절하게 잘 알려 주셨습니다 정말정말 감사합니다</t>
  </si>
  <si>
    <t>엄청 빠르게 문제 진단 해주시고 친절하게 비교하며 설명하고 화면으로 보여주셔서 이해가 쏙쏙 됐습니다. 넘 감사합니다. 만족감 최고 :)</t>
  </si>
  <si>
    <t>친절한 상담과 서비스에 만족합니다. 감사합니다.</t>
  </si>
  <si>
    <t>기사님의 서비스가 아주 만족스러웠습니다</t>
  </si>
  <si>
    <t>감사하고 도움주어 더욱 감사 합니다</t>
  </si>
  <si>
    <t>친절하고 자세하게 알려주시고 이해가 잘 되도록 설명도 잘해주셔서 감사합니다~ 너무 좋았어요 컴퓨터 전문가 역시 최고입니다!</t>
  </si>
  <si>
    <t>친절하고 신속하게 잘 해주셨습니다</t>
  </si>
  <si>
    <t>친절한 상담과 문제 해결도 신속하게 되어 매우 만족합니다 감사합니다 ^^</t>
  </si>
  <si>
    <t>너무 친절하게처리해주셔서 감사 또 감사드립니다^^</t>
  </si>
  <si>
    <t>적극적으로 알려주셔서 감사했습니다.</t>
  </si>
  <si>
    <t>낮은 목소리로 알아 듣기 쉽게 설명해 주어서 감사합니다.</t>
  </si>
  <si>
    <t>빠르고 신속하게 처리해주셨고, 처리하는 과정에서도 친절하게 상담진행하였습니다.</t>
  </si>
  <si>
    <t>상담원께서 매우 친절하시고 잘 이해되도록 설명주셔서 매우 만족합니다.</t>
  </si>
  <si>
    <t>이해하기 쉽고 설명도 친절하게 해주시고 문제 해결 방안 까지 제시 해주셔서 감사합니다.</t>
  </si>
  <si>
    <t>친절하고 명확한 진단을 해주셔서 문제점이 무엇인지 이해하는데 도움이 됐습니다.</t>
  </si>
  <si>
    <t>친절한 서비스였습니다.</t>
  </si>
  <si>
    <t>친절한 상담 500메가 회선 가입했는데 100메가 들어오는건 어디다 항의하면 되나요?</t>
  </si>
  <si>
    <t>만족스러웠습니다.</t>
  </si>
  <si>
    <t>친절하게 원격 점검해주셔서 감사합니다.</t>
  </si>
  <si>
    <t>친절하시고 자세히설명해 줘서 감사합니다</t>
  </si>
  <si>
    <t>엄청 친절하시고, 설명을 자세하고 이해하기 쉽게 해주셨습니다. 걱정이 많았는데, 너무너무 감사합니다. 다음에 또 문제생길때 이 상담사분께 상담받고싶네요 감사합니다!</t>
  </si>
  <si>
    <t>너무 쉽고 빠르고 정확하게 개선해 주셔서 너무 감사합니다 수고하십시요</t>
  </si>
  <si>
    <t>친절한 상담 감사드려요</t>
  </si>
  <si>
    <t>완벽한 문제해결은 안되었으나 고객센타의 상담 태도와 응대방법은 괜찮았음. 일단 서비스 기사의 방문후에 렉 발생원인 해결 및 설명이 필요함.</t>
  </si>
  <si>
    <t>아주 만족합니다</t>
  </si>
  <si>
    <t>아무것도 해결하지 못함</t>
  </si>
  <si>
    <t>친절하게 빠른 대응 감사합니다.</t>
  </si>
  <si>
    <t>정확한 방법을 제시해주셔서 감사했습니다. 수고하세요.~</t>
  </si>
  <si>
    <t>이해 하기 쉬운 설명으로 잘 고쳐준걸로 알고 기대 하고 사용 하겠습니다 만약 안된다면 기계 고장으로 알고 진행 하겠습니다</t>
  </si>
  <si>
    <t>단순히 속도 저하인줄 알고 문의를 드렸는데, 성심성의껏 파악해주셔서 IP문제였음을 찾아주셨습니다. 해결 또한 완벽하게 해주셔서 너무 감사 드립니다!</t>
  </si>
  <si>
    <t>빠른처리 및 친절상담 감사합니다</t>
  </si>
  <si>
    <t>매우 친철하게 설명해주시고 신속하게 A/S 해 주셔서 감사합니다.</t>
  </si>
  <si>
    <t>빠르고 정확하게 안내 받았습니다. 친절하시고 모르는 부분도 해결했습니다.</t>
  </si>
  <si>
    <t>친절하시고 점검 후 이해하기쉽게 설명을 잘해주십니다!</t>
  </si>
  <si>
    <t>친철하고 빠르게 조치해주셨습니다 감사합니다</t>
  </si>
  <si>
    <t>고맙습니다. 저희집은 며칠 동안 인터넷이 끊어져서 불편해서 전화 드렸는데... 처음 해보는 원격진단 점검이 제가 처음을 열어드리는? 과정이 어렵지 않고 너무 편하게 점검 받을수 있네요.. 또한 김태훈 기술자님? 제가 이름 정확히 기억했나요? 암호가 잘 안보인다 하니 개인 전화번호까지 알려주시며 너무 친절히 설명해주셔서 감사했어여 기분 좋은 하루가 될듯 합니다 고생하셨습니다.</t>
    <phoneticPr fontId="1" type="noConversion"/>
  </si>
  <si>
    <t>원격으로 하다보니 소통이 원활하지않음에도 불구하고, 친절하게 설명해주셔서 잘 설치할수있었습니다. 역시 전문가다우십니다. 오늘도 응원하겠습니다.</t>
    <phoneticPr fontId="1" type="noConversion"/>
  </si>
  <si>
    <t>피씨 쪽으로 점검 요청 드렸는데, 상세하게 그래픽까지 확인해주셔서 고객분에게 설명 드릴수 있었습니다. 정말 감사합니다.</t>
    <phoneticPr fontId="1" type="noConversion"/>
  </si>
  <si>
    <t>친절하시고 서비스품질향상 되었네여 감사합니다.</t>
  </si>
  <si>
    <t>기사님이 방문 안하시고 원격으로 해결되서 너무 좋아요. 감사합니다.</t>
  </si>
  <si>
    <t>일반인도 알기 쉽게 설명해 주시는 부분이 좋았습니다. 노고에 감사를 표합니다!</t>
  </si>
  <si>
    <t>서비스 최고 입니다. 감사합니다.</t>
  </si>
  <si>
    <t>대응 감사합니다.</t>
  </si>
  <si>
    <t>늦은시간 까지 너무 고생하셨습니다. 감사드립니다. 끝까지 해결해 주셔서 감사합니다.</t>
  </si>
  <si>
    <t>해결 안됨</t>
  </si>
  <si>
    <t>친절하게 지원덕분에 잘 처리 됏습니다 감사합니다</t>
  </si>
  <si>
    <t>친절하게 확인해주시고 설명해주셔서 좋았어요! 원격지원으로는 확인할 수 없는 부분이 있었는데 기사님 방문 예약도 빠르게 잡아주셔서 감사했습니다!</t>
  </si>
  <si>
    <t>신속하면서도 꼼꼼한 점검에 감사 드립니다.</t>
  </si>
  <si>
    <t>신속하고 편리하게 원격진단 받았습니다. 엔지니어님도 친절히 대응해주셨습니다.</t>
  </si>
  <si>
    <t>친절하시고 컴알못도 이해 할 수 있게 잘 설명해주셨습니다</t>
  </si>
  <si>
    <t>lg 상담원 고객센터, 원격 담당분 모두 친절하셨습니다.</t>
  </si>
  <si>
    <t>정말 친절한 상담 좋습니다, 좋은 방향으로 추천 해줘서 너무 좋습니다, 정말 정말 감사합니다,</t>
  </si>
  <si>
    <t>점검 서비스 치고도 너무 기분 좋은 상담이였네요 해결해주셔서 감사합니다!!</t>
  </si>
  <si>
    <t>친절하시고 자세히 잘 설명해주셔서 좋았습니다.</t>
  </si>
  <si>
    <t>친절한대으이너무좋았습니다</t>
  </si>
  <si>
    <t>친절하고 꼼꼼하게 봐주셧습니다</t>
  </si>
  <si>
    <t>친절 상담 감사합니다 즐거운 하루 되세요</t>
  </si>
  <si>
    <t>친절하게 점검해주셨고 문제해결 잘 받았습니다.</t>
  </si>
  <si>
    <t>친절한 설명과 빠른 해결 감사합니다.</t>
  </si>
  <si>
    <t>잘 되도록 도와주셔서 감사합니다. 만족합니다.</t>
  </si>
  <si>
    <t>친절하고 쉽게 설명해 주셔서 감사합니다.</t>
  </si>
  <si>
    <t>친절히 잘해주셨어요~</t>
  </si>
  <si>
    <t>상담해주시는 기사분이 친절하시고 알기쉽개 설명을 잘해주셔서 이해가 잘되고 편하개 상담 잘 받았습니다</t>
  </si>
  <si>
    <t>친절히 문제해결 도와주셨습니다.</t>
  </si>
  <si>
    <t>친절하게 잘 받아주셔서 좋아요</t>
  </si>
  <si>
    <t>빠르고 신속하였습니다.</t>
  </si>
  <si>
    <t>궁금했던 부분에 대한 상세한 피드백 감사합니다!</t>
  </si>
  <si>
    <t>친절하게 잘 상담받았습니다.</t>
  </si>
  <si>
    <t>신속하고 꼼꼼하게 점검도 해주시고 친철하게 문제점이 무엇인지에 대해서도 설명을 잘해주셔서 쉽게 알아들을수 있었어요 감사합니다</t>
  </si>
  <si>
    <t>친절히 설명해 주셔서 감사합니다.</t>
  </si>
  <si>
    <t>너무 친절하고 상세한 설명 감사합니다. 스마트 원격진단 해주신 선생님께 감사를 드립니댜.. 별 100개 이상 추천드립니다 .^^</t>
  </si>
  <si>
    <t>친절하게 빠르게 잘 해주셨습니다 ^^</t>
  </si>
  <si>
    <t>참 친절하게 설명 감사합니다. 최고평점 드리고 싶어요</t>
  </si>
  <si>
    <t>친절히 응대해주셨습닏.</t>
  </si>
  <si>
    <t>친철하게 상담해주셔서 감사합니다</t>
  </si>
  <si>
    <t>친절하게 응대해주셨고 잘 해결됐습니다</t>
  </si>
  <si>
    <t>친절하게 해주셔서 감사합니다</t>
  </si>
  <si>
    <t>궁금한 점 답변도 잘 해 주시고 친절하게 잘 상담해 주셨어요 감사드립니다</t>
  </si>
  <si>
    <t>어떤 문제였는지 천천히 설명해주셔서 잘 이해했어요.</t>
  </si>
  <si>
    <t>친절하게 잘설명해주셔서 감사합니다</t>
  </si>
  <si>
    <t>친절한 안내 땡큐</t>
  </si>
  <si>
    <t>문제 해결이 잘 되었습니다.</t>
  </si>
  <si>
    <t>오전내내 골머리 아팠던 일을.. 정말 말도 안되게 빠르게 해결해 주셨습니다. 5G보다 더 빠르고 신속한 일처리 도와주셔서 진심으로 감사드립니다. 진작 전화를 했어야했는데.. 일년치 스트레스를 일초만에 날려버린 것 같습니다!!! 기사님 정말 감사합니다~~ 행복한 6월 보내십시요~!</t>
    <phoneticPr fontId="1" type="noConversion"/>
  </si>
  <si>
    <t>필요한 포트포워딩 설정에 대해서 전문적인 지식으로 잘 응대해주셨습니다. 감사합니다.</t>
    <phoneticPr fontId="1" type="noConversion"/>
  </si>
  <si>
    <t>일목요연하게 설명 해 주시면서 점검 해 주시고 열받고 답답했던 부분들을 너무나 명쾌하게 해결해 주셔서 너무 감사하고 고맙습니다</t>
    <phoneticPr fontId="1" type="noConversion"/>
  </si>
  <si>
    <t>원격진단으로 해결하기 어려운 문제였던지라 문제해결 자체는 안 되었지만, 상담 자체는 잘 해주셔서 만족합니다.</t>
  </si>
  <si>
    <t>원인을 바로 찾으시고 친절하게 설명해주시고 알기쉽게 설명해주셔서 쉽고 빠르게 원인을 찾아내서 감사했습니다 친절히 설명해주셔서 감사합니다</t>
  </si>
  <si>
    <t>친철하고 빠른 조치 마음에 듭니다.</t>
  </si>
  <si>
    <t>침착하게 설명해주고 마무리해주셔서 감사합니다.</t>
  </si>
  <si>
    <t>장시간 수고하셔습니당</t>
  </si>
  <si>
    <t>친절하게 할수있는 모든 것을 해주시면서 해결해주시려 노력해주셔서 너무 감사했습니다.</t>
  </si>
  <si>
    <t>너무 친절하시고 자세한 설명 감사합니다... 복 많이 받으세요...</t>
  </si>
  <si>
    <t>신속한처리 감사드립니다</t>
  </si>
  <si>
    <t>수고하셧습니다</t>
  </si>
  <si>
    <t>너무나 자세한 설명 감사합니다. 많은 도움이 되었습니다.</t>
  </si>
  <si>
    <t>처음해본 서비스인데 되게 편하고 좋았습니다!! 친절하게 설명해주시고 조치도 빨리 취해주셔서 만족합니다~~</t>
  </si>
  <si>
    <t>방법까지 다시한번 친절하게 설명해주셔서 너무 감사했습니다</t>
  </si>
  <si>
    <t>상세히 설명 잘 해주셨어요</t>
  </si>
  <si>
    <t>상당히 다른분이랑은 친절하시고 좋으시네요 ~~ 감사합니다</t>
  </si>
  <si>
    <t>이른 주말아침부터 일처리 해주셔서 감사합니다.</t>
  </si>
  <si>
    <t>신속하고 훌륭한 진단이었습니다.</t>
  </si>
  <si>
    <t>늦은시간에도 불구하고 친절히 응대해주셔서 감사합니다</t>
  </si>
  <si>
    <t>감사합니다 꾸벅 대행히 대단한 만족을 느낌니다 10,000% 100% 이상 만족합니다 항상 행운가득 우슴가득 건강하시구요 다른 고객님과 따뜻한 마음으로 대하시기를 감사드립니다 꾸벅</t>
  </si>
  <si>
    <t>친절하게 잘 안내해 주셔서 많은 도움이 되었습니다. 감사드립니다.</t>
  </si>
  <si>
    <t>제가 컴퓨터 및 기계를 아예 모르는 1인이라 원격지원이 간절했는데 빠른 시간에 정확하고 친절하게 처리해 주셔서 매우 만족스럽고 감사하게 생각합니다. 또 이런일 있을때는 알려주신 대표번호로 전화 드리면 바로 연결도 가능하다고 하니 잘 저장 해 두겠습니다. 신속히 잘 처리해 주셔서 감사합니다. 매우 만족합니다.</t>
  </si>
  <si>
    <t>친절히 봐주시고 업데이트 까지마무리해주셔서 정상 됏어요 감사드립니다 너무 친절들 하세요</t>
  </si>
  <si>
    <t>너무너무 좋았습니다!! 만족 대만족!!</t>
  </si>
  <si>
    <t>친절하고 빠르게 상담해주셨습니다.</t>
  </si>
  <si>
    <t>전화 하는 동안 요즘세상에도 이렇게 친절하고 밝고 올바른 청년이 있구나 라고 생각이 들 정도로 친절하고 좋은 상담이었습니다 감사합니다.</t>
  </si>
  <si>
    <t>친절히 잘 설명 해주셨습니다 감사합니다</t>
  </si>
  <si>
    <t>상담해주신 이만진상담사님, 시술지원팀 김태훈님 두 분 다 너무나 친절하게 설명해주시고 진단해주셔서 편하고 기분좋게 점검했습니다. 감사합니다!!</t>
  </si>
  <si>
    <t>친절히 상담해주시고 문제를 완벽히 해결해주셔서 너무너무 감사합니다.</t>
  </si>
  <si>
    <t>친절하게 잘 상담 잘 받았습니다.</t>
  </si>
  <si>
    <t>너무나 친절하게 응대해 주셔서 감사합니다!</t>
  </si>
  <si>
    <t>빠른안내 가능합니다.</t>
  </si>
  <si>
    <t>너무 친절하게 잘 설명해주셔서 매우 만족합니다.</t>
  </si>
  <si>
    <t>진짜 감사합니다 2년동안의 응어리가 드디어 풀렸습니다</t>
  </si>
  <si>
    <t>모르는 부분도 친절히 응대해주셔서 감사했습니다.</t>
  </si>
  <si>
    <t>친절하게 응대해주시고 신속한 처리 감사합니다</t>
  </si>
  <si>
    <t>빠른 상담 및 상태확인이 가능해서 도움되었습니다. 감사합니다</t>
  </si>
  <si>
    <t>친절하게 잘 해주셨음</t>
  </si>
  <si>
    <t>친절하고 꼼꼼하게 잘 점검 해주십니다 감사합니다</t>
  </si>
  <si>
    <t>완전 친절하시고 설명도 알아듣게 잘해주셔서 너무 감사드립니다</t>
  </si>
  <si>
    <t>시원하게 궁금증 해결및 처리해주시고 앞으로 어뗗게 해야할지 자세하게 설명까지 친절하게 감사합니다.</t>
  </si>
  <si>
    <t>친절하고 상세하게 안내해주셔서 도움이 많이 되었습니다.</t>
  </si>
  <si>
    <t>빠른조치굿</t>
  </si>
  <si>
    <t>속도가 느려져서 A/S를 원격으로 받았는데 빠르게 처리 해 주셨네요ㅛ. 친절하셨고. 감사합니다</t>
  </si>
  <si>
    <t>친절하게 잘 상담해주심</t>
  </si>
  <si>
    <t>안녕하세요 목소리도 친절하셔서 마음이 편하고 기분도 좋았고 상세한 설명으로 해결이 잘 됐습니다. 감사합니다.</t>
  </si>
  <si>
    <t>친절한응대 감사합니다</t>
  </si>
  <si>
    <t>친절하게 사후처리가 잘 안내해주셨습니다.</t>
  </si>
  <si>
    <t>직 업의식이 투철합니다 아주 굿 별이 다섯개</t>
  </si>
  <si>
    <t>빠른 진단과 해결로 인해 편안함을 느꼈습니다</t>
  </si>
  <si>
    <t>자세한설명 고맙습니다 수고많으셨습니다</t>
  </si>
  <si>
    <t>기사님이 친절하시고 정확하게 문제점을 해결해주셨습니다. 감사합니다.</t>
  </si>
  <si>
    <t>수고하십니다 일단 점검은 받았고 사용은 해 봐야 알겠지만 지켜 보시죠</t>
  </si>
  <si>
    <t>남자 기사님 정말 잘해주셨습니다. good 친절하고 좋으십니다. 다음에도 잘 부탁드립니다. 최강 엘지 화이팅</t>
  </si>
  <si>
    <t>문제에대해 친절한설명과 신속하게 처리해주셨습니다</t>
  </si>
  <si>
    <t>도움 많이 되었네요.</t>
  </si>
  <si>
    <t>친절 상담 감사합니다</t>
  </si>
  <si>
    <t>기사님이 친절하고 잘 안내해주십니다</t>
  </si>
  <si>
    <t>스피드하면서 친절하게 문제해결해주셨습니다 이런 원격 서비스가 있다니 정말 좋습니다!!!</t>
  </si>
  <si>
    <t>너무 친절하게 잘 해결해주셨어요. 제가 컴맹이라 용어도 모르고 답답하셨을텐데 끝가지 설명을 잘 해주셔서 너무너무 감사합니다.</t>
  </si>
  <si>
    <t>친절한 안내 잘 받았습니다 상냥한 말투와 최선을 다해 안내해 주심에 감사합니다</t>
  </si>
  <si>
    <t>친절하고 꼼꼼하게 작업 해주십니다</t>
  </si>
  <si>
    <t>수리 상황을 잘 설명해 주셨고 다행히 잘 수리 해 주셨습니다. 그리고 너무 친절히 이야기 해 주셨습니다.</t>
  </si>
  <si>
    <t>친절히 잘 설명해 주셨어요</t>
  </si>
  <si>
    <t>빠르고 신속한 처리 감사합니다</t>
  </si>
  <si>
    <t>너무 친절하고 자세하게 설명해주셔서 비전문가인 저도 충분히 이해가 되었습니다. 최고입니다.</t>
  </si>
  <si>
    <t>점검 잘 되었길 바라며</t>
  </si>
  <si>
    <t>인터넷 점검받으면서 노트북에 있는 악성 코드와 이용하며 주의 할 점까지 너무 넘 친절하게 알려 주셔서 감사했어요. 컴 알못이라 걱정했는데 자세히 설명하시고 직접 설치 삭제 모두 해주셨네요. 아침부터 정말 친절한 상담과 서비스 감사드려요.</t>
    <phoneticPr fontId="1" type="noConversion"/>
  </si>
  <si>
    <t>정말 답답해서 속이 끓어 오르던 와 중 한 줄기 빛과 같은 분을 만났습니다. 원격으로 이 모든 걸 해결해주시다니 상담사님도 친절했고 원격으로 컴퓨터 진단 해주시는 분의 친절함과 빠른 서비스에 이제는 인터넷을 죽기 전까지 U플러스만 쓰겠다는 다짐을 했습니다. 원격 기사분께서 궁금한 내용을 하나하나 물어봐서 귀찮으셨을 수도 있었는데 끝까지 친절하게 대답해주셨습니다. 또 고장이 나면 이 기사분께 서비스를 받고 싶어요 정말 기분 좋은 하루가 될 것 같습니다. 감사합니다</t>
    <phoneticPr fontId="1" type="noConversion"/>
  </si>
  <si>
    <t>원할한 지원해주셔서 감사합니다 잘쓰겟습니다 ㅎ</t>
  </si>
  <si>
    <t>설명 친절하고 빠르게 처리해주셨습니다.</t>
  </si>
  <si>
    <t>친절하시구 빠르고 너 무 감사드립니다. 최고입니다!!</t>
  </si>
  <si>
    <t>담당자분이 원인도 빨리 찾아주시고 친절하세요</t>
  </si>
  <si>
    <t>친절하시고 잘 알려주셔서 감사합니다.</t>
  </si>
  <si>
    <t>너무 친절하시고 이것저것 알려주셔서 너무 편했습니다 원격 상담 잘받아봤습니다</t>
  </si>
  <si>
    <t>빠른 일처리와 정확한 조치로 매우 만족했습니다.</t>
  </si>
  <si>
    <t>신속히 침절하게 잘 처리 해 주셨습니다. 너무 고마웠어요.</t>
  </si>
  <si>
    <t>통화하면서 원인을 찾기위해서 친절하게 상담해주셨습니다. 감사합니다</t>
  </si>
  <si>
    <t>매우 친절하시고 완전 만족합니다. 감사합니다.</t>
  </si>
  <si>
    <t>너무편하고 좋았습니다..~~~~~</t>
  </si>
  <si>
    <t>친절한 응대 감사합니다</t>
  </si>
  <si>
    <t>굳 친절</t>
  </si>
  <si>
    <t>광교프로그램 삭제를 친절하게 상담.처리 해 주셔서 감사</t>
  </si>
  <si>
    <t>대단히 감사합니다. 신속 정확히 점검과 수 리해 주 셔서 깊은 감사드립니다. 귀사의 발전을 기원합니다. 박명해 배</t>
  </si>
  <si>
    <t>친절하게 잘 점검해주셔서 감사합니다</t>
  </si>
  <si>
    <t>친절하게 꼼꼼하게 잘 봐주셨어요~</t>
  </si>
  <si>
    <t>와우.. 멋진프로그램이네요.. 원격진단 끝내줍니다.. 내가 이래서 엘지를 쓴다니까요 ㅎㅎㅎ</t>
  </si>
  <si>
    <t>친절하게 상황설명해주셔서 매우 만족스러웠습니다.</t>
  </si>
  <si>
    <t>세상 편하네요. 기술지원팀 멋있어요. 친절한 상담 감사드립니다.</t>
  </si>
  <si>
    <t>원격진단이 속이 시원합니다만, 보안은 걱정이 되네요..</t>
  </si>
  <si>
    <t>친절하시게 상담해주시고 설명해주셔서 감사합니다. 감동입니당~^^</t>
  </si>
  <si>
    <t>최고에요~</t>
  </si>
  <si>
    <t>발생한 문제를 잘 해결해 주셨습니다.</t>
  </si>
  <si>
    <t>완전 친절하고 세세하게 설명도 잘해주셨습니다.완전 만족스럽니다. 이해가 잘가고 서비스도 잘해주셨습니다.</t>
  </si>
  <si>
    <t>친절하고 빠른 문제해결에 너무 만족합니다.</t>
  </si>
  <si>
    <t>너무 감사합니다</t>
  </si>
  <si>
    <t>완전친절하고 설명이 완전 알아듣기편하게해주세요</t>
  </si>
  <si>
    <t>문제 해결했습니다. 만족합니다 감사합니다.</t>
  </si>
  <si>
    <t>자세하게 상담받음.</t>
  </si>
  <si>
    <t>친절하게 잘 설명해주셔서 감사합니다</t>
  </si>
  <si>
    <t>기사님이 방문하지 않고 원격진단을 통해 간단하게 해결할 수 있어 좋았습니다. 특히 아기가 있는 집이라 기사님이 방문하면 시간을 맞추거나 부담스러운 부분이 있는데</t>
  </si>
  <si>
    <t>친절하고 빠르게 설명해주셔서 금방 해결했습니다 감사합니다!</t>
  </si>
  <si>
    <t>친절하고 신속하게 점검 해주십니다 감사합니다</t>
  </si>
  <si>
    <t>친절하고 정확한 안내로 서비스 잘 받았습니다. 감사합니다~</t>
  </si>
  <si>
    <t>상담 감사합니다 꾸벅 100% 만족합니다 좋은하루 우슴가득한 하루 돼셔요</t>
  </si>
  <si>
    <t>친절합니다~</t>
  </si>
  <si>
    <t>신속하고 친절하심</t>
  </si>
  <si>
    <t>친절하게 해주셧습나디</t>
  </si>
  <si>
    <t>감사합니다 화이팅</t>
  </si>
  <si>
    <t>신경써서 잘 해주심</t>
  </si>
  <si>
    <t>친절히 설명해주셔서 감사합니다</t>
  </si>
  <si>
    <t>빠르고 정확한 진단 설명 감사합니다</t>
  </si>
  <si>
    <t>친절하게 응대 해주셔서 감사합니다.</t>
  </si>
  <si>
    <t>자세히 친절하게 알랴주셔서 이해가 잘 되었습니다.</t>
  </si>
  <si>
    <t>시원하게 해결요</t>
  </si>
  <si>
    <t>정확한 진단으로 많은도움 감사함니다</t>
  </si>
  <si>
    <t>친절하게 잘 해결해 주셨습니다. 감사합니다.</t>
  </si>
  <si>
    <t>꼼꼼하게 잘 봐주십니다</t>
  </si>
  <si>
    <t>엄청 친절하세요!! 이해도 잘 되게 설명해주시고 덕분에 도움 많이 됐어용 감사합니다!</t>
    <phoneticPr fontId="1" type="noConversion"/>
  </si>
  <si>
    <t>무척이나 힘드셨을텐데 끝까지 책임져 주시면서 친절하게 설명 해 주시고 설정변경 완료까지 정말 대단히 감사했습니다. 다시 한번 감사의 인사 올립니다.</t>
    <phoneticPr fontId="1" type="noConversion"/>
  </si>
  <si>
    <t>상담이 신속하고, 업무처리 능력이 좋으신 것 같습니다. 불필요한 설명 없이, 소비자가 원하는 문제점을 빠르게 캐치해서 해결을 해주었습니다.</t>
    <phoneticPr fontId="1" type="noConversion"/>
  </si>
  <si>
    <t>시원시원한 설명 감사합니다 덕분에 여러번 상담 거치지 않고 해결되었어요</t>
  </si>
  <si>
    <t>궁금했던 사항 잘 알려주셨습니다. 도움이 많이 되었습니다. 늦은 시간에 감사드립니다.</t>
  </si>
  <si>
    <t>늦은 저녁에도 해주셔서 감사합니다.</t>
  </si>
  <si>
    <t>친절하고 신속합니다</t>
  </si>
  <si>
    <t>친절 정확 간단명료 최고의 서비스라고 생각합니다</t>
  </si>
  <si>
    <t>빠른연결 및 친절하셧습니다.</t>
  </si>
  <si>
    <t>원격진단은 처음 받아본건데 친절하고 자세하게 설명해주셔서 알아듣기 쉽고 빠르게 해결 해주셔서 엄청 편했습니다. 감사합니다.</t>
  </si>
  <si>
    <t>너무 친절하시고 설명도 잘 해주셔서 좋았습니다 감사합니다</t>
  </si>
  <si>
    <t>친절한 설명 감사합니다 ㅎㅎ</t>
  </si>
  <si>
    <t>정말 친절하게 상담해 주셔서 감사합니다</t>
  </si>
  <si>
    <t>너무 친절하게 설명 잘 해주시고 잘 이해됐습니다. 잘해주셔서 감사합니다.!</t>
  </si>
  <si>
    <t>친절하게 모두 안내 받고 모두 이해했습니다^^ 감사합니다</t>
  </si>
  <si>
    <t>친절하고 빠른 응대 감사합니다</t>
  </si>
  <si>
    <t>인터넷 문제가 아닌 프린트 문제였는데도 친절하게 해결해 주셔서 너무 감사합니다! 원격으로 문제해결 해주시는 것도 정말 좋네요. 오랫동안 타 통신사 인터넷 쓰다가 최근에 변경했는데 너무 만족합니다. 감사합니다!!</t>
  </si>
  <si>
    <t>고객센터와 통화 연결이 되니 정말 마음이 편합니다. 직장인은 퇴근하고 나서 집에 가면 9시인데 기기가 안되서 모바일 핫스팟을 이용하여 사용해야 되는 상황에서는 매우 화가 났는데 야간에도 서비스를 해 주셔야 될 것 같습니다. 1분 1초 정보 전쟁인데 서비스 시간이 정해져 있는 모순적인 구조는 이상한 것 같습니다.</t>
  </si>
  <si>
    <t>인터넷 끈킴으로 힘들어 하고있었는데 점검 해주시고 기사님까지 바로 연결 해주셔서 너무 감사합니다 너무 친절하셨어요</t>
  </si>
  <si>
    <t>친절하게 안내잘해주셔서 감사합니다</t>
  </si>
  <si>
    <t>궁금하고 답답했던것이 해결되어서 만족합니다</t>
  </si>
  <si>
    <t>너무 친절하게 요청을 잘 들어주시고 설명도 잘해주셔서 정말 감사합니다. 좋은 하루되세요</t>
  </si>
  <si>
    <t>너무 친절하시고 좋았습니다</t>
  </si>
  <si>
    <t>문제점을 파악하고 적절헌 초치를 취하였습니다~만족합니다.</t>
  </si>
  <si>
    <t>친절하시네요 감사합니다**********************</t>
  </si>
  <si>
    <t>빠르고 친절하게 문제를 해결해 주셨네요. 감사합니다. ; )</t>
  </si>
  <si>
    <t>친절한분입니다 감사합니다.</t>
  </si>
  <si>
    <t>친절하고 지세한 설명으로 문제점을 갈려 주심 감사합니다.</t>
  </si>
  <si>
    <t>아주 친절하고 빠르게 처리해주셨어요 너무 감사드립니다!</t>
  </si>
  <si>
    <t>친절한 설명감사합니다.</t>
  </si>
  <si>
    <t>친절하게 상담해 주셔서 감사합니다.</t>
  </si>
  <si>
    <t>너무 친절하게 설명 잘해주셨어요 늘 감사합니다</t>
  </si>
  <si>
    <t>친절하시고 잘설명해주십니다</t>
  </si>
  <si>
    <t>친절하게 설명을 잘 받았어요..</t>
  </si>
  <si>
    <t>불편한 점 바로 해결됐어요 감사합니다 ^^</t>
  </si>
  <si>
    <t>네^^너무 만족합니다^^</t>
  </si>
  <si>
    <t>친절하게 알아 듣게끔 잘 설명해주시고 감사합니다^^</t>
  </si>
  <si>
    <t>신속하고 친절하게 처리 및 점검 잘 진행해 주셨습니다. 감사합니다~~~</t>
  </si>
  <si>
    <t>매우 만족합니다. 감사합니다.</t>
  </si>
  <si>
    <t>친절하게 잘 해주셨습니다．</t>
  </si>
  <si>
    <t>친절하고 빠른상담 아주 좋습니다!</t>
  </si>
  <si>
    <t>잘 알려주셔서 게임 실행하는데 좋습니다.</t>
  </si>
  <si>
    <t>gdgd</t>
  </si>
  <si>
    <t>감사</t>
  </si>
  <si>
    <t>친절하게 지원해주셧 습니다 감사합니다</t>
  </si>
  <si>
    <t>안내 잘받았습니다. 감사합니다.</t>
  </si>
  <si>
    <t>너무 친절하고 신속하게 문제 해결해서 고맙습니다</t>
  </si>
  <si>
    <t>빠르게 점검 해주시고 잘 설명해주셔서 감사합니다.</t>
  </si>
  <si>
    <t>너무 친절하게 서비스 제공 받았습니다 !</t>
  </si>
  <si>
    <t>자세하고 친절하게 설명해 주셔서 좋아요~</t>
  </si>
  <si>
    <t>친절항 상담 감사합니다</t>
  </si>
  <si>
    <t>잘 받앗읍니다 아직 사용전이라 진단후에일은 아직 잘 모르고 서비스는 잘 받긴햇읍니다,,</t>
  </si>
  <si>
    <t>친절하게 설명해 주셔서 많은 도움이 되었습니다.</t>
  </si>
  <si>
    <t>매우 친절하시고 깡끔하게 문제 해결해주셨어여 감사합니다</t>
  </si>
  <si>
    <t>신속한 조치와 친절한 설명 감사합니다!</t>
  </si>
  <si>
    <t>자세하고 친절한 설명 매우 감사 드립니다. 고맙습니다.</t>
  </si>
  <si>
    <t>알아듣기 쉽게 고객의 니즈를 빠르게 해결해주셨어요.. 친절하고 정확한 상담이었습니다 감사합니다</t>
    <phoneticPr fontId="1" type="noConversion"/>
  </si>
  <si>
    <t>너무 친절하게 궁금하거나 해결해야하는것들을 다 알려주셔서 너무 속시원하게 해결했습니다! 너무나 감사드립니다!!</t>
    <phoneticPr fontId="1" type="noConversion"/>
  </si>
  <si>
    <t>친절하고 알기 쉽게 설명해 주시고 문제점을 빠르게 잘 해결해 주셨어요 너무 감사합니다~ 처음에 전화 받고 원격 지원 받게 해주신 직원 분도 정말 친절하셨어요 엘지 유플러스 서비스 최고네요</t>
    <phoneticPr fontId="1" type="noConversion"/>
  </si>
  <si>
    <t>아주 최고입니다!</t>
  </si>
  <si>
    <t>매우 친절하게 조치해 주셔서 너무 감사했습니다.</t>
  </si>
  <si>
    <t>신속한 처리 친절감사합니다</t>
  </si>
  <si>
    <t>전화 연락이 어려웠지 처리는 빨랐습니다. 신속하고 깔끔하게 처리해주셨습니다. 감사합니다.</t>
  </si>
  <si>
    <t>빠르고 정확하게 진단해주셔서 문제 해결에 큰 도움이 되었습니다. 감사합니다.</t>
  </si>
  <si>
    <t>빠른처리와 상세한 안내가 도움이 되었습니다. 감사합니다.!!</t>
  </si>
  <si>
    <t>친절하시고 매우 만족 합니다</t>
  </si>
  <si>
    <t>친절하게 잘 설명해주셨고 원격으로 문제 해결이 되지 않자 문제 해결을 위한 요청 사항을 잘 정리해서 고객센터로 연락할 수 있도록 도와주셨습니다. 감사합니다.</t>
  </si>
  <si>
    <t>문의 내용에 알맞은 상담과 설명을 들어 문제가 잘 해결되었습니다.</t>
  </si>
  <si>
    <t>우리나라 서비스는 세계 최고입니다!! 기사님들은 평가 말고 더 칭찬해 드려야합니다... 너무 실력있으시고 대한민국 서비스 점검기사님들, 최고세요!</t>
  </si>
  <si>
    <t>친절하고 꼼꼼하게 설명도 잘 해 주셨고 다시 인터넷이 잘되어서 감사드립니다.</t>
  </si>
  <si>
    <t>빠르고 친절해요.</t>
  </si>
  <si>
    <t>친절한 서비스 감사드립니다.</t>
  </si>
  <si>
    <t>친절하게 잘 설명해주셨어요~ 감사합니다!</t>
  </si>
  <si>
    <t>문제의 원인 및 해결 진행에 있어서 친절히 안내해주셨습니다.</t>
  </si>
  <si>
    <t>네 자세히 친절하게 안내해주신 덕분에 빠르게 인터넷 점검 받을수 있어서 만족스러운 서비스였습니다.</t>
  </si>
  <si>
    <t>문제 해결에 적극적인 진행. 감사 합니다</t>
  </si>
  <si>
    <t>친절하고 빠른 점검해주셔서 감사합니다!!!</t>
  </si>
  <si>
    <t>넵!</t>
  </si>
  <si>
    <t>너무 친절하시게 잘 설명도 잘해주시고 조치 방안까지 말씀해주시니 넘 도움이 많이 되었습니다.</t>
  </si>
  <si>
    <t>너무 친절하게 상담 잘해주시고 설명도 자해주셔서 많은 도움이 되었습니다.</t>
  </si>
  <si>
    <t>성심성의껏 도와주셔서 너무 감사드립니다 덕분에 아이의 컴퓨터 게임 제제 문제가 원활히 해결되었으면 좋겠네요~!!</t>
  </si>
  <si>
    <t>신속하고 친절하고 완벽한 조치에 감사드립니다.</t>
  </si>
  <si>
    <t>이해하게 쉽게 잘 설명해주셨습니다.</t>
  </si>
  <si>
    <t>너무 친절하게 알려주셔서 좋았습니다.</t>
  </si>
  <si>
    <t>전후 설명 깔끔하게 해주시고 해결도 잘 해주셨습니다</t>
  </si>
  <si>
    <t>친절 하게 검사 잘해주시네요</t>
  </si>
  <si>
    <t>봐도 잘모르지만 최선을 다해주신거같네요</t>
  </si>
  <si>
    <t>편리하게 했어요 감사</t>
  </si>
  <si>
    <t>전화상담부터 원격점검까지 두분 다 친절하게 응대해주셨어요</t>
  </si>
  <si>
    <t>네만족했습니다.</t>
  </si>
  <si>
    <t>정말 친절하고 빠르게 해주셔서 감사합니다.</t>
  </si>
  <si>
    <t>한참동안 기다려주기까지 해서 고맙습니다</t>
  </si>
  <si>
    <t>너무친절하게 잘상담해주시고 진단해주셔서 무한감사입니다*^^* 더운날씨 고생이많으세요.. 오늘하루도 화이팅하세요~</t>
    <phoneticPr fontId="1" type="noConversion"/>
  </si>
  <si>
    <t>U+ 서비스 만족이여서 오랜 사용 고객인데요. 접속 장애여서 불편했었는데 상세히 신속히 잘 처리 해 주셔서 너무 감사합니다. 너무 너무 감사합니다.</t>
    <phoneticPr fontId="1" type="noConversion"/>
  </si>
  <si>
    <t>정말 빠르게 해결해 주시고 상담사분도 너무 친절 합니다. 여기u플러스라는 생각이 드네요 계속 사용하고싶게 만드네요 감사합니다.</t>
    <phoneticPr fontId="1" type="noConversion"/>
  </si>
  <si>
    <t>감사합니다. 친절하였습니다.</t>
  </si>
  <si>
    <t>친절하게 상담해주시고 하나하나 자세하게 알려주셨습니다. 감사합니다.</t>
  </si>
  <si>
    <t>빠른 점검 및 진단 좋아요~</t>
  </si>
  <si>
    <t>너무 친절하고 자세하게 설명해 주셔서 감사했습니다.</t>
  </si>
  <si>
    <t>친절한 대응 감사드립니다.</t>
  </si>
  <si>
    <t>늦은시간까지 상담해주셔서 감사합니다~!!!</t>
  </si>
  <si>
    <t>엄청 꼼꼼하게 봐주시고 친절하게 설명해주셔서 너무 좋아요. 그동안 계속 인터넷이 끊겨서 너무 답답했는데 이제 해결할 수 있을 것 같아서 한시름 놓았습니다...</t>
  </si>
  <si>
    <t>친절하게 점검 잘 받았습니다.</t>
  </si>
  <si>
    <t>빠르고 친절하게 잘 처리해 주셔서 정말 감사합니다:)</t>
  </si>
  <si>
    <t>상세한 설명 감사합니다. 생각치못한부분 업데이트 까지해줘서 고맙습니다.</t>
  </si>
  <si>
    <t>차근차근 설명도 잘해주시고 어려움 없이 도와주셨어요</t>
  </si>
  <si>
    <t>상세하게 설명해주셔서 좋아요 친절하셔욧^^수고하세요~~</t>
  </si>
  <si>
    <t>너무 친절하고 자세한 설명과 추가적인 처리할수 있는 외부업체 안내로 믿음직스럽습니다.</t>
  </si>
  <si>
    <t>친절하게 점검감사합니다.</t>
  </si>
  <si>
    <t>대만족!! 엔지니어님이 정말 친절하시고, 문제 해결 능력도 상당히 뛰어나세요. 문제점을 말씀드리니 문제에 대해 바로 파악하시고, 이해하기 쉽게 설명해 주셔서 너무 만족스러워요. 너무 감사합니다!</t>
  </si>
  <si>
    <t>서비스 잘 받았습니다. 특히 잘 설명해주셔서 감사합니다.</t>
  </si>
  <si>
    <t>친절하게 잘 알려주셔서 감사합니다</t>
  </si>
  <si>
    <t>상담 잘 받았습니다</t>
  </si>
  <si>
    <t>자세하게 친절하게 해주십니다</t>
  </si>
  <si>
    <t>친절하게 잘해주셨습니다</t>
  </si>
  <si>
    <t>친절하게 잘해주셔서 만족합니다.</t>
  </si>
  <si>
    <t>설명을 상세히 친절하게 해 주셔서 서비스에 대한 만족도가 높았습니다. 상담기사님 감사합니다.</t>
  </si>
  <si>
    <t>꼼꼼한 점검과 설명으로 매우 만족합니다</t>
  </si>
  <si>
    <t>빠른 서비스와 친절한 상담에 좋은 서비스를 받아 기분 좋습니다.^^</t>
  </si>
  <si>
    <t>빠르고 친절하게 해결해주셔서 좋음</t>
  </si>
  <si>
    <t>상담원분들 너무 친절하시고 좋았어요. 문제해결도 잘 됬구요. 정말 감사합니다. 수고셨습니다.</t>
  </si>
  <si>
    <t>이해하기 쉽게 친절하게 알려주셨습니다. 덕분에 이해하기 어렵거나 몰랐던 정보들도 알게 되었습니다.</t>
  </si>
  <si>
    <t>친절하셨고 금방 끝내주셨어요~ 감사합니다. 인터넷 잘됩니다</t>
  </si>
  <si>
    <t>짧은 시간에 명쾌한 진단 감사합니다^^</t>
  </si>
  <si>
    <t>ㅇ</t>
  </si>
  <si>
    <t>친절한 상담해주셨습니다</t>
  </si>
  <si>
    <t>해결되었습니다</t>
  </si>
  <si>
    <t>네</t>
  </si>
  <si>
    <t>아주 친절하십니다 너무 좋아요 행복하세요</t>
  </si>
  <si>
    <t>친철하게 잘 받았습니다</t>
  </si>
  <si>
    <t>수고하셨습니다. 감사합니다ㅁ</t>
  </si>
  <si>
    <t>담담 기사님께서 원격으로 자세히 설명해주시고 조치해 주셨습니다 덕분에 빠른 사용과 올바른 사용방법에 대해 숙지하였습니다 친절한 상담 감사드립니다</t>
    <phoneticPr fontId="1" type="noConversion"/>
  </si>
  <si>
    <t>원격진단 정말 편하고 빠르게 조치해 주시네요. 문제점 진단 및 처리 너무 만족합니다. 기사님 최고에요!!</t>
    <phoneticPr fontId="1" type="noConversion"/>
  </si>
  <si>
    <t>사소한 부분 모두 신경 써주시고 설명도 쉽고 친절하게 잘해주셨어요. 무언가 확인을 요청 하셨을 때 시간이 지체 되었지만 보채지 않고 기다려주셔서 꼼꼼히 확인 할 수 있었습니다. 감사합니다</t>
    <phoneticPr fontId="1" type="noConversion"/>
  </si>
  <si>
    <t>친절하시고 문제가 되는 부분 잘 해결해 주셨습니다. 감사합니다.</t>
  </si>
  <si>
    <t>빠른 대응 감사합니다.</t>
  </si>
  <si>
    <t>친절히 설명 잘해주었습니다.</t>
  </si>
  <si>
    <t>감사합니다. .....</t>
  </si>
  <si>
    <t>확실히 친절하게 잘 해주셔서 감사하네요. 이해가 안되는 부분들도 천천히 잘 설명해주시고 예상되는 문제점들에 대해서 이해가 되게 설명해 주신 점 좋았습니다. 감사합니다. 좋은 하루 되세요 :)</t>
  </si>
  <si>
    <t>주말에도 꼼꼼하게 봐주셔서 감사합니다</t>
  </si>
  <si>
    <t>주말에 김시힙니당</t>
  </si>
  <si>
    <t>친절하고 자세하게 설명 및 진단해주셔서 도움됐습니다. 감사합니다.</t>
  </si>
  <si>
    <t>주말에 고생하십니다 이런일은 평일에 했어야되는데.. 주말에 연락드려서 죄송합니다 친절하고 빠른 해결 감사드립니다 빠른 업무가 끝나고 즐거운 주말 보내셨으면 합니다 감사합니다</t>
  </si>
  <si>
    <t>친절하고 정확하게 상담해주셔서 감사합니다.</t>
  </si>
  <si>
    <t>감사합니다 잘되네요</t>
  </si>
  <si>
    <t>친절하고 구체적이어서 좋아요</t>
  </si>
  <si>
    <t>굉장히 친절하시고 해결 잘해주십니다.</t>
  </si>
  <si>
    <t>친절하고 빠른 문제 점검으로 신속하게 해결 해 주셔서 좋았습니다!</t>
  </si>
  <si>
    <t>빨리 해주셔서 대단히 감사합니다. 수고하세요</t>
  </si>
  <si>
    <t>친절합니다 도움이 되었어요</t>
  </si>
  <si>
    <t>as관련해서 정확하게 알려주셨습니다 또한 방문 as로까지의 연결까지 잘해주셨어요 감사합니다.</t>
  </si>
  <si>
    <t>상담 상세하게 잘 해주셨습니다</t>
  </si>
  <si>
    <t>굿입니다!</t>
  </si>
  <si>
    <t>따봉</t>
  </si>
  <si>
    <t>빠르고 정확한 상담과 처리 만족입니다~</t>
  </si>
  <si>
    <t>친절하게 빠르게 원하는 상담 처리 해주셔서 감사합니다!! 다음에 또 이 기사님에게 상담받고싶네요 감사합니다.</t>
  </si>
  <si>
    <t>이해하기 쉬운 설명으로 충분히 이해 하였으며 친절하게 응대 해주셨음.</t>
  </si>
  <si>
    <t>친절하게 설명해주셔서 좋았습니다!!</t>
  </si>
  <si>
    <t>친절히 잘 해결해주셨습니다 감사합니다~^^</t>
  </si>
  <si>
    <t>친절하게 상담해주셨어요</t>
  </si>
  <si>
    <t>친절하게 와이파이명과 비밀번호를 특수문자 빼고 잘 변경해주셔서 감사합니다. 좋은하루 보내시길 바래요~</t>
  </si>
  <si>
    <t>전화 할 때 통화 음질이 좀 깨져서 제대로 안 들릴 때가 많습니다</t>
  </si>
  <si>
    <t>장시간 도움친절하게 도움주셔서 감사합니다</t>
  </si>
  <si>
    <t>매우 친절하고 전문적인 서비스 입니다. U+로 변경한 첫날인데 기사님의 전문적인 서비스 덕분에 기분좋게 시작할 수 있었습니다.</t>
  </si>
  <si>
    <t>너무 친절하게 잘 설명 해 주셔서 감사합니다. 최고입니다!</t>
  </si>
  <si>
    <t>친절하십니다~!</t>
  </si>
  <si>
    <t>너무감사하고 많은도움받고 친절하게 말씀하셧서 넘무 감사 했씁니다^^</t>
  </si>
  <si>
    <t>설명부터 안되는부분까지 친절히 잘해주셨습니다. 감사합니다.</t>
  </si>
  <si>
    <t>USB연결 관계로 아직 문제해결은 안됐으나 친절하게 안내해주시고 작업해주셨습니다.</t>
  </si>
  <si>
    <t>is good</t>
  </si>
  <si>
    <t>최대한 점검을 도와주시면서 진단 진행을 하셨습니다. 그리고 간단 명료 하게 설명 해주셔서 이해가 빠르게 된다.</t>
  </si>
  <si>
    <t>친절히 도움주셔서 감사합니다.</t>
  </si>
  <si>
    <t>서비스 잘 받았습니다 최상 서비스입니다 감사합니다</t>
  </si>
  <si>
    <t>성실하게 잘 설명해주어서 잘 마무리 했습니다.</t>
  </si>
  <si>
    <t>네 만족함</t>
  </si>
  <si>
    <t>부드러운 목소리와 친절한 서비스 및 안내에 감사드립니다.</t>
  </si>
  <si>
    <t>친절한 답변과 지원을 받았으나 문제가 해결되지는 못하였고 문제의 원인을 제대로 파악하지 못하였다.</t>
  </si>
  <si>
    <t>빠르게 해결해주셔서 감사합니다 좋은 하루 되세요^^</t>
  </si>
  <si>
    <t>친절하고 인내심있게 응대해 주셔서 감사합니다</t>
  </si>
  <si>
    <t>아주 친절하게 상세히 진단해주시고 서비스 만족입니다. 사용해보고 잘되었으면 더욱더 좋을듯 합니다~ 항상 고생하시는 엔지니어 분들 감사합니다^^</t>
    <phoneticPr fontId="1" type="noConversion"/>
  </si>
  <si>
    <t>인터넷 문제로 지금 오랜시간동안 스트레스받고있었고 완벽하게 해결이 안되고있었는데 오늘 원격상담해주신 기사님이 해결을 해주신거같습니다 컴퓨터에 대한 지식도 부족해서 여러가지 물어본것도 많았는데 설명 친절하게 잘해주셔서 진짜 너무 감동받았어요.. 컴퓨터 부품 결함이 원인인거같은데 잘 해결해보겠습니다 감사합니다</t>
    <phoneticPr fontId="1" type="noConversion"/>
  </si>
  <si>
    <t>하나하나 쉽게 이야기 해주셔서 거의 이해 했습니다. 처음부터 끝까지 친절하고, 추후 문제가 생겼을때 대처 방법도 안내해 주셔서 만족했습니다. 무엇보다 문제가 해결되어 기분이 좋네요^^</t>
    <phoneticPr fontId="1" type="noConversion"/>
  </si>
  <si>
    <t>아주 만족했습니다</t>
  </si>
  <si>
    <t>약 10개월동안 집에서 할 수 없던 일을 원격으로 진단 해 주시고 수정 해 주셔서 쉽게 할 수 있었어요! 너무 감사합니다! 10개월동안 고생했던 부분이 5분만에 해결 되어서 너무 행복해요! 미리 연락 드려서 조취를 취했으면 더 좋았을텐데! 너무 감사합니다!!!</t>
  </si>
  <si>
    <t>너무 친절하시고 문제해결도 너무 빠르고 쉽고 잘 해주셨습니다!</t>
  </si>
  <si>
    <t>최고입니다 좋아요!!</t>
  </si>
  <si>
    <t>기사님이 넘 친절하게 설명 잘해 주시고 완벽하게 해결해 주셨습니다. 감사 합니다.</t>
  </si>
  <si>
    <t>친절하게 잘 해주셧습니다</t>
  </si>
  <si>
    <t>감사합니다. 잘해결은안됬지만 그래도 서비스부분만족합니다</t>
  </si>
  <si>
    <t>친절하시고 좋았습니다.</t>
  </si>
  <si>
    <t>매우친절하고 신속하게 응대해주셔서 감사합니다~</t>
  </si>
  <si>
    <t>처음부터 끝까지 친절하고 깔끔하게 처리해주셨습니다!</t>
  </si>
  <si>
    <t>친절하게 안내 잘 받았습니다</t>
  </si>
  <si>
    <t>^^상담원분께서 엄청 친절하시고, 설명도 쉽게 해주셨습니다. 문제 현상을 해결해주시고, 궁금한 부분도 깔끔하게 설명해주셨어요. 감사합니다.</t>
  </si>
  <si>
    <t>빠른진단과 처리 감사합니다.</t>
  </si>
  <si>
    <t>빠른 조치 감사합니다~</t>
  </si>
  <si>
    <t>상담사님의 구체적이고 친절한 설명과 함께 좋은 서비스를 받을 수 있어 만족했습니다. 감사합니다.</t>
  </si>
  <si>
    <t>불편사항을 친절하게 해소해 주어서 감사합니다.</t>
  </si>
  <si>
    <t>기사님이 상세하게 설명해주시고 글로도 정리하신 것이 남아있어서 좋습니다</t>
  </si>
  <si>
    <t>상담 감사합니다 꾸벅 100%만족합니다 만%이상 만족하고 흡족합니다 꾸벅 좋은오후 편안한 고객상담돼시고 행운가득 우슴가득 복많이 받으셔요 김시힙ㄴ디</t>
  </si>
  <si>
    <t>꼼꼼히 설명해주시고 재 점검받을수 있도록 안내 잘해주셨어요~</t>
  </si>
  <si>
    <t>친절하시고 전문적인 진단 감사합니다. 원격으로 실시간 진단이 가능해서 든든합니다!</t>
  </si>
  <si>
    <t>소비자의 눈높이에 맞게 자세하고 친철한 설명 정말 좋았습니다.</t>
  </si>
  <si>
    <t>모두 친절하시고 최대한 해결해주시려고 노력해주셔서 감동이었습니다. 마지막까지 좋은하루 보내세요라고 해주셔서 감사했습니다. 긴 시간 고생하셨습니다. 모두 좋은 하루 보내시구 최고의 서비스였습니다~</t>
  </si>
  <si>
    <t>쉽고 간편하게 해결해주셨습니다 고생하셨습니다.</t>
  </si>
  <si>
    <t>사내네트워크 접속시 인터넷 다운되서 용어도 서툴고 어떻게 상담해야 하나,,,걱정이었는데, 상담 친절히 적극적으로 해주시고, 몇마디 하지도 않았는데 무슨말 하고 싶어하는지 다 알아 주시고, 확인해 주셨어요, LG상담 정말 최고네요. 감사합니다.^^</t>
  </si>
  <si>
    <t>빠르게 진행주해셨음</t>
  </si>
  <si>
    <t>rkatkgkqslek</t>
  </si>
  <si>
    <t>인터넷 연결이 갑자기 끊겨서 연락드렸었는데 원격으로 검사해주셨습니다. 컴퓨터 랜카드 오류가 가끔뜨고 있고 드라이버도 최신으로 업데이트해주시고 자세하고 친절하게 알려주셔서 너무나 감사했습니다. 나중에라도 문제가 계속 발생하면 조립PC인 내장형 랜카드 하드웨어의 문제라서 as받거나 외장형 랜카드를 꼽으면 된다고 까지 알려주셨습니다. 완전 만족스러운 진단이었습니다. 정말 감사드립니다.</t>
  </si>
  <si>
    <t>모르던 사실을 알게 됐습니다.</t>
  </si>
  <si>
    <t>친절하고 정확하게 해주셨어요</t>
  </si>
  <si>
    <t>매우매우 친절하게 알려주셨어요 .감사합니다</t>
  </si>
  <si>
    <t>친철하고 쉬운 설명 으로 잘 해결 되었습니다.</t>
  </si>
  <si>
    <t>빠르고 친절하게 진행해주셔서 너무 편했습니다.</t>
  </si>
  <si>
    <t>완전 친절하고 빠지는거 없이 잘 설명하고 시원시원하네요 성격이 아주좋습니다 수고하십니다</t>
  </si>
  <si>
    <t>너무 만족합니다 친절하시구</t>
  </si>
  <si>
    <t>빠른 대처 감사</t>
  </si>
  <si>
    <t>친절하게 잘 받았습니다.</t>
  </si>
  <si>
    <t>친절히 점검 잘 받았습니다.</t>
  </si>
  <si>
    <t>아주 좋았습니다.</t>
  </si>
  <si>
    <t>문제가 해결됐습니다. 감사합니다.</t>
  </si>
  <si>
    <t>전문지식 삼담원의 친절하고 명확한 진단 감사합니다!! 역시 엘지유플~~</t>
  </si>
  <si>
    <t>상담사 전화 종료 후 느낀점 1.모르는 부분도 상세하게 알기 쉽게 웃어가면서 나긋한 음성으로 설명해주셨습니다. 2.유선상이지만 상담사분 에티켓으로 인하여 문제해결 및 잔잔한 고마움이 느껴집니다. 상담사분 거듭 감사드립니다.^^*</t>
  </si>
  <si>
    <t>친절하고 정확하게 점검 잘 해주셔서 만족합니다!</t>
  </si>
  <si>
    <t>친절히 해결해주셨습니다.</t>
  </si>
  <si>
    <t>친절하게 잘 안내 받았습니다</t>
  </si>
  <si>
    <t>빠른 조치 쉽고 간단한 설명 감사합니다</t>
  </si>
  <si>
    <t>빠르고 신속하게 도움주셔서 너무 감사합니다.</t>
  </si>
  <si>
    <t>꼼꼼한 점검과 친절한 설명 감사합니다</t>
  </si>
  <si>
    <t>좋았습니다</t>
  </si>
  <si>
    <t>궁금한 부분이 해결 됬습니다..잘 설명헤 주셨습니다.</t>
  </si>
  <si>
    <t>잘 설명해 주셔서 감사합니다</t>
  </si>
  <si>
    <t>매우 친철하시고 요구사항 이외에 컴퓨터의 성능까지 점검해주시고 성능을 업그래드 시켜주셨습니다. 이와같은 서비스정신이 귀사를 익일번창하는 데 일익을 담당하리라 샐각합니다 고맙습니다</t>
    <phoneticPr fontId="1" type="noConversion"/>
  </si>
  <si>
    <t>컴퓨터 점검을 부탁 드렸는데 원격으로 친절하게 잘 해주시네요. 증상 설명부터 증상을 어떻게 하는게 좋을지에 대해서 말씀해주시고 개선해주셨습니다. 친절하시고 빠르게 문제가 되는 부분을 파악해주셔서 좋았습니다.</t>
    <phoneticPr fontId="1" type="noConversion"/>
  </si>
  <si>
    <t>정말 최고입니다. 하고 싶어하는 게임을 말씀드리니 그 게임에 대한 지식을 알아봐주시고, 성심성의것 상담해주셔서 주어진 메뉴얼대로만 대응 해주시는 것은 기본이고, 고객을 위하여 다른 문제사항이 나올것까지 예상하셔서 해주시는 것에 깊은 감동을 받았습니다. 공유기 관련해서 지식이 아예 전무하여 내용도 정확하게 모르는데; 설명 하나하나 까지 이해 되실때까지 말씀해주셔서 덕분에 매우 편안하게 게임을 할수 있게 되었습니다. 진심으로 감사를 드리며, 앞으로 전 인터넷을 바꿀 계획이 없습니다.</t>
    <phoneticPr fontId="1" type="noConversion"/>
  </si>
  <si>
    <t>친철하고 명확하게 해결해주셔서 감사합니다.</t>
  </si>
  <si>
    <t>원격이라 편하고 늦은 시간에 친절하고 정확하게 대응해 주신점 너무 좋았습니다</t>
  </si>
  <si>
    <t>너무 친절하시고 잘 가르쳐주셔서 큰 도움이 되었습니다. 훌륭하십니다.</t>
  </si>
  <si>
    <t>신속하게 드라이버 업데이트를 통해 문제해결을 해주셔서 아주 만족합니다.</t>
  </si>
  <si>
    <t>외부 아이피 변경방법을 엄청 친절하게 안내해주셨습니다! 아이피 기록해두는 팁까지 주셔서 너무 좋았어요</t>
  </si>
  <si>
    <t>수고 많으셨습니다. 빠른조치에 감사드리고 써비스에 매우 만족합니다. 더운 날씨에 건강조심하시길...</t>
  </si>
  <si>
    <t>친절하고 자세하게 설명해주셔서 너무 좋았습니다</t>
  </si>
  <si>
    <t>친절하게 설명 잘해주시고 어떻게든 고치려고 해주시는 부분이 최고입니다</t>
  </si>
  <si>
    <t>믿고 쓰는 유플러스 늘 감사합니다용</t>
  </si>
  <si>
    <t>친절하시고 명확한 설명 빠른 조치!! ^^ 감사합니다.</t>
  </si>
  <si>
    <t>친절하게 잘 해주셨습니다! 감사해요</t>
  </si>
  <si>
    <t>좋아용~~~~</t>
  </si>
  <si>
    <t>제가 컴퓨터을 잘 하지 못하는데 제가 당황 하지 않게 오랜 시간 동안 기다려주시고 친절 하고 사냥 하게 해주셨서 너무 감사해요. 수고하세요^^</t>
  </si>
  <si>
    <t>잘 처리해 주셨습니다. 감사합니다.</t>
  </si>
  <si>
    <t>성실하게 꼼꼼하게 잘 봐 주셨습니다 감사합니다</t>
  </si>
  <si>
    <t>상세하게 설명해 주시고 친절한상담 감사합니다~</t>
  </si>
  <si>
    <t>친절하고 빠르게 문제점을 찾아주셨습니다.</t>
  </si>
  <si>
    <t>친절하게 상담받았어요 감사합니다</t>
  </si>
  <si>
    <t>gg</t>
  </si>
  <si>
    <t>감사링!</t>
  </si>
  <si>
    <t>친절히 설명해주시고 업데이트 관련 아주 잘해주셨습니다~</t>
  </si>
  <si>
    <t>네 친절하고 상세히 설명해주셨어요</t>
  </si>
  <si>
    <t>컴퓨터 끊김증상이 조금씩 있었는데 원인 파악해주시고 업데이트 미미한 부분 해주셔서 좋았습니다</t>
  </si>
  <si>
    <t>네 모르는데 자세히 설명 해주셨 습니다 대단히 감 사 합니다 수고 하세요...</t>
  </si>
  <si>
    <t>친절상담</t>
  </si>
  <si>
    <t>GOOD</t>
  </si>
  <si>
    <t>정확하게 문제를 알려주시고 매우 친절하게 알려주셔서 덕분에 조금 마음이 편해졌습니다 감사합니다!</t>
  </si>
  <si>
    <t>빠르게 잘 응대해주셨어요 감사합니다</t>
  </si>
  <si>
    <t>아주 빠르게 잘 수정해 주셧어요 와이파이가 잘 됩니다 감사합니다</t>
  </si>
  <si>
    <t>친절하셨습니다</t>
  </si>
  <si>
    <t>설명 친절하시고 너무 좋았습니다.</t>
  </si>
  <si>
    <t>친절한 안내 감사드립니다.</t>
  </si>
  <si>
    <t>nice</t>
  </si>
  <si>
    <t>자세히 설명해 주셔서 좋았습니다.</t>
  </si>
  <si>
    <t>신속하고 정확하게 문제점과 미비점을 알려주시고 해결해 주였습니다. 기술력 A급입니다^^</t>
  </si>
  <si>
    <t>친절하고 빠르게 문제해결을 해주셔서 감사합니다</t>
  </si>
  <si>
    <t>상담사 분께서 너무 친절하고 상세하게 설명해주셔서 이해도 쉬웠고 문제 해결을 위해 여러가지 체크해주시면서 방문기사님 방문해서 나머지 처리하실수 있도록 도와줬습니다 항상 엘지만 쓰고있지만 친절하다는 느낌은 항상받고있습니다 감사합니다</t>
    <phoneticPr fontId="1" type="noConversion"/>
  </si>
  <si>
    <t>친절하고 자세한 상담 감사드립니다. 인터넷이 안되는 요인이 정말 많겠으나 한 번에 찾아내기란 쉽지 않겠지요. 사용해보고 인터넷 끊김 현상이 지속된다면 다시 한 번 더 요청드리겠습니다. 감사합니다. 행복하세요</t>
    <phoneticPr fontId="1" type="noConversion"/>
  </si>
  <si>
    <t>인터넷속도에 문제가있었는데. 즉각적으로 빠른조치해주셔서 이용하는데 큰 불편없었읍니다. 감사합니다</t>
    <phoneticPr fontId="1" type="noConversion"/>
  </si>
  <si>
    <t>너무 친절하고 확실하고 빠르게 해결해주셨어요!</t>
  </si>
  <si>
    <t>친절하고 상세하게 알려주셨어요</t>
  </si>
  <si>
    <t>친절하게 설명해주셧습니다</t>
  </si>
  <si>
    <t>설명 잘 해주셔서 감사합니다</t>
  </si>
  <si>
    <t>너무 친절하시고 꼼꼼히 알려주셔서 감사합니다</t>
  </si>
  <si>
    <t>자세히 알려주셔서 도움이 많이됬습니다.</t>
  </si>
  <si>
    <t>알기쉽게 설명을 잘해주시고 점검 잘해주심</t>
  </si>
  <si>
    <t>만족스러운 상담을 해주셔서 만족합니다 ^^</t>
  </si>
  <si>
    <t>설명도 잘해주시고 빨리해결해주셨습니다~</t>
  </si>
  <si>
    <t>친절하십ㄴ읻나</t>
  </si>
  <si>
    <t>친절하고 자세하게 설명해주셨습니다</t>
  </si>
  <si>
    <t>자세한설명 감사드립니다.</t>
  </si>
  <si>
    <t>친절하고 전문성있어서 좋았습니다</t>
  </si>
  <si>
    <t>신속히 친절하게 잘 해결해주셨습니다!! 좋은 하루 되세요!!!</t>
  </si>
  <si>
    <t>빠르게 일처리잘해주셨습니다</t>
  </si>
  <si>
    <t>문의 사항에 친철하게 답변해주셔서 감사합니다. 쉽게 설명해 주셔서 너무 좋았습니다</t>
  </si>
  <si>
    <t>친정하고 좋아요!!!</t>
  </si>
  <si>
    <t>친절하게 설명해주셧읍니다.</t>
  </si>
  <si>
    <t>친절하게 불편사항 처리해주시고, 궁금한 내용 문의시 알기 쉽게 잘 설명해주심</t>
  </si>
  <si>
    <t>다 알아서 해주시네요 감사합니다 소요시간도 얼마 안걸렸습니다</t>
  </si>
  <si>
    <t>만족합니다 수고하세요</t>
  </si>
  <si>
    <t>빠른상담 정검 감사합니다</t>
  </si>
  <si>
    <t>문의사항에 대해 알기 쉽게 설명해주심</t>
  </si>
  <si>
    <t>상담 친절하게 감사합니다</t>
  </si>
  <si>
    <t>빠르고 친절하게 잘 해주셨습니다. 감사합니다. 좋은 하루 되세요!</t>
  </si>
  <si>
    <t>전문가님이 기술지원해주셔서 문제가 해결되었습니다. LGU 인터넷에 신뢰가 더 쌓이게 되었습니다. 감사합니다.</t>
    <phoneticPr fontId="1" type="noConversion"/>
  </si>
  <si>
    <t>허둥대는 저를 꼼꼼하고 친절하게 도움 주셔서 감사합니다 덕분에 잘 해결됬네요 좋은 하루 되세요</t>
    <phoneticPr fontId="1" type="noConversion"/>
  </si>
  <si>
    <t>친절하게 설명해 주시고,, 빠르게 처리 해 주시고 필요한부분 업데이트까지 너무 친절하고 서비스가 좋습니다 아주 빠르게 처리 되어 마음에 쏙듭니다 서비스는 아주 만족스럽니다 상담하시는 분들도 모두 친절했고 빠르기 처리 해주 만족합니다</t>
    <phoneticPr fontId="1" type="noConversion"/>
  </si>
  <si>
    <t>친절하고 정확하게 알려주시네요</t>
  </si>
  <si>
    <t>너무 친절하고 빠르게 잘 도와 주셨습니다. 감사합니다 :) 늦은 시간 이였는데 덕분에 궁금한점도 많이 해결됬습니다 ㅎㅎ</t>
  </si>
  <si>
    <t>빠른진단 이전 상담사도 쵝오 빠른 해결 뚜러뻥 후 속시원합니다 감사합니다</t>
  </si>
  <si>
    <t>친절하고 자세하게 설명해주었습니다.</t>
  </si>
  <si>
    <t>아주친절하게 잘해주셨습니다^^ 감사합니다.</t>
  </si>
  <si>
    <t>친절하시고 알아듣기 쉽게 설명잘해주셔서 문제해결되어서 너무 만족합니다. 시스템적으로도 잘 갖춰진거같아서 좋았습니다.</t>
  </si>
  <si>
    <t>완벽하게 해결해주셨습니다. 생각보다 머리아픈 문제라 시간이 좀 걸렸지만 정확하게 제가 원하던점을 해결해주셨어요!</t>
  </si>
  <si>
    <t>즐거운 하루 되세요 수고하셨습니다 감사합니다</t>
  </si>
  <si>
    <t>너무 친철하게 응대하주시고 모르는 것도 자세하게 알려주셔서 감사합니다!</t>
  </si>
  <si>
    <t>좋은 서비스 감사합니다. 좋은 하루 보내세요 !</t>
  </si>
  <si>
    <t>빠른 문제해결과 친절한 상담으로 매우만족하였습니다^^</t>
  </si>
  <si>
    <t>친절한 설명 감사드립니다.</t>
  </si>
  <si>
    <t>상담원부터 원격수리기사님까지 모두 친절하고 신속하게 도와주십니다. 아주 만족해요.</t>
  </si>
  <si>
    <t>친절한 설명과 조치에 만족합니다.</t>
  </si>
  <si>
    <t>친절하게 잘 응대해주시고, 궁금한 것을 물어보면 잘 대답해주셨어요</t>
  </si>
  <si>
    <t>감사합니다. 친절하시네요</t>
  </si>
  <si>
    <t>좋았어요. 감사합니다.</t>
  </si>
  <si>
    <t>너무 친절히 잘해주시고 고민하던게 해결되어 기쁩니다 ! 감사합니다^^</t>
  </si>
  <si>
    <t>친절하게봐주셔서감사합니다</t>
  </si>
  <si>
    <t>너무 친절하게 상담해주시고 어떻게 대처해야 하는지도 알려주셔서 너무나 좋은 서비스를 받아서 기분이 너무 좋았습니다.</t>
  </si>
  <si>
    <t>고객이 노안과 고령으로 요청사항이 복잡하고 설명부족임에도 불구하고 자세한 설명과 친절한 응대로 큰 도움을 주었습니다 감사합니다.</t>
  </si>
  <si>
    <t>업무중에 인터넷이 안되어 너무 당황스러웠는데 빠르고 자세하게 설명해주시고 해결해주셔서 좋았어요</t>
  </si>
  <si>
    <t>정확히 언제부터 인터넷 끊어짐이 발생했는지 설명을 잘해주시고 인터넷이 어떻게 끊어지는지 설명을 잘해주셔서 이해하기 좋았습니다 감사함니다</t>
  </si>
  <si>
    <t>친절하게 봐주셨어요</t>
  </si>
  <si>
    <t>편하게 말씀해주시고 빠르게 진단해주셔서 좋았습니다!</t>
  </si>
  <si>
    <t>친철하게 모르는 부분을 상세히 알려주시고 답변해주셨습니다. 정말 감사합니다.</t>
  </si>
  <si>
    <t>처음 부터 끝까지 문제 해결에 도움 주시고 친절히 대응 해주셔서 감사합니다^^</t>
  </si>
  <si>
    <t>친절한 안내 감사합니다!</t>
  </si>
  <si>
    <t>친절히 상담 및 해결해주셔서 감사합니다</t>
  </si>
  <si>
    <t>말투다 엄청 친절하십니다 몸에 베이신거 같아요 빠른 진단으로 문제해결해 주셔서 감사합니다</t>
  </si>
  <si>
    <t>친절하고 완벽한 처리 감사합니다</t>
  </si>
  <si>
    <t>친절한 설명 고맙습니다</t>
  </si>
  <si>
    <t>모든 상담원분들이 친절하게 대응해 주셔서 불편한 부분 개선된 것 같아서 만족합니다</t>
  </si>
  <si>
    <t>친절하게 잘 안내해주시고 빠르게 점검 해주셨습니다</t>
  </si>
  <si>
    <t>급하게 컴퓨터 써야할일이 있었는데 원격진단으로 빠르게 해결해주셔서 불편이 바로 해소 되었습니다! 너무 감사합니다~ 더운여름 힘내세요^^</t>
  </si>
  <si>
    <t>간결하고 친절한 설명으로 원격 진단을 진행해주셔서 감사했습니다.</t>
  </si>
  <si>
    <t>친절한 응대로 잘처리해 주셔서 감사합니다</t>
  </si>
  <si>
    <t>너무 친절했습니다 감사합니다.</t>
  </si>
  <si>
    <t>제가 시력이 보이지 않아 기다리게 되는 상황이 항상 마음이 미안했었어요. 오늘 편안하게 차근차근 친절히 진행해 주셔서 너무나 감사 합니다. 잘 못 알고 있었던 부분도 알게 되어 감사합니다. 너무나 고마워요~ 감사합니다!!</t>
    <phoneticPr fontId="1" type="noConversion"/>
  </si>
  <si>
    <t>친절하게 잘 설명해주었고 무엇이 문제였고 어떻게 진행하면 되는지 순차적으로 설명해주었고 플랜 a b 같은 설명으로 수리 과정도 설명 해주었습니다 잘 수리 되길 바랄게요</t>
    <phoneticPr fontId="1" type="noConversion"/>
  </si>
  <si>
    <t>기사님 ,, 바쁘신 와 중에 귀찮아 하지 않으시고 엄청 친철하시게 꼼꼼하게 최선을 다해 처리해 주셨습니다. 넘 넘 감사드립니다. 행복한 하루 보내세요.</t>
    <phoneticPr fontId="1" type="noConversion"/>
  </si>
  <si>
    <t>ㄴㅇㅁㄹㅇㄴㄹㅇㄴㅁ</t>
  </si>
  <si>
    <t>친절히 감사합니다</t>
  </si>
  <si>
    <t>이런 서비스가 있는지도 모르고 있었는데 인터넷 설치 기사님께서 잘 설명도 해주시고 원격진단 연결도 해주셔서 오래쓰고 있던 드라이브도 업데이트 잘 마쳤습니다. 아주 만족스럽네요</t>
  </si>
  <si>
    <t>빠른 점검 감사드립니다.</t>
  </si>
  <si>
    <t>빨르고 좋았습니다</t>
  </si>
  <si>
    <t>매우 만족합니다 장시간 수고 많으셨습니다</t>
  </si>
  <si>
    <t>빠르고 좋습니다</t>
  </si>
  <si>
    <t>친절하시고 빠르고 정확하게 해결해주시고 감사합니다</t>
  </si>
  <si>
    <t>잘해주셨습니다</t>
  </si>
  <si>
    <t>빠릅니다.</t>
  </si>
  <si>
    <t>깔끔하게 해결되었어요 감사합니다!~</t>
  </si>
  <si>
    <t>친절하게 잘마무리했습니다</t>
  </si>
  <si>
    <t>매우 친절하시고 잘 알려주셨습니다. 감사합니다.</t>
  </si>
  <si>
    <t>빠른진단 및 쉬운 설명</t>
  </si>
  <si>
    <t>친절하게 해주셧습니다</t>
  </si>
  <si>
    <t>친절하게 자세히 설명해주셔서 감사했습니다. 이해가 잘 가고 필요한 부분을 잘 설명해주셔서 좋았었습니다.</t>
  </si>
  <si>
    <t>문제점 정확하게 인지하시고 친절하게 알려주셔서 3분내로 해결한후 종료됨. 아주 깔끔!</t>
  </si>
  <si>
    <t>친절함에 감사합니다 원격으로 잘 해 주셔서 감사합니다</t>
  </si>
  <si>
    <t>친절하고 빠르게 처리해주셨습니다</t>
  </si>
  <si>
    <t>상세하게 설명해주고 친절하게 답변해주셨습니다</t>
  </si>
  <si>
    <t>친절하고 신속하게 잘해주심</t>
  </si>
  <si>
    <t>요구드린거 다 확인해주시고 직접 인터넷 찾아서 추가 확인까지 해주시고 정말 친절하시네요 목소리도 좋으시고 ㅎㅎ 감사합니다 좋은하루 보내제쇼</t>
  </si>
  <si>
    <t>기사님 방문없이 요청사항을 신속하고 정확하게 해결해주셨어요. 대만족입니다~!</t>
  </si>
  <si>
    <t>빠른 설명에 감사합니다</t>
  </si>
  <si>
    <t>친절하게 잘 설명 해주시고 처리해주셨습니다. 빠른 대응 감사합니다</t>
  </si>
  <si>
    <t>잘안돼서 고민많이하고 고생많이했는데 친절하고 신속하게 정확하게 처리해주셨습니다 너무너무 고맙습니다 수고하세요</t>
  </si>
  <si>
    <t>궁금한 점들 친절히 잘 설명해 주셔서 감사합니다.</t>
  </si>
  <si>
    <t>너무 친절하고 빠르게 처리해주셨어요. 알고보니 별거 아닌거여서 .. 바쁘실텐데 친절하게 잘 봐주셔서 감사합니다.</t>
  </si>
  <si>
    <t>친절하고 점검서비스 좋았습니다.</t>
  </si>
  <si>
    <t>기사님이 친절하시고 PC가 잘되도록 도와주셨습니다. 친절한 기사님 감사합니다.</t>
  </si>
  <si>
    <t>친절하시고 이해할수있도록 상세하게 설명해주셔서 감사합니다.</t>
  </si>
  <si>
    <t>진단은 잘 해주셨는데.. 컴퓨터가 문제인지, 증권회사가 문제인지 해결은 안된 상태입니다.. 답답하네요..</t>
  </si>
  <si>
    <t>수고 많으셨습니다. 저녁에 다시 전화 드릴께요~</t>
  </si>
  <si>
    <t>아주 친절하십니다. 대만족!</t>
  </si>
  <si>
    <t>친절하고 상세하게 잘 안내해 주시고 확인해 주셔서 감사합니다.</t>
  </si>
  <si>
    <t>감사합니다~ 수고하셨습니다</t>
  </si>
  <si>
    <t>잘 모르는 부분 친절히 응대해주셔서 감사합니다. 덕분에 와이파이 사용이 원할하게 이루어 질수있었습니다.</t>
  </si>
  <si>
    <t>친절하고 정확하게 알려주셨어요.</t>
  </si>
  <si>
    <t>진단 잘받았구요 해결해줄려고 노력하셨는데 안되네요 수고하셨어요</t>
  </si>
  <si>
    <t>빠른 조치 감사 합니다.</t>
  </si>
  <si>
    <t>평소 느껴오던 인터넷 품질에 대한 아쉬움이 이번 빠른 진단과 정확한 원인 분석 덕분에 말끔히 해소되었습니다. 고객의 불편을 귀 기울여 듣고 신속히 대응해 주신 점에 깊이 감사드립니다. 요즘 들어 무선 인터넷 사용이 급증하고 있는 만큼, 관련 장비를 VIP 고객을 중심으로 한층 더 개선해 주신다면, 앞으로도 유플러스는 고객 감동을 이끄는 최고의 통신사로 더욱 빛나게 되리라 믿습니다.</t>
    <phoneticPr fontId="1" type="noConversion"/>
  </si>
  <si>
    <t>기사님 너무 친절하시고 정보도 자세하게 알려주셔서 확실하게 알고갑니다. 또 모르는거있으면 연락드리겠습니다 감사합니다!!</t>
    <phoneticPr fontId="1" type="noConversion"/>
  </si>
  <si>
    <t>잘고쳐두셨습니다 인터넷 끊김 증상을 잘 설명해주셨구. 해결해주신것 같습니다. 친철하게 상담 해주시고 감사합니다.</t>
    <phoneticPr fontId="1" type="noConversion"/>
  </si>
  <si>
    <t>상담사 분들이 너무 친절히 알려주시고해 기분이 좋네요 감사드립니다</t>
  </si>
  <si>
    <t>친절하시고 천천히 설명 잘해주시네요</t>
  </si>
  <si>
    <t>친절하게 잘 처리 해주셨습니다~</t>
  </si>
  <si>
    <t>친절하셔서 말하기가 편했습니다.</t>
  </si>
  <si>
    <t>문제원인을 확실하게 짚어서 빠른 처리해주신 점 감사합니다.</t>
  </si>
  <si>
    <t>친절하게 문제 해결을 잘 해주셔 감사드립니다. 혼자서는 안됐던 부분을 한번에 해결해주시고 나중에 혼자서도 변경 하수 있도록 메모 남겨주시는 친절함과 꼼꼼함을 칭찬드립니다. 답답했던 부분이 해결되서 너무 기분이 좋습니다. 저뿐만 아니라 다른 고객들에게도 이런 친절함이 전달되길 바랍니다. 별 ★★★★★</t>
  </si>
  <si>
    <t>너무 친절하셨어요</t>
  </si>
  <si>
    <t>아주 친절해서 감사합니다</t>
  </si>
  <si>
    <t>너무 친절하시고 메모장에도 설치기사 오실때 상황 설명할 멘트도 적어주셔서 좋았습니다~</t>
  </si>
  <si>
    <t>친절한 설명과 답변 감사드립니다. 수고하세요.</t>
  </si>
  <si>
    <t>너무 친절하게 알려주셨어여</t>
  </si>
  <si>
    <t>빠른 처리와 응대 감사드립니다</t>
  </si>
  <si>
    <t>친절하고 자세하게 잘 설명 후 빠르게 해결해 주셨습니다. 감사합니다</t>
  </si>
  <si>
    <t>너무 친절하게 대응해주셔서 감사합니다</t>
  </si>
  <si>
    <t>상세히 확인해주시고 이후 문제 발생시에 어떻게 문의드려야할지까지 안내해주셔서 좋았습니다. 감사합니다</t>
  </si>
  <si>
    <t>친절상담 및 인터넷속도체크 감사해요 수고하세요</t>
  </si>
  <si>
    <t>제가 겪고있는 문제를 최대한 이해해 주시려고 노력하셨고 친절하고 꼼꼼히 안내해 주셨습니다. 너무 감사드립니다</t>
  </si>
  <si>
    <t>써비스최고입니다</t>
  </si>
  <si>
    <t>친철하시고 작업속도 빠르십니다</t>
  </si>
  <si>
    <t>VPN문제로 넷플릭스 사용에 있어서 불편함을 겪는 2번째 상황인데, 잘 고쳐주셔서 감사합니다. 신나게 넷플릭스 볼게요 *^^*~!~!</t>
  </si>
  <si>
    <t>아이고 아주 친절하게 설명잘해주셔서 너무 이해가 잘되고 좋았습니다. 날씨도 더운데 고생하십시오</t>
  </si>
  <si>
    <t>친절하고 정확한 상담 감사드립니다. 즐거운 하루 되세요^^</t>
  </si>
  <si>
    <t>친절하고 상세하게 잘 알려주셔서 감사합니다.</t>
  </si>
  <si>
    <t>예, 대단히 만족합니다. 바쁘실텐데도 친철하게 하나 하나 잘 설명해주시고 추후 대처 방법도 잘 설명해주시니 정말로 기쁘게 상담을 마칠수가 있었습니다.이런것이 재가 LG U+를 계속 이용하는 이유인거 같네요... 더운날이 계속되는데 수고 하세요....</t>
  </si>
  <si>
    <t>너무 친절하고 간단하게 잘 해결 되었습니다. 매우 만족 입니다.</t>
  </si>
  <si>
    <t>-</t>
  </si>
  <si>
    <t>친절하게 안내해 주셔서 감사드립니다.</t>
  </si>
  <si>
    <t>너무 친절하셧어요 감사합니다</t>
  </si>
  <si>
    <t>신속하게 잘 처리해주셨습니다.</t>
  </si>
  <si>
    <t>점심시간인데도 친절하게 잘해주셔서 감사합니다.</t>
  </si>
  <si>
    <t>친절하게 잘 설명해주셨어요!</t>
  </si>
  <si>
    <t>로봇청소기 와이파이 접속 관련 문제를 원활히 해결해주시고 친절하고 쉽게 설명 해주셔서 작업이 금방 끝났습니다 감사합니다</t>
  </si>
  <si>
    <t>서비스 좋습니다. 알고 싶은거 친절하게 알려 주셨습니다.</t>
  </si>
  <si>
    <t>매우 친절하게 잘 대해주셨습니다 감사합니다!</t>
  </si>
  <si>
    <t>집에서 혼자 이것저것 방법을 찾아서 했는데도 안돼서 속상했는데 고객센터 전화하니 문제 해결을 신속하게 처리해주셔서 감사합니다.</t>
  </si>
  <si>
    <t>친절히 잘 알려주시네요~</t>
  </si>
  <si>
    <t>친절하게 말씀 잘 하시네요.....</t>
  </si>
  <si>
    <t>이해하기 쉽게 설명해주시고 친절하십니다</t>
  </si>
  <si>
    <t>기사님 친절하시고 고객에게 어려운 부분 설명을 쉽게 잘해 주셨습니다</t>
  </si>
  <si>
    <t>서바스 만족합니다</t>
  </si>
  <si>
    <t>좋았습니다. 친절하시고, 내용도 이해할 수 있겠금 해주셨습니다. 다시 한번 감사 드립니다.</t>
    <phoneticPr fontId="1" type="noConversion"/>
  </si>
  <si>
    <t>월요일 에 바쁘실텐대 웃으시면서 밝게 응대해주시고 문제점 해결해주셔서 너무나 감사드립니다 더우신데 수고하세요 엘지 서비스 멋지십니다</t>
    <phoneticPr fontId="1" type="noConversion"/>
  </si>
  <si>
    <t>지금까지 잘 사용하던 와이파이. 갑자기 불통 서비스센타에 문의 아~와이파이가 문제 아니라 내노트북에 문제가 있었네요~ 상담원 양 00분의 이쁜목소리와 듬직한 남자 상담원의 설명에 이해가 되었네요~ 두 분 친절한 상담에 감사드립니다~ 수고하세요!!!!!</t>
    <phoneticPr fontId="1" type="noConversion"/>
  </si>
  <si>
    <t>늦은 시간이었는데도 친절하게 상담해주시고 해결해주셔서 정말 감사합니다</t>
  </si>
  <si>
    <t>늦은시간에도 친절한 상담 및 조치 잘 받았습니다 만족합니다 감사하빈다</t>
  </si>
  <si>
    <t>매우 만족합니다. 친절하게 문제된 부분들을 알려주시고, 추가로 궁금하거나 모르는 것들(컴퓨터에 대한)내용들도 친절하게 알려주십니다. 덕분에 잘 해결됐습니다. 감사합니다.</t>
  </si>
  <si>
    <t>친절하게 잘 설명해주시면서 빨리 고쳐주셨어요!</t>
  </si>
  <si>
    <t>친절하고 알아듣기 쉽게 설명해주시고 처리됨</t>
  </si>
  <si>
    <t>감사합니다 :)</t>
  </si>
  <si>
    <t>빠른 점검 조치 감사드립니다</t>
  </si>
  <si>
    <t>아주 잘 점검 해주셨습니다</t>
  </si>
  <si>
    <t>친절하게 상담 잘 해주셔서 감사합니다</t>
  </si>
  <si>
    <t>컴퓨터의 문제를 한번에 해주셔서 너무 좋았습니다</t>
  </si>
  <si>
    <t>스마트원격진단 좋습니다 감사합니다</t>
  </si>
  <si>
    <t>기본 설명도 잘해주시고 물어보는 부분에 대해서도 상세하게 잘 설명해주심</t>
  </si>
  <si>
    <t>설명도 아주쉽게 하시고 친절했어요</t>
  </si>
  <si>
    <t>신속하고 친절한 진단 서비스 감사합니다!</t>
  </si>
  <si>
    <t>불편한 부분에 있어 빠르고 친절하게 처리해주셨습니다.</t>
  </si>
  <si>
    <t>친절하게 설명해주시고 알기 쉽게 설명해주셔서 너무 빠르게 해결했습니다 정말 감사해요!</t>
  </si>
  <si>
    <t>친절하고 자세히 이야기 해줘어요</t>
  </si>
  <si>
    <t>빠르게 처리해주셔서 감사합니다~</t>
  </si>
  <si>
    <t>A/S기사님께서 친절하게 설명까지 해주셔서 큰 도움이 되었습니다. 고객센터 스마트원격진단 점검 담당자께서도 꼼꼼히 확인하고 설명해주셔서 감사합니다.</t>
  </si>
  <si>
    <t>문제점을 잘 파악하셔서 설명도 쉽게 해주시고 빠르게 불편함을 처리해주셨습니다.</t>
  </si>
  <si>
    <t>친절하고 전문적입니다</t>
  </si>
  <si>
    <t>친절하게 안내 감사합니다</t>
  </si>
  <si>
    <t>친절하게 해주시고 빠르게 잘 해결해주셨습니다</t>
  </si>
  <si>
    <t>점검 감사합니다. 수고하셨습니다.</t>
  </si>
  <si>
    <t>친절하고 수고하셨습니다</t>
  </si>
  <si>
    <t>하나하나 꼼꼼히 확인해주시고, 너무너무 친절하셔서 기분 좋은 하루가 됐어요 ! : ) 감사합니다 !</t>
  </si>
  <si>
    <t>친절하고 상세하게 대해주셔서 정말 감사드립니다.</t>
  </si>
  <si>
    <t>굉장히 친절한 말투와 귀에 쏙쏙들어오는 설명!! 좋았습니다</t>
  </si>
  <si>
    <t>친절하게 상담을 잘해주셔서 감합니다^^</t>
  </si>
  <si>
    <t>부끄러울 정도로 정말 간단한 문제였는데 친절하게 설명해주시고 해결해주시려고 노력해주시는 모습, 너무 감동입니다.</t>
  </si>
  <si>
    <t>지원에 감사드림니다 수고 하셨습니다</t>
  </si>
  <si>
    <t>컴퓨터 문제점에 대해 확실하고 빠르게 추정해주어서 너무 고맙습니다. 원격진단 최고에요.</t>
  </si>
  <si>
    <t>친절하게 잘 상담 해 주셨습니다.</t>
  </si>
  <si>
    <t>좋았습니다.</t>
  </si>
  <si>
    <t>서비스, 상담원은 마음에 들음. 하지만 내가 원하는 서비스까지 가는게 어렵네요.</t>
  </si>
  <si>
    <t>기사님이 설명도 잘하고 잘 이해하게 했음</t>
  </si>
  <si>
    <t>연동하고 설치하는 동안 끝까지 기다려주시고 설명도 친절하게 잘해주셨어요^^</t>
  </si>
  <si>
    <t>사용에 불편없게 잘 해 주신거 같습니다</t>
  </si>
  <si>
    <t>감사합니다 요구사황 잘 해주셔서 고맙습니다 엘지 화이팅 아자아자</t>
  </si>
  <si>
    <t>친절하게 상담해주시고 설명도 깔끔하게 잘 해주십니다.</t>
  </si>
  <si>
    <t>빠르고 완벽하게 처리해주시고 친절까지 하셔서 너무 만족했습니다 감사합니다</t>
  </si>
  <si>
    <t>아주 친절하게 말씀해주시고 부연 설명까지 잘해주셨습니다.</t>
  </si>
  <si>
    <t>생각보다 신속하고 정확하게 문제해결을 해주셔서 감사합니다.</t>
  </si>
  <si>
    <t>안녕하세요. 친절하고 빠른 문제해결 해주셔서 감사합니다. 최고입니다.</t>
  </si>
  <si>
    <t>이런 서비스가 있었는지 몰라서 전화를 드린건대 너무 친절하고 스피드하게 문제를 해결해주셔서 너무너무 감사합니다. 다음에도 이용하겠습니다!!</t>
    <phoneticPr fontId="1" type="noConversion"/>
  </si>
  <si>
    <t>공유기 비번을 눌러도 안되서 해킹인지 lg u 플러스에서 막아서 그랬는지 몰라서 원격진단을 받았는데 #을 *로 잘못봐서 그랬네요 2분도 안되서 해결됬습니다 감사합니다.</t>
    <phoneticPr fontId="1" type="noConversion"/>
  </si>
  <si>
    <t>설멸 하신대로 잘 하였읍니다 설명 하신대로 하였고 이후 인터넷에서는 문제가 아니고 기기 교체이후 pc 설정이 문제가되어 발생이 되었다고 하니 그쪽으로 문의를 하겠읍니다 S/A 을 받아보겠읍니다 수고 하셌읍니다 감사합니다</t>
    <phoneticPr fontId="1" type="noConversion"/>
  </si>
  <si>
    <t>새로 구입한 복합기가 와이파이에 연결이 안 돼서 출력도 못 하고, 스캔도 먹통이라 진짜 답답했거든요. 혼자 이것저것 만져보다가 도저히 안 되겠어서 스마트 원격진단 서비스를 신청했어요. 상담 연결되자마자 너무 친절하게 하나하나 설명해주시고, 바로 원격으로 체크해주시더라고요. 문제 원인도 금방 찾아주시고, 복합기랑 와이파이 다시 제대로 연결되도록 설정까지 싹 정리해주셨어요! 무엇보다 너무 친절하게 응대해주셔서, 기술적인 얘기도 어렵지 않게 들렸고요. 덕분에 지금은 복합기 인쇄도 잘 되고, 스캔도 문제없이 잘 되고 있습니다. 혹시 저처럼 복합기 와이파이 때문에 스트레스받고 계신 분들 계시다면, 망설이지 말고 원격진단 서비스 꼭 한번 이용해보세요. 진짜 추천드려요!</t>
    <phoneticPr fontId="1" type="noConversion"/>
  </si>
  <si>
    <t>빠른 조치 넘무 감사드립니다. 잘쓰겠습니다. 좋은 하루되셔요 ~~~</t>
  </si>
  <si>
    <t>수고했습니다!!!</t>
  </si>
  <si>
    <t>친절하게 끝까지 도움주셨어요~잘 처리받았습니다.</t>
  </si>
  <si>
    <t>매우 친절하시고 문제해결 잘 되었습니다.</t>
  </si>
  <si>
    <t>너무 친절하게 잘도와주셔서 너무 감사합니다 덕분에 수월하게 잘 이용할거 같습니다</t>
  </si>
  <si>
    <t>고객 NEEDS 를 신속 정확하게 응대 해 주시는 느낌을 강하게 받았고 친절함 감사드립니다!</t>
  </si>
  <si>
    <t>친절한 서비스 너무 감사합니다 매우 만족합니다</t>
  </si>
  <si>
    <t>잘받았고 테스트 해보겠습니다</t>
  </si>
  <si>
    <t>신속 정확 굿</t>
  </si>
  <si>
    <t>신속 정확하게 수리해주셨습니다 감사합니다</t>
  </si>
  <si>
    <t>친절하고 잘 대처해주셨어요</t>
  </si>
  <si>
    <t>좋은서비스 감사합니다.다음에도 신청하겠습니다.</t>
  </si>
  <si>
    <t>문제해결 잘 돼셨습니다</t>
  </si>
  <si>
    <t>친절하게 설명해주셔서 감사합니다</t>
  </si>
  <si>
    <t>알기쉽게 친절하게 상담해 주셔서 감사합니다</t>
  </si>
  <si>
    <t>최고에요 간단한 문제를 못 보고 놓쳤었는데 원격해주신 기사님이 친절하고 빠르게 응대해주시고 작업 후에 결과와 설명도 잘해주셔서 걱정이 안됩니다.</t>
  </si>
  <si>
    <t>침착하게 대응해 주셔서 잘 해결했습니다. 감사합니다.</t>
  </si>
  <si>
    <t>아주 빠르고 친절하게 원하는 서비스 제공해 주셨습니다 감사합니다.</t>
  </si>
  <si>
    <t>빠르고 친절한 안내, 신속한 해결 감사드립니다.</t>
  </si>
  <si>
    <t>너무 친절하시고 문제를 해결해주셨어요 ! 감사합니다</t>
  </si>
  <si>
    <t>유용하고 좋은서비스 인거 같습니다. 잘쓰겠습니다/</t>
  </si>
  <si>
    <t>신속하고 정확한 진단 감사합니다.</t>
  </si>
  <si>
    <t>너무 친절 하시고 컴퓨터 지식이 없는 사람도 알아 듣기 쉽게 잘 설 명 해주 셨어 요</t>
  </si>
  <si>
    <t>친절하고 좋았습니다</t>
  </si>
  <si>
    <t>매우친절하심. 안되는 부분의 대한 이해도가 매우 높으심. 빠른 해결 감사합니다.나이쓰</t>
  </si>
  <si>
    <t>친절하시고 설명을 잘해주세요! 매우 만족합니다</t>
  </si>
  <si>
    <t>이것저것 귀찮게했는데도 너무 응대를 잘해주심에 감사드립니다</t>
  </si>
  <si>
    <t>기사님 방문해주셔서 원격연결해서 친절히 설명해주시고 여러가지 원인을 고치고 해주셔서 만족합니다 감사합니다</t>
  </si>
  <si>
    <t>친절하고 빨리 조치해주셔서 감사합니다</t>
  </si>
  <si>
    <t>상담 하시는 분이 친절하게 문제를 해결해 주셔서 감사합니다.</t>
  </si>
  <si>
    <t>너무 친절하시고 신속하게 도움받았습니다</t>
  </si>
  <si>
    <t>친절하고 빠른 진단 감사합니다.</t>
  </si>
  <si>
    <t>친절하고 빠르게 조치해주셨습니다. 감사합니다!</t>
  </si>
  <si>
    <t>서비스만족합니다</t>
  </si>
  <si>
    <t>친절하고 정확하게 잘 설명해주셨습니다. 대비책도 잘 말씀주셔서 기사님 방문으로 하게 잘 설명주셨습니다</t>
  </si>
  <si>
    <t>상세한 설명과 작업내용안내 및 추후 조치 방법까지 상세한 안내 감사드립니다</t>
  </si>
  <si>
    <t>친절 신속 만족스러운 결과</t>
  </si>
  <si>
    <t>매우 친절 하시고 빠른 처리 해주시려 하셔서 마음이 좋습니다 만족 하고 감사 드려요</t>
  </si>
  <si>
    <t>너무 너무 친절하시고 문제도 찾을 수 있었습니다! 너무 감사합니다!! ^^</t>
  </si>
  <si>
    <t>친철하시게 설명해주셔서 빠르게 문제를 해결할 수 있었습니다 감사합니다</t>
  </si>
  <si>
    <t>빠르고친절하셈</t>
  </si>
  <si>
    <t>기사님께서 친절하게 잘설명해 주셨구요</t>
  </si>
  <si>
    <t>친절하게 잘 안내해주셔서 감사합니다</t>
  </si>
  <si>
    <t>친절하게 잘설명해주십니다</t>
  </si>
  <si>
    <t>인터넷 연결 끊김 문제로 원격진단을 해주셔는데 친절하게 여러가지 원인을 찾아주셔서 방문접수까지 완료해주셔서 감사합니다</t>
    <phoneticPr fontId="1" type="noConversion"/>
  </si>
  <si>
    <t>며칠을 제대로 설치하지 못해서 머리가 아플정도였는데... 친절하게 원격으로 싸악 복잡했던 부분을 시원하게 해결 해 주셔서 감사합니다.!!!</t>
    <phoneticPr fontId="1" type="noConversion"/>
  </si>
  <si>
    <t>마이크로 소프트 엣지 윈도우 관련 기능으로 본인의 업무가 아닌데도 성실하게 고객의 요구에 친절히 응답해주시고, 해결해주셔서 너무나 감사합니다. 수고하셨습니다.</t>
    <phoneticPr fontId="1" type="noConversion"/>
  </si>
  <si>
    <t>기술자님의 프로패셔널한 기술 능력과 친절한 대응이 너무 좋았습니다 속썪였던 문제였는데 속시원히 해결되어 너무 감사합니다</t>
  </si>
  <si>
    <t>친절하고 신속한 상담 잘해주셨습니다.</t>
  </si>
  <si>
    <t>친절하게 잘 설명해주셨습니다. 감사합니다 도움 많이되었습니다.</t>
  </si>
  <si>
    <t>친절하게 응대도 해주시고, 하나하나 친절하게 알려주셔서 쉽게 도움 받았습니다. 뭐가 문제인지 정확하게 들으시고, 캐치 빠르게 하셔서 점검도 친절하게 잘해주셨어요. 꼼꼼히 체크해주시고, 확인해주셔서 감사합니다.</t>
  </si>
  <si>
    <t>친절하고 이해하기 쉽게 서비스 잘 받았습니다^^</t>
  </si>
  <si>
    <t>신속하게 처리됬습니다</t>
  </si>
  <si>
    <t>명확하고 너무나 친절하십니다.</t>
  </si>
  <si>
    <t>친절하시고 차분하셔서 편했습니다.</t>
  </si>
  <si>
    <t>빠르고 친절함 감사합니다 좀더 적극적인 마음 자세가 필요할듯요 질문에 내가 더 잘알죠 이말은 참 그렇죠 알면 상담 머하러 하겟나요? 팩트는 자기가 본 세상이나 아는 기술이 다가 아님을 자각하시길</t>
  </si>
  <si>
    <t>너무나 친절하고 문제해결에 최선을 다해주셨습니다. 감사합니다.</t>
  </si>
  <si>
    <t>정말 친절히 점검해주셨어요</t>
  </si>
  <si>
    <t>빠르게 점검해주셨고 쉽게 설명해주심</t>
  </si>
  <si>
    <t>궁금한점, 이해안되는것들 및 원격으로 무엇을 진행 한지 하나하나 다 친절하게 알려주시고 문제점을 빠르게 잡아주셨습니다.감사합니다.</t>
  </si>
  <si>
    <t>전체적인 프로그램도 봐주시고 랜카드도 업데이트하기 힘들었는데 해주시고 이런 서비스가 있어서 너무 좋습니다.수고하셧습니다.</t>
  </si>
  <si>
    <t>빠른점검 감사합니다</t>
  </si>
  <si>
    <t>전문적인 설명 친절한 대응 사후 적절한 안내 모두 만족합니다. 감사합니다.</t>
  </si>
  <si>
    <t>엄청 친절하셨어요 감사합니다.</t>
  </si>
  <si>
    <t>침절하게 원인파악 해결해주심</t>
  </si>
  <si>
    <t>친절하게 설명해주세요</t>
  </si>
  <si>
    <t>편하고 친절하게 문제 해결을 해주십니다</t>
  </si>
  <si>
    <t>덕분에 완전해결되었네요 감사합니다 건강하세요</t>
  </si>
  <si>
    <t>친절하고 신속처리 했습니다</t>
  </si>
  <si>
    <t>원격접속으로 점검 진행했고 방문 접수까지 원활히 진행해주셨습니다. 감사합니다.</t>
  </si>
  <si>
    <t>방문 없이 원격으로 받으니 편하고 좋네요 친절하니 문제 해결 잘된것 같습니다</t>
  </si>
  <si>
    <t>친절한 상담과 빠른 조치에 감사합니다.</t>
  </si>
  <si>
    <t>빠르게 원격으로 해결 해주시고, 너무 친절 하시네요~~</t>
  </si>
  <si>
    <t>인터넷 장기간 장기간 사용하고있는데...그것도 1기가.......인터넷 속도때문에 요즘들어서 일주일정도쯤 계속늦어줘서 문의했는데...전혀 도움이 안되내요....완전히 실망하내요.. 비싼요금 사용하면서..서비스대응이 너무 엉망이내요... 다른데로 이용해야겠내요....비싼요금내면서..</t>
  </si>
  <si>
    <t>원격으로 친절하고 자세히 설명함.</t>
  </si>
  <si>
    <t>친절하고 자세한설명 감사합니다~**</t>
  </si>
  <si>
    <t>제가 잘 못 알아 듣는데도 친절히 설명해 주셨습니다 감사합니다.</t>
  </si>
  <si>
    <t>너무 친절하고 고맙습니다.</t>
  </si>
  <si>
    <t>친절상담감사합니다</t>
  </si>
  <si>
    <t>만족스러웠음</t>
  </si>
  <si>
    <t>친절하게 해결해주셔서 감사합니다~</t>
  </si>
  <si>
    <t>빠르게 도와주셔서 정말 좋앗습니다 다음에도 비슷한 상황이 발생된다면 또 도움을 요청을 할꺼같네여 ㅎㅎ 감사합니다</t>
  </si>
  <si>
    <t>상담도 친절하시고 빠른 처리와 자세한 설명이 아주 만족스러웠습니다.</t>
    <phoneticPr fontId="1" type="noConversion"/>
  </si>
  <si>
    <t>스마트원격점검 추천합니다 저희 컴맹이라 이런거 몰랐는데 이런 서비스가 있다니 좋네요 이런 서비스 많이많이 만들어 주시고 원격점검해 주신 분께도 감사 말씀 드립니다.</t>
    <phoneticPr fontId="1" type="noConversion"/>
  </si>
  <si>
    <t>앞으로도 활성화 되면 좋겠습니다.. 현장에서 홈매니저가 할수 없는 업무도 많은데 요런 원격이 된다면 고객에게도 신뢰감을 줄수있을꺼 같습니다... 감사합니다</t>
    <phoneticPr fontId="1" type="noConversion"/>
  </si>
  <si>
    <t>최최고 감사합니다. 진짜 감사합니다.</t>
  </si>
  <si>
    <t>신속, 정확, 친절.</t>
  </si>
  <si>
    <t>상담원분들이 너무 친절하게 설명과 문제 해결까지 완벽하게 진행해주셔서 너무 감사합니다^^ 아이들때문에 연결안되서 난감한 상황이였는데 주말에 연락했는데도 너무 빠르게 연결되고 빠른 해결까지... 너무 감사합니다</t>
  </si>
  <si>
    <t>빠른 해결 해주셨고 설명도 매우 친절하셔서 감사합니다.</t>
  </si>
  <si>
    <t>전화상담 및 원격상담자님들 너무 친절히 잘 설명해주셔서 감사합니다.</t>
  </si>
  <si>
    <t>조이시티 프리스타일1 방장 호스트 관련해 원격 지원으로 해결 받았습니다! 기사님도 친절하게 해주셔서 감사합니다!</t>
  </si>
  <si>
    <t>주말에 쉬지도 못하시고 근무하시네요^^; 친절하게 서비스 해 주셔서 감사합니다 수고하세요^^</t>
  </si>
  <si>
    <t>정말 친절하게 설명주시고 처리까지 완벽하게 진행해주셨습니다. 감사합니다.</t>
  </si>
  <si>
    <t>써비스 응답에 매우 만족합니다</t>
  </si>
  <si>
    <t>친절하게 잘 대응해주시고 해결 해주셨습니다</t>
  </si>
  <si>
    <t>빠른처리 감사합니다</t>
  </si>
  <si>
    <t>친절하시고설명도 잘해주셔서 좋았습니다.</t>
  </si>
  <si>
    <t>원격진단 잘 받았습니다.</t>
  </si>
  <si>
    <t>친절하게 상황 설명 잘 해주시고 어느정도 해결점도 제시 해 주셔서 감사 합니다. 늦은시간 수고 많으셨습니다.</t>
  </si>
  <si>
    <t>문제점을 면밀히 확인 하고 빠른 진단을 해주셨습니다 덕분에 빠른시간 안에 문제가 잘 처리 되었습니다</t>
  </si>
  <si>
    <t>너무나 친절하셨습니다.</t>
  </si>
  <si>
    <t>친절히 확인해주셔서 감사합니다~</t>
  </si>
  <si>
    <t>시간이 많이 지체 되어도 계속 기다려 주시는거에 감동 입니다 엄청 엄청 굿굿!!</t>
  </si>
  <si>
    <t>무더운 날씨에 건강 관리 잘하십시요 고맙습니다.</t>
  </si>
  <si>
    <t>문제점을 정확히 알려주셔서 정말 좋았습니다</t>
  </si>
  <si>
    <t>담당자 연결도 빠르고 좋았습니다</t>
  </si>
  <si>
    <t>친정하고 빠른대응 감사합니다</t>
  </si>
  <si>
    <t>만족합니다 궁금즘이 풀렸어요</t>
  </si>
  <si>
    <t>채굴때문에 어려웠는데 감사합니다.</t>
  </si>
  <si>
    <t>친절하게 설명해 주셔서 정말 좋았습니다.</t>
  </si>
  <si>
    <t>친절한 상담과 조치 감사드립니다</t>
  </si>
  <si>
    <t>점검 빠르게 해주시고 몰랐던 부분도 말씀해주시고 친절 하셨습니다 감사합니다 자주 이용하겠습니다~!</t>
  </si>
  <si>
    <t>너무 좋았습니다 친절하고 빠른 설명 감사합니다</t>
  </si>
  <si>
    <t>친절하게 잘 설명해주시고 해결해주셨습니다 감사합니다</t>
  </si>
  <si>
    <t>친절하게 잘 상담해 주셨습니다. 감사합니다.</t>
  </si>
  <si>
    <t>친절하게 안내주셔서 좋았습니다.</t>
  </si>
  <si>
    <t>여성2ㅂ</t>
  </si>
  <si>
    <t>친절하게 이것저것 알려주셔서 감사합니다.</t>
  </si>
  <si>
    <t>너무 친절하게 잘 지원해 주셨습니다. 감사합니다.</t>
  </si>
  <si>
    <t>매우 친절하고 신속하게 처리해주셨습니다!!</t>
  </si>
  <si>
    <t>매우 친절하게 처리해주시고, 설명도 이해하기 쉽게 해주셨습니다!</t>
  </si>
  <si>
    <t>설명을 친절하게 잘해주셨구 어떤 방법으로 하면 좋을지 알려주셔서 그방법 한번 써보려고 합니다 ! 상담 감사합니다 !</t>
    <phoneticPr fontId="1" type="noConversion"/>
  </si>
  <si>
    <t>완전 샤샤샥 파팍 하고 끝내주시고 정확하게 빠르게 침착하게 설명해 주셨으며, 전화 상담으로도 친절하고 간결하게 안내해주세셔서 빠르게 진행되었습니다. 감사합니다!</t>
    <phoneticPr fontId="1" type="noConversion"/>
  </si>
  <si>
    <t>처음해보는데 신기하구 기사님도 친철하구 아주아주 좋았읍니다. 나중에 문제가 발생시 대처 방법도 가르쳐주시고 정말 정말 감사했읍니다</t>
    <phoneticPr fontId="1" type="noConversion"/>
  </si>
  <si>
    <t>밤늦은 시간에도 도움 주셔서 감사합니다 컴퓨터 문제였지만 끝까지 확인해주시고 문제 해결해 주셔서 감사합니다</t>
  </si>
  <si>
    <t>자세한 설명과 함께 부가적인 사항까지 친절하게 안내해주셔서 감사합니다</t>
  </si>
  <si>
    <t>신속 친절하게 너무 감사드립니다.</t>
  </si>
  <si>
    <t>너무 친절하게 설명도 너무너무 잘해주셨습니다.</t>
  </si>
  <si>
    <t>상담사분이 신속 정확하고 어떤게 문제인지 알려주시면서 조치해주시니 너무너무 감사했습니다~</t>
  </si>
  <si>
    <t>친절히 잘 처리해주셨습니다 감사해요</t>
  </si>
  <si>
    <t>친절하고, 빠르게 처리해주셨어요~</t>
  </si>
  <si>
    <t>만족 합니다 감사합니다</t>
  </si>
  <si>
    <t>친절하셔서 너무 감사드립니다</t>
  </si>
  <si>
    <t>친절하게 잘해주셨어요!</t>
  </si>
  <si>
    <t>원격 서비스와 시스템 설명 등 자세히 설명해주셔서 감사합니다</t>
  </si>
  <si>
    <t>너무 친절하게 잘 응대해주셔서 기분이 좋았습니다!</t>
  </si>
  <si>
    <t>안내도 친절하시고 뭐가문제인지 잘알려주었습니다 너무 친절했어요</t>
  </si>
  <si>
    <t>친절한 상담 감사했습니다.</t>
  </si>
  <si>
    <t>빠르게 문제 파악 후 해결해주셨습니다. 감사합니다^^</t>
  </si>
  <si>
    <t>친절하게 잘 설명해주시고 꼼꼼하게 점검해주셔서 매우 만족합니다!</t>
  </si>
  <si>
    <t>친절하고 빠른처리 해주셨습니다 감사합니다.</t>
  </si>
  <si>
    <t>신속정확하게 처리완료되었습니다</t>
  </si>
  <si>
    <t>상담사님 친절히 잘 설명해주시고 요청사항 처리 잘해주셔서 감사합니다.</t>
  </si>
  <si>
    <t>친절하게 잘 설명해주셔서 한번에 이해됐습니다. 감사합니다 ^^</t>
  </si>
  <si>
    <t>친절하고 신속하게 잘 해결 완료 되는 점이 너무 좋아요~</t>
  </si>
  <si>
    <t>스마트 원격진단 최고입니다. 그리고 진단해주신 기사님도 최고의 서비스 감사드립니다.</t>
  </si>
  <si>
    <t>열심히 해주셔서 감사합니다</t>
  </si>
  <si>
    <t>너무 신속하고 친절하게 지원해 주셔서 감동 했습니다. 수고 하셨습니다.</t>
  </si>
  <si>
    <t>설명 잘 해주시고 친절히 안내해주십니다</t>
  </si>
  <si>
    <t>빠른 조치 감사드립니다</t>
  </si>
  <si>
    <t>문제점에대해상세히설명해주셔서많은도움이되었습니다 고맙습니다. 화이팅 .</t>
  </si>
  <si>
    <t>친절하게 자세한 상담 잘 받았습니다.</t>
  </si>
  <si>
    <t>일반인들은 잘 모르는 복잡한 사항에 대해 자세히 설명해 주셔서 감사합니다.</t>
  </si>
  <si>
    <t>간단한 공유기 접속 방법 문의차 연락드렸는데 다른 연결 방법도 친절히 알려주시고 설정도 원격으로 척척 해주시네여.. 단순히 유플러스 문제뿐 아니라 네트웍 전반적인 문제까지 훤히 아시니 명쾌하게 해결됐습니다.. 감사합니다..</t>
    <phoneticPr fontId="1" type="noConversion"/>
  </si>
  <si>
    <t>공유기에 대한 서비스 잘 받았습니다. 모르는 부분에 대해서 잘 알려주셨으며 제가 잘 안되는 것에 대한 설명을 잘 하지 못했는데도 알아들으시고 잘 해결해 주셔서 감사합니다.</t>
    <phoneticPr fontId="1" type="noConversion"/>
  </si>
  <si>
    <t>기사님께 진심으로 감사드립니다. 처음부터 끝까지 아주 친절하게 설명해 주시고, 문제를 빠르고 정확하게 해결해 주셔서 정말 감동했습니다. 제가 기계에 대해 잘 몰라서 여러 가지를 물어봤는데도 불편한 기색 하나 없이 자세히 설명해 주셔서 너무 감사했어요. 또한 깔끔하게 정리해 주시고, 사용 방법과 주의사항까지 친절히 알려 주셔서 앞으로 사용할 때 훨씬 수월할 것 같습니다. 덕분에 큰 스트레스 없이 문제를 잘 해결할 수 있었습니다. 이런 훌륭한 기사님이 계셔서 LG 서비스에 대한 신뢰가 더 커졌습니다. 다시 한 번 감사드리고, 항상 건강하시고 좋은 일만 가득하시길 바랍니다!</t>
    <phoneticPr fontId="1" type="noConversion"/>
  </si>
  <si>
    <t>친절하게 알려주셨어요</t>
  </si>
  <si>
    <t>간단한 사용자 부주의나 문제도 고객의 입장에서 생각해주고 해결해주셔서 감사했습니다. 처음에는 막연한 문제라 생각했는데 친절하게 설명해주셔서 이해하기 좋았습니다</t>
  </si>
  <si>
    <t>친절하게 잘 점검해주셨고 제 질문에 많은 도움을 주셨습니다 감사합니다</t>
  </si>
  <si>
    <t>친절히 잘받습니다</t>
  </si>
  <si>
    <t>수고하셨습니다. 도움 되었습니다.</t>
  </si>
  <si>
    <t>친절하게 상담</t>
  </si>
  <si>
    <t>친절하시고 상세한 설명 감사합니다 불편한 점이 잘 해소된 것 같습니다</t>
  </si>
  <si>
    <t>확실히 진단해서 문제가 무엇인지 제대로 짚어 주셨어요~ 친절한 상담과 후속조치 감사합니다 ^^</t>
  </si>
  <si>
    <t>상담도 친절하시고 알기 쉽게 설명해주셔서 만족햇습니다</t>
  </si>
  <si>
    <t>설명도 잘 해주시고 충분히 알아들을 수 있게 잘 설명해주시네요..</t>
  </si>
  <si>
    <t>친절하시게 꼼꼼히 봐주셨네요</t>
  </si>
  <si>
    <t>너무 친절한 안내에 감사드립니다.</t>
  </si>
  <si>
    <t>메모장에 말씀하시는 내용을 나중에도 확인해보기 쉽도록 메모해주셔서 이해가 잘되었습니다 감사합니다.</t>
  </si>
  <si>
    <t>너무 친절하세요 킹왕짱!!</t>
  </si>
  <si>
    <t>친절하고 자세한설명 잘들었습니다. 감사합니다.</t>
  </si>
  <si>
    <t>만족합니다 친절하고 설명을 잘해주시네요</t>
  </si>
  <si>
    <t>네덕분에 친절히 서비스잘받았습니다 감사합니다</t>
  </si>
  <si>
    <t>친절하게 잘 설명해주셔서 감사해요</t>
  </si>
  <si>
    <t>정말 친절하시고 빠르고 목소리도 좋으세요</t>
  </si>
  <si>
    <t>친절하고 알아 듣기 쉽게 설명해주셨습니다. 제가 제시한 문제 외에도 다른 문제가 있을 수 있다고 짚어 주셔서 고려해볼 수 있었습니다. 감사합니다.</t>
  </si>
  <si>
    <t>친절그잡채</t>
  </si>
  <si>
    <t>접수 후 빠르게 진단 해주시고 원격으로 진단 해 주셔서 어려움 없이 쉽게 해결 할 수 있어서 좋았습니다</t>
  </si>
  <si>
    <t>수고 많으셨습니다 고맙습니다 최고입니다</t>
  </si>
  <si>
    <t>매우 친철한 서비스를 받았습니다 대단히 감사합니다</t>
  </si>
  <si>
    <t>현재 문제점도 잘알려주시고 그이후에도 문제가있을시 해결법도 친절히 설명주셧네요 감사합니다</t>
  </si>
  <si>
    <t>친절히 안내해주셨고, 필요한 부분을 충분히 조치해주셨어요.</t>
  </si>
  <si>
    <t>친절하게 잘이해되게 알려주셨어요</t>
  </si>
  <si>
    <t>빠르고 정확한 진단이었습니다</t>
  </si>
  <si>
    <t>너무너무 감사합니다 고맙습니다</t>
  </si>
  <si>
    <t>친절하고 정확한 일처리 감사합니다</t>
  </si>
  <si>
    <t>친절하게 잘 설명 해주셧음</t>
  </si>
  <si>
    <t>원격으로 빠른 조치 해주셔서 너무나 감사드립니다. 자세한 설명에 친절하셔서 정말 좋았어요. 오늘 하루도 수고하세요*^^*</t>
    <phoneticPr fontId="1" type="noConversion"/>
  </si>
  <si>
    <t>원격으로 친절히 pc상태 알려주셔서 감사합니다. 좋은 서비스가 유플러스에 생겨서 고객 입장에서 좋네요 앞으로도 더욱 발전한 유플러스가 되었으면 합니다. 감사합니다.</t>
    <phoneticPr fontId="1" type="noConversion"/>
  </si>
  <si>
    <t>와 신기하다.... 이런서비스자체는 너무 편리한데요? 컴퓨터에서 안쓰는 용량이라던지 이런것들도 친절하게 하나하나 다 찾아주시고 설명해주시면서 깔끔하게 해주셔가즈구 너무 만족스러웠습니다</t>
    <phoneticPr fontId="1" type="noConversion"/>
  </si>
  <si>
    <t>친절히 잘봐주셨습니다 감사합니다.</t>
  </si>
  <si>
    <t>여러 방면으로 문제를 해결해주려 노력하시고 도움을 많이 받았습니다. 친절하세요</t>
  </si>
  <si>
    <t>친철하게 잘해결해주셔서 감사헙니다</t>
  </si>
  <si>
    <t>문제 해결은 안됐지만 그래도 퇴근시간 인데도 열심히 상담해줘서 감사합니다.</t>
  </si>
  <si>
    <t>너무 친절하시고 상세한 설명 감사합니다!!</t>
  </si>
  <si>
    <t>친절하고 정확하십니다~</t>
  </si>
  <si>
    <t>최고에용!</t>
  </si>
  <si>
    <t>스마트한 속도 처리 만족합니다. 감사합니다.</t>
  </si>
  <si>
    <t>친절 100% 짱입니다.</t>
  </si>
  <si>
    <t>친절하게 이것저것 섬세하게 해주시고 말씀도 잘 주세요.</t>
  </si>
  <si>
    <t>친절히 상담 받았습니다</t>
  </si>
  <si>
    <t>너무 친절하게 관련 지식까지 알려주셔서 좋았어요. 감사합니다.</t>
  </si>
  <si>
    <t>완전 신속 정확 그자체! 전화 한통으로 해결되는 놀라운 역사를 보았습니다. 감사합니다^ㅡ^b</t>
  </si>
  <si>
    <t>원격지원으로 상담에 응해주셨어요. 감사합니다.</t>
  </si>
  <si>
    <t>진단 담당자는 친절하시고 하는데, 하나마나한 점건으로 답도 도출을 못하니 할말이 없네요 처음 상담원분 말투가 모난건 아닌데, 너무 획일적이고 기계적인 답변에 조금 그러네요. 그리고 인터넷 바꾸고 설치한지 1~2달 밖에 안됬는데, 인터넷 끊기고, 느린부분은 LGU+ 인터넷에 신뢰를 깎아먹고 있네요.</t>
  </si>
  <si>
    <t>친절한 설명과 빠른 문제 해결에 진심으로 감사드립니다. 수고하셨습니다.</t>
  </si>
  <si>
    <t>스마트하시고 음성도 좋으시고 친절하셨습니다. 감사합니다.</t>
  </si>
  <si>
    <t>친절한 대응에 감사드립니다.</t>
  </si>
  <si>
    <t>에러가 난 부분에 대해 이해하기 쉽게 잘 설명해 주시고 후속 조치도 알려 주셔서 감사합니다</t>
  </si>
  <si>
    <t>진단후 서비스 접수 해주셨습니다.</t>
  </si>
  <si>
    <t>상담 직원의 안내로 프린트 연결이 잘되어 인쇄를 무난하게 하였습니다. 성질하게 대응해준 직원분께 감사드립니다.</t>
  </si>
  <si>
    <t>친절하고 유용했어요!</t>
  </si>
  <si>
    <t>친절하게 잘설명해주셔서감사햇습니다</t>
  </si>
  <si>
    <t>해결해주셔서 감사합니다 다음에도 이용 하겠습니다</t>
  </si>
  <si>
    <t>시원하게 정상복구 해 주셔서 넘 감사합니다.</t>
  </si>
  <si>
    <t>서비스잘받아씁니다</t>
  </si>
  <si>
    <t>넘 친절하게 자세히 설명해 주셔서 감사합니다.^~^</t>
  </si>
  <si>
    <t>친절하게 잘 도와주셨습니다. 100%만족합니다.</t>
  </si>
  <si>
    <t>빠른조치에감사드립니다</t>
  </si>
  <si>
    <t>빠른 응대와 친절함 감사합니다.</t>
  </si>
  <si>
    <t>설명 잘 해주셔서 감사합니다.</t>
  </si>
  <si>
    <t>친절히 설명해주셔서 이해가 잘됐습니다.</t>
  </si>
  <si>
    <t>모든 조치 다해주시고, 궁금한점 질문에 상세히 답변 감사드립니다.</t>
  </si>
  <si>
    <t>원격서비스 처음 알았습니다. 유용한 서비스 인것 같아요 자주 이용하겠습니다. 감사합니다.점검 잘 벋었습니다/.</t>
    <phoneticPr fontId="1" type="noConversion"/>
  </si>
  <si>
    <t>처음 상담하기까지 너무오래걸려 사실 짜증이 좀 나서 그랬는데 원격서비스받고 기대이상의 서비스와 친절함이여서 모든 불만족이 사라졌네요 명백한 원인을 찾아 조취를 취해주시니 답답함이 한순간 사라지네요 새로운 체험과 품격을 느끼고 갑니다</t>
    <phoneticPr fontId="1" type="noConversion"/>
  </si>
  <si>
    <t>원격해주시는분이 처음 부터 끝까지 친절하게 처리해주셨습니다. 아주 만족스럽습니다 감사합니다.</t>
    <phoneticPr fontId="1" type="noConversion"/>
  </si>
  <si>
    <t>좋음</t>
  </si>
  <si>
    <t>빠르고 정확한 진단과 친절하게 설명을 해주셔서 좋았습니다!</t>
  </si>
  <si>
    <t>친절한 상담과 설명, 빠른 조치 감사드립니다. 날씨가 더우니 더위조심하시고 즐거운 주말되시길 바랍니다. 감사드립니다.</t>
  </si>
  <si>
    <t>친절한 서비 감사합니다^^</t>
  </si>
  <si>
    <t>매우매우 친절하심!</t>
  </si>
  <si>
    <t>신속하고 정확하며, 발생할 수 있는 예상 문제점에 대한 부분도 알려주셨습니다. 감사합니다.</t>
  </si>
  <si>
    <t>처음에는 원격으로 pc를 봐주신다는거에 대해 약간의 거부감이 들었지만 빠른 해결방안을 제시해주시고 지금 상태에 대해 정확히 꼬집어 주시는 부분에 대한 기술력이 좋다고 느꼈습니다.</t>
  </si>
  <si>
    <t>친절히 상담해주시고 호매니져분도 친절하시고 감사합니다</t>
  </si>
  <si>
    <t>친절하게 안내해주시고 문제점 확인을 위해 노력해주셨어요</t>
  </si>
  <si>
    <t>빠르고 친절하게 처리해 주셨습니다, 감사합니다</t>
  </si>
  <si>
    <t>친절하게 빠르게해결해주셨어요</t>
  </si>
  <si>
    <t>외부 기사 방문으로 인터넷 배선 점검외에도 원격지원으로 접속해 PC까지 속도 및 안전점검 하시고 적절한 컴퓨터 사용방법까지 자세한 설명해 주셔서 전반적인 사용에 안심이 됩니다.</t>
  </si>
  <si>
    <t>서비스 아주 잘 받았습니다. 감사 합니다.</t>
  </si>
  <si>
    <t>rtrt</t>
  </si>
  <si>
    <t>친절하면서 세세하게 이상유무 파악해주셨고, 후속조치까지 알려주셨습니다.</t>
  </si>
  <si>
    <t>컴퓨터 문제인지 인터넷 문제인지 모르는데 원격으로 처리도 해주시고 업데이트 안되어있는 컴퓨터 자체 문제도 다 보고 처리해주셔서 너무 감사합니다. 방문해주신 기사님도 너무 친절하셔서 전문용어는 잘 못알아 듣지만 그래도 잘 해결해주셔서 감사합니다!</t>
  </si>
  <si>
    <t>제가 상담받았지만 죄송했습니다 아는것도없는데 설명해주시느라 감사해요! 서비스 잘받았어요!</t>
  </si>
  <si>
    <t>인터넷이 안되서 곤욕이었는데 빠르게 원인 파악해주시고 해결해주셔서 감사합니다 설명 자세해서 차후 문제 재발생시 대응방법까지 알려주셨어요~ 주말이라 걱정했는데 감사합니다!</t>
  </si>
  <si>
    <t>꼼꼼하게 잘봐주셔서 감사합니다!!</t>
  </si>
  <si>
    <t>공유기 사용하다가 어려움이 있어서 점검을 받았는데 너무 친절하게 자세히 설명해주시고 불안한 마음도 안심시켜주셔서 많은 도움이 되었어요 감사해요 선생님 잘 사용하겠습니다</t>
  </si>
  <si>
    <t>정말 친절하게 해주셔서 너무 감사합니다</t>
  </si>
  <si>
    <t>윤찬효 선생님께서 자세하고 친절한 설명과 함께 원격조정 도움을 주셔서 큰 도움이 되었습니다 진심으로 감사드립니다</t>
  </si>
  <si>
    <t>친절하시구 상담 잘받았어요</t>
  </si>
  <si>
    <t>최고의 상담사, 이런분이 CEO가 되야 합니다</t>
  </si>
  <si>
    <t>친절하고 상세하고 편리하게 말씀해주셔서 감사합니다.</t>
  </si>
  <si>
    <t>너무나 친절하게 해 주시고 알기쉽게 설명해 주시네요 감사함니다</t>
  </si>
  <si>
    <t>원격으로 친절하게 상담해주셨습니다. 원인이 어떤 건지 알려주셨고, 컴퓨터에 문제가 될 수 있는 부분도 알려주셔서 너무 좋았습니다.</t>
  </si>
  <si>
    <t>친절하게 처리해주셔서 감사합니다.</t>
  </si>
  <si>
    <t>원격점검 잘 받았습니다.</t>
  </si>
  <si>
    <t>친절함에 감사합니다</t>
  </si>
  <si>
    <t>친절히 상담받았습니다</t>
  </si>
  <si>
    <t>친절하게 안내해주시고 잘 해결해 주셧습니다.</t>
  </si>
  <si>
    <t>진단하시는 분이 친절하시고 빠르게 문제해결을 도와주셨어요. 감사합니다.</t>
  </si>
  <si>
    <t>친절하시고 잘안내해주시네요 감사합니다</t>
  </si>
  <si>
    <t>친절한 상담에 감사합니다.</t>
  </si>
  <si>
    <t>넘 친절하시고 이해하기 쉽게 설명도 잘해주셨어요 감사합니다~!~!~</t>
  </si>
  <si>
    <t>친절하고 좋아요~</t>
  </si>
  <si>
    <t>너무 친철하세요 감사합니다</t>
  </si>
  <si>
    <t>잘쓰겠습니다. pc점검으로 기분이 좋아졌습니다. 감사합니다.</t>
  </si>
  <si>
    <t>많이 친절하시고 해결도 금방해주셨습니다!!</t>
  </si>
  <si>
    <t>친절하게 봐주셔서 감사했습니다.</t>
  </si>
  <si>
    <t>친절하시고 좋습니다.</t>
  </si>
  <si>
    <t>빠르게 진단해주었음</t>
  </si>
  <si>
    <t>진단 체크 정확하심</t>
  </si>
  <si>
    <t>친절하시게 문제점을 찾아주시고, 바로 조치를 취해주셨다. 좋았다.</t>
  </si>
  <si>
    <t>잘 성명해주셨습니다. 감사합니다.</t>
  </si>
  <si>
    <t>너무 친절하시고 빠른 해결 감사합니다. 좋은 하루 되세요.</t>
  </si>
  <si>
    <t>친절한 조치 감사드립니다. 더운데 고생하셨습니다.</t>
  </si>
  <si>
    <t>꼼꼼하게 진단 잘 받았습니다</t>
  </si>
  <si>
    <t>빠르게 해결 되었습니다.</t>
  </si>
  <si>
    <t>친절하고 상세하게 조치 완료하였음</t>
  </si>
  <si>
    <t>친절하시고 좋아요 ㅎㅎ</t>
  </si>
  <si>
    <t>신속정확했습니다.</t>
  </si>
  <si>
    <t>만족스러운 상담이였습니다.</t>
  </si>
  <si>
    <t>문제점을 정확히 해결 해 주셨습니다. 감사합니다</t>
  </si>
  <si>
    <t>상세 설명 해주셔서 감사합니다.</t>
  </si>
  <si>
    <t>친절하고 자세한 상담 감사합니다.</t>
  </si>
  <si>
    <t>매우 친절</t>
  </si>
  <si>
    <t>친절한 상담 해주셔서 감사합니다</t>
  </si>
  <si>
    <t>늦은 시간에도 친절하게 잘 안내 해주셔서 감사합니다. 오래전부터 사용했던 브랜드인데 최근 속도 때문에 속상해서 바꿔야하나 고민했습니다만, 오늘 응대로 개선을 도와주셔서 더 잘 써봐야겠다 생각했습니다. 문제 생기면 안되겠지만, 문제가 발생하면 또 찾아뵙겠습니다.</t>
  </si>
  <si>
    <t>친절하게 상담해 주셨어요</t>
  </si>
  <si>
    <t>친절하고 쉽게 설명해서 좋았어요</t>
  </si>
  <si>
    <t>빠르게 진단 및 개선을 해주셔서 감사합니다.. ^^*</t>
  </si>
  <si>
    <t>꼼꼼하시고 정리를 잘 해주시며 이해가 잘 될 수 있도록 설명해주신다.</t>
  </si>
  <si>
    <t>친절한 설명 빠른해결 감사합니다.</t>
  </si>
  <si>
    <t>너무 친절하게 잘 설명 해주시고 알아듣기 편하게 이야기를 해주셨어요!!! 이런 서비스를 추천해주신 설치 기사님과 원격제어로 컴퓨터 문제 해결해주신 기사님께 너무 감사드립니다! 진짜 짱짱!</t>
  </si>
  <si>
    <t>편리하고 좋았습니다 !</t>
  </si>
  <si>
    <t>정말 친절하고 신속하게 처리해주셨습니다. 너무 감사드립니다.</t>
  </si>
  <si>
    <t>친절히 설명해주셔서 해결하였습니다 감사합니다</t>
  </si>
  <si>
    <t>정말 친절하게 알려주시고 알아듣기 쉽게 설명해주시면서 문제점을 빠르게 파악하시면서 처리도 엄청 빠르게 해주셧습니다 정말 감사합니다 기사님 감사합니다 엘지유플러스 감사합니다</t>
  </si>
  <si>
    <t>왜이렇게 다들 친절하신지 상담담당자분, 원격점검 해주신분 모두 감사합니다 최고예요^^</t>
  </si>
  <si>
    <t>긴 말 필요없고 , 최고입니다</t>
  </si>
  <si>
    <t>빠른 처리 감사합니다..</t>
  </si>
  <si>
    <t>서비스 종사원이 너무 친절하고 빠르게 점검을 해주어 감사했습니다.</t>
  </si>
  <si>
    <t>아주 친절함.. 목소리에서 이미 친절함.. 서비스 아주 만족스럽소.</t>
  </si>
  <si>
    <t>친절하시고 설명잘해주셧어요</t>
  </si>
  <si>
    <t>항시 인터넷관련 깊이 알수 없는 분야를 다 알고 계셔서 일을 함에 있어서 항상 든든하네요 감사합니다</t>
  </si>
  <si>
    <t>문제를 바로 진단 후 해결해주셨어요! 감사합니다</t>
  </si>
  <si>
    <t>상냥하고친절한말투로 자세히설명해주셔서 상담받는동안 좋았습니다 제가스피커폰으로 통화했는데 옆에서듣던 딸이 상냥하게말씀잘해주시네 라고 저희딸도 이야기하더라구요감사합니다</t>
  </si>
  <si>
    <t>좋은 서비스 감사합니다. 랜카드 드라이브 문제 확인 했습니다. 감사합니다</t>
  </si>
  <si>
    <t>정말 모두 친절하게 잘 응대해 주셨어요. 너무 감사합니다.</t>
  </si>
  <si>
    <t>점검도 빠르고 쾌속한 진행을 해주셔서 도움이 많이 되었습니다. 감사합니당당</t>
  </si>
  <si>
    <t>식사시간이 다 되어서도 열심히 잘 설명해주셔서 정말 정말 감사했습니다. 제가 난해한 것들로 원격 문의를 드렸는데도 너무 친절했어요!</t>
  </si>
  <si>
    <t>pc상태 점검으로 저희 pc가 어떠한 부분이 무제인지 알려 주셔서 좋네여 다음에도 이용 할수 있게 서비스 지속 부탁드립니다. 감사합니다.</t>
  </si>
  <si>
    <t>잘봐주셨습니다</t>
  </si>
  <si>
    <t>상세한설명과 추후 안내까지 감사했습니다</t>
  </si>
  <si>
    <t>꼼꼼한 설정 감사합니다</t>
  </si>
  <si>
    <t>친절하게 잘 설명해주시고 드라이버도 업데이트 해주셔서 좋았어요.</t>
  </si>
  <si>
    <t>친절하게 문제점 파악하고 알려주셨고 후에 받아야하는 케어 방법도 잘 알려주셨습니다.</t>
  </si>
  <si>
    <t>친절하시고 목소리가 좋으십니다</t>
  </si>
  <si>
    <t>친절하게 대응해주셨습니다.</t>
  </si>
  <si>
    <t>너무 고맙고 감사합니다</t>
  </si>
  <si>
    <t>와이파이 비밀번호 변경 도움 주셔서 감사합니다. 원격지원되어 너무 편리합니다.</t>
  </si>
  <si>
    <t>원격 대응 및 문제점에 대한 설명을 자세히 해주심</t>
  </si>
  <si>
    <t>신속하게 빠른처리 감사합니다.</t>
  </si>
  <si>
    <t>친절하게 응대해 주셔서 잘 처리 되었습니다. 감사드려요.</t>
  </si>
  <si>
    <t>친절하고 상세하게 잘 안내해주셨습니다. 감사합니다.</t>
  </si>
  <si>
    <t>친절하게 응대해주시고 쉽게 풀어서 설명해주셔서 감사합니다 수고 많으셨습니다</t>
    <phoneticPr fontId="1" type="noConversion"/>
  </si>
  <si>
    <t>친절하게 대응 해 주셔서 해결 되었습니다. 오랜 시간 하나씩 다 점검 해 주셨고, 문제를 해결 해 주셨습니다. 고생 많으셨습니다. 감사합니다 별 10개 최고입니다~!!!</t>
    <phoneticPr fontId="1" type="noConversion"/>
  </si>
  <si>
    <t>연결 상담원도 되게 친절하셨고, 원격제어해주시는 분도 엄~청 친절하게 차근차근 원인부터 해결까지 완벽하게 해주셨습니다. 컴퓨터 모르는 사람으로써 정말 든든하네요 공대친구생긴 기분입니다. 감사합니다.</t>
    <phoneticPr fontId="1" type="noConversion"/>
  </si>
  <si>
    <t>해결을 하지는 못했지만 친절하게 답변해주셨습니다. 말씀하신 조치를 취하고 재문의 예정입니다.</t>
  </si>
  <si>
    <t>친절하게 설명 잘받고 해결했습니다. 감사합니다.</t>
  </si>
  <si>
    <t>빠르고 신속한 처리 감사합니다. 너무 빠르게 해결되서 정말 좋았습니다. 친절한 상담 감사합니다</t>
  </si>
  <si>
    <t>일사천리로 해결해 주셔서 감사합니다 수고하세용</t>
  </si>
  <si>
    <t>친절하게 상담해주셨습니다 감사합니다.</t>
  </si>
  <si>
    <t>친절하고 상세하게 설명해주셔서 좋았고 동일현상 발생시에 대한 해결방안까지 신경써주셔서 너무 좋았어요</t>
  </si>
  <si>
    <t>매우 친절하시고.. 설명도 매우 잘해주시고.. 대처법도 잘 알려주셨어요</t>
  </si>
  <si>
    <t>빠른 응대 감사드립니다.</t>
  </si>
  <si>
    <t>친절하고 좋습니다 감사합니다</t>
  </si>
  <si>
    <t>AS원격 요청 후 바로 접속해주셔서 빠르게 상담해주셨습니다.</t>
  </si>
  <si>
    <t>고생하셨읍니다 친절히해주셔서 넘감사합니다</t>
  </si>
  <si>
    <t>친절히 설명를 잘해주셨습니다 수고하세요.</t>
  </si>
  <si>
    <t>공유기 관련하여 문의드렸는데 자세하게 차근차근히 설명해주시고 친절하게 대해 주셔서 감사합니다 잘 사용하겠습니다. 고맙습니다.</t>
  </si>
  <si>
    <t>친절하시고 알기좋게 설명을 잘해주시네요 감사합니다</t>
  </si>
  <si>
    <t>원격지원으로 출장안나오시고 봐주시니 정말 좋네요 감사합니다 빠른서비스 좋아요</t>
  </si>
  <si>
    <t>바쁜 시간이실텐데도 친절히 잘해주셔서 감사합니다.</t>
  </si>
  <si>
    <t>매우 신속하게 대응을 했으며, 내용 설명도 만족스러웠슴</t>
  </si>
  <si>
    <t>자세한 설명과 친절한 상담 감사합니다!</t>
  </si>
  <si>
    <t>너무 좋았어요, 빠르고 친절하게 해주셔서 감사합니다. 또 상관없는거 물어 봤는데 친절하게 대답해주셔서 감사합니다. 굿데이</t>
  </si>
  <si>
    <t>GOAT</t>
  </si>
  <si>
    <t>친절한 상담과 안내에 대단히 만족합니다. 수고 많으세요. 감사합니다.</t>
  </si>
  <si>
    <t>잘받았습니다. 점검 감사합니다.</t>
  </si>
  <si>
    <t>굿 문제와 궁금증이 빠르게 해결되었습니다.</t>
  </si>
  <si>
    <t>아주~ 만족스럽습니다.</t>
  </si>
  <si>
    <t>감사합니다!! ϵ(っꈍᗜꈍς)϶ | ✧*｡٩(ˊᗜˋ*)و✧*｡</t>
  </si>
  <si>
    <t>서비스 및 원격점검 만족합니다.</t>
  </si>
  <si>
    <t>잘 진행되었습니다!</t>
  </si>
  <si>
    <t>와이파이 연결이 끊기고 속도가 느렸던 현상을 빠르게 해결해주셨음.</t>
  </si>
  <si>
    <t>문제해결은 시원하게 되지 않았으나 친절하게 응대해주셔서 감사합니다.</t>
  </si>
  <si>
    <t>최고에요.</t>
  </si>
  <si>
    <t>친절하게 설명해주셨어요. 감사합니다</t>
  </si>
  <si>
    <t>친절하고 편해서 너무 좋았습니다~</t>
  </si>
  <si>
    <t>친절하게 설명해주셔서 좋았습니다</t>
  </si>
  <si>
    <t>친절한 목소리 빠른 피드백 깔끔한 마무리까지 너무 좋았습니다 추후 문제에 대해서도 안내 정확히 주신것도 좋았습니다. 감사합니다.</t>
  </si>
  <si>
    <t>다들 친절하게 응대해주셔서 좋았습니다</t>
  </si>
  <si>
    <t>빠른 응대 감사합니다. 덕분에 조치 완료 되었습니다.</t>
  </si>
  <si>
    <t>감사합니다 설정 잘받았고 속도 개선도 보이네요 감사합니다^^</t>
  </si>
  <si>
    <t>정말 친절하고 온화하게 전화를 해주셨고 전화를 받는 내내 걱정이 날라갈 정도로 안심이 되었습니다. 정말 감사합니다.</t>
    <phoneticPr fontId="1" type="noConversion"/>
  </si>
  <si>
    <t>스마트원격진단 서비스를 처음으로 받아 봤습니다. 정말 친절하고 자세한 설명 고맙습니다. 문제 해결은 기본이고 전문가적 개선방법과 대안까지 제시 해주셔서 아주 좋은 서비스를 받아서 기분이 좋네요.</t>
    <phoneticPr fontId="1" type="noConversion"/>
  </si>
  <si>
    <t>네트워크 연결이 안되서 시간외에 연락드렸는데도 친절하게 잘 응대해주시고 문제도 해결해주셔서 빠른시간안에 문제가 해결되어서 좋았습니다.</t>
    <phoneticPr fontId="1" type="noConversion"/>
  </si>
  <si>
    <t>필요한 부분을 친절하고 자세하게 알려주셨습니다. 감사합니다.</t>
  </si>
  <si>
    <t>친절히 설명해 주셔서 감사합니다</t>
  </si>
  <si>
    <t>친절하고 편리했습니다</t>
  </si>
  <si>
    <t>친절하고, 뻐른 조치 감사합니다,,,</t>
  </si>
  <si>
    <t>엄청 친절하십니다</t>
  </si>
  <si>
    <t>도움을 많이 받았고, 너무 친절히 설명을 잘 해 주십니다.</t>
  </si>
  <si>
    <t>넘 친절하게 안내해줌</t>
  </si>
  <si>
    <t>친절하게 점검해주셨고 제가 생각지 못한 랜카드에 대한 설명도 잘 해 주셨습니다</t>
  </si>
  <si>
    <t>잘 해결해 주셨어요</t>
  </si>
  <si>
    <t>또 이용하게 되면 같은 기사님에게 이용 받고싶을정도로 좋습니다.</t>
  </si>
  <si>
    <t>친절히 설명해주셨지만 까막귀라 못알아 먹었슴다 그래도 만족스럽게 점검해주셔서 감사함다</t>
  </si>
  <si>
    <t>무더운 날씨에 60대 할메에게 잘 상담 해주시네요 감사합니다</t>
  </si>
  <si>
    <t>점검 사항 친절하게 상세히 설명 잘 해주셨어요. 고맙습니다.</t>
  </si>
  <si>
    <t>친절한 a/s 였습니다.</t>
  </si>
  <si>
    <t>짧은 시간내 중요한 부분을 알아듣기 쉽게 설명과 함께 문제해결해 주심에 감사드립니다.</t>
  </si>
  <si>
    <t>그레이트 최고 엑셀런트입니다 저는 입구조사만하는편인데 출구조사도같이해주신느낌입니다 신속 정확 위트 3박자 100퍼였습니다</t>
  </si>
  <si>
    <t>상담 친철히 잘 받았습니다</t>
  </si>
  <si>
    <t>기사님이 고생하셨습니다.</t>
  </si>
  <si>
    <t>친절한 응대와 조치 감사합니다</t>
  </si>
  <si>
    <t>증상을 빠르게 인지하고 문제점을 캐치하여 대응해주어 빠르고 편했습니다. 실제 사용 후에 다른 문제가 생기면 또 이용해보고 싶네요.</t>
  </si>
  <si>
    <t>친절하시고잘봐주시네요 감사합니다</t>
  </si>
  <si>
    <t>친절하게 알려주셔서 감사합니다.^^</t>
  </si>
  <si>
    <t>친절하게 설명해주셔서 아주 좋았습니당!!</t>
  </si>
  <si>
    <t>오류 잡아주시고 설명도 잘 해주셔서 좋았습니다.</t>
  </si>
  <si>
    <t>애써주셨습니다. 감사합니다.</t>
  </si>
  <si>
    <t>친절하시고 ,궁금한 거 묻는 거에도 자세히 답변해주셔서 큰도움이 되었습니다.감사합니다.</t>
  </si>
  <si>
    <t>친절하니 서비스 잘 받았습니다.</t>
  </si>
  <si>
    <t>잘진철하시구 잘설명해주셔서 감사함니다.</t>
  </si>
  <si>
    <t>엘지는 항상 친절하죠!. 다른 통신사 직원들보다 엘지유플이 항상 친절했었어요. 비교 됩니다. 보나스 더 주세요!</t>
    <phoneticPr fontId="1" type="noConversion"/>
  </si>
  <si>
    <t>매우 친절한 목소리로 소비자가 쉽게 이해하기 쉽게 설명도 잘하해주시면서 꼽꼽하게 점검을 잘 받은것 같습니다 감사합니다</t>
    <phoneticPr fontId="1" type="noConversion"/>
  </si>
  <si>
    <t>컴퓨터를 자주다루지않아 버벅거리고 시간도 많이걸렸는데 친절히기다려주시고 안내도 정확하게 해주셔서 너무 감사합니다. 엘지유플로옴긴 보람이있네요 ㅎㅎ 너무 감사드립니다.</t>
    <phoneticPr fontId="1" type="noConversion"/>
  </si>
  <si>
    <t>친절하게 잘알려주시고 해결해주셔서 감사합니다</t>
  </si>
  <si>
    <t>수고하십니다</t>
  </si>
  <si>
    <t>조치가 시원시원 하십니다~~ 야간인데도 고생많으십니다~</t>
  </si>
  <si>
    <t>너무 좋았어여</t>
  </si>
  <si>
    <t>친절하고 빠르게 원인을 짚어 문제를 해결해주셨습니다. 감사합니다.</t>
  </si>
  <si>
    <t>스마트원격진단을 너무 너무 친절하게 해주셔서 인상에 남네요 항상 응원 하겠습니다.^^ 오늘 감사했습니다</t>
  </si>
  <si>
    <t>친절하게 잘 점검해주셨어요</t>
  </si>
  <si>
    <t>이해하기 쉽게 설명을 잘해주시네요.. 정말 감사합니다. 안되면 wifi점검 받을께요...</t>
  </si>
  <si>
    <t>안녕하세요~ 늦은 시간에도 정확하고 친절하게 응대해 주셔서 감사드립니다 무더운 날씨에 건강 조심하세요~</t>
  </si>
  <si>
    <t>끝까지 해결해주시려는 노력에 감동 받았습니다. 감사드립니다.</t>
  </si>
  <si>
    <t>공감하고 자세한 설명 감사합니다</t>
  </si>
  <si>
    <t>친절하고 빠르게 진단해주셔서 너무 좋았습니다!!</t>
  </si>
  <si>
    <t>너무 친절하게 잘해주셔서 감사합니다</t>
  </si>
  <si>
    <t>상담 감사합니다</t>
  </si>
  <si>
    <t>친절하게 대응해주셔서 감사합니다~</t>
  </si>
  <si>
    <t>친절한 원격지원 상담 감사합니다.</t>
  </si>
  <si>
    <t>너무 친절하시고 좋은 정보들도 많이 알려주셔서 좋았습니다.</t>
  </si>
  <si>
    <t>빠르게 해결해주셔서 감사합니다!</t>
  </si>
  <si>
    <t>친절하고 꼼꼼하게 상담해주셨습니다 수고하세요</t>
  </si>
  <si>
    <t>진짜 너무 친절하게 잘해주셔가지구 덕분에 잘 해결했습니다 감사합니다 좋은하루 보내세요 !</t>
  </si>
  <si>
    <t>꼼꼼하게 살펴봐주셔서 감사합니다</t>
  </si>
  <si>
    <t>친절하게 잘 응대해주셔서 감사드립니다.</t>
  </si>
  <si>
    <t>빠르게 원인을 찾았습니다</t>
  </si>
  <si>
    <t>설명도 친절하게 해주시고 문의한 부분에서 정말 빨리 처리해 주셔서 감사합니다</t>
  </si>
  <si>
    <t>감동입니다..^^</t>
  </si>
  <si>
    <t>빠르게 처리해주셔서 감사합니다</t>
  </si>
  <si>
    <t>정말 도움이 되었습니다. 친절하게 자세히 설명해주셔서 쉽게 이해했고 해결해 주셨습니다. 감사합니다</t>
  </si>
  <si>
    <t>묻는답변에 정확하고 알기쉽게 답변해주십니다</t>
  </si>
  <si>
    <t>매우 만족해요^^</t>
  </si>
  <si>
    <t>설명 잘해주셨습니다 .감사합니다</t>
  </si>
  <si>
    <t>조치와 추후에 어떻게 해야 하는지 설명해주셔서 감사했습니다. 이번에 해주신 조치로 더이상 인터넷이 안팅겼음 좋겠네요 진! 짜! 루!</t>
  </si>
  <si>
    <t>만족합니다 친절해요</t>
  </si>
  <si>
    <t>인터넷 속도가 느려서 상담 진행했는데 친절하게 도와주셨어요 감사합니다</t>
  </si>
  <si>
    <t>친절하시게 설명도 차분히 잘해주시고 차후 문제에 대한 조치에 대한 내용도 잘들었습니다. 너무 감사합니다.</t>
  </si>
  <si>
    <t>한방에 해결</t>
  </si>
  <si>
    <t>너무 친절하시고 잘 해결해주셨습니다</t>
  </si>
  <si>
    <t>예 너무 감사했습니다. 친절한 상담 너무 감사드립니다 고맙습니다</t>
  </si>
  <si>
    <t>서비스 좋습니다.</t>
  </si>
  <si>
    <t>친절한 설명 감사합ㄴ디ㅏ</t>
  </si>
  <si>
    <t>친절하게 잘봐주셨습니다.</t>
  </si>
  <si>
    <t>빠르게 잘 해결해 주셨어요!! 너무너무 감사합니다 !! ㅎㅎ</t>
  </si>
  <si>
    <t>친절하게 상대해주셔서 감사합니다!</t>
  </si>
  <si>
    <t>친절하게 설명해주시고 그 다음 방법도 상세하게 알려주셔서 정말 감사합니다. 좋은 하루 되세요!</t>
  </si>
  <si>
    <t>친절하게 잘 알려주셔서 좋았습니다.</t>
  </si>
  <si>
    <t>매우만족합니다.</t>
  </si>
  <si>
    <t>친절히 PC 점검 랜카드 드라이버 업데이트 감사합니다</t>
  </si>
  <si>
    <t>친절하시고 빠른조치 감사합니다</t>
  </si>
  <si>
    <t>문제점도 잘 찾아서 친절하게 해결 해 주셨습니다.</t>
  </si>
  <si>
    <t>친절하게 상담해주셔서 넘 감사합니다 설명도 너무 쉬워서 저도 편했습니다 항상 고생이 많으십니다</t>
    <phoneticPr fontId="1" type="noConversion"/>
  </si>
  <si>
    <t>네 직원분의 친절한 스마트원격진단 잘 받아 보았습니다. 오늘 같은 원격진단이 사용자들에게는 꼭 필요한 좋은 써비스라고 생각되어집니다. 예전에는 이러한 원격써비스가 없어 저 뿐만 아니라 많은 사람들의 불편으로 인한 불평이 많았습니다. 그후로 아직까지 이런 써비스가 없는 것으로 알고 있었는데, 오늘 우연히 전화약정을 하면 25%할인한다는 문자를 보고 그동안 불편했던 인터넷에 대해 문의를 하다가 스마트원격진단을 받게되어 너무 반갑고 고맙다는 생각을 하게 됩니다. 이런 써비스가 함께 할 때야 말로 한국이 세계의 전자로서의 최고라는 말이 격에 맞고 최고라는 자부심을 가질만 하지 않을까요? 아무쪼록 저도 오늘 한국의 그 중에서도 LGu+ 이용자라는 자부심을 함께 가져봅니다. LGu+의 발전된 써비스에 감사드리며, 당부의 말씀으로 저도 오늘 알았듯이 저와 같이 지금까지 몰랐던 LGu+ 사의 컴퓨터에 스마트원격진단의 좋은 써비스가 있다는 홍보를 함께 부탁드리고 싶네요. ^^</t>
    <phoneticPr fontId="1" type="noConversion"/>
  </si>
  <si>
    <t>구글 크롬캐스트 일본판 연결에 난항을 겪어서 연락을 드렸는데 친절하고 완벽하게 수행해주셨습니다. 중간에 많이 해맸는데도 최대한 친절하고 신속하게 봐주셨어요. 정말 감사드립니다.</t>
    <phoneticPr fontId="1" type="noConversion"/>
  </si>
  <si>
    <t>친절하게 잘응대해주셧습니다</t>
  </si>
  <si>
    <t>친절한 설명과 빠른 서비스가 좋았습니다.</t>
  </si>
  <si>
    <t>친절히 챙겨 주셔서 감사합니다</t>
  </si>
  <si>
    <t>친절하시고 친근해서 좋았습니당</t>
  </si>
  <si>
    <t>친절하게 안내해 주셔서 감사히 잘 받았습니다.</t>
  </si>
  <si>
    <t>친절하고 빠르게 문제 해결함...</t>
  </si>
  <si>
    <t>친절하게 설명해 주시고 진단해 주셨으며 문제되는 해당건 잘 기록하여 접수해 주셔서 대단히 감사합니다. 더운 날씨 건강 잘 챙기시고 서비스 품질 향상을 위해 노력해 주셔서 만족합니다.</t>
  </si>
  <si>
    <t>친절하게 꼼꼼하게 점검해주셨습니다.</t>
  </si>
  <si>
    <t>무엇보다 정확한 원인 분석을 해주셨고, 납득하기 편하도록 말씀도 해주셨습니다. 또한 PC를 다루는 직업이라 누군가에게 PC를 맡기는 것을 꺼리는 편인데, 원격 제어 간 불필요한 파일 클릭 등이 없었고 문제 해결만을 위한 움직임만을 보여주셔서 믿고 맡길 수 있었습니다.</t>
  </si>
  <si>
    <t>점검을 신속 하게 잘 해주셧읍니다~~</t>
  </si>
  <si>
    <t>빠르고 친절하게 점검받았습니다. 업무적 능력이 출중하게 느껴졌습니다.</t>
  </si>
  <si>
    <t>빠른 조치 그리고 친절한 응대 감사드립니다.</t>
  </si>
  <si>
    <t>설명잘해주셨습니다</t>
  </si>
  <si>
    <t>너무 친절하게 잘 받았습니다. 감사합나.</t>
  </si>
  <si>
    <t>친절하게 점검 및 상담해주셔서 문제점을 잘 파악하였습니다. 감사합니다.</t>
  </si>
  <si>
    <t>친절하시고 빠르게 작업하셔서 좋았습니다! 다음에 또 서비스진단 받고싶네여</t>
  </si>
  <si>
    <t>전반적인 사양과 문제점 발생요인을 정확하게 전달하여 좋았음.</t>
  </si>
  <si>
    <t>아주 친절하시고 더 많은 도움을 주려 노력해 주셔서 감사합니다.</t>
  </si>
  <si>
    <t>너무 친절하게 도와주셨어요 최고에요 유플러스 흐흐 요청사항에서 더 나아가서 원하는 니즈를 잘 파악해서 더큰 도움을 주셨어요 너무만족해요 100점을넘어 천점 주고 싶네요</t>
  </si>
  <si>
    <t>친절하고 이해가 잘 갔습니다. 감사합니다.</t>
  </si>
  <si>
    <t>친절하고 어떻게 해야할지 다음에 또 그러면 이렇게 해보시라 하면서 추가적으로 잘 알려주셔서 너무 감사했습니다!!</t>
  </si>
  <si>
    <t>친절하고 신속한 대응에 감사를 드립니다.</t>
  </si>
  <si>
    <t>수고 많으셨습니다</t>
  </si>
  <si>
    <t>아주좋습니다. 훌륭합니다. 다운로드 개선되었습니다.</t>
  </si>
  <si>
    <t>빠른 조치에 감사드립니다．</t>
  </si>
  <si>
    <t>친절하게 상담 진행해주셨습니다</t>
  </si>
  <si>
    <t>설명 잘해주시고 친철하게 해결해주셔서 감사합니다</t>
  </si>
  <si>
    <t>제가 귀찮게 해드린것 같은데 너무 친절하게 말해주셔서 감사했어요 !!</t>
  </si>
  <si>
    <t>빠른서비스에 업무처리에 지장이 없게 해주셨습니다 감사합니다</t>
  </si>
  <si>
    <t>친절하게 알려주시고 무엇이잘못됫는지 집어주셔서 큰도움이되어 좋고 해결이되어기쁩니다</t>
  </si>
  <si>
    <t>친절하게 응대해 주셨습니다</t>
  </si>
  <si>
    <t>친절하게 서비스 잘 받았습니다.</t>
  </si>
  <si>
    <t>친절히 잘해주셔감사했습니다</t>
  </si>
  <si>
    <t>문제를 빠르게 캐치해서 신속하게 해결해주셔서 좋았습니다.</t>
  </si>
  <si>
    <t>a도움감사합니다.</t>
  </si>
  <si>
    <t>빠르고 신속하게 친절하게 잘 점검해주셨어요~~</t>
  </si>
  <si>
    <t>PC사용하면서 느리고 불편한 점이 많았는데 원격으로 도움을 주셔서 편히 사용할수있게 되어 감사합니다.</t>
    <phoneticPr fontId="1" type="noConversion"/>
  </si>
  <si>
    <t>일단은 너무 친절하게 상세히 잘알려주셔서 제가 지금 뭐가 문제인지를 즉시 알게되었구영 마지막까지 세심하게 잘 알려주셔서 너무 편안하게 점검받았습니다 너무 감사드리구요 서비스는 백프로 만족합니당 감사합니당 좋은하루보내세요~</t>
    <phoneticPr fontId="1" type="noConversion"/>
  </si>
  <si>
    <t>60대 이다 보니 컴퓨터를 잘 몰라 난감 했었어요. 컴퓨터 끊김으로 너무 불편 했었는데 알아 듣기 싶게 말씀해주셔서 너무 감사했습니다. 업데이트도 해주시고 포스 연결 부분도 알아 들을 수 있게 말씀해 주셔서 쉽게 해결 할 수 있었습니다. 답답 하셨을 텐데 친절하게 대해 주셔서 감사합니다.</t>
    <phoneticPr fontId="1" type="noConversion"/>
  </si>
  <si>
    <t>빠르고 정확한 점검 감사합니다. 친절한 서비스 만족해요~~~</t>
  </si>
  <si>
    <t>빠르고 신속하게 컴퓨터 상태를 점검해주셔서 좋았습니다. 주말인데도 전체적으로 빠르게 살펴주셔서 감사합니다.</t>
  </si>
  <si>
    <t>설명잘해주시고 감사합니다.</t>
  </si>
  <si>
    <t>친절하고 세심하게 서비스 잘 해주셔서 감사합니다..</t>
  </si>
  <si>
    <t>빠르고 친절하게 상담해주셨습니다. 감사합니다.</t>
  </si>
  <si>
    <t>그러잖아도 필요했는데 점검해주셔서 너무 감사합니다</t>
  </si>
  <si>
    <t>빠르고 간단하게 해주셔서 감사합니다</t>
  </si>
  <si>
    <t>정말 친절하고 정성있는 원격상담이었습니다. 최고입니다.</t>
  </si>
  <si>
    <t>매우 친절하고 자세하게 알려주셨어요 감사합니다</t>
  </si>
  <si>
    <t>친절한 설명과 궁금한점 몇번 물어봐도 검색해서 찾아가면서 하나하나 다 설명해 주심.</t>
  </si>
  <si>
    <t>짧은 시간에 잘 해결해 주셨습니다.</t>
  </si>
  <si>
    <t>매우 친절하고 빠르게 처리해주셧습니다</t>
  </si>
  <si>
    <t>너무 자세하고 꼼꼼하게 설명해주시고 문제 해결이 완벽하게 됐어요!</t>
  </si>
  <si>
    <t>점검 잘해줘서 좋네요^^</t>
  </si>
  <si>
    <t>빠른조치로 해결이 되었네요 감사합니다</t>
  </si>
  <si>
    <t>친절한 설명으로 이해하는 데 문제 없습니다. 다만, 문제 해결이 완벽하게 완료가 된 것은 아니기에 별 1점은 뺐습니다.</t>
  </si>
  <si>
    <t>원격 점검 후 유선으로 피드백까지 주셔서 감사합니다.</t>
  </si>
  <si>
    <t>친절하게 문제를 아주 잘 해결해 주셨습니다 감사합니다.</t>
  </si>
  <si>
    <t>친절하게 잘 설명해 주셨습니다.</t>
  </si>
  <si>
    <t>문제가 전혀 해결되지 않았는데 질문이 더 있냐고 하면서 전화가 끝났습니다. 다시 문의를 한다고 해서 해결이 될까요...?</t>
  </si>
  <si>
    <t>빠른 문제해결 및 친절한 서비스 배려 감사드립니다.</t>
  </si>
  <si>
    <t>많이 친절하시고 금방금방 찾아주시네요</t>
  </si>
  <si>
    <t>매우 만족 합니다</t>
  </si>
  <si>
    <t>친절한 설명 덕에 도움이 많이 됐습니다. 믿고 쓰는 LG</t>
  </si>
  <si>
    <t>꼼꼼하게 설명 잘 해주셔요~~굿굿</t>
  </si>
  <si>
    <t>문제를 친절하고 쉽게 설명해 주시고 다른 문제까지 해결해 주셔서 최고였습니다</t>
  </si>
  <si>
    <t>친절하고 꼼꼼하게 상담해 주셨습니다. 감사합니다.</t>
  </si>
  <si>
    <t>아주 만족합니다. 신속하고 정확하고 친절하게 처리해 주셨습니다.</t>
  </si>
  <si>
    <t>빠르게 조치해주셔서 감사합니다.</t>
  </si>
  <si>
    <t>수고하셨습니다~</t>
  </si>
  <si>
    <t>해결해주셔서 감사합니다.</t>
  </si>
  <si>
    <t>꼼꼼하게 확인해주셔서 감사합니다!</t>
  </si>
  <si>
    <t>친절하시고 좋았어요</t>
  </si>
  <si>
    <t>너무 친절하게 문제를 잘 해결해 주셔서 감사했습니다 날도 더운데 적게 일하시고 돈 많이 버셨으면 좋겠습니다</t>
  </si>
  <si>
    <t>친절하게 설명을 잘해주십니다</t>
  </si>
  <si>
    <t>빠르고 친절하게 원격으로 진단해주셨습니다 증상개선은 확인해봐야하지만 서비스가 만족스럽습니다</t>
  </si>
  <si>
    <t>그냥그냥</t>
  </si>
  <si>
    <t>너무 친절하고 상세히 잘알려주셨어요 도움이 많이됐습니다 감사합니다 ^^~</t>
  </si>
  <si>
    <t>서비스 아주 만족했읍니다...감사합니다</t>
  </si>
  <si>
    <t>친절하고 신속하게 처리해주셨습니다. 감사합니다.</t>
  </si>
  <si>
    <t>바쁜중에도 친절히 응대해 주셔서 감사합니다</t>
  </si>
  <si>
    <t>해결하는데 많은 도움이되었습니다.</t>
  </si>
  <si>
    <t>친절한 상담 감사합니다~</t>
  </si>
  <si>
    <t>넘 차분히 잘설명해주시고 감사합니다</t>
  </si>
  <si>
    <t>친절하고 자세한 설명 감사합니다. 원격진단서비스를 처음 이용해봤는데 시간도 절약되고 편리하고 좋습니다. 특히 담당 기사님이 여러방면으로 확인하고 이해하기 쉽게 설명해주셔서 감사했습니다.</t>
    <phoneticPr fontId="1" type="noConversion"/>
  </si>
  <si>
    <t>정성스럽고 자세한 상담에 감사드립니다. 더운 날씨에도 애쓰시는 상담사님 힘들 내세요!!!</t>
    <phoneticPr fontId="1" type="noConversion"/>
  </si>
  <si>
    <t>점검해주신 기사님이 너무 친절하게 응대해주시고 문제해결하기 위해 노력해 주셨습니다. 감사합니다.</t>
    <phoneticPr fontId="1" type="noConversion"/>
  </si>
  <si>
    <t>친절하게 궁금하거나 필요한 부분도 해결해주셨습니다. 감사합니다.</t>
  </si>
  <si>
    <t>너무 최고네용 기사님 성함이 정확히 기억나지 않습니다만 고장 문의드린 내용 외에도 친절하게 하나하나 다 알려주셨습니다 설명도 간결하고 정확하게 안내해주셨고 말씀드린 부분 바로 요점만 콕 찝어서 알려주셨습니다 너무너무 친절하시고 너무 감사드립니다 ~~ 이런 좋은 서비스에 대단한 기사님 까지 서비스가 너무너무 좋았습니다 늦은시간 까지 고생 많으신 저희 기사님 많이많이 챙겨주세요 너무 감사드리고 고생 많으십니다 건강하게 스트레스 덜 받으시고 항상 친절하신 기사님 한테 감사인사 올립니다 !</t>
  </si>
  <si>
    <t>스피드하게 자세하게 점검해주시고 문제점을 해결해주심. 또한 재 발생시에 랜카드 이상이 있는거 같다 말씀해주시고 추후 같은 문제가 발생시 랜카드 교체를 인식하고있어 궁금증 해결완료. 랜카드 교체전 드라이버 다운시 문제해결 될수있다 해주시고 드라이버 설치해주심. 전반적으로 친절하시고 잘 해결해주시는 모습에 감사드립니다.</t>
  </si>
  <si>
    <t>너무 친절하게 응대해주셔서 감사합니다. 최근 가장 기분좋은 상담이었습니다!</t>
  </si>
  <si>
    <t>감사합니다!</t>
  </si>
  <si>
    <t>기사님의 상세한 설명과 친절한 대응에 감사합니다.</t>
  </si>
  <si>
    <t>친절하시고 명확함</t>
  </si>
  <si>
    <t>도움을 주셨어용</t>
  </si>
  <si>
    <t>서비스의 스마트원격진단을 받의면서 친철함과 문제점을 자세하게 가르쳐 주워서 좋았읍니다.</t>
  </si>
  <si>
    <t>너무 많이 속도가 느려졌는데 이렇게 알려주시니까 너무 좋은것 같아요</t>
  </si>
  <si>
    <t>굉장히 친절하면서 ,목소리도 좋고 ,무엇보다 빠릿하게 알아듣는 젊음사람이최고 그냥 최고임</t>
  </si>
  <si>
    <t>고생많으셨습니다 감사합니다.</t>
  </si>
  <si>
    <t>감사합니다 수고하세여</t>
  </si>
  <si>
    <t>답답했던 점이 속 시원하게 해결됐습니다.</t>
  </si>
  <si>
    <t>친절하고 신속하게 점검 해주십니다</t>
  </si>
  <si>
    <t>좋은서비스 감사합니다. 다음에도 부탁 합니다.</t>
  </si>
  <si>
    <t>친절하시고 좋습니다</t>
  </si>
  <si>
    <t>차근차근 잘 설명해주셨습니다.</t>
  </si>
  <si>
    <t>굉장히 친절하시고 차분하게 잘 설명 해주시네요 감사합니다</t>
  </si>
  <si>
    <t>첫번째로는 설치 받았고 요번에 두번째로 수리를 받았는데 설명도 잘해주시고 , 응대도 좋았습니다. LG Uplus 에 컴퓨터 쪽 담당 하는데가 있는걸 처음 알았는데 좋은 거같아요 . 친절하고 만족 스러웠습니다 감사합니다 !</t>
  </si>
  <si>
    <t>답답함이 해소.. 돘구요 친절한 상담 받아서 감사함니다..</t>
  </si>
  <si>
    <t>친절하고 빠른해결 감사합니다. 수고하세요</t>
  </si>
  <si>
    <t>생각보다 빠른 대응이 되었습니다. 감사합니다</t>
  </si>
  <si>
    <t>장애에 대한 불편 상담은 친절하고 자세하여, 문제해결에 도움이 되지만 지속적인 장에로인한 부편함이 가중되고 있는 상황임.</t>
  </si>
  <si>
    <t>친절하게 잘 상담해 주셨습니다.</t>
  </si>
  <si>
    <t>특정사이트 접속이 잘 안되어서 답답했는데 신속하게 처리 잘 해주셔서 정말로 감사드립니다.</t>
  </si>
  <si>
    <t>너무 친절하게 상담해 주시고 제가 모르는 부분까지도 설명해주시면서 원인을 해결해 주시니 감사합니다.</t>
  </si>
  <si>
    <t>친절하게 해주셔서 되게 편하게 진행 했습니다</t>
  </si>
  <si>
    <t>인터넷 유선연결이 잘 안되어 서비스를 받았습니다. 담당직원의 적극적인 문제해결 태도와 친절한 응대에 감사드립니다</t>
  </si>
  <si>
    <t>일반잉니 못하는걸 할수 잇어서 좋네요</t>
  </si>
  <si>
    <t>좋은 서비스 인것 같아요 다음에도 이용 하겠습니다. 감사합니다.</t>
  </si>
  <si>
    <t>아주 친절하고 상세하게 상담해주시고 무엇보다 진단도 빠르고 알기쉽게 설명해주시네요.</t>
  </si>
  <si>
    <t>설명도 잘해주시고, 친절하세요~~</t>
  </si>
  <si>
    <t>상담사님께서너무 친철하게 설명해줘서 만족합니다</t>
  </si>
  <si>
    <t>빠른진행 감사합니다</t>
  </si>
  <si>
    <t>감사합니다! 정말 빨리 처리되었습니다</t>
  </si>
  <si>
    <t>너무 친절하시고 설명도 잘해주셔서 잘이해했어요 ㅎㅎ 처리도 빨리해주셔셔 감사했습니다. 수고하세요!</t>
  </si>
  <si>
    <t>아주 친절하게 잘받았습니다.</t>
  </si>
  <si>
    <t>친절한 상담 감사합니다. 무더위 건강조심하세요^^</t>
  </si>
  <si>
    <t>눈높이에 맞게 잘 설명해주셨습니다.</t>
  </si>
  <si>
    <t>휼륭합니다.</t>
  </si>
  <si>
    <t>친절하고 정확한 서비사 감사합니다</t>
  </si>
  <si>
    <t>문제에 대해서 꼼꼼하게 확인 해 주시고 원인을 알게 되어 만족합니다.</t>
  </si>
  <si>
    <t>네, 친절한 섦명 잘 들었습니다.</t>
  </si>
  <si>
    <t>빠르고 정확하게 진단해 주시고 깔끔하고 친절한 설명</t>
  </si>
  <si>
    <t>친절하고 정확한 상담 감사합니다</t>
  </si>
  <si>
    <t>친절한 상담 너무 대 만족이였어요 감사 합니다 수고하세요</t>
  </si>
  <si>
    <t>서비스 기사님이 아주 친절하게 잘 설명해주셨어요. 감사합니다.</t>
  </si>
  <si>
    <t>빠르게 전달되었고 수리 기사님 연결시켜주어서 고맙습니다</t>
  </si>
  <si>
    <t>무선랜 암호문제로 인해 문의한 결과 암호문제가 아니라 다른가전의 문제가 있을수 있다는 예기를 듣고 알아보니 딱 그런 문제여서 문제해결 하는데에 큰 도움이 되엇습니다. 정말 진심으로 감사드립니다.</t>
    <phoneticPr fontId="1" type="noConversion"/>
  </si>
  <si>
    <t>원격진단 처음 받아보는데 상담사분께서 친절하시고 의심되는 것 들 잘 설명해 주셔서 도움이 많이 되었습니다. 궁금한것도 물어 봐도 친절하게 잘 말씀 해 주셨어요~</t>
    <phoneticPr fontId="1" type="noConversion"/>
  </si>
  <si>
    <t>원격 서비스 해주신 기사님 친절하십니다. 인터넷 랜 선 다시 연결하는 시간 동안에도 전화 끊지 않고 기다려 주시고 사용 중인 공유기 일일이 검색해서 정보 알려주시며 문제점 찾아 주시네요. 고생이 참 많으십니다. 도와주셔서 감사합니다.</t>
    <phoneticPr fontId="1" type="noConversion"/>
  </si>
  <si>
    <t>몰랐던거 알려주셔서 감사함니다</t>
  </si>
  <si>
    <t>친절하게 안내해주셔서 감사합니다</t>
  </si>
  <si>
    <t>친철하십니다</t>
  </si>
  <si>
    <t>랜카드 업데이트 감사합니다</t>
  </si>
  <si>
    <t>chlrh최고</t>
  </si>
  <si>
    <t>넵, 천천히 잘 이해할 수 있도록 설명해 주셔서 점검을 잘 받고 나갑니다^^</t>
  </si>
  <si>
    <t>원격으로 안쓰는파일들 깔끔하게 정리해주셔서 감사합니다.</t>
  </si>
  <si>
    <t>친절하고 자세하게 상담 해주셨어요</t>
  </si>
  <si>
    <t>상세하고 이해하기 쉽게 잘 설명해 주셨고 문제도 잘 해결됐습니다. 너무 감사드립니다</t>
  </si>
  <si>
    <t>문제점을 확실하게 해결해 주셔서 매우 만족입니다</t>
  </si>
  <si>
    <t>친절하고 세심하게 상담해 주셨습니다</t>
  </si>
  <si>
    <t>친절하게 잘해주셔서감사합니다</t>
  </si>
  <si>
    <t>바로 연락와서 조치를 취해주시고 추가 문의사항이라던가 어떤점이 문제인지에 대해서 세세하게 여쭤봐주셨습니다. 조치도 빠르게 됐고 말투도 친절하셔서 너무 좋았어요</t>
  </si>
  <si>
    <t>빠르고 친절하게 잘 도와주셨습니다. 덕분에 문제해결 되었습니다 :)</t>
  </si>
  <si>
    <t>잘 처리해주셨습니다</t>
  </si>
  <si>
    <t>친절한 상담 및 조치 감사드립니다. 수고하세요~~</t>
  </si>
  <si>
    <t>감사히 잘 해결했습니다 정말 감사합니다~!</t>
  </si>
  <si>
    <t>문제점 빠르게 찾아주시고 친절하셨습니다.</t>
  </si>
  <si>
    <t>친절하셔습니다.</t>
  </si>
  <si>
    <t>수고 하셨습니다.</t>
  </si>
  <si>
    <t>친절하세요! 엄청빠르게 문제해결해주셨어요</t>
  </si>
  <si>
    <t>서비스가 친절</t>
  </si>
  <si>
    <t>너무 알아듣게 잘말씀해주셔서 해결이 빨랐어요! 친절하시고 정확하게 말씀해주셔서 너무 좋았습니다! 이거 별 보너스까지 드리고싶네요 ㅠㅠ 감사합니다!!!!!!!!!!!!!!!</t>
  </si>
  <si>
    <t>상담 빠르고 친절하셔요 감사합니다.</t>
  </si>
  <si>
    <t>몇개월동안 답답했던 내용이 한번에 해결되었습니다. 정확한 진단과 해결방법을 알려주셔서 정말 감사합니다.</t>
  </si>
  <si>
    <t>문제점을 정확히 짚어주셔서 너무 좋았어요 기사님이 정말 친절하시고 상담도 잘해주세요 오늘도 좋은 하루 되셨으면 좋겠습니다 감사합니다</t>
  </si>
  <si>
    <t>pc랜카드 업데이트 안되있는거 챚아주셔셔 너무 감사합니다.</t>
  </si>
  <si>
    <t>상세하고 친절한 설명 감사드립니다. 전문가가 직접 pc를 최적화 해주시고 조치내역까지 상세히 설명해주시니 고객님께서도 매우만족해 하십니다.감사합니다</t>
  </si>
  <si>
    <t>친절하게 설명도 잘 해주시고, 빠르게 처리해 주셔서 너무 좋았습니다. 인터넷이 빨라지니 살것 같아요. 감사합니다.</t>
  </si>
  <si>
    <t>친절하고 빠르게 처리해주십니다 감사합니다</t>
  </si>
  <si>
    <t>친절하게 눈높이에 맞춰서 잘 설명해주셨습니다. 궁금했던 내용에 대해 이해가 쉽게 되었네요 감사합니다.</t>
  </si>
  <si>
    <t>상세하게 가르침주셔서 대단히 고맙습니다 감사합니다</t>
  </si>
  <si>
    <t>다들 친절하고 좋았습니다</t>
  </si>
  <si>
    <t>아주 친절하게 설명해주셧습니다.</t>
  </si>
  <si>
    <t>홈페이지상의 문제였는데 아무도 문제제기를 안함 1분만에 발견하심 최고</t>
  </si>
  <si>
    <t>잘해결해 주셔서 감사합니다.</t>
  </si>
  <si>
    <t>유익한 점검 시간이었습니다 감사합니다</t>
  </si>
  <si>
    <t>원격 지원 서비스를 통해 빠르고 정확하게 문제를 해결해 주셔서 감사합니다. 설명도 친절하게 해주셔서 이해하기 쉬웠고, 전체적인 진행이 매우 원활했습니다. 믿고 맡길 수 있는 업체라고 느꼈습니다. 다음에도 도움이 필요하면 다시 요청드겟습니다.</t>
    <phoneticPr fontId="1" type="noConversion"/>
  </si>
  <si>
    <t>수고하셨습니다. 인터넷 속도에 대해서 문의 드렸습니다. 친절히 안내해 주셔서 진단 받았습니다. 음악을 듣는데 끊김 현상이 발생해서 문의 드렸습니다. 상담 기사님의 설명으로는 1G 속도라고 합니다. 101로 확인해야 합니까? 귀사의 설명대로 5G 인지 확인이 불명합니다.</t>
    <phoneticPr fontId="1" type="noConversion"/>
  </si>
  <si>
    <t>사용중인 복합기 무선연결 오류 문제로 서비스 받았습니다. 원격점검 해주시는 직원분이 매우 친절하셨습니다. 기술적인 문제이다보니 문제점에 대한 이해가 어려워 어떤 부분이 불편한 지 제 설명이 부족 했음에도 불구하고, 직원분께서 잘 파악하여 빠르게 해결해주셨습니다. 빠른 연결, 친절한 직원, 신속한 처리 ! 완벽한 삼박자로 굉장히 만족스러운 경험이였습니다. 감사합니다.^^</t>
    <phoneticPr fontId="1" type="noConversion"/>
  </si>
  <si>
    <t>너무 친절하게 잘 설명해주셨고 완벽하게 다시 고쳐졌습니다. 감사합니다</t>
  </si>
  <si>
    <t>빠르고 정확합니다.</t>
  </si>
  <si>
    <t>큰도움이 되었습니다. 감사합니다.</t>
  </si>
  <si>
    <t>친절하게 안내주셔서 감사합니다.</t>
  </si>
  <si>
    <t>친절함 감사</t>
  </si>
  <si>
    <t>친절하시고 잘 응대해 주셨어요 감사합니다</t>
  </si>
  <si>
    <t>빠른 점검으로 기분이 좋네요</t>
  </si>
  <si>
    <t>서비스 친절 최고 목소리도 좋고 아주 만족합니다 감사합니다</t>
  </si>
  <si>
    <t>친절하고 해결 완료</t>
  </si>
  <si>
    <t>너무 친절하시고 설명을 잘 해 주시네요 감사합니다.</t>
  </si>
  <si>
    <t>친절한 설명과 함께 진단해 주셔서 만족합니다. 다음에 또 도움을 받고 싶습니다.</t>
  </si>
  <si>
    <t>자세하고 정확하게 진단과 해결방법을 알려주셨습니다.</t>
  </si>
  <si>
    <t>친절한 서비스에 감사드립니다 :)</t>
  </si>
  <si>
    <t>아주 아주 친절하시고 자세하게 도움주셨습니다. 감사합니다</t>
  </si>
  <si>
    <t>업로드 속도문제때문에 원격으로 불가능해서 해결은 못했지만 친절해서 좋았습니다</t>
  </si>
  <si>
    <t>응대 최고입니다. 감사합니다.</t>
  </si>
  <si>
    <t>상세하게 잘 알려주시고 해결될 때 까지 신경써서 해주셔서 감사합니다.</t>
  </si>
  <si>
    <t>노트북 전원선이 빠져있어 점검시간이 오래걸렸는데 너무 친절하게 응대 해주시고 감사합니다</t>
  </si>
  <si>
    <t>너무 친절하게 점검해 주셨습니다. 감사합니다~~</t>
  </si>
  <si>
    <t>최고입니당</t>
  </si>
  <si>
    <t>신속하고 친절했습니다</t>
  </si>
  <si>
    <t>친절하게 잘 알려주셨고 곧바로 해결됬습니다. 감사합니다</t>
  </si>
  <si>
    <t>너무 친절하셨고요 . 잘해주셨어요. 감사합니다.</t>
  </si>
  <si>
    <t>기존의 컴퓨터 드라이브를 원격으로 업데이트 해주셔서 원활하게 잘 작동하고 신속하게 서비스 해주셔서 아주 만족합니다</t>
  </si>
  <si>
    <t>원격진단으로 너무 친절하게 문제를 해결해주셨습니다 감사합니다</t>
  </si>
  <si>
    <t>감사 합니다 친절하시고 빠르게 해주셔서 감사,감사. 합니다</t>
  </si>
  <si>
    <t>자세한 설명으로 알아듣기 쉽게 말씀해주셔서 편안한 서비스를 제공받았습니다.</t>
  </si>
  <si>
    <t>기사님 엄청 친절하시고 서비스 잘받았습니다 만족100%로 만족합니다</t>
  </si>
  <si>
    <t>자세한설명잘들었습니다^^</t>
  </si>
  <si>
    <t>친절하고, 신속하게 처리해 주심에 감사합니다.</t>
  </si>
  <si>
    <t>감사합니다 사랑합니다</t>
  </si>
  <si>
    <t>고생하셨습니다</t>
  </si>
  <si>
    <t>아주 친절합니당</t>
  </si>
  <si>
    <t>너무 사용자의 입장에서 잘 진단해주셨고, 후조치설명까지 해주셨습니다.</t>
  </si>
  <si>
    <t>친절하게 서비스 해주셔서 감사합니다</t>
  </si>
  <si>
    <t>잘 설명해주셨습니다.</t>
  </si>
  <si>
    <t>친절한답변 감사합니다.</t>
  </si>
  <si>
    <t>친절한 상담과 서비스 감사드립니다.</t>
  </si>
  <si>
    <t>전문기사님이 친절하게 설명까지 해주시고 부가적으로 요청한거까지 다 해주셨어요</t>
  </si>
  <si>
    <t>자세히 친절하게 오랜시간 안내해주셨습니다. 고맙습니다.</t>
  </si>
  <si>
    <t>너무친절하셔서 놀랬네요 ^^ 기사님 정말 너무 좋으십니다!</t>
  </si>
  <si>
    <t>3일동안 에러때문에 너무 불편했었는데, 너무너무 친절하게 상담해주시고 속시원하게 해결되었습니다. 감사합니다~~~ !!!</t>
  </si>
  <si>
    <t>너무나도 신속하고 정확하게 처리해 주셨습니다. 감사합니다.</t>
  </si>
  <si>
    <t>역시 유플러스 입니다 ! 감사합니다</t>
  </si>
  <si>
    <t>항상 친절한 응대 감사합니다</t>
  </si>
  <si>
    <t>너무 친절하게 잘 해주셨습니다. 본 상담 외에도 필요한 내용들을 잘 알려 주셨습니다. 말씀도 친절하고 모든 것에 만족합니다.</t>
  </si>
  <si>
    <t>친절하시고 빠른 응대 감사합니다</t>
  </si>
  <si>
    <t>너무 친절하시고 잘 알아들을 수 있게 상담해 주셔서 감사힙나다</t>
  </si>
  <si>
    <t>제대로 잘 알려주시고 좋은 방법으로 상세히 설명해주셔서 잘 해결했습니다 감사합니다!!</t>
  </si>
  <si>
    <t>최선을 다해 해결해 처리해 주셔어 감사합니다.</t>
  </si>
  <si>
    <t>친절히 점검 잘해주셨음</t>
  </si>
  <si>
    <t>친절하십니다 되게 꼼꼼하십니다</t>
  </si>
  <si>
    <t>감사합니다~~~ 수고했어요~~</t>
  </si>
  <si>
    <t>친절하고 정확한 상담감사합니다. 좋은하루보내세요</t>
  </si>
  <si>
    <t>친절하게 상담해주시고 따로 필요한 부분까지 해주셔서 감사했습니다.</t>
  </si>
  <si>
    <t>친철하게 이해하기 쉽게 설명 잘들었습니다.. 감사합니다</t>
  </si>
  <si>
    <t>답변 잘 해주시고, 잘 처리해주셨어요!</t>
  </si>
  <si>
    <t>굿ㄱㅅ</t>
  </si>
  <si>
    <t>네 만족합니다 감사합니다</t>
  </si>
  <si>
    <t>너무 친절한 설명과 작업으로 너무 만족스러운 진단을 받았습니다. 너무 친절하시고 설명도 자세해서 감사했습니다. 감사합니다.</t>
  </si>
  <si>
    <t>랜선 탈착이 오래 걸려서 많이 기다리셨을텐데 친절한 응대 감사합니다.</t>
  </si>
  <si>
    <t>신속하게 조치해 주셨고 이전의 문제점들이 완전하게 잘 해결되었다고 생각됨</t>
  </si>
  <si>
    <t>넘 자세하게 설명해주셨어요. 감사합니다~~^^</t>
  </si>
  <si>
    <t>이런 서비스가 있다고 알려주신분부터 전화로 원격점검 시작한다 말도 해주시고 차근차근 설명부터 조치까지 너무 감사합니다:)</t>
  </si>
  <si>
    <t>컴퓨터를 잘 못하는 사람에게 아주 좋은 서비스 인 것 같습니다.</t>
  </si>
  <si>
    <t>친절하고 세심하게 전반적인 점검을 해주셔서 감사합니다.</t>
  </si>
  <si>
    <t>기술지원팀 김태훈님 감사합니다 덕분에 편하게 이용하고 있어요!</t>
  </si>
  <si>
    <t>와이파이 연결 문제로 상담드렸는데 친절하게 차근차근 해결해 주셔서 다행히 문제 해결 했습니다. 감사합니다.</t>
  </si>
  <si>
    <t>친절한 진단 감사합니다.</t>
  </si>
  <si>
    <t>좀 짜증이 나서 약간 흥분하고 대화했는데 침착하고 친절하게 계속 말씀하셔서 좀 죄송했습니다! 감사합니다!!</t>
  </si>
  <si>
    <t>빠른조치 감사합니다</t>
  </si>
  <si>
    <t>별이 １０개네요 ㅋㅋㅋㅋㅋㅋㅋ 일단 아직 해결 안됬으니 이렇게만 적습니다 대화로는 친절합니다</t>
  </si>
  <si>
    <t>꼼꼼하게 해주셔서 해결 잘 된같네요~ 감사합니다~</t>
  </si>
  <si>
    <t>잘해주시네요 감사합니다</t>
  </si>
  <si>
    <t>문제해결에 도움이 되었습니다</t>
  </si>
  <si>
    <t>상담원분께서 전문적인 지식을 토대로 친절하고 꼼꼼하게 점검해주셨습니다. 평소 보안과 관련해서 궁금했던 점을 속시원히 해결할 수 있었습니다. 감사합니다.</t>
    <phoneticPr fontId="1" type="noConversion"/>
  </si>
  <si>
    <t>정말 친절하게 하나하나 살펴주셨어요~ 감사합니다 (__) 계속 같은 증상이 발생하면 회선이나 모뎀점검을 해보시라 하셨는데 증상이 호전되길 바랄께요~~~ 정말 고생하셨습니다</t>
    <phoneticPr fontId="1" type="noConversion"/>
  </si>
  <si>
    <t>어우 그냥 속전속결 빠른 일 처리와 간단하게 설명 해주셔서 너무 감사했어요. 다들 바쁘실텐데 감사합니다 !</t>
    <phoneticPr fontId="1" type="noConversion"/>
  </si>
  <si>
    <t>친절하시고 신속한 조치 만족합니다~</t>
  </si>
  <si>
    <t>친절하고 빠른 서비스 윤찬호 기술자님</t>
  </si>
  <si>
    <t>좋은서비스 감사합니다.</t>
  </si>
  <si>
    <t>자세하고 친절하게 알려주셨어요</t>
  </si>
  <si>
    <t>상담원 연결까지는 좀 걸렸지만 연결되고나서 아주 친절하고 빠르게 원격지원으로 문제 해결을 받으니까 좋네요. 감사합니다</t>
  </si>
  <si>
    <t>자세하고 친절한 안내 감사합니다.^^</t>
  </si>
  <si>
    <t>랜카드 업그레이드 금방 설치해 주셨습니다. 대단히 감사합니다.</t>
  </si>
  <si>
    <t>문제에 대한 내용을 상세히 친절희 설명 해주고 해결 해주어서 좋았습니다.</t>
  </si>
  <si>
    <t>하나하나 친절하게 설명해주시고 꼼꼼하게 문제가 될만한걸 찾아주시니 고객입장에서는 굉장히 편했습니다 엘지는 이런부분이 참 강점인듯 싶습니다</t>
  </si>
  <si>
    <t>최근 수개월 잦은 인터넷 연결 문제로 인해 스트레스가 심했습니다. 단순하게 랜선을 뽑았다 꼽는 정도로 대응할 수 밖에 없었는데 전화하면서 진행해주신 직원분께서 친절하게 설명해주시면서 원인에 대해 말씀해주시고 발생 가능한 이유들을 설명해주신 덕분에 편안하게 점검을 진행할 수 있었습니다. 주택가이고 랜선이 길고 외부로 돌렸다는 문제로 인해 다소 문제가 발생할 수 있는 상황임을 고려하고도 충분히 만족할 만한 설명이었습니다. 감사합니다.</t>
  </si>
  <si>
    <t>문제는 해결되지않았지만 상담원께서 친절하게 응대해주셔서 기분은 좋았습니다. 월요일날 기사님 방문해주신다니 문제가 잘 해결되었으면 좋겠네요. 감사합니다.</t>
  </si>
  <si>
    <t>문제점 파악해서 해결해주시고 컴퓨터 오류까지 잡아주셔서 너무 감사합니다</t>
  </si>
  <si>
    <t>빠른출장 너무 감사합니다</t>
  </si>
  <si>
    <t>친절하게 설명도 잘 해주셔서 감사합니다! 주말인데 처리해주셔서 살았어요!</t>
  </si>
  <si>
    <t>너무나 친절한 상담과 완벽한 해결!! 정말 최고이십니다. 엘지유플러스는 이분을 진급 시켜 주세요! ㅎㅎ 감사합니다.</t>
  </si>
  <si>
    <t>매우친절함</t>
  </si>
  <si>
    <t>점검 잘 받았습니다.</t>
  </si>
  <si>
    <t>친절하게 설명 잘해줬어요</t>
  </si>
  <si>
    <t>speedy 하게 처리해 주셔서 감사드립니다</t>
  </si>
  <si>
    <t>빠르고 적절한 대응 훌륭함</t>
  </si>
  <si>
    <t>서비스 진행이 깔끔합니다</t>
  </si>
  <si>
    <t>친절한 설명과 함께 잘 해결해주었네요</t>
  </si>
  <si>
    <t>너무 친절하시고 잘 알려주셔요</t>
  </si>
  <si>
    <t>직원이 너무 친절하게 대응해주셔서 신속하게 해결했습니다 솔루션도 제공해주시고 완전 최고네요!</t>
  </si>
  <si>
    <t>와이파이가 안되서 답답했는데 신속하게 해결해주셨습니다!! 원격으로 신세계네요!!!! 빠른해결 감사드립니다 수고하세요 ^^!!!! 따봉!!!!!!</t>
  </si>
  <si>
    <t>친절하고 이해가 잘되게 알기 쉽게 대응해주어서 만족스럽게 서비스 받았습니다</t>
  </si>
  <si>
    <t>여러번 문의를 해도 친절하게 대답해주셨습니다 너무 감사합니다</t>
  </si>
  <si>
    <t>신속하고 친절한 상담</t>
  </si>
  <si>
    <t>자세하게 알려주시고 너무 친절하셨습니다. 많은 도움이 되었습니다.</t>
  </si>
  <si>
    <t>최선의 서비스를 받았습니다 해결위해 노력해주심에 진심으로 감사드립니다</t>
  </si>
  <si>
    <t>서비스 해주시는 상담사분들이 너무 친절하셔가지고 완전 순조롭게 문제해결했습니다 감사합니다 !! :)</t>
  </si>
  <si>
    <t>친절하게 알려주시니깐 너무 감사했습니다~!</t>
  </si>
  <si>
    <t>매우 친절하게 설명해주시고 설명 내용도 귀에 쏙쏙 들어와서 너무 좋았습니다 !!ㅎㅎ</t>
  </si>
  <si>
    <t>오랜시간 걸렸어도 친절히 답변해주시고 도움 주셔서 감사합니다.</t>
  </si>
  <si>
    <t>역시 전문가분이시라 인터넷에 궁금한점 이해가 잘되게 하나하나 잘알려주셔서 감사했습니다. 고생하세요~</t>
  </si>
  <si>
    <t>대단히감사했습니다</t>
  </si>
  <si>
    <t>상담사분들이 착하고 말씀을 잘해주셨어 너무 감사합니다~!</t>
  </si>
  <si>
    <t>친절하게 설명해주셔서 이해가 쏙쏙~</t>
  </si>
  <si>
    <t>친절하고 빠른 대응 감사합니다, 고생하셨습니다!!</t>
  </si>
  <si>
    <t>스피드있게 친절하게 잘 안내받고, 결과도 매우 만족스럽습니다</t>
  </si>
  <si>
    <t>알기 쉬운 단어로 설명해주셔서 이해가 잘 됐습니다...</t>
  </si>
  <si>
    <t>매우 만족합니다..</t>
  </si>
  <si>
    <t>빠른 해결및 조언 해주셔셔 확실하게 해결했습니다</t>
  </si>
  <si>
    <t>친절 한 상담 감사합니다.</t>
  </si>
  <si>
    <t>편안하고 친절하게 응대해주셨습니다</t>
  </si>
  <si>
    <t>정말 빨리진행 해주셔서 넘 감사합니다</t>
  </si>
  <si>
    <t>친절한 안내와 설명 감사합니다.</t>
  </si>
  <si>
    <t>아주 친절하게 전화해주시면서 자세하게 진단해주셨고 꼼꼼하게 검사해주셨습니다. 아주 믿음가는 목소리 최고입니다!!</t>
  </si>
  <si>
    <t>정말 친절하게 잘 해주셨습니다. 감사합니다!!!</t>
  </si>
  <si>
    <t>친잘하게대은해주셔서 너무감사하네요</t>
  </si>
  <si>
    <t>cl 잘 알아 듣게 설명해 주셨어요. 친절한 상담 감사 합니다.</t>
  </si>
  <si>
    <t>기술원팀 김민석 인터넷원격 상담 친절하게 주시고 설명도잘해주시고</t>
  </si>
  <si>
    <t>너무 스트레스 받았는데 정말 감사합니다 빠르게 해주셔서 정말 좋았습니다</t>
  </si>
  <si>
    <t>점검 잘 받았습니다 감사합니다</t>
  </si>
  <si>
    <t>성의있게 잘해주시네요</t>
  </si>
  <si>
    <t>친절한 안내 감사합니다~</t>
  </si>
  <si>
    <t>만족함</t>
  </si>
  <si>
    <t>친절하게 천천히 안내 주셔서 감사합니다!^^</t>
  </si>
  <si>
    <t>친절한도움 서비스 좋네요 감사합니다</t>
  </si>
  <si>
    <t>정말 친철하게 설명 해주시고 해결 해주십니다. 최고 입닏.</t>
  </si>
  <si>
    <t>친절하고 전문적인 상담에 감사 드립니다.</t>
  </si>
  <si>
    <t>친절하게 봐주셨습니다</t>
  </si>
  <si>
    <t>친절하시고 빠른처리 감사합니다</t>
  </si>
  <si>
    <t>친절하게 상담 해주셔서 감사합니다.</t>
  </si>
  <si>
    <t>너무 친절하시고 문제해결 방법과 예방법까지 잘 설명해주셨어요. 감사합니다.</t>
  </si>
  <si>
    <t>서비스 친절하게 잘 받았습니다. 감사합니다.</t>
  </si>
  <si>
    <t>상담사분이 친절하십니다</t>
  </si>
  <si>
    <t>자세한 설명과 빠른 정보 감사드립니다.</t>
  </si>
  <si>
    <t>대처가 빠르고 친절하심</t>
  </si>
  <si>
    <t>오늘 통신사 원격제어 서비스를 통해 큰 도움을 받았습니다. 처음에는 혼자 해결하기 어려워 많이 당황했는데, 담당자분께서 친절하고 차분하게 하나하나 설명해 주시고 끝까지 책임감 있게 도와주셔서 문제를 빠르게 해결할 수 있었습니다. 고객의 입장에서 이해하기 쉽도록 설명해 주시고 불편함이 없도록 세심하게 신경 써주신 모습에 진심으로 감사드리며 이런 분이 계셔서 더욱 신뢰가 갑니다!!</t>
    <phoneticPr fontId="1" type="noConversion"/>
  </si>
  <si>
    <t>SK, KT 최소 2년 이상 가입 유 경험자이며 LG U 플러스는 처음 가입 사용 중인데 서비스가 뭔가 차이가 있네요 아주 작은 차이인데 LG U 플러스는 고객에 대한 서비스 마인드, 처리 속도, 처리방향 등이 매우 만족스럽습니다.</t>
    <phoneticPr fontId="1" type="noConversion"/>
  </si>
  <si>
    <t>무더위에 신속하고 정확한 a/s 해 주신것에 대하여 대단히 감사드립니다..진행과정의 상세한 설명과 차후 관리까지 해주시고 다시 한번 감사드리며...기사님!!! 항상 건강하시고 행운또한 풍성하시길바랍니다</t>
    <phoneticPr fontId="1" type="noConversion"/>
  </si>
  <si>
    <t>정해진 약속 시간과 늦은시간 빠른 대응에 감사 드립니다.</t>
  </si>
  <si>
    <t>친절한 서비스 좋아요~</t>
  </si>
  <si>
    <t>만족합니다.감사합니다.</t>
  </si>
  <si>
    <t>만족스러운 대응이었습니다</t>
  </si>
  <si>
    <t>너무 너무 친절하셨습니다. 감사합니다.</t>
  </si>
  <si>
    <t>인터넷 문제 및 저의 pc에 필요한 프로그램도 알려 주시고 정말 친절하게 알려주시니 정말 감사합니다.</t>
  </si>
  <si>
    <t>너무 친절하십니다 좋았습니다.</t>
  </si>
  <si>
    <t>최고입니다. 감사합니다.</t>
  </si>
  <si>
    <t>원격서비스 잘받았고, 친절히 설명자해주셨셔 고맙습니다.</t>
  </si>
  <si>
    <t>상담, 원격 담당자 분들은 매우 친절하여 만족스러우나 그러나 LG 인터넷 사용에 대해서는 매우 불만족이네요 바꾼지 1년도 안되었는데 타 통신사와 너무 차이납니다.</t>
  </si>
  <si>
    <t>빠르고 편리하게 도와주셔서 감사합니다.</t>
  </si>
  <si>
    <t>꼼꼼하게 봐주셨습니다. 감사합니다.</t>
  </si>
  <si>
    <t>네 잘 받았습니다. 감사합니다.</t>
  </si>
  <si>
    <t>너무 친절하게 잘 도와주셔서 만족100점입니다. 감사합니다.^^</t>
  </si>
  <si>
    <t>기사님이 친절하게 대응해주셔서 좋았어요</t>
  </si>
  <si>
    <t>매우 친절한 설명, 마무리까지완벽하셨습니다.</t>
  </si>
  <si>
    <t>너무 감사합니다..바로바로 해주시고 정말 감사해요</t>
  </si>
  <si>
    <t>너무 친절하시고 자세히 알려주셔서 너무 고마웠습니다</t>
  </si>
  <si>
    <t>최선을 다해 주셔서 감사드림니다. lg최고!</t>
  </si>
  <si>
    <t>친절하게 잘 설명해주셨어요</t>
  </si>
  <si>
    <t>친절하고 꼼꼼하게 봐주셔서 좋았습니다。</t>
  </si>
  <si>
    <t>정확한 진단 감사합니다.</t>
  </si>
  <si>
    <t>알아듣기 쉽게 친절한 설명 감사드립니다. 다음에도 문의하면 친절한 답변 부탁드려요</t>
  </si>
  <si>
    <t>아주 밝고 친절하셨어요!! 감사합니다!!</t>
  </si>
  <si>
    <t>좋은 서비스 감사합니다.</t>
  </si>
  <si>
    <t>빠르고 정확한 진단 감사합니다 최고에요</t>
  </si>
  <si>
    <t>상담원분과 빠르게 연결되었고 바로 원격 확인이 진행되어서 만족합니다~</t>
  </si>
  <si>
    <t>전문 엔지니어께서 친절하고 상세하게 설명해주셔서 큰 도움이 됐습니다.</t>
  </si>
  <si>
    <t>친절하게 상담 해 주셔서 너무 고맙습니다</t>
  </si>
  <si>
    <t>감솨하니다</t>
  </si>
  <si>
    <t>많은걸 알수 있어서 좋은 경험이였습니다</t>
  </si>
  <si>
    <t>빠르게 해결해주셔서 감사합니다.</t>
  </si>
  <si>
    <t>친절하게 잘응대해 주셔서 감사합니다</t>
  </si>
  <si>
    <t>빠르고 친절한 대응 감사합니다. 수고하세요~</t>
  </si>
  <si>
    <t>친절하시구 빠르게 도와 주셧어요</t>
  </si>
  <si>
    <t>상담사가 친절함</t>
  </si>
  <si>
    <t>네 너무 친절하게 자세하게 알려주시네요. 문제 해결되서 너무 좋습니다. 감사합니다</t>
  </si>
  <si>
    <t>알기 쉽게 알려주셨어요</t>
  </si>
  <si>
    <t>친절히 잘 성명해주셔습니다ㅓ</t>
  </si>
  <si>
    <t>친절하게 상담을 잘 받았구요 문제해결도 잘 처리해주셨습니다.</t>
  </si>
  <si>
    <t>문제 원인을 찾음</t>
  </si>
  <si>
    <t>친절하게 잘 설명 해주시고 만약의 경우도 잘 설명 해주셨습니다. 친절함에 정말 감사합니다.</t>
  </si>
  <si>
    <t>빠른 해결과 친절함에 감사드립니다.</t>
  </si>
  <si>
    <t>전체적으로 만족합니다 일요일날 인터넷 안됨 -&gt; 월요일 오전 11시 완료 빠르게 처리해 주셔서 감사합니다~</t>
    <phoneticPr fontId="1" type="noConversion"/>
  </si>
  <si>
    <t>원격진단 서비스가 있는줄 몰랐는데 문제를 바로 확인해주시고 이해되게 안내해주셔서 매우 좋았습니다 전에 홈서비스만 받았을때는 어떤게 문제였는지 정확하게 이해가 어려웠는데 이렇게 눈으로 로그를 확인하니 정확한거 같아요 신뢰 됩니다 친절하게 안내해주셔서 감사합니다</t>
    <phoneticPr fontId="1" type="noConversion"/>
  </si>
  <si>
    <t>네 도움이 많이 됐습니다. 감사합니다. 수고하세요. 네 도움이 많이 됐습니다. 감사합니다. 수고하세요. 네 도움이 많이 됐습니다. 감사합니다. 수고하세요. 네 도움이 많이 됐습니다. 감사합니다. 수고하세요. 네 도움이 많이 됐습니다. 감사합니다. 수고하세요. 네 도움이 많이 됐습니다. 감사합니다. 수고하세요. 네 도움이 많이 됐습니다. 감사합니다. 수고하세요. 네 도움이 많이 됐습니다. 감사합니다. 수고하세요. 네 도움이 많이 됐습니다. 감사합니다. 수고하세요. 네 도움이 많이 됐습니다. 감사합니다. 수고하세요. 네 도움이 많이 됐습니다. 감사합니다. 수고하세요.</t>
    <phoneticPr fontId="1" type="noConversion"/>
  </si>
  <si>
    <t>늦은 밤에 서비스 받았는데, 너무 친절하게 응대해주셔서 너무 고마웠습니다. 무더위에 건강하시고 좋은 하루 되세요.</t>
    <phoneticPr fontId="1" type="noConversion"/>
  </si>
  <si>
    <t>친절하게 알려주셔서 정말 감사합니다</t>
  </si>
  <si>
    <t>매우 신속,친절,정확으로 응대 해주셨습니다. 만족하는 서비스 였습니다.</t>
  </si>
  <si>
    <t>빠르고 친철하게 해주셧습니당!</t>
  </si>
  <si>
    <t>신속하시고 친절하게 응대해주셔서 감사합니다.</t>
  </si>
  <si>
    <t>친절한 목소리로 이해 할수 있게 잘 설명해주었습니다.</t>
  </si>
  <si>
    <t>궁금한 사항을 빠르게 해결해주시고 이해가 조금 느려도 천천히 설명 잘 해주셔서 만족스럽게 진행했습니다. 연결 도와주신 상담사 분 및 기술적 요인 이해 및 해결해주신 직원분들 너무 감사드립니다!</t>
  </si>
  <si>
    <t>늦은시간에도 감사합니다.</t>
  </si>
  <si>
    <t>너무 친절하게 도움주셔서 감사드립니다</t>
  </si>
  <si>
    <t>기사님이 친절하게 대해주시고 그리고 오류부분에서 어떤것이 오류인지 자세히 설명해 주셨습니다. 다음에 오류나면 어떻게 해야하는지도 알려주셔서 감사했습니다.</t>
  </si>
  <si>
    <t>빠른시간내 원인과 해결책을 찾아주셔서 아주 만족합니다</t>
  </si>
  <si>
    <t>빠르고 친절한 대처가 너무 좋았습니다. 이해하기 쉽게 상황을 설명해주시고 정리해주셔서 불안감 없이 대처를 기다릴 수 있었습니다.</t>
  </si>
  <si>
    <t>친절한 설명과 빠른 조치 감사합니다.</t>
  </si>
  <si>
    <t>친절하게 응대해주셔서 감사합니다~</t>
  </si>
  <si>
    <t>업무관련 지식이 풍부하며 알기 쉽게 친절히 설명해주셨습니다</t>
  </si>
  <si>
    <t>원인분석및 문제해결과정중 친절하고 이해하기쉽게 설명을 잘해주어서 만족합니다.</t>
  </si>
  <si>
    <t>너무 고생 많으셨어요...감사드립니다.^^*</t>
  </si>
  <si>
    <t>빠르고 친절한 서비스 감사합니다!!</t>
  </si>
  <si>
    <t>최고/최고/최고</t>
  </si>
  <si>
    <t>친절하고 잘 알려주셔서 좋았습니다</t>
  </si>
  <si>
    <t>친절하게 상담해 주고, 처리해 주셨습니다.</t>
  </si>
  <si>
    <t>빠른진단 대응 감사합니다^^</t>
  </si>
  <si>
    <t>친절하게점검잘해주샤서감사한미다</t>
  </si>
  <si>
    <t>이해하기 쉽게 설명해주시고 잘 해결해주셨어요</t>
  </si>
  <si>
    <t>너무 친절하고 빨른처리 감사합니다</t>
  </si>
  <si>
    <t>빠르고 친절하네요</t>
  </si>
  <si>
    <t>친절히 잘 알려주시고 처리해주셔서 감사합니다</t>
  </si>
  <si>
    <t>너무너무 친절하시고 원하는건 다 해결해주셔서 감사합니다</t>
  </si>
  <si>
    <t>너무 친절하게 잘 설명해주셔서 만족합니다!</t>
  </si>
  <si>
    <t>너무나도 친절히 잘해 주셨어요 감사합니다</t>
  </si>
  <si>
    <t>원격지원은 정말 빠르고 깔끔했으나, 엘지 인터넷을 설치한지 정확히 8일 만에 사고를 처리해준 상담원분들과 설치기사의 대응이 정말 불편했음. 3년후에 엘지 인터넷 절대 사용못할거 같음.</t>
  </si>
  <si>
    <t>친절하시고 편리하고 좋았습니다</t>
  </si>
  <si>
    <t>너무 친절합니다. 수고 많으셨어요.</t>
  </si>
  <si>
    <t>아주 친절하고 도움이 되었습니다</t>
  </si>
  <si>
    <t>빠른처리 문제점 확인감사드리고 문제없는 PC도 업데이트까지 진행해주셔서감사합니다~</t>
  </si>
  <si>
    <t>친절하게 잘 받았어요</t>
  </si>
  <si>
    <t>원격은 잘받았읍니다.</t>
  </si>
  <si>
    <t>문제 해결해 주셔서 감사합니다.</t>
  </si>
  <si>
    <t>공유기 및 노트북 인터넷 연결 문제로 문의 드렸었는데, 원격으로 직접 잘 찾아서 원인 해결해주시고 특히 설명을 너무 잘 해주셔서 고마웠습니다. 해결 방안 몇가지도 정확하게 인지한 상태로 끝났고 너무 친절하십니다.</t>
    <phoneticPr fontId="1" type="noConversion"/>
  </si>
  <si>
    <t>원격진단 처음 받아 봤습니다~ 오늘만 기사님 운이 좋았는지 모르겟지만 첫경험 너무 좋았습니다~ 기사님 굉장히 친철하시고 제가 뭘 원하는지 엉뚱하게 말해도 잘 캐치해주시고 무시발언없이 전문적이시고 눈높이 맞게 잘풀어서 친철히 응대해주셔서 굉장히 좋은 원격상담이였습니다~</t>
    <phoneticPr fontId="1" type="noConversion"/>
  </si>
  <si>
    <t>문제점에 대해 자기일처럼 끝까지 책임지고 확인해 주신점 대단히 감사드립니다. 그리고 진행간 너무 친절히 문의 사항에 대해 답변 주시고 해결해 주신점 또한 고맙습니다. 화이팅~~~~~</t>
    <phoneticPr fontId="1" type="noConversion"/>
  </si>
  <si>
    <t>너무 친절하게 잘해주셨어요 감사합니다 ^^</t>
  </si>
  <si>
    <t>친절하게 문제 해결 및 점검 해주셨습니다.</t>
  </si>
  <si>
    <t>친절하게 잘 설명해주세요</t>
  </si>
  <si>
    <t>친절하고 자세하게 설명해주셔서 문제점을 해결할 수 있었습니다. 미래사회를 살아가는데 필수적으로 필요한 디지털 활용능력에 대한 공부가 필요함을 느끼게 되었고 존경심을 갖게 되었습니다. 행복한 하루 보내세요~</t>
  </si>
  <si>
    <t>정말 친절하시고좋으신분같습니다. 감사합니다.</t>
  </si>
  <si>
    <t>감사히 잘 받았습니다. 최고~</t>
  </si>
  <si>
    <t>친절하고 자세한 상담 해주셔서 감사드려요~</t>
  </si>
  <si>
    <t>친절하시고 자세히 설명 해주셔서 너무 감사합니다.</t>
  </si>
  <si>
    <t>친절한 상담 ,빠른 처리 감사드립니다.</t>
  </si>
  <si>
    <t>오랜시간동안 친절하게 설명잘해주셔서 좋네요 LGU 이런기사님들만 계셨으면 좋겠어요^^ 수고하세요</t>
  </si>
  <si>
    <t>이리저리 뺑뺑돌리다 해결이 안됨 형편 없음</t>
  </si>
  <si>
    <t>친절하고 신속하게 해결해 주셔서 너무 감사합니다...</t>
  </si>
  <si>
    <t>너무 친절하시구 간단하고 빠르고 필요한 부분만 정확하게 찝어서 안내 및 해결해주셨어요 정말 감사합니다 ㅎㅎ</t>
  </si>
  <si>
    <t>친절하게 잘 응대해 주셨어요</t>
  </si>
  <si>
    <t>친전하게 상담해주셔서 감사합니다</t>
  </si>
  <si>
    <t>친절하게 점검 잘해 주셨습니다.</t>
  </si>
  <si>
    <t>친절하고 확실한 점검해주셔서 감사드립니다.</t>
  </si>
  <si>
    <t>친절하게 대답해줘서 감사합니다</t>
  </si>
  <si>
    <t>깔끔하게 처리 해 주셔서 감사합니다 좋아요</t>
  </si>
  <si>
    <t>빠르게 문제를 잘 해결해주셨어요 감사합니다</t>
  </si>
  <si>
    <t>친절하시고 신속하게 처리해주셨어용 만족합니다</t>
  </si>
  <si>
    <t>친절한 응대 및 신속한 일처리</t>
  </si>
  <si>
    <t>완전 친절하셨어요 ^^</t>
  </si>
  <si>
    <t>아주 친절하게 도와주셔서 감사합니다.</t>
  </si>
  <si>
    <t>꼼꼼하게 문제점이 무었인지 파악하여 해결해주셔서 감사합니다.</t>
  </si>
  <si>
    <t>좋은 서비스 감사합니다. 유플러스 최고!!</t>
  </si>
  <si>
    <t>신속 정확한 처리에 감사드립니다</t>
  </si>
  <si>
    <t>너무 친절하게 설명해주셔서 편했어요!! 고맙습니다!!</t>
  </si>
  <si>
    <t>기사님이 친절하게 잘 처리해 주셔서 감사합니다</t>
  </si>
  <si>
    <t>즉석해서 원격으로 해주시니 편리하고 좋습니다.</t>
  </si>
  <si>
    <t>친절히 설명하셧습니다</t>
  </si>
  <si>
    <t>친절하신 안내와 상담 감사합니다.</t>
  </si>
  <si>
    <t>어떤점이 문제인지 알아듣기쉽고 친절하게 응대해주셨습니다.</t>
  </si>
  <si>
    <t>빠른 조치에 감사드립니다 귀사의 무궁한 발전을 기원 합니다</t>
  </si>
  <si>
    <t>원인을 찾기 위해 열심히 노력해주셔서 감사드립니다. 친절하셔서 저도 같이 문제 해결 할 수 있게 끔 리더같이 잘 찾아주셔서 원인이 별거 아님에도 같이 기분 좋아 질 정도로 좋았습니다. 다시 한번 감사드립니다.</t>
    <phoneticPr fontId="1" type="noConversion"/>
  </si>
  <si>
    <t>막막하고 답답했는데 두서없는 저의 물음에 이해하기 쉽게 설명해주시고 빠르게 문제파악을 하신뒤 처리해 주셔서 너무 감사했습니다. LGU+ 인터넷 서비스에 너무도 만족하며, 재계약이 곧인데 재연장을 할마음이 더욱 깊어 졌습니다. 친절하게 상담해주셔서 감동이였고, 답답할 수 있는 상담에 끝까지 친절하게 응답해주셔서 고마웠습니다. 좋은 직원이 있어. LGU+더 발전 하는것 같습니다. 장재훈님을 적극 칭찬합니다</t>
    <phoneticPr fontId="1" type="noConversion"/>
  </si>
  <si>
    <t>인터넷 끊김으로 밤늦게 원격제어 신청해서 기사님이 봐주셨습니다. 전문가답게 빠른 조치뿐만 아니라 질문사항에도 잘 알려주셔서 많은 도움이 됐습니다. 감사합니다 최기원 기사님</t>
    <phoneticPr fontId="1" type="noConversion"/>
  </si>
  <si>
    <t>너무 감사합니다 ㅠㅠㅠ 덕분에 저의 인터넷 속도를 돌릴 수 있었어요 친절하고 꼼꼼하게 봐주시며 사설 공유기까지 추천해주셔서 감사합니다 오늘도 행복하세요</t>
  </si>
  <si>
    <t>늦은시간에 점검해주셨는데 너무 친절하게 잘 설명해주시고 작업해주셔서 너무좋았습니다 더위 조심하시고 건강하세요 :)</t>
  </si>
  <si>
    <t>상담사님께서 친절하시고, 쉽게 잘 알려주셔서 금방 조치가 됐습니다. 감사합니다 !</t>
  </si>
  <si>
    <t>친철하게 잘 설명해주셔서 무엇이 잘못됐는지 잘 알 수 있었어요!</t>
  </si>
  <si>
    <t>수고하셧는데 안돼네요 기기바꿔야겟어요</t>
  </si>
  <si>
    <t>더운날씨인데도 나이가 있어서 설명도 제대로 못했는데 담당자님께서 친절하게 답변 잘 해주셔서... 해결햇습니다 ~~ 감사합니다, 수고하셧습니다.</t>
  </si>
  <si>
    <t>빠르게 확인해주십니다.</t>
  </si>
  <si>
    <t>아~하~ 한시간 반 통화하고 요청만 드리고... 뺑뺑이 돌았어요. 너무 힘들어요. 기획부서나 책임자되시는 분들께서 조직간 협업체계 프로세스가 있었으면해요. 똑같은얘기 3번이나 아~하~ 힘들어요</t>
  </si>
  <si>
    <t>친절하고 꼼꼼하게 응대해주셔서 감사합니다.</t>
  </si>
  <si>
    <t>꼼꼼하고 친절하게 설명해주셔서 감사합니다.</t>
  </si>
  <si>
    <t>고생하셨습니다.사용해보겠습니다</t>
  </si>
  <si>
    <t>못알아들어도 자세히 차근히 설명해주시고 너무 친철하세요</t>
  </si>
  <si>
    <t>신속정확 전문적인 해결</t>
  </si>
  <si>
    <t>어려운 용어를 사용하더라도 쉽게 설명해서 이해하기 쉬었습니다. 타사 CCTV 문제는 다른 방법을 제시해 주셔서 그 방법으로 해결해보겠습니다.</t>
  </si>
  <si>
    <t>수고하셨습니다. 감사합니다</t>
  </si>
  <si>
    <t>친절하고 설명을 잘해주세요</t>
  </si>
  <si>
    <t>빠르고 친절한 서비스 감사합니다</t>
  </si>
  <si>
    <t>빠르고 친절하십니다! 감사합니다!</t>
  </si>
  <si>
    <t>빠른조치와 친절한응대에 고맙습니다. ^^</t>
  </si>
  <si>
    <t>친절하시고 상세하게 안내주셨습니다.</t>
  </si>
  <si>
    <t>너무 감사합니다*^^*</t>
  </si>
  <si>
    <t>빠르게 원격진단 해 주셔서 넘 좋았어요 감사합니다</t>
  </si>
  <si>
    <t>친절하고 설명을 자세히 잘해주십니다. 덕분에 빠르게 해결했습니다. 감사합니다</t>
  </si>
  <si>
    <t>친절하셨습니다。</t>
  </si>
  <si>
    <t>친절하고 빠르게 응대해 주셨습니다.</t>
  </si>
  <si>
    <t>친절하시고 진단과 업데이트 감사합니다</t>
  </si>
  <si>
    <t>빠르게 정검해주시고 업데이트해주시고 설명도 알아듣기 쉽게 해주셔서 감사합니다</t>
  </si>
  <si>
    <t>친절하고 좋았습니다.</t>
  </si>
  <si>
    <t>언제나 친절하고 상세하게 안내해 주시고 꼼꼼한점검까지 감사드립니다</t>
  </si>
  <si>
    <t>잘하셨어요</t>
  </si>
  <si>
    <t>설명 잘해 주셔서 이해가 잘 되었습니다. 감사합니다.</t>
  </si>
  <si>
    <t>친절하고 빠른 상담 너무 감사합니다</t>
  </si>
  <si>
    <t>친절하고 쉽게 설명해주셨어요</t>
  </si>
  <si>
    <t>친절한 응대와 진단 처치 모두 감사합니다.</t>
  </si>
  <si>
    <t>유플러스 서비스 개선 좋았습니다.</t>
  </si>
  <si>
    <t>고장이라 생각하고 당황하였는데, 원격진단으로 잘 마무리 되었습니다. 감사합니다.</t>
  </si>
  <si>
    <t>자세히 안내해주시고 매우 친절하십니다</t>
  </si>
  <si>
    <t>친절하게 하나하나 알려주시고 감사합니다.</t>
  </si>
  <si>
    <t>차분하게 친철하게 설명을 잘해주었고 증상에대해서 설명을해 주었다</t>
  </si>
  <si>
    <t>빠른 점검 감사합니다.</t>
  </si>
  <si>
    <t>오랜 시간 삼당 해 주셔서 고맙습니다. 같은 문제로 반복적인 불편 신고 및 매니져님 방문 하시고 있는데 근본적인 해결책이 나오기를 기대 합니다.</t>
    <phoneticPr fontId="1" type="noConversion"/>
  </si>
  <si>
    <t>인터넷은 이제 사용해봐야 알겠지만 기사님께서 설명을 쉽고 친절하게 잘 해주셨어요 ! 문제점 뿐만 아니라 어떤 조치를 취할지 그럼에도 같은 현상이 생기면 앞으론 어떤 방법을 하면 좋을지 사후관리를 하는 법까지 알려주셔서 너무 좋았습니다. 너무 감사드리며 컴퓨터 잘 사용 하겠습니다. 친절하게 해주셔서 오늘 하루 기분이 좋을 것 같네요 ^^</t>
    <phoneticPr fontId="1" type="noConversion"/>
  </si>
  <si>
    <t>설명 쉽게 해주시고 딱 한마디를 하면 이미 뭘 해야할지 진단을 빨리 판단하시고 움직이고 계셔서 서비스 만족도에 우선 최고로 느끼게 되었습니다 신경써주시고 이것 저것 질문도 성실히 답해주셔서 감사합니다</t>
    <phoneticPr fontId="1" type="noConversion"/>
  </si>
  <si>
    <t>장시간 친절하게 응대해 주셨어요 개인 설정까지 마무리해주셔서 감사합니다.</t>
  </si>
  <si>
    <t>왕입니다요~~</t>
  </si>
  <si>
    <t>친절하게 주말인데도 불구하고 정말 완벽하고 신속하게 잘해주셨습니다 감사합니다</t>
  </si>
  <si>
    <t>친절하게 잘 설명해주셧습니다. 감사합니다.</t>
  </si>
  <si>
    <t>지금 점검해주신분...표창장 주셧야 할 것 같슴. 너무 너무 친절함....다시 한번 기사님 감사합니다</t>
  </si>
  <si>
    <t>빠르게 조치해주셔서 좋았습니다~!</t>
  </si>
  <si>
    <t>빠른조치와 정확한설명에 감사드립니다 수고하셨습니다</t>
  </si>
  <si>
    <t>기사님 따로 불러야 할 줄 알았는데 원격으로 편하게 진단해 주셔서 감사합니다 저희가 걱정되는 맘에 질문도 많이했는데 쉽고 친절하게 설명 잘 해주셔서 너무 감사드려요!!</t>
  </si>
  <si>
    <t>요구 사항을 빨리 알아듣고 신속하게 해결해주셨습니다</t>
  </si>
  <si>
    <t>기사님 부르기 전에 미리 확인할수 잇어서 좋았습니다,.</t>
  </si>
  <si>
    <t>친절하게 잘 점검해주시고 안내도 잘해주셨습니다.</t>
  </si>
  <si>
    <t>너무 너무 굉장히 만족합니다. 감사합니다.</t>
  </si>
  <si>
    <t>빠른진행과 안내 친절한 서비스에 감사드립니다.~^^</t>
  </si>
  <si>
    <t>정말 친절하고 꼼꼼하게 진단과 치료를 해주셨습니다. LG텔레콤에 이런 서비스가 있다는 사실을 처음 알았습니다 정말 킫음이 가고 신뢰가 갑니다.</t>
  </si>
  <si>
    <t>친절하고 자세하게 알려주셔서 한번에 잘 이해할수 있었어요. 말투랑 목소리도 친절하셔서 기분좋은 상담이였어요 감사합니다.</t>
  </si>
  <si>
    <t>설명이 친절해요</t>
  </si>
  <si>
    <t>친절하고 빠르게 서비스 해주셔서 감사합니다</t>
  </si>
  <si>
    <t>삼담사 분이 엄청 친절하시게 대응해주시네요 감사합니다</t>
  </si>
  <si>
    <t>친절하게 설명도 해주시고 빠르게 연결해주셔서 감사합니다. 편하고 감사합니다.</t>
  </si>
  <si>
    <t>친절하게 인터넷 속도가 안나오는 이유를 알려주셨습니다. 감사합니다</t>
  </si>
  <si>
    <t>너무 친절하시고 의뢰한 내용 외에 질문도 너무 상세하게 잘 알려주셨습니다</t>
  </si>
  <si>
    <t>도움이 전혀 되지않음.</t>
  </si>
  <si>
    <t>친절햇습니다</t>
  </si>
  <si>
    <t>친절한 기사님의 도움으로 문제가 빠르게 해결되었습니다! 매우매우 만족합니다. 감사합니다!</t>
  </si>
  <si>
    <t>좋았어요</t>
  </si>
  <si>
    <t>네 친절하게 잘 상담 받았습니다 감사합니다</t>
  </si>
  <si>
    <t>최악의 서비스</t>
  </si>
  <si>
    <t>감사합니다 너무 친절하시네요 고맙습니다</t>
  </si>
  <si>
    <t>여러기관에서 as를 받았으나 이유를 몰랐는데,, lg 유플러스에서 드디어 오류 발견하고 완벽한 조치를 받았습니디. 감사합니다. 출장나오신 정인 기사님께도 감사드립니다.</t>
  </si>
  <si>
    <t>친절하게 무슨 작업을 하는지 안내하면서 도움 주셨습니다.</t>
  </si>
  <si>
    <t>친철한 서비스에 감사합니다.</t>
  </si>
  <si>
    <t>날씨도 더운데 친절해 응대 해줘 감사했습니다</t>
  </si>
  <si>
    <t>친절하게 잘 알려주셨다</t>
  </si>
  <si>
    <t>친절하고 이해하기 쉽게 설명해주셨습니다~ 추후 문제시 방법도 쉽게설명해주셨고요 여러모로 감사합니다 더운날 더위 조심하시고 고생하세요~</t>
    <phoneticPr fontId="1" type="noConversion"/>
  </si>
  <si>
    <t>간단하고 편하게 인터넷 점검을 받을 수 있어 좋았습니다.</t>
    <phoneticPr fontId="1" type="noConversion"/>
  </si>
  <si>
    <t>너무 친절하시고 잘 해주셨습니다</t>
  </si>
  <si>
    <t>안녕하세요. 엔지니어님 매우 만족 합니다. 더우날씨 감사합니다.</t>
  </si>
  <si>
    <t>친절하게 알려주셨어요!</t>
  </si>
  <si>
    <t>너무나 친절하게 잘 해주셔서 감사합니다.</t>
  </si>
  <si>
    <t>문제점을 정확히 파악하고 해결해주셔서 감사합니다.</t>
  </si>
  <si>
    <t>친절한 상담 너무 감사드립니다.</t>
  </si>
  <si>
    <t>도움 주셔서 감사합니다</t>
  </si>
  <si>
    <t>자세하게 모두 설명해 주시고 너무 친절 하십니다</t>
  </si>
  <si>
    <t>상세하게 설명해주셧습니다</t>
  </si>
  <si>
    <t>친절하게 잘 해결해 주셔서 감사합니다. 좋은하루 보내세요^^</t>
  </si>
  <si>
    <t>깔끔한 설명 조치 완벽했습니다 더위 조심하시고 건강하세요</t>
  </si>
  <si>
    <t>친절한 상담 및 원격 지원 감사합니다</t>
  </si>
  <si>
    <t>상담사가 친절히 설명해주셔서 감사드립니다</t>
  </si>
  <si>
    <t>깔끔하게 처리해주셨습니다.</t>
  </si>
  <si>
    <t>친절하게 상담해주셨어요~ 감사합니다~</t>
  </si>
  <si>
    <t>친절하게 알려주시고 해결방안 알려주셔서 감사합니다.</t>
  </si>
  <si>
    <t>친절하게 상담해주셔서 좋네요^^</t>
  </si>
  <si>
    <t>상담 친절이 잘 받았습니다.</t>
  </si>
  <si>
    <t>서비스는 좋으나 원격 진단 종료 시 필수/선택 정보활용 동의 전체 "동의" 후 통화/원격 해제 하시던데(모든 원격 기사님 전부, 현재 5번 정도 원격 진단 받음) 고객 동의 없이 선택 활용 체크 후 종료</t>
  </si>
  <si>
    <t>친절하고 상세히 알려 주셔서 도움 만이 받았어요. a/s 완료 잘되서 문제 안생겼으면 합니다. 더운 날씨 건강 챙기시고 즐거운 하루 되세요.</t>
  </si>
  <si>
    <t>너무 친절하시고 자세하게 설명해주셔서 문제를 적절하게 고칠수 있었어요. 감사합니다!</t>
  </si>
  <si>
    <t>번거롭지 않게 편리하게 해결할수 있어서 넘 감사합니다</t>
  </si>
  <si>
    <t>조치 잘 받앗습니다. 감사합니다</t>
  </si>
  <si>
    <t>LG유플러스 언제나 친절하시네요 감사합니다</t>
  </si>
  <si>
    <t>깔끔하게 잘 마무리해주셨습니다.</t>
  </si>
  <si>
    <t>친절하고 신속하게 처리해주셨습니다. 설명도 잘 해서 도움이 되었습니다. 감사합니다.</t>
  </si>
  <si>
    <t>대단히 감사합니다 친걸하게 자세히 설명해주셔서 고맙습니다</t>
  </si>
  <si>
    <t>친절하게 알려주셔서 좋았어요</t>
  </si>
  <si>
    <t>지원 감사합니다</t>
  </si>
  <si>
    <t>친절하게 응대를 잘해주셨습니다/</t>
  </si>
  <si>
    <t>목소리가 너무 친절함....수고 하세요</t>
  </si>
  <si>
    <t>친절한 응대 감사해요</t>
  </si>
  <si>
    <t>아주빠른 처리 감사합니다.</t>
  </si>
  <si>
    <t>친절하시고 자세하게 알려주십니다</t>
  </si>
  <si>
    <t>너무 감사하게 잘설명해주시고 해결을 잘해주셔서 감사합니다.</t>
  </si>
  <si>
    <t>상세한 설명으로 안내받았습니다. 친절한 상담과 도움 주셔서 감사합니다.</t>
  </si>
  <si>
    <t>속시원한 설명 감사합니다!</t>
  </si>
  <si>
    <t>진짜 최고에요 너무 친절하시고 잘 기다려주셨고 그래서 당황하지않게 잘 처리되었습니다 ㅠㅠㅠ 만족도 최상입니다!!!!!! 그리고 해결되어서 속 시원!! 유플 너무 감사해요!!!최고!!!</t>
  </si>
  <si>
    <t>신속하고 친절한 안내 잘 받았습니다.</t>
  </si>
  <si>
    <t>상담친절이잘받았습니다 감사</t>
  </si>
  <si>
    <t>친절하시고 응대도 빠르게 해주셨습니다, 감사합니다.</t>
  </si>
  <si>
    <t>원격으로 집에서 편하게 서비스 받을 수 있어서 편리했습니다. 더운 날씨에 감사합니다.</t>
  </si>
  <si>
    <t>전문적인 지식과 이슈사항을 상세하게 알려주셔서 좋았습니다. 확인이 누락된 부분까지 확있했습니다</t>
  </si>
  <si>
    <t>친절하시고 빠르게 해결 해주십니다.</t>
  </si>
  <si>
    <t>친절하게 상담해주셨습니다 추후 방문점검도 잘 부탁드려요</t>
  </si>
  <si>
    <t>역시lg 서비스입니다. 최고입니다.</t>
  </si>
  <si>
    <t>정말 최고입니다. 몇 분만에 문제가 해결되었습니다. 진심으로 감사합니다.</t>
  </si>
  <si>
    <t>서비스가 많족 합니다. 유플러스 서비스 최고</t>
  </si>
  <si>
    <t>와이파이 잘 해결해 주셔서감사합니다</t>
  </si>
  <si>
    <t>아주 친절하게 잘 알려주셨습니다. 감사드립니다.</t>
  </si>
  <si>
    <t>친절하시고 궁금한걸 이해하기 쉽게 잘 설명해주셨습니다!</t>
  </si>
  <si>
    <t>신속하고 빠른 적절한 조치에 감사드립니다.</t>
  </si>
  <si>
    <t>친절하게 장애 내용에 대해 이해하기 쉽게 설명해 주셨고, 문제 해결을 위한 후속 조치를 빠르게 해 주셨습니다. 무더위에 감사합니다.</t>
    <phoneticPr fontId="1" type="noConversion"/>
  </si>
  <si>
    <t>유플러스 이용하며 이런 서비스는 처음 입니다. 좋은 서비스 계속 유지해 주세요 점검 감사 합니다.</t>
    <phoneticPr fontId="1" type="noConversion"/>
  </si>
  <si>
    <t>너무 친절하시고 이해하기 쉽게 설명해주셨어요 그리고 다른 궁금증까지 해결해 주셔서 너무 감사했습니다 기술지원팀 김민석 선생님 승진 부탁드려요 제발요</t>
    <phoneticPr fontId="1" type="noConversion"/>
  </si>
  <si>
    <t>친절하게 상담도 해주시고 방문기사님께 어떻게 말씀드리면 좋을지 메모까지 해주시고, 랜카드 드라이브 업뎃까지 해주셔서 좋았습니다.</t>
  </si>
  <si>
    <t>친절하게 하나하나 콕 짚어서 설명해주셔서 귀에 쏙쏙 들어오네요!</t>
  </si>
  <si>
    <t>컴퓨터도 모르는 컴맹인데요 설명 잘해주시고 친절하설명 잘해주셔서 점검 무사히 끝나고 더도움 많이 받았습니다. 이런분들이 회사에 많다는 것은 앞으로도 대승할 회사입니다. 감사합니다.</t>
  </si>
  <si>
    <t>네 친절하게 안내해 주셨고 원격으로도 꼼꼼히 잘봐주셔서 만족합니다</t>
  </si>
  <si>
    <t>친절하게 설명을 잘 해주셨습니다 덕분에 골치였던 상황이 해결됬습니다.</t>
  </si>
  <si>
    <t>친절히 서비스 응대해주셔서 감사합니다.</t>
  </si>
  <si>
    <t>정확한 서비스와 친절한 안내로 문제가 해결됐습니다.</t>
  </si>
  <si>
    <t>빠른시간내에 일시적인 조치를 일단 받을 수 있어서 너무 좋았습니다. 추가 개선 사항 등을 함께 알려주셔서 좋았습니다.</t>
  </si>
  <si>
    <t>잘못 연결 시킴</t>
  </si>
  <si>
    <t>기사님이 잘알려주셔요 최고에요</t>
  </si>
  <si>
    <t>친절하게 해결봐주셔서 감사합니다</t>
  </si>
  <si>
    <t>신속한 상담 대응 감사합니다</t>
  </si>
  <si>
    <t>아주 친절합니다</t>
  </si>
  <si>
    <t>친절하고 꼼꼼하고 잘 설명해주셔서 감동이였습니다 든든해요!</t>
  </si>
  <si>
    <t>너무 친절하셔서 감사했습니다</t>
  </si>
  <si>
    <t>너무 친절하게 상담 해주셨습니다</t>
  </si>
  <si>
    <t>간편하게 문제를 잘해결했습니다 감사합니다</t>
  </si>
  <si>
    <t>친절하고 빠름</t>
  </si>
  <si>
    <t>친절하고 빠르게 무슨 문제인지 확인 후 조치해주셨습니다.</t>
  </si>
  <si>
    <t>친절하게 잘 해주셨습니다,</t>
  </si>
  <si>
    <t>친절한 점검 감사드립니다!</t>
  </si>
  <si>
    <t>친절하게 궁금한거 해결해주셨습니다.</t>
  </si>
  <si>
    <t>빨리 해결해 주셔서 감사합니다.</t>
  </si>
  <si>
    <t>친절하고 신속하게 점검받았습니다</t>
  </si>
  <si>
    <t>thank you</t>
  </si>
  <si>
    <t>매우 만족합니다 익숙하지 않은 사람도 알아듣기 편하게 이해도 쉽게 설명을 잘해 주셔셔 고맙습니다</t>
  </si>
  <si>
    <t>IP 주소 깔끔하게 정리해 주셨어요^^ 핸드폰, 컴퓨터 속도가 더 나아졌어요~ 수고해 주셔서 감사합니다^^ 좋은 하루 보내세요~</t>
  </si>
  <si>
    <t>아주 친절하게 서비스를 받았습니다. 아주 만족합니다. 감사합니다.</t>
  </si>
  <si>
    <t>몇일을 와이파이연결하려고 고생했는데 몇분만에 연결되었네요 혹시나 해서 전화드렸봤는데 시원하게 해결해주셨네요 감사합니다~</t>
  </si>
  <si>
    <t>빠른 응대와 너무 친절하시고 궁금한 부분들 해소해주셔서 좋았어요 완전 최고입니다!</t>
  </si>
  <si>
    <t>빠르고, 친절하게 잘 해결 해 주셨습니다.</t>
  </si>
  <si>
    <t>친절하게 상담 잘 받았습니다</t>
  </si>
  <si>
    <t>빠른 처리가 너무 좋네요 그렇지만 발생한 문제에 대해 명확하게 아직 해결이 안되어서..ㅜㅜ 담당자는 친절하셨어요</t>
  </si>
  <si>
    <t>제 문의가 길어졌음에도 불구하고 정말 친절하게 차근차근 답변해주시고 해결해주셨습니다 정말 최고!!! 감사합니다 덕분에 하루도 너무 행복하게 시작할수 있을것같아요</t>
    <phoneticPr fontId="1" type="noConversion"/>
  </si>
  <si>
    <t>상담을 정말 친절하게 해주셔서 감사했습니다. 모르는 부분도 자세하고 쉽게 설명해주셔서 이해하는 데 큰 도움이 되었어요. 처음엔 조금 걱정됐는데 덕분에 편하게 상담받을 수 있었습니다. 다음에도 또 상담받고 싶을 정도로 만족스러웠어요. 감사합니다.</t>
    <phoneticPr fontId="1" type="noConversion"/>
  </si>
  <si>
    <t>LGU+에서 해결 못하는 문제를 상담원께서 임시 해결책을 알려주셨습니다. 감사합니다. LGU+에서 https://pythontutor.com/ 접속 가능하도록 빨리 해결 바랍니다. 코딩 교육용 사이트인데, 1주일 이내로 해결 안되면 인터넷 서비스 불만족으로 환불 요청 및 맘카페에 공유하여 다른 피해자가 없도록 널리 알릴 것입니다.</t>
    <phoneticPr fontId="1" type="noConversion"/>
  </si>
  <si>
    <t>제가 gpt도 찾아보고 여기저기 검색도 해보고 원하는 서비스 방향이 있었는데 속 시원하게 해결이 되지 못했었는데요, 기사님이 원격으로 직접 친절하고 차분하게 살펴 봐주셔서 덕분에 몇 년 묵은 궁금증과 문제가 모두 속 시원하게 해결되었습니다. 제가 기사님 입장이면, 아무것도 모르는 고객이(물론 전문적 내용을 모를 수밖에 없지만) 띄엄띄엄 횡설수설하며 설명하려고 하면 답답해 할 수도 있었을 것 같은데, 끝까지 경청해주시고 궁금증 해결해주시고 문제 해결해주셔서 정말 좋았습니다. 다시 한번 감사드립니다!!!!</t>
    <phoneticPr fontId="1" type="noConversion"/>
  </si>
  <si>
    <t>친절하게 잘해주셨어요 하나하나 보여주고 알려주셔서 감사합니다</t>
  </si>
  <si>
    <t>친철하게 점검을 해주셔서 감사합니다.</t>
  </si>
  <si>
    <t>너무 최고에요</t>
  </si>
  <si>
    <t>잘해주셔서 기쁘네요</t>
  </si>
  <si>
    <t>친절하게 자세히 알려주셔서 감사합니다^^ 더운데 조심히 일하시고 편안한 하루 되세요</t>
  </si>
  <si>
    <t>친절하시고 너무잘알려주시네요 감사합니다</t>
  </si>
  <si>
    <t>이해가 쉽게 설명해주셔서 좋았습니다</t>
  </si>
  <si>
    <t>친절하고 이해하게 쉽게 잘 알려 주셨습니다.</t>
  </si>
  <si>
    <t>친절하고 정확한 상담 감사합니다.</t>
  </si>
  <si>
    <t>너무친절하시고 알기쉽게 설명해주시내요</t>
  </si>
  <si>
    <t>빠른 문제 확인 및 빠른 AS접수. 대만족입니다!</t>
  </si>
  <si>
    <t>증상 물어보시더니 뭐가 문제인지와 왜 이런일이 발생했는지에 대해 설명너무 친절하게 잘 해주셔서 한번에 이해했습니다!!! 감사합니다~</t>
  </si>
  <si>
    <t>좋았다</t>
  </si>
  <si>
    <t>최고만족입니다</t>
  </si>
  <si>
    <t>기사님이 안오셔도 원격으로 해결되는 장점이 가장 좋았구요. 무엇보다 컴퓨터에 대해서는 아는게 없던 저한테 하나씩 화면과 설명을 병행해서 진행해 주시는 점이 매우 좋았습니다. 친절하시고 능력 좋은 기사님한테 진단과 점검, 완벽한 AS까지 진행되어 최고라고 생각합니다.</t>
  </si>
  <si>
    <t>친절하고 편리하게 서비스 잘받았습니다. 좋은하루되세요</t>
  </si>
  <si>
    <t>친절한 상담과 정확한 서비스 감사합니다</t>
  </si>
  <si>
    <t>원격 진단 빠르게 해주셔서 감사합니다~</t>
  </si>
  <si>
    <t>정말로 모르시는 것까지 여쭈어 봤었는데?, 최선을 다 해서 가르쳐 주기고, 잘 설명해 주셨어요, 감사합니다,</t>
  </si>
  <si>
    <t>기사님의 친절한 서비스에 대 만족합니다.</t>
  </si>
  <si>
    <t>;</t>
  </si>
  <si>
    <t>만족스럽습네다 .</t>
  </si>
  <si>
    <t>친절한 상담 감사드립니다~^^</t>
  </si>
  <si>
    <t>고객의 눈높이에서 친절하고 자세하게 잘 상담해주셨습니다.</t>
  </si>
  <si>
    <t>원인을 정확하게 파악해주시고 친절하게 상담해 주십니다 감사합니다</t>
  </si>
  <si>
    <t>친절하게 원격진단해주셨습니다. 감사합니다.</t>
  </si>
  <si>
    <t>친절하게 잘 처리해주셨습니다. 감사합니다.</t>
  </si>
  <si>
    <t>친절하게 잘성명해주시고 후속조취도 해주셔서 감사합니다</t>
  </si>
  <si>
    <t>네 서비스 잘 받았습니다. 원인부터 대처까지 신속하게 설명해주셔서 감사합니다.</t>
  </si>
  <si>
    <t>친절하게 설명해주셔서 감사합니다. 수고하셨습니다</t>
  </si>
  <si>
    <t>아주 친절하고 설명을 잘해주셔서 도움이 많이 되었습니다 감사합니다!</t>
  </si>
  <si>
    <t>친절한 상담과 조치가 완벽했습니다! 감사합니다!</t>
  </si>
  <si>
    <t>오래 걸렸는데 친절하게 조치 잘해주셨어요 감사합니다</t>
  </si>
  <si>
    <t>친절히 통화해주시면서 잘 알려주셨어요. 감사합니다.</t>
  </si>
  <si>
    <t>감사합니다. 좋은 하루 되세요.</t>
  </si>
  <si>
    <t>친절한 원격 진단에 감사합니다</t>
  </si>
  <si>
    <t>친절하고 빠르게 진행해주셔서 감사합니다</t>
  </si>
  <si>
    <t>친절하게 알려주셔서 좋았습니다</t>
  </si>
  <si>
    <t>자세히 설명 하시면서 점검해주셔서..감사합니다</t>
  </si>
  <si>
    <t>원격으로 편하게 통화하면서 깔끔하게 처리해주시고 시간도 빠르게 처리해주셔서 감사합니다 상담원도 친절하게 잘해주셔서 만족햇습니다</t>
  </si>
  <si>
    <t>친절하게 잘 해결해주셨습니다 전문가 답습니다</t>
  </si>
  <si>
    <t>빠른해결 감사합니다.</t>
  </si>
  <si>
    <t>설명도 좋았고 일처리도 빨라서 매우좋았습니다 감사합니다</t>
  </si>
  <si>
    <t>인터넷이 켜졌다 꺼져서 짜증났었는데 잘되서 너무 좋아요 진짜 짱입니다</t>
  </si>
  <si>
    <t>친절한 안내 설명 감사했습니다.</t>
  </si>
  <si>
    <t>친절하고 빠른 연결! 너무 감사드립니다! :) 상담사 분도, 원격점검 해주신 분도 감사드립니다</t>
  </si>
  <si>
    <t>상담사분이 친절하고 신속하게 잘 봐주셨습니다</t>
  </si>
  <si>
    <t>문제도 해결해주시고 과정에서도 매우 친절하고 쉽게 설명해주셨습니다</t>
  </si>
  <si>
    <t>문제의 원인을 정확히 발견하지는 못했지만 친절하게 끝까지 최선을 다해주셨습니다. 감사드립니다</t>
  </si>
  <si>
    <t>정확한 원인 및 진단에 깊이 감사드립니다</t>
  </si>
  <si>
    <t>어려운 용어도 친절하게 설명해주셔서 감사했습니다.</t>
  </si>
  <si>
    <t>원격진단으로 인해 모르는 부분해결했어요 너무 친철하게 상담 잘 받았습니다. 감사합니다</t>
  </si>
  <si>
    <t>아직 해결됐는지 모르겠지만 친절하게 안내받았습니다.</t>
  </si>
  <si>
    <t>친절하고 쉽게 설명을해주셔서 도움이 많이 되엇습니다. 감사합니다</t>
  </si>
  <si>
    <t>기사님 넘 친절하게..설명해주셔서 고맙습니다... 감사드립니다</t>
  </si>
  <si>
    <t>감사힙니다.</t>
  </si>
  <si>
    <t>친절하고 꼼꼼하게 점검 잘 해주십니다</t>
  </si>
  <si>
    <t>너무 친절하게 해주셔서 감사했습니당</t>
  </si>
  <si>
    <t>친철하게 설명 잘해 주셔서 감사합니다. 수고 하십시오~</t>
  </si>
  <si>
    <t>빠르고 정확하게 원인 진단하여 조치해주셔서 매우 만족합니다.</t>
  </si>
  <si>
    <t>친절하게 설명해 주셔서 만족합니다.</t>
  </si>
  <si>
    <t>비록 물리적인 문제여서 해결은 못하였지만 친절하게 응대해주셨습니다. 최고!!</t>
  </si>
  <si>
    <t>다음번에 불편하면 다시 부탁드릴게여 수고하세요</t>
  </si>
  <si>
    <t>친철하게 해주셔서 감사합니다</t>
  </si>
  <si>
    <t>빠르게 문제 해결되었습니다. 감사합니다~</t>
  </si>
  <si>
    <t>느려진 컴퓨터 원격으로 편하게 점검 잘 받았습니다 다음에도 문제가 생기면 다시 점검 받고 싶어요 감사합니다./</t>
  </si>
  <si>
    <t>좋은 정보감사합니다</t>
  </si>
  <si>
    <t>빠르고 친절하게 잘 처리해주셔서 감사합니다.</t>
  </si>
  <si>
    <t>인터넷을 설치한 후 멈춤 현상이 생겨 문의을 드렸는데 친절하게 안내해주시고 정비를 해주셨습니다. 감사합니다.</t>
  </si>
  <si>
    <t>예 LG U+ 상담직원 최고입니다 프린터 네트웍을 아주 잘 연결 해 주시어서 정말 감사 드립니다 LGU+ 만세입니다 LGU+ 영원하라 !!!</t>
  </si>
  <si>
    <t>친절하고 세세한 부분까지 신경써주셔서 감사했습니다.</t>
  </si>
  <si>
    <t>빠른시간안에 문제를 잘 해결해 주셨습니다! 감사합니다!</t>
  </si>
  <si>
    <t>친절한 상담이었습니다</t>
  </si>
  <si>
    <t>신속하고 정확한 문제해결 감사합니다.</t>
  </si>
  <si>
    <t>너무 친절하시고 이것저것 신경 써주주셔서 너무 감사했어요</t>
  </si>
  <si>
    <t>친절 상담 감사드립니다</t>
  </si>
  <si>
    <t>친절하게 상냥하시게 안내 잘 받았습니다....</t>
  </si>
  <si>
    <t>rkatkgkqslek^^</t>
  </si>
  <si>
    <t>친절하고 빠르게 해결되었습니다! 감사합니다~</t>
  </si>
  <si>
    <t>너무 차분하게 자세하게 설명해주셔가지고 해결이 잘 되었습니다. 너무 감사합니다! 꾸벅!</t>
  </si>
  <si>
    <t>꼼꼼히 상담해 주셔서 문제 해결했습니다~ 감사합니다!</t>
  </si>
  <si>
    <t>매우 친절하게 불편 사항을 해결 해 주었습니다 감사합니다</t>
  </si>
  <si>
    <t>상담해주신 분께서 전문가 답게 원인과 해결책을 이해하기 쉽게 설명해주셨습니다. 기사님 방문이 필요하다고 판단해주셔서 예약까지 잡아주셨습니다. 친절한 상담 감사드립니다.</t>
    <phoneticPr fontId="1" type="noConversion"/>
  </si>
  <si>
    <t>어쩌면 이렇게 친절하고 자세한 상담을 할수 있을까요 지금까지 어떤 상담사들하고의 통화보다 기분좋은 그리고 빠른 대처 정말 감사합니다. 모든 상담사들이 배워야 할거 같습니다.</t>
    <phoneticPr fontId="1" type="noConversion"/>
  </si>
  <si>
    <t>신속하게 확인 및 처리 해 주셨고 차 후 동일 증상 발생 시 관리 및 문의 방법도 친절하게 안내해주셨습니다. 감사합니다.</t>
    <phoneticPr fontId="1" type="noConversion"/>
  </si>
  <si>
    <t>빠른 원인파악 친절한 응대</t>
  </si>
  <si>
    <t>이해 쉽게 설명 잘해주시고 정성스럽게 답해주셔서 감사합니다</t>
  </si>
  <si>
    <t>기사님이 친절, 신속히 처리해주셔서 만족합니다.</t>
  </si>
  <si>
    <t>친절하고 빠른 응대 감사합니다. 정확한 진단으로 전문성이 느껴집니다. 수고하세요</t>
  </si>
  <si>
    <t>친절하고 자세히 잘 설명해주셨어요!!</t>
  </si>
  <si>
    <t>친절하게 잘 설명해주시고 쉬운설명도 너무 좋았습니다 감사합니다</t>
  </si>
  <si>
    <t>친절한 상담 및 해결책 제시 등을 해주셨습니다.</t>
  </si>
  <si>
    <t>최고 입니다</t>
  </si>
  <si>
    <t>문제가 되는 부분을 잘 설명해주셨습니다.</t>
  </si>
  <si>
    <t>신속하고 친절하며 정확한 진행 하셨습니다</t>
  </si>
  <si>
    <t>친절하고 빠르게 점검해주셨씁니다</t>
  </si>
  <si>
    <t>꼼꼼하게 원격진단 서비스에 감사 드립니다 점검후에 유의사항도 세세하게 알려 주셨습니다 점검을 잘해 주셔서 앞으로는 크게 문제 없을듯 합니다 주말에도 고생 많으셨습니다 더운 날씨, 건강 잘 챙기시고 늘 행복하시길 바랍니다 ^.^</t>
  </si>
  <si>
    <t>친절히 잘 상담해주셨고 조치도 완벽하게 해주셨습니다. 대단히 만족합니다.</t>
  </si>
  <si>
    <t>친절하게 잘받았습니다</t>
  </si>
  <si>
    <t>친절 정확한 상담 감사합니다!</t>
  </si>
  <si>
    <t>늦은밤에 고생이 많으셨습니다. 친절하시구.. 100점 입니다.</t>
  </si>
  <si>
    <t>자세히 설명해 주셔서 궁금점이 풀렸습니다. 감사합니다.</t>
  </si>
  <si>
    <t>네, 친절하게 설명을 잘 해주셔서 만족했습니다. 고맙습니다.</t>
  </si>
  <si>
    <t>프린트때문에 요청드렸는데 쉽게 해결해주셔서감사합니다.서비스너무좋습니다.</t>
  </si>
  <si>
    <t>2년동안 컴퓨터를 사용하면서 인터넷 속도가 느렸는데 원격을 하고 나서 속도가 300배 이상 빨라진거 같아요 원격 진단을 하면서 모른 부분을 넘 자세하게 이해하기 쉽게 설명해주셔서 넘 감사합니다.</t>
  </si>
  <si>
    <t>친절히 이해하기 쉽도록 설명해주셔서 감사했습니다. 항상 큰 도움주셔서 감사해요</t>
  </si>
  <si>
    <t>최선을 다해 도움주셨습니다.</t>
  </si>
  <si>
    <t>빠르게 원인을 해결해 주셔서 감사했습니다. 친절하게 설명도 해주셔서 감사합니다. 늘~~ 엘지유플러스 사용하고 있습니다.</t>
  </si>
  <si>
    <t>친절하게 여러번 설명해 주시고 이것저것 알려 주셔서 너무 좋았습니다.</t>
  </si>
  <si>
    <t>원격 감사합니다 수고 하셧습니다^^</t>
  </si>
  <si>
    <t>상세히 설명해 주셔서 . 감사합니다</t>
  </si>
  <si>
    <t>매우 친절하시고 빠르게 잘 처리해주셔서 감사합니다.</t>
  </si>
  <si>
    <t>친절하고 쉽게 잘 설명해주셔서 이해하기 편했습니다. 어려운 이야기도 잘 풀어주셨어요!!</t>
  </si>
  <si>
    <t>답답한 마음인데 편한하게 응대해 주셔서 너무 감사합니다.</t>
  </si>
  <si>
    <t>이해하기 쉽고 안내원분이 친철하여서 불편함없이 좋은 이용하였습니다.</t>
  </si>
  <si>
    <t>차별화된 ㅅㅓ비스 감사하ㅂ니다.</t>
  </si>
  <si>
    <t>아주 수고하셨습니다 만족합니다</t>
  </si>
  <si>
    <t>서바스 잘 받아습니다</t>
  </si>
  <si>
    <t>넘 친절하게 해주셔서 감사합니다.</t>
  </si>
  <si>
    <t>상세한 설명과 처리 감사합니다. 증상이 해소되었다면 더 좋았겠지만 최선을 다해주신 것을 알수 있었습니다. 그리고, 추후 AS에 대해서도 상세하게 설명해주셨습니다.</t>
  </si>
  <si>
    <t>친절하시고, 인터넷 느려진 원인을 찾아서 해결해주셨습니다 감사합니다</t>
  </si>
  <si>
    <t>편하고 빠르게 진단해주셔서 좋았습니다.</t>
  </si>
  <si>
    <t>친절하게 잘 설명해주시고 진단해주셨습니다 감사합니다~</t>
  </si>
  <si>
    <t>만족도 ㅊ최고입니다 수고하셨습니다~</t>
  </si>
  <si>
    <t>친절하고 삐르게 해주셔서 좋습니다.</t>
  </si>
  <si>
    <t>자세하고 친절한 설명과 함께 도움을 주셔서 감사합니다~</t>
  </si>
  <si>
    <t>친절히 설명해주시고 설정을 해주셔서 감사합니다</t>
  </si>
  <si>
    <t>신속,친절 처리 감사합니다</t>
  </si>
  <si>
    <t>너무 친절한 진행 감사드립니다.</t>
  </si>
  <si>
    <t>최고로만족합니다</t>
  </si>
  <si>
    <t>원격진단을 친절하고 자세하게 잘 해 주셔서 감사합니다.</t>
  </si>
  <si>
    <t>만족 하였습니다 친절하게 원인이 먼가를 알려 주웠습니다 감사합니다</t>
  </si>
  <si>
    <t>진단 잘받았습니다</t>
  </si>
  <si>
    <t>친절히 잘 처리해주셧습니다.</t>
  </si>
  <si>
    <t>너무 감사했습니다 다음에 또 이런 일 생기면 항상 연락하는 동네 아저씨같은 느낌이 들었어요 너무 감사합니다 좋은 하루 봅내세요</t>
  </si>
  <si>
    <t>친절하고 상세하게 잘 설명해주시고, 추가적인 필요사항 있는지도 알려주셨어요~ ^^</t>
  </si>
  <si>
    <t>만족 합니다 너무 잘 봐 주셨어요~~</t>
  </si>
  <si>
    <t>친절하고 자세하게 설명해주셔서 감사합니다!</t>
  </si>
  <si>
    <t>너무나 친절하고 신속하고 빠르고 정확하고 알아듣기 쉽고 간편하게 비밀번호를 바꾸도록 도와주셨고 비밀번호 변경사항도 제가 물어보는 것 모두 자세하게 알려주셨습니다. 원격상담은 처음해보는데 정말 가이 최고의 상담사 샘이셨습니다! 최고의 높은 점수주세요 상담사님께~ 승진하시면 될거같아요~</t>
  </si>
  <si>
    <t>친절하고 신속하게 해결해주셔서 감사합니다.</t>
  </si>
  <si>
    <t>너무 친절하게 대답해주셔서 감사합니다</t>
  </si>
  <si>
    <t>너무 친절하셨고 문제를 잘 짚어주셔서 금방 해결했습니다!</t>
  </si>
  <si>
    <t>원격진단 연결 처리 질문 답변 모두 빠르고 전확하고 도움되었습니다 감사합니다 지금 제가가지고 있는 여러가지 궁금한점이 다 해결됬네요</t>
  </si>
  <si>
    <t>상담사 선생님께서 너무 친절하셨습니다!! 최고입니다!!</t>
  </si>
  <si>
    <t>빠른 시간에 신속히 조치해 주셔서 정말 감사드립니다.</t>
  </si>
  <si>
    <t>빠른대응 및 해결 감사드립니다.</t>
  </si>
  <si>
    <t>서툰 기계치에게 웃으며 계속 기다려 주신 분께 감사드립니다 좋은 서비스 감사드려요</t>
  </si>
  <si>
    <t>월급 올려주라 너무 친절하자나~~~~</t>
  </si>
  <si>
    <t>증상에 대한 설명도 자세하게 해주시고 증상 처치도 빠르게 잘 해주셨습니다. 추후 또 같은 문제가 발생했을시의 해결방법도 자세하게 알려주셔서 만족했습니다.</t>
  </si>
  <si>
    <t>채팅상담 하자마자 원격으로 바로 연결해주시고 꼼꼼히 점검해주셨습니다. 제가 점검받고 체크할 항목들 알려주셔서 바로 적용할수있어서 마음졸이거나 할 일 없 이 편한한 마음으로 상담 종료했습니다. 감사합니다.</t>
  </si>
  <si>
    <t>정확한 원인하고 해결방안까지 말씀해 주셔서 만족합니다.</t>
  </si>
  <si>
    <t>친절하게 잘해주셔서 이해하기 편했어요</t>
  </si>
  <si>
    <t>친절한 대처 감사합니다.</t>
  </si>
  <si>
    <t>원격진단으로 서비스 친절하게 잘받았습니다. 감사합니다.</t>
  </si>
  <si>
    <t>너무 감사합니다.</t>
  </si>
  <si>
    <t>진단의 원인부터 진행상황 및 앞으로 해야할 부분까지 완벽하게 알려주셨다고 생각합니다. 당장뿐만이 아니라 이 이후에 문제될 상황까지 보시고 진단을 해주셔서 정말 만족하고 감사하게 생각합니다. 감사합니다!</t>
  </si>
  <si>
    <t>친절하게 설명해주시고 조치해주셨습니다. 신속하게 해결해주신 덕에 큰 도움이 되어 다음번에도 유플러스 재계약 예정입니다^^</t>
  </si>
  <si>
    <t>이해하기 쉽도록 자세히 설명해 주셨습니다. 빠르게 처리해 주셔서 감사합니다.</t>
  </si>
  <si>
    <t>빠른상담과 친절한 응대 감사합니다. 문제가 해결되어 기쁘네요~</t>
  </si>
  <si>
    <t>소통이 매우 잘되고 빠르게 일처리가 되어서 편합니다. 번창하세유</t>
  </si>
  <si>
    <t>d</t>
  </si>
  <si>
    <t>좋아요 아주 친절했어요</t>
  </si>
  <si>
    <t>상세한 설명과 함께 빠르게 처리해주셨습니다!</t>
  </si>
  <si>
    <t>친절하고 자세하게 설명해주셔서 이해하기 편했습니다. 감사합니다 ~</t>
  </si>
  <si>
    <t>친철하고 잘알려주세요! 감사합니다 ^^</t>
  </si>
  <si>
    <t>친절하고 꼼꼼히 점검 해주십니다</t>
  </si>
  <si>
    <t>친절한 진행 고맙습니다.</t>
  </si>
  <si>
    <t>상세하고 빠른 안내 감사합니다! 그간 500메가가 안되는 공유기를 쓰고 있었나봅니다 ㅠㅠ 다른 공유기 추천도 해주시고 친절한 안내 감사합니다~~!!!</t>
  </si>
  <si>
    <t>꼼꼼하게 살펴봐주시고 설치되어 있는 랜카드의 문제점도 짚어주셨습니다.</t>
  </si>
  <si>
    <t>진단 잘 해주시고 친절하게 설명해주셔서 도움이 됐습니다</t>
  </si>
  <si>
    <t>매우친절하고 고마웠습니다.</t>
  </si>
  <si>
    <t>문제점을 최대한 해결하려 노력하였습니다 감사합니다</t>
  </si>
  <si>
    <t>빠르게 진행되었으며, 친절하시고 쉽게 알려주어 무엇이 문제였는지 잘 알 수 있었다.</t>
  </si>
  <si>
    <t>컴퓨터에 대해 잘 모르는데 친절하게 확인해주시고 업데이트까지 도와주셔서 감사합니다^^</t>
  </si>
  <si>
    <t>친절하고 빠른조치 감사드립니다.</t>
  </si>
  <si>
    <t>사후 동일문제 발생시 대처법부터 이번 처리까지 친절하게 해주셨습니다</t>
  </si>
  <si>
    <t>빠른처리와 정확한 문제점 파악으로 확실히 개선되었네요 감사합니다</t>
  </si>
  <si>
    <t>원활한 상담감사합니다</t>
  </si>
  <si>
    <t>빠른조치 감사합니다!!</t>
  </si>
  <si>
    <t>너무 친절하셨고 이해를 돕기 위해 많이 노력 해주셔서 감사했습니다</t>
  </si>
  <si>
    <t>친절한 상담 잘 받았습니다</t>
  </si>
  <si>
    <t>기사님께서 공유기의 포트 설정 방법에 관해 예시를 들어 설명해주셔서 혼자 스스로 설정할 수 있을것 같습니다. 기사님의 친절한 설명에 감사합니다.</t>
  </si>
  <si>
    <t>친절히 차근차근 설명해주셔서 정말 감사합니다.</t>
  </si>
  <si>
    <t>매우친절하게 대응해주셔서 감사합니다~!</t>
  </si>
  <si>
    <t>빠르고 간편하게 조치됐습지다</t>
  </si>
  <si>
    <t>게임중 튕겨고 pc광고 때문에 불편했는데 친절히 해결해 주셔서 감사합니다</t>
  </si>
  <si>
    <t>모르는 부분을 잘 알려주셔서 잘 해결하였습니다. 감사합니다.</t>
  </si>
  <si>
    <t>기술적인 진단과 상세하고 친절한 설명이 큰 도움이 되었습니다.</t>
  </si>
  <si>
    <t>예만족합니다 감사합니다</t>
  </si>
  <si>
    <t>모르는 부분 점검 도와주셔서 감사합니다.</t>
  </si>
  <si>
    <t>친절하시고 문제 해결 잘 해주셨습니다</t>
  </si>
  <si>
    <t>편하고 친절하게 해주셨습니다</t>
  </si>
  <si>
    <t>너무 친철하게 안내 해주시고 설명도 쉽게 해주시네요!!</t>
  </si>
  <si>
    <t>언제나 이렇게 우리들의 애로 사항을 잘 돌봐주어서 항상 감사해요</t>
  </si>
  <si>
    <t>친절한 상담과 자세한 안내에 감사드립니다 .</t>
  </si>
  <si>
    <t>친절한 설명과 원격지원을 받아 매우 만족스럽게 이용했습니다. 감사합니다</t>
  </si>
  <si>
    <t>매우 친절하게 잘 도와주셨습니다. 감사합니다.</t>
  </si>
  <si>
    <t>친절한 응대 감사드립니다.</t>
  </si>
  <si>
    <t>친절하시고 전문적이십니다.</t>
  </si>
  <si>
    <t>빠르게 진단해주시고 문제점을 보완해주셨습니다. 감사합니다.</t>
  </si>
  <si>
    <t>친절하게 설명해주십니다.</t>
  </si>
  <si>
    <t>정말 감사합니다 친절히 모든 질문에 성실하게 답해주겼습니다!! 감사합니다</t>
  </si>
  <si>
    <t>상담원님과 기사님..모두 다 너무너무 친철하여 감동했습니다 엘지 유플 최고입니다</t>
  </si>
  <si>
    <t>원격진단 너무 편해요 감사합니다</t>
  </si>
  <si>
    <t>해결해주셔서 감사합니다 친절하게 해주시네요</t>
  </si>
  <si>
    <t>상담원님이 친절하고 하나하나 자세히 설명해주셔서 좋았어요</t>
  </si>
  <si>
    <t>너무 친절하고 빠르게 조치 잘 받았습니다. 감사합니다 인터넷이 끊길때는 정말많이 화가 났지만 원격요청도 빠르고 진단도 빠르게 처리받고서 기분이 바로 풀렸습니다 감사합니다 정확하고 빠른진단 너무 만족합니다~~~~~~~~~~</t>
  </si>
  <si>
    <t>짧은 시간내에 잘 알아듣게 설명도 잘해주시고 신속하게 처리해 주셔서 너무 감사합니다 처음 상담사분 두번째 상담사분 원격지원 해주신 분까지 모두 친절하고 정확하게 안내해주셔서 일사천리로 금방 처리했습니다 정말 감사합니다~</t>
  </si>
  <si>
    <t>직원분도 친절히 설명 해주시고 문제도 원활히 해결 해주셔서 편안히 해결 했습니다</t>
  </si>
  <si>
    <t>매우만족스러운 점검 이었습니다.</t>
  </si>
  <si>
    <t>자세히 알려주셨습니다 감사합니다</t>
  </si>
  <si>
    <t>번거로우셨을텐데 차근히 잘 대응해주셔서 감사합니다.</t>
  </si>
  <si>
    <t>상담사님이 너무 친절하게 응대해주셨습니다. 감사합니다.</t>
  </si>
  <si>
    <t>상세히 알려주시고 감사합니다.</t>
  </si>
  <si>
    <t>친절히 잘 알려주셧습니다</t>
  </si>
  <si>
    <t>친절하게 상세하게 설명을 잘해주셔서 좋은하루가 된거같아 감사드립니다.</t>
  </si>
  <si>
    <t>인터넷속도와 컴퓨터 상태등등 자세한 설명과 빠른 점검 감사합니다.</t>
  </si>
  <si>
    <t>친절하게 차근차근 제가 바라는 문제점들을 정확하게 인지하시고 처리해 주시는 점이 너무 좋았습니다. 다른 통신사도 써보았지만 이렇게까지 차분하게 진행해준신건 이번이 처음이에요.</t>
  </si>
  <si>
    <t>친철하게 잘 설명해 주셨어요.</t>
  </si>
  <si>
    <t>너무 친절하시고, 문제가 뭔지 바로 파악하시고 처리하시는 속도가 최고였습니다!!</t>
  </si>
  <si>
    <t>자세하게 설명하고 문제 해결하였습니다.</t>
  </si>
  <si>
    <t>일단 진단 잘 받았습니다. 제조사 드라이버에 문제가 있다는 말씀듣고 프린트 제 설치해 보도록 하겠습니다. 친절한 서비스 감사드립니다.</t>
  </si>
  <si>
    <t>친절하게 pc점검까지 해주시고 ..서비스 매우 만족합니다</t>
  </si>
  <si>
    <t>빠른 접속 경로로 전체적인 컴퓨터 내 모든 부분들을 확인하시고 문제부분들을 파악하여 설치 및 업데이트를 진행하여 좀더 나은 환경을 확인해 주셧습니다.</t>
  </si>
  <si>
    <t>빠르게 점검해주셔서 감사합니다</t>
  </si>
  <si>
    <t>친절하고 빨라요</t>
  </si>
  <si>
    <t>친절하시고 설명 완벽했습니다 완존 만족입니다</t>
  </si>
  <si>
    <t>통화하신 상담사님은 너무 매너 좋으시고 해결해주시는 기술상담사님은 신속한 정보와 빠른 처리 응대 완벽합니다. 이맛에 lg 사용합니다.^^</t>
  </si>
  <si>
    <t>친철하게 설명도 잘해주시고 일처리도 빠르게 친절이 잘해주셔서 감사합니다</t>
  </si>
  <si>
    <t>고객센터부터 원격진단센터 상담원분들까지 전부 친절하시고, 문제 해결도 잘 해주셔서 정말 감사합니다!!!</t>
  </si>
  <si>
    <t>친절하게 서비스 받았습니다.</t>
  </si>
  <si>
    <t>고객의 수준에 맞는 설명, 친절한 안내 넘 감사합니다.</t>
  </si>
  <si>
    <t>아니 다 어렵다고 설명해주시고 이게 무슨 해결 방안인지 말이 안되네요 그리고 무작정 끊었어요</t>
  </si>
  <si>
    <t>친절하게 잘 해주셨어요.</t>
  </si>
  <si>
    <t>친절하게 잘 상담해주십니다.</t>
  </si>
  <si>
    <t>인터넷 연결상 문제는 없고 컴퓨터 본체에 문제가 있어 늘여진다고 함. 따라서 컴퓨터 속도를 증가시키기 위해서는 본체 교체가 답이다. 상담 잘 받았습니다.</t>
  </si>
  <si>
    <t>직원분이 친절하시고 빠르고 쉽게 빨리 끝나서 너무 좋았습니다.</t>
  </si>
  <si>
    <t>친절 하십니다 ~</t>
  </si>
  <si>
    <t>컴퓨터 속도가늦고 버벅되는데 원격진단받고 너무 좋아졌습니다 대단히 감사드립니다</t>
  </si>
  <si>
    <t>친절하시고 설명 잘해주시네요</t>
  </si>
  <si>
    <t>고민스런 문제가 잘 해결되어 너무 감사합니다. 스마트원격진단 고민해결 서비스 최고점수 주고싶습니다...^^</t>
  </si>
  <si>
    <t>친절하게 원인까지 다 알려주셔서 감사합니다</t>
  </si>
  <si>
    <t>처음부터 회선 문제라고 말씀 드렸는데 이거 꼭 해야한다고 하셔서 했습니다. 불만입니다.</t>
  </si>
  <si>
    <t>완료</t>
  </si>
  <si>
    <t>확인했습니다</t>
  </si>
  <si>
    <t>친절하게 잘 대응해 주셔서 잘 해결되었습니다.</t>
  </si>
  <si>
    <t>스마트원격진단으로 문제 해결 하였습니다. 감사합니다.</t>
  </si>
  <si>
    <t>좋은 상담이었습니다</t>
  </si>
  <si>
    <t>완벽합니다. 빠르고 정확한 진단</t>
  </si>
  <si>
    <t>업무PC에서 원격진행이 어려운 상황임에도 요청사항 확인해주시고 도움주셔서 감사합니다 !!</t>
  </si>
  <si>
    <t>문제점 이해하기 싶게 설명를 잘해주셨습니다 감사합니다</t>
  </si>
  <si>
    <t>많은 도움이되었으며 너무 친철하셨습니다. 감사합니다.</t>
  </si>
  <si>
    <t>기사님의 친철한 안내로 원하던 업무가 잘 처리되었습니다. 감사합니다.</t>
  </si>
  <si>
    <t>친절히 얘기해주시네여~ 만족합니다</t>
  </si>
  <si>
    <t>친절하고 이해하기 쉽게 상황을 설명해주셨습니다! :)</t>
  </si>
  <si>
    <t>적극적이고 편하게 대해 주셔서 감사합니다 잘설명해주시고 이해도 편하게 시켜줘서 감사드립니다</t>
  </si>
  <si>
    <t>문제가 일단락 되었고 추후 문제발생시 해결방법도 제시해 주셧습니다</t>
  </si>
  <si>
    <t>컴퓨터 내 설치해야할 프로그램에 대해 자세히 알아봐주시고 작업 종료 후 전화로 자세한 안내 받았습니다. 감사합니다.</t>
  </si>
  <si>
    <t>원하는 상담 감사합니다.</t>
  </si>
  <si>
    <t>친절하게 고쳐 주셨습니다.</t>
  </si>
  <si>
    <t>와 그동안 아이피문제로 머리아팠는데, 이렇게 1분만에 해결해주시고, 업무랑 관련없는 질문도 다 친절히 설명해주셔서 역시 엘지 유플러스 대기업은 다르구나 ㅠㅠ 이런생각들었습니다. 사실 약정끝나면 알뜰 통신사로 갈려고했는데, 마케팅업무하는 사람으로써 이렇게 안정된 아이피관리해주는 곳이 필요하다는걸 뼈저리게 느꼈습니다. 태환(?) 점검자님? 성함이 기억안나는데 ㅜㅜ 너무 친절하게 시간 길게 설명해주셔서 감사합니다 !</t>
  </si>
  <si>
    <t>제가 요청한 상담 내용을 정확인 이해해 주셨습니다. 처리 또한 완벽하게 해주셔서 너무 감사합니다.</t>
  </si>
  <si>
    <t>감사합니다~~</t>
  </si>
  <si>
    <t>친절하게 잘해주셨습니다 감사합니다</t>
  </si>
  <si>
    <t>정말 친절하시고 궁금한점에 대한 답변도 자세히 알려주셔서 다음에도 응대 받고싶네요 무더위 잘이겨내세요 감사합니다</t>
  </si>
  <si>
    <t>쉬운설명과 자세하게 안내해주셨습니다. 해결해주시려고 애써주신게 느껴져서 감사합니다</t>
  </si>
  <si>
    <t>굉장히 친절하시며 문제점을 잘 해결 해주셨어여 감사합니다</t>
  </si>
  <si>
    <t>친절하게 잘 상담을 받았습니다.</t>
  </si>
  <si>
    <t>아주 빠르고 훌륭합니다</t>
  </si>
  <si>
    <t>초보자들도 모르는 내용을 아주 상세히 친절히 잘 설명해주시고 처리해주십니다.</t>
  </si>
  <si>
    <t>빠른 지원 감사합니다</t>
  </si>
  <si>
    <t>신속하고 자세하게 안내 해주셨습니다. 감사합니다~!</t>
  </si>
  <si>
    <t>친절하게 잘 설명해주고 문제 해결해 주었습니다.</t>
  </si>
  <si>
    <t>너무 친절하고 이해하기 쉬운 설명으로 더할 나위 없이 좋았습니다</t>
  </si>
  <si>
    <t>친철하고 자세한 설명과 후조치까지 상세하고 이해하기 쉽게 설명해주셔서 너무 좋았습니다</t>
  </si>
  <si>
    <t>상세하고 세심하게 알려주시고 후조치까지 친절하게 알기쉽게 대응해주셔서 너무 감사합니다</t>
  </si>
  <si>
    <t>깔끔한 상담 감사합니당!^_^</t>
  </si>
  <si>
    <t>친절하고 정확하게 잘해주셌습니다.</t>
  </si>
  <si>
    <t>너무 친절하시고, 문제점이 어떻게 되는지 바로 알려주셨어요. 덕분에 감사합니다..!</t>
  </si>
  <si>
    <t>진단은 잘 해주셨어요</t>
  </si>
  <si>
    <t>홈매니저 개통기사님 오셔서 인터넷 1G 변경설치후 인터넷이 조금 느린것같아 스마트원격 권장받고 바로 전문부서에서 전화오더라구요 통화중에 진단 및 처리를 해주시는데 제 일처럼 생각해서 응대도 잘해주시고 처리도 빨라요. 만족합니다 . 기존보다 빨라짐이 눈에띄게 보이기도하네요.너무 잘해주셨습니다. 다시한번 감사합니다~~~</t>
  </si>
  <si>
    <t>친절하고 대해주셨고, 설명도 잘해주셨습니다. 감사합니다.</t>
  </si>
  <si>
    <t>상담 만족합니다 수고하셔습니다</t>
  </si>
  <si>
    <t>좋은 세상이네요 점검 감사합니다.유플러스 서비스 좋네요</t>
  </si>
  <si>
    <t>너무 친절하게 잘 대응해주셨습니다~ 감사합니다.</t>
  </si>
  <si>
    <t>친절하시고 깔끔하게 상담 잘 받았습니다..!</t>
  </si>
  <si>
    <t>기사님 너무 친철하시구요 자세한 설명 감사합니다</t>
  </si>
  <si>
    <t>친절하게 대응해주셔서 감사합니다</t>
  </si>
  <si>
    <t>친절한 원격서비스 최고였습니다. LG 유플러스 만족합니다.</t>
  </si>
  <si>
    <t>제가 말씀 드린 문제를 정확하게 파악하셔서 적절한 조언과 도움을 주셨어요. 너무 감사드립니다.</t>
  </si>
  <si>
    <t>기사님께서 매우 친절하시고 설명도 잘해주셨습니다</t>
  </si>
  <si>
    <t>다시 한번 정확한 설명과 안내 감사합니다. 덕분에 새로운 방법을 알게 되었네요. 많은 도움 되었습니다.</t>
  </si>
  <si>
    <t>친절하게 잘 알려주십니다 감사합니다~</t>
  </si>
  <si>
    <t>친절하시고 잘 해주셔서 좋았습니다, 좋은하루 되세요 ㅎㅎ</t>
  </si>
  <si>
    <t>증상들이 어땠는지 자세히 말씀해달라고 해주시고 말을 길게 전했는데도 잘 들어주시고 잘 대답해주셔서 감사했습니다! 늦은시간인데도 친절하고 꼼꼼하게 잘봐주셨습니다 최고</t>
  </si>
  <si>
    <t>상담을 원할하게 진행해주시고 오류 상황을 잘 이해하게 해줬습니다.</t>
  </si>
  <si>
    <t>빠르게 해결 해주셨습니다. 감사합니다.</t>
  </si>
  <si>
    <t>도와 주시려 애쓰셨는데...엘지의 느림을 이분의 역량으로는 방법이 없네요..ㅠㅠ</t>
  </si>
  <si>
    <t>빠르고 정확하게 진단 후 복구 해주셨습니다. 친절하신 설명 덕에 뭐 때문에 오류인지도 정확하게 알게되었어요. 감사합니다.</t>
  </si>
  <si>
    <t>친절 합니다..</t>
  </si>
  <si>
    <t>잘 해결되었습니다. 감사합니다.</t>
  </si>
  <si>
    <t>갑작스레 인터넷이 연결이 반복적으로 끊겨서 당황했지만 상담사분과 원격점검 기사님의 친절한 설명과 조치로 만족스러운 결과를 얻은 것 같습니다. 감사합니다.</t>
  </si>
  <si>
    <t>친절하고 편리하게 점검받았습니다.</t>
  </si>
  <si>
    <t>아직 사용은 더 해봐야겠지만 빠르게 해결해주시고 문제점도 찾아서 다행이네요 감사합니다</t>
  </si>
  <si>
    <t>아주 친절하게 상담을 잘 해주셨습니다! 감사합니다!!</t>
  </si>
  <si>
    <t>친절하세요~!</t>
  </si>
  <si>
    <t>OK</t>
  </si>
  <si>
    <t>상담사님께서 친절하고 정확하게 pc쪽 문제라고 확인해 주셔서 속 시원 했습니다. 정말 감사합니다. 최고에요!!</t>
  </si>
  <si>
    <t>조은서비스 감사함니다</t>
  </si>
  <si>
    <t>너무 너무 너무 친절하시고 오늘 전화하신 고객센터분들 전부 너무 너무 너무 천사셨어요 ㅜㅜ 제 몇 주 동안의 고민을 전화 10분만에 해결해주셔서 감사해요ㅜㅜㅜ 덕분에 쾌적한 인터넷함미다 .. b 감사합니다....</t>
  </si>
  <si>
    <t>매우친절하시네요</t>
  </si>
  <si>
    <t>대충 설명해도 찰떡같이 알아서 해결해 주신 점 감동입니다.</t>
  </si>
  <si>
    <t>고객센터 원격 지원 서비스를 통해 문제를 빠르고 정확하게 해결할 수 있었습니다. 상담사분의 친절하고 전문적인 안내 덕분에 매우 만족스러운 경험이었습니다. 앞으로도 좋은 서비스 부탁드립니다. 감사합니다!</t>
  </si>
  <si>
    <t>친절하시고 상세하게 설명 해주셨어요 너무너무 감사드려요^^</t>
  </si>
  <si>
    <t>친절하시고 잘설명해주셧습니당 감사합니당 이해하기쉽게 잘해주셧셔요 ~!</t>
  </si>
  <si>
    <t>자세한 설명 조치 방법까지 완전 좋습니다.</t>
  </si>
  <si>
    <t>친절하게 말씀해 주셔서 감사합니다.</t>
  </si>
  <si>
    <t>감사합니다 행복하세요!</t>
  </si>
  <si>
    <t>정말 친절하시고 잘 봐주십니다</t>
  </si>
  <si>
    <t>친절하고 좋았어요 문제해결도 바로 되었고요!</t>
  </si>
  <si>
    <t>친절하게 잘 해주셨습니다.</t>
  </si>
  <si>
    <t>안녕하세요 업무가 바쁜와중에 친절하고 상세한 설명과 함께 완벽하게 문제점을 처리해주셔서 감사드림니다. 무더운 복더위에서 고객을 위해 서비스 하시는 모든분들 행복하시고 좋은날 되세요!</t>
  </si>
  <si>
    <t>빠르고 정확하게 해주시고 친절한 서비스 감사합니다 .</t>
  </si>
  <si>
    <t>처음에는 살짝 걱정이 됐는데, 기다리지 않고 바로바로 문제를 해결해 주셔서 너무 편리하고 감사했습니다.</t>
  </si>
  <si>
    <t>기사님 친절하십니다.</t>
  </si>
  <si>
    <t>최근 집 안에서 Synology NAS가 외부 접속이 안 되고, 공유기 포트포워딩 설정도 꼬여 있어서 골치를 앓고 있었습니다. 평소 IT 셀프 설정에 자신 있었지만, 이번엔 아무리 매뉴얼을 뒤져도 답이 안 나오더라고요. 결국 LG U+ 원격 지원을 요청했는데, “역시 전문가!”라는 감탄사가 절로 나왔습니다. 빠른 해결 감사합니다.</t>
  </si>
  <si>
    <t>최고입니다.</t>
  </si>
  <si>
    <t>정말 만족스러웠습니다. 빠른 작업속도와 친절하고 필요한 정보만 이해할 수 있도록 말씀해주셔서, 편안하게 스마트원격진단을 맡길 수 있었습니다.</t>
  </si>
  <si>
    <t>친절하시고 문제점을 정확하게 설명하고 근무 시간이 지났는데도 끝까지 마무리 해주셔서 칭찬합니다LG U+ 파이팅!!!!</t>
  </si>
  <si>
    <t>꼼꼼한 진단 감사드립니다~</t>
  </si>
  <si>
    <t>원격진단이 뭔가 했는데, 너무 좋네요! 계속 확인해주시고, 연락해서 문제점이 무엇인지 알려주셨습니다. 특별한 문제는 없다고 하시니 더 믿음이 갑니다. 감사합니다!</t>
  </si>
  <si>
    <t>확인 잘 해주셔서 감사합니다.</t>
  </si>
  <si>
    <t>늘 친절하게 해결해 주어 감사합니다</t>
  </si>
  <si>
    <t>친절하게 모두 해결해주셨습니다 감사합니다</t>
  </si>
  <si>
    <t>원격으로 하니깐 정말 편하네요. 시간 약속도 잘 지켜주셔서 도움이 많이 됐습니다. 감사합니다.</t>
  </si>
  <si>
    <t>친절하게 설명해 주셔서 감사합니다</t>
  </si>
  <si>
    <t>친절하게 잘 응대해주시고 잘 설명해주셔셔 고맙습니다</t>
  </si>
  <si>
    <t>답답하셨을 텐데 친절한 상담 해주셔서 정말 감사합니다</t>
  </si>
  <si>
    <t>빠른 해결 감사합니다</t>
  </si>
  <si>
    <t>꼼꼼히 잘해 주셨습니다. 감사 합니다.</t>
  </si>
  <si>
    <t>만족스러웠습니다~</t>
  </si>
  <si>
    <t>원격 진단 하는 과정을 세세하게 잘 설명해 주셔서 이해가 바로바로 됐습니다. 수고 많으셨습니다~</t>
  </si>
  <si>
    <t>친절하고 자세한 설명 감사합니다... 잘 모르는 상황에 여러가지 문의 드렸는데 알아듣기 쉽게 알려주셔서 어렵지 않았어요. 3분이랑 통화했는데 다들 친절하세요...</t>
  </si>
  <si>
    <t>빠르고 친절하게 해주셔서 감사합니다!!</t>
  </si>
  <si>
    <t>진짜 너무 친절하시고 그냥 상담사분들과 다르게 컴퓨터쪽을 너무 잘 알고 계셔서 저랑 소통도 편했구요 확실하게 뭐가 문제점 인지. 해결하는 방법 쪽으로 빠르게 알려주셔서 금방 해결 했습니다 정말 감사합니다 !!!!!</t>
  </si>
  <si>
    <t>정말 매우 친절하시고 만족스럽습니다</t>
  </si>
  <si>
    <t>친절하게 잘 설명해 주셨고 해결도 빠르게 해주셨습니다. 고맙습니다.!</t>
  </si>
  <si>
    <t>원격진단 서비스가 정말 편리하고 빠릅니다. 상담사 분도 친절하게 설명해 주셔서 이해하기 쉬웠어요. 앞으로도 이런 좋은 서비스가 계속되면 좋겠습니다. 감사합니다!</t>
  </si>
  <si>
    <t>친절하고 잘 알려주셨습니다~</t>
  </si>
  <si>
    <t>감사합니다 걱정했던 우려가 싹해소 되었습니다.</t>
  </si>
  <si>
    <t>친절하게 잘 봐주시고 설명해주셨습니다. 감사합니다.</t>
  </si>
  <si>
    <t>응대해주신 유선관리팀 직원분 너무 친절해서 좋았습니다 하지만 문의드린거의 성과가 없어서 7개만 보내요 응대자 본인은 별10개입니다</t>
  </si>
  <si>
    <t>친절상담점검감사드립니다,,</t>
  </si>
  <si>
    <t>기대 이상의 서비스에 매우 만족합니다. 살짝 감동까지 포함해서요...</t>
  </si>
  <si>
    <t>인터넷이 느려져서 답답했는데, 친절하고 자세히 설명해주셔서 감사했습니다.</t>
  </si>
  <si>
    <t>감사합니다! 친절하게 해결 잘 해주셨습니다~</t>
  </si>
  <si>
    <t>자세하고 친절히 잘 설명해 주셨습니다 최고입니다</t>
  </si>
  <si>
    <t>친절하게 설명 잘 해주셨습니다!</t>
  </si>
  <si>
    <t>친절히 설명 잘 해주시고 서비스 잘 받았습니다. 무더위에 수고 하세요</t>
  </si>
  <si>
    <t>문제 해경을 위해 하나하나 짚고 넘어가시고 결국엔 문제점을 해결했네요 유플러스 개통후 가졌던 속도 저하 문제로 스트레스를 받았었는데 해결되었습니다 감사합니다</t>
  </si>
  <si>
    <t>Good</t>
  </si>
  <si>
    <t>감사합니다 !</t>
  </si>
  <si>
    <t>너무 친절하게 궁굼한 것들을 설명해 주셔서 감사드립니다.</t>
  </si>
  <si>
    <t>친절하게 상세히 알려주셔서 정말 감사합니다~~~</t>
  </si>
  <si>
    <t>친절하게 도움을 주시려고 애써 주셔서 너무 감사합니다. 더운 여름 건강하게 잘 보내세요 수고 하셨습니다,</t>
  </si>
  <si>
    <t>자세히 점검 잘받았습니다</t>
  </si>
  <si>
    <t>친절하게 설명 잘해주셧습니다</t>
  </si>
  <si>
    <t>친절하시고 잘 알려주세요.</t>
  </si>
  <si>
    <t>인터넷을 사용하는데 문제가 발생해서 처음으로 채팅 상담을 통해 문의를 드렸는데 스마트 원격 진단 서비스팀으로 이어서 안내해주신다고 하시며, 스마트 원격 진단 서비스팀에서 처리를 도와주셨습니다 상황 설명을 부드럽게 하지 못했는데도 친절하게 하나 하나 물으시고 확인해보시면서 해결해주시고 해결 방법을 설명해주셔서 처음인데도 불편함 하나 없이 도움 받을 수 있어 좋았습니다! 감사합니다 :)</t>
  </si>
  <si>
    <t>친절하게 상담해주셔서 감사합니다. 몰랐던 드라이버 업데이트까지 해주셔서 너ㄴ무너무 감사합니다. 더운 날씨에 헛걸음 하지 않아도 되겠습니다. 행복한 하루되세요.,</t>
  </si>
  <si>
    <t>컴퓨터의 성능 저하로 작업시간이 오래 걸렸는데 최초에 전화 응대해주신 고객지원실 기사님이 너무 친절하게 대응해주셔서 최고의 서비스를 받은것 같습니다. 원격점검해주신 기사님도 친절히 응대해주셔서 서비스에 만족합니다</t>
  </si>
  <si>
    <t>정말 친절하게 진단 해주셔서 정말 감사했습니다. 특정 해외서버망의 게임의 지연시간 문제로 다소 복잡한 일임에도.. 해주실수 있는 모든 항목을 세세하게 설명해주시면서 서비스해주셨습니다. 감사합니다.</t>
  </si>
  <si>
    <t>고장 접수 받으시는 분도 원격 처리해주시는 분도 너무 친절한 설명, 양해를 구하시는 부분이 감동적이었습니다.</t>
  </si>
  <si>
    <t>원인을 몰라서 방문점검을 해야하나 싶었는데 담당자분이 원격으로 원인을 짚어주셔서 편하네요 다음에도 이용할께요</t>
  </si>
  <si>
    <t>유플러스 원격진단 서비스 너무 만족합니다. 기사분과 소통하며 정확히 진단해주시고 조치해 주셔서 여름 휴가 출발 전 문제 잘 해결하고 가벼운 마음으로 잘 다녀 올 수있을 것 같습니다 감사합니다.</t>
    <phoneticPr fontId="1" type="noConversion"/>
  </si>
  <si>
    <t>lg 유플러스에서 공유기 상태및 pc 점검 로그파일 점검까지 무사히 끝맞췄습니다 결과 무선이 접속되었다 끊기는건 있어도 저희집 pc와 공유기는 이상이 없다 말씀해주셨습니다 서비스 잘받았고 매우 만족합니다</t>
    <phoneticPr fontId="1" type="noConversion"/>
  </si>
  <si>
    <t>이렇게 친절하고 상세하게 설명해주신 분은 처음이라 매우 만족스럽습니다. 인터넷이 왜 느렸는지, 어떤 조치를 해서 개선이 되었는지 설명해주셨습니다. 유선으로 사용할 수 있도록, 방문 요청 드렸는데, 방문 요청건도 친절하게 접수해주셨습니다. 오랜만에 기분 좋은 서비스를 받아 기쁩니다. 다음에 또 원격서비스를 받게 된다면 이런 분께 받고 싶네요~</t>
    <phoneticPr fontId="1" type="noConversion"/>
  </si>
  <si>
    <t>네 편리하고 좋았습니다.</t>
  </si>
  <si>
    <t>친절하게 잘 설명해주시고 고생하신것 같습니다 다시 문제가 안발생했으면 좋겟어여ㅠㅠ</t>
  </si>
  <si>
    <t>친절하게 잘해 주시내요.</t>
  </si>
  <si>
    <t>늦은시간에 원격으로 해결해주셔서 감사합니다!!</t>
  </si>
  <si>
    <t>최고입니다!!!</t>
  </si>
  <si>
    <t>잘해결되었습니다 감사합니다</t>
  </si>
  <si>
    <t>친절하게 설명 잘 해주셨어요</t>
  </si>
  <si>
    <t>빠르고 정확하게 안내해 주셨습니다.</t>
  </si>
  <si>
    <t>얼마전에 구글 로그인 확인했을때 해킹내역이 있어서 어찌나 불안했던지 몇일몇날을 검색하고 마음앓이 했었는데 이렇게 빠르게 처리해 주셔서 마음이 놓입니다. 친절하신 기사님께서 일일이 하나하나 설명해주셔서 감사할 따름입니다. 써왔던 아이디 비번 싹다 바꾸고 집인터넷 주소까지 바꿔서 너무나 다행입니다. 혹시라도 다음에 또 이런일이 생긴다면 바로 고객센터에 문의 하겠습니다. 컴퓨터 점검해주신 기사님 감사합니다. 서비스만족도 최고입니다.</t>
  </si>
  <si>
    <t>너무나도 빠르고 신속하게 해결해 주셨어요 기사님께서 친절하신데다 모르는 부분도 꼼꼼하게 알려주셨어요 제가 이래서 유플러스 장기고객을 유지하는 이유입니다. 믿고 더 오랫동안 사용할수 있을것 같습니다. 너무 감사합니다.</t>
  </si>
  <si>
    <t>문제 해결을 엄청 친절히 잘해주셨습니다 감사합니다</t>
  </si>
  <si>
    <t>일 처리가 빨리되었어요. 감사합니다</t>
  </si>
  <si>
    <t>성의있게 잘 해주셨어요 감사합니다</t>
  </si>
  <si>
    <t>너무 잘 해주셔서 감사합니다.</t>
  </si>
  <si>
    <t>감사합니다 친절하고 알기쉽게 설명 잘해주셨습니다</t>
  </si>
  <si>
    <t>너무쉽게 설명해주셨어요 감사합니다</t>
  </si>
  <si>
    <t>고객이 원하는 점을 잘 캐치하시고, 빠르게 처리해주셔서 좋았습니다.</t>
  </si>
  <si>
    <t>친철하게 설명을 잘 해 주셔서 감사합니다</t>
  </si>
  <si>
    <t>친절하게 설명해주시고 고민을 해결해 주셔서 감사해요. 엘지 인터넷 계속 사용하고 싶어요</t>
  </si>
  <si>
    <t>제가 주작미숙으로 잘되지 않은걱을 잘가르쳐 주시고 안내해 주셨습니다 감사합니다 번창하세요!</t>
  </si>
  <si>
    <t>친절하고 상세하게 응대해주셔서 너무좋네요</t>
  </si>
  <si>
    <t>다운로드 속도저하 문제가 해결 되었습니다</t>
  </si>
  <si>
    <t>친절하게 안내해주시고 문제점도 바로 찾아주셨습니다 감사합니다 !</t>
  </si>
  <si>
    <t>친절하고 상세하게 원격 봐주셨습니다 감사해요</t>
  </si>
  <si>
    <t>자세한 설명과 설치 방법 알려주셔서 감사합니다</t>
  </si>
  <si>
    <t>깔금하고 단백하고 너무 좋은 인재직원분이십니다 !! 감사합니다 !!</t>
  </si>
  <si>
    <t>질문 하나하나 다 해주시고 잘 고쳐주셨습니다!! 안될까봐 걱정했는데 감사합니다!!!!!</t>
  </si>
  <si>
    <t>세심하게 안내해주시고 문제사항 확인하고 수정해 주셔서 이상없이 인터넷 잘 이용할 수 있게 되었어요, 감사합니다!! :)</t>
  </si>
  <si>
    <t>친절하고 상세히 안내해드려서 만족합니다.</t>
  </si>
  <si>
    <t>빠른조치와 설명으로 감사합니다</t>
  </si>
  <si>
    <t>너무친절이 잘해주셨어요 너무좋네요</t>
  </si>
  <si>
    <t>친절히 잘 설명해주셔서 좋았다</t>
  </si>
  <si>
    <t>빠르고 친절하게 상담해주셔서 좋았습니다.</t>
  </si>
  <si>
    <t>친절하고 자세한 상담 진행으로 이해가 됨</t>
  </si>
  <si>
    <t>너무 친절하게 잘 해주셔서 좋았습니다</t>
  </si>
  <si>
    <t>최상의 서비스를 받았어요</t>
  </si>
  <si>
    <t>깔끔하고 확실한 처리 감사합니다 ^^</t>
  </si>
  <si>
    <t>끝까지 친절하게 설명 해주셔서 감사합니다 정확한 조치로 끝까지 고객응대를 너무 잘해주십니다 감사합니다 수고하셨습니다</t>
  </si>
  <si>
    <t>친절하게 잘 설명해주시고 궁금증 해소가 되었습니다.</t>
  </si>
  <si>
    <t>친절하게 잘 알려주십니다.</t>
  </si>
  <si>
    <t>완전 친절하게 잘 설명해셨습니다.</t>
  </si>
  <si>
    <t>인터넷 속도가 갑자기 안나와서 고객센터에 전화를 드렸습니다 빠른 해결로 편하게 재 속도로 인터넷을 쓸수있어서 좋네요</t>
  </si>
  <si>
    <t>빠른 해결과 친절한 설명 감사합니다</t>
  </si>
  <si>
    <t>친절하시고 신속하게 잘 처리해 주셨습니다 감사합니다 ^^</t>
  </si>
  <si>
    <t>친절한서비스 감사합니다.</t>
  </si>
  <si>
    <t>서비스 잘 받았습니다. 기사님의 친절한 설명과 안내에 감사드립니다.</t>
  </si>
  <si>
    <t>원격담당자 아주 실력이 좋으시네요.감사합니다</t>
  </si>
  <si>
    <t>시간도 빠르고 친절하게 설명해주셔서 좋았습니다.</t>
  </si>
  <si>
    <t>매우 친절하게 잘 해주셨습니다 감사합니다</t>
  </si>
  <si>
    <t>네 만족합니다.</t>
  </si>
  <si>
    <t>친절하고 설명도 잘해주시며 문제해결되어 만족합니다</t>
  </si>
  <si>
    <t>너무 친절하게 설명해주셨어요.다들 친절하지만최근들어 가장 친절하신 분이네요. 기분도 좋아졌어요~~~</t>
  </si>
  <si>
    <t>친절하게 설명 잘해주셔서 잘 진행된것 같습니다.</t>
  </si>
  <si>
    <t>정보감사합니다</t>
  </si>
  <si>
    <t>궁금한거 해결된 느낌입니다 친절하게 상대해줘서 마음편이 상담 잘 닫았습니다 수고하십시요^^</t>
  </si>
  <si>
    <t>친절하고 빠르게 잘 응대해 주셔서 최고로 만족합니다. 감사합니다~ ^^</t>
  </si>
  <si>
    <t>친철하게 상담해주셔서 감사합니다 :)</t>
  </si>
  <si>
    <t>쉽게 안내해주시고 컴퓨터 상태 점검 잘해주십니다</t>
  </si>
  <si>
    <t>점검은 잘해주셨는데 완전히 해결되지않아 아쉽습니다.</t>
  </si>
  <si>
    <t>잘함 착함</t>
  </si>
  <si>
    <t>인터넷속도가 저하현상이 일어나서 전화문의드렸는데 빠르게 원격으로 처리해주셔서 편하게 진단받았습니다 감사합니다</t>
    <phoneticPr fontId="1" type="noConversion"/>
  </si>
  <si>
    <t>친절하게 설명해주시고 조치사항과 문의사항도 응대를 잘 해주셨습니다. 많은 불만업무를 처리하고 계실텐데 항상 수고가 많으십니다. 감사합니다.</t>
    <phoneticPr fontId="1" type="noConversion"/>
  </si>
  <si>
    <t>컴퓨터 잘 모르는 사람도 이해하기 쉽게 설명도 잘 해주시고 문제되는 부분 업데이트도 바로 해주시고 다른 문제는 또 없는지 확인도 꼼꼼히 잘 해주셨어요! 다음에도 문제 있으면 언제든 전화하면 고쳐줄거란 믿음이 생기는 친절한 서비스 였습니다 감사합니다! 화이팅 하세요!!</t>
    <phoneticPr fontId="1" type="noConversion"/>
  </si>
  <si>
    <t>감사합니다. 친절하게 설명주셨습니다.</t>
  </si>
  <si>
    <t>깔끔하게 해주셨습니다 감사합니다</t>
  </si>
  <si>
    <t>잘 처리해 주셔서 감사합니다</t>
  </si>
  <si>
    <t>친절하시고 설명을 잘해주셔서 좋았습니다</t>
  </si>
  <si>
    <t>친절하게 방법을 안내해주셔서 감사했습니다.</t>
  </si>
  <si>
    <t>친절하고 꼼꼼하시네요</t>
  </si>
  <si>
    <t>친절하시고 목소리 좋으시고 다 만족입니다.. 감사합니다</t>
  </si>
  <si>
    <t>친절하게 상담 진행해주십니다.</t>
  </si>
  <si>
    <t>문제점이랑 해결방안에 대해서 친절하게 잘 안내해주셨습니다. 감사합니다.</t>
  </si>
  <si>
    <t>역시 믿고 쓰는 LG 유플러스입니다. 원하는 니즈를 바로 바로 캐치해서 도움을 주시네요 서비스 대만족입니다. 고생하세요</t>
  </si>
  <si>
    <t>빠른대응 감사합니다 컴맹이라 랜선은 너무 어렵네요.</t>
  </si>
  <si>
    <t>문제점뿐만 아니라 다양한 문제에 대해서도 쉽게 설명해주셔서 전반적인 이해를 할 수 있게 됐습니다.</t>
  </si>
  <si>
    <t>너무 친절하고 해결도 명확하게 되었습니다!</t>
  </si>
  <si>
    <t>친절하게 응대해주시고 상담 잘해주셨습니다. 감사합니다</t>
  </si>
  <si>
    <t>너무 친절하게 말씀해주셔서 너무 좋았습니다. 서비스가 너무 좋아요 감사합니당</t>
  </si>
  <si>
    <t>PC 원격접속으로 문제진단 및 해결해서 신속하고 고객측에서도 무엇을 점검하는지 확인 가능해서 좋았습니다. 다만, 원격접속하는만큼 고객PC에서 민감자료 작업중일수도 있으니 '원격접속 후 화면공유된다'는 안내 멘트 해주시면 좋을것 같습니다.</t>
  </si>
  <si>
    <t>친절한 상담으로 문제가 해결되었습니다. 감사합니다</t>
  </si>
  <si>
    <t>빠른 조치 감사합니다</t>
  </si>
  <si>
    <t>친철한 서비스 감사합니다.</t>
  </si>
  <si>
    <t>친절한 고객응대 감사합니다 항상 건강하시고 행복하세요</t>
  </si>
  <si>
    <t>잘 설명해주시고 문제의 원인을 잘 파악해서 조치해주셨습니다 감사합니다</t>
  </si>
  <si>
    <t>더운날씨에 고생하셨습니다 접속이 잘 이루어지면 좋겠습니다 수고하세요....</t>
  </si>
  <si>
    <t>친절하게 잘 설명해주시고 조치도 적절하게 잘 해주십니다.</t>
  </si>
  <si>
    <t>친절하게 잘 해주셨습니다. 감사합니다.</t>
  </si>
  <si>
    <t>t신속 정확 친절 모두 만족합니다.</t>
  </si>
  <si>
    <t>친절하게 상담잘받았습니다. 해결해주셔서 감사합니다.</t>
  </si>
  <si>
    <t>어제 밤부터 계속 고민 하고 이거저거 해봤는데 처음 원격 기사님도 두번째 원격 기사님도 정확하게 알려 주셔서 매우 이해하기 편했습니다.</t>
  </si>
  <si>
    <t>어제 밤부터 엄청 고생했는데 기사님 께서 전화주시고 바로 해결됬습니다 생각지도 못한 부분 이었는데 너무 감사합니다</t>
  </si>
  <si>
    <t>LG U+ 상담사님들을 통한 원격진단이 원활하게 지행이 되었고 품질에 만족을 느낌니다. 대단히 감사합니다. LGU+ 의 무궁한 발전을 기원합니다.</t>
  </si>
  <si>
    <t>너무 친절하시네요 감사해요!!</t>
  </si>
  <si>
    <t>대단한 시대에 살고 있는것 같아 고맙습니다</t>
  </si>
  <si>
    <t>문제점 해결 친절한 상담으로 잘 처리되었습니다</t>
  </si>
  <si>
    <t>원활하게 진행해주셨습니다. 감사합니다.</t>
  </si>
  <si>
    <t>최고의 써비스 진심으로 감사합니다.</t>
  </si>
  <si>
    <t>일반적인 상담사님분들보다 세세하게 말씀해주시고 친절하게 해주셔서 상담 잘 받았습니다 감사합니다</t>
  </si>
  <si>
    <t>친절하게 잘해주셨어요</t>
  </si>
  <si>
    <t>원격 서비스 정밀하게 잘봐주셔서 감사합니다``</t>
  </si>
  <si>
    <t>친절하고 알기 쉽게 설명해주셔서 감사합니다.</t>
  </si>
  <si>
    <t>문제점 두 가지에 대한 원인과 해결 방법을 알려주셔서 의문이 해소되었습니다</t>
  </si>
  <si>
    <t>친절하고 빠른 안내 감사합니다.</t>
  </si>
  <si>
    <t>서비스 만족합니다 감사해요</t>
  </si>
  <si>
    <t>프로그램에서 동의하기 창이 안 나와서 몇번을 시도해서 불편함 원격 상담원은 친절하심</t>
  </si>
  <si>
    <t>친절하게 설명해주시고 빨리 해결되고 다 좋았습니다</t>
  </si>
  <si>
    <t>상담사님이 친절하게 잘알려주셔서 좋았습니다</t>
  </si>
  <si>
    <t>정말 친절하게 설명해주시고 안내해주셔서 만족스럽게 스마트원격진단 이용할 수 있었던 것 같습니다. 정말로 감사합니다. 매번 수고하시는 LGu+관계자분들 화이팅!!</t>
    <phoneticPr fontId="1" type="noConversion"/>
  </si>
  <si>
    <t>SK인터넷을 몇년간 쓰다가, 이번에 SK사태 이후 LG U+ 로 바꾸고 처음 받아보는 서비스엿습니다. 어떤 문제점이있는지 잘 설명해주시고, 컴퓨터를 잘 모르는 저도 잘 이해할수있게 다 설명해주셔서 감사합니다. 처음 받아보는 서비스였지만, 너무 만족하고. 잘 설명해주신 엔지니어님께도 감사드립니다. 만족도는 최고입니다.. 100점 만점에 100점 드리고 싶습니다.</t>
    <phoneticPr fontId="1" type="noConversion"/>
  </si>
  <si>
    <t>LG 상담사분들 다 착하신것 같습니다 항상 도와주시고 오늘도 시간 늦엇는데 해주시고 정말 감사합니다</t>
    <phoneticPr fontId="1" type="noConversion"/>
  </si>
  <si>
    <t>만족스럽게 받았고 어떤 부분이 문제였는지까지 설명해주셔서 배울 점이 있었습니다, 감사합니다!</t>
  </si>
  <si>
    <t>와 끝내주십니다.. 순식간에 고쳐주시네요 따봉</t>
  </si>
  <si>
    <t>친절한 설명과 안내 감사합니당. 많은 도움이 돼었습니다. 수고하세요.</t>
  </si>
  <si>
    <t>엄청 친절하게 잘해주셨습니다</t>
  </si>
  <si>
    <t>너무 친절하고 깔끔하게 설명해주세요 감사합니다</t>
  </si>
  <si>
    <t>늦은 시간에 상담사분께서 굉장히 친절하게 응대해 주시네요 질문에도 웃으시면서 다 답변해주시고 문제 해결 잘되었습니다. 감사 수고하세요~</t>
  </si>
  <si>
    <t>친절한 설명과 함께 자세하게 상담해주셔서 감사합니다</t>
  </si>
  <si>
    <t>보안점검까지 해주시니 맘편하게 사용가능해서 좋아요~~</t>
  </si>
  <si>
    <t>정말 친절히 뭐가 문제인지 잘 파악하시고 잘 설명해주셨어요!</t>
  </si>
  <si>
    <t>친절한 설명과 안내 잘 받았습니다. 감사합니다.</t>
  </si>
  <si>
    <t>수고하셨습니다 ^^</t>
  </si>
  <si>
    <t>문제해결에 많은 도움이 되었습니다</t>
  </si>
  <si>
    <t>컴퓨터 끊김 심했는데 랜카드 업데이트가 안되있는부분 파악해주시고 업데이트 해주셔서 좋았습니다</t>
  </si>
  <si>
    <t>친절하고 빠른일처리..수고하셨어요</t>
  </si>
  <si>
    <t>친절한응대 감사해요.</t>
  </si>
  <si>
    <t>친절하시고 꼼꼼히 점검 해주십니다</t>
  </si>
  <si>
    <t>친절한 서비스 너무 감사합니다. 설명도 잘 해주시고 인터넷도 컴퓨터도 더 빨라진 느낌입니다.</t>
  </si>
  <si>
    <t>굉장히 신속하게 빠르게 해결해주셨습니다. 감사합니다.</t>
  </si>
  <si>
    <t>친절하고 빠르게 처리해주셨습니다 감사합니다</t>
  </si>
  <si>
    <t>상담사분 성함이 정확하게 기억은 안나는데 배00? 님이 너무 친절하게 설명해주시고 안내해주셔서~ 도움 많이 됬습니다 감사드립니다~~!! 건강하세요~</t>
  </si>
  <si>
    <t>신속하고 친절해요</t>
  </si>
  <si>
    <t>정말 상세히 봐주시고 친절하게 상담해주셨습니다. 스마트 원격진단 점검 정말 좋습니다.</t>
  </si>
  <si>
    <t>친절하고 알아듣기 쉽게 알려주셔서 감사합니다.</t>
  </si>
  <si>
    <t>반갑습니다 LGU+ q빠르고 정확하면 친절한 서비스에 감동 입니다. 잘모르던 부분 까지 디테일하게 설면해해주시고 원격제어 까지 감사합니다 고맙습니다</t>
  </si>
  <si>
    <t>잘해주십니다.</t>
  </si>
  <si>
    <t>친절하시고 신속하게 너무너무 감사합니다 답답했는데 살것같아요 정말 감사합니다</t>
  </si>
  <si>
    <t>정말 친절하시고 만족하는 응답 들었습니다.</t>
  </si>
  <si>
    <t>친절하고 문제점을 정확하게 파악하여 원인과 차후 대처도 잘 알려주셔서 감사합니다</t>
  </si>
  <si>
    <t>상담사 분도 친절하시고 잘못 설정되어 있는 부분도 놓치지 않고 더 좋게 바꾸어 주셔서 좋았습니다.</t>
  </si>
  <si>
    <t>친절하고 쉬운 설명 감사합니다!</t>
  </si>
  <si>
    <t>너무 친절하게 다 해결해주셨어요~!</t>
  </si>
  <si>
    <t>신속정확 친절ㄹ</t>
  </si>
  <si>
    <t>친절하고 쉽고 간단한 설명 감사합니다.</t>
  </si>
  <si>
    <t>상담사분이 아주 친절합니다.</t>
  </si>
  <si>
    <t>친절하게 잘 대응해주셔서 감사합니다.</t>
  </si>
  <si>
    <t>직원분들이 친절하게 알려주시면서 문제를 해결해주시고 따로 하는거 없이 원격으로 다 처리해주셔서 정말 편하고 좋았어요.</t>
  </si>
  <si>
    <t>깔끔하고 친절하게 해주셨어요~~</t>
  </si>
  <si>
    <t>굿 굿 베리 굿 상담원분이 넘무 일을 잘 하세용</t>
  </si>
  <si>
    <t>친절하게 설명해주시고 점검 잘해주셔서 감사합니다.</t>
  </si>
  <si>
    <t>수고해주셨습니다. 감사합니다.</t>
  </si>
  <si>
    <t>방금 상담받고 원격으로 조치해주셨는데 엄청 친절하시고 설명도 자세하게 잘 해주시네요 ^^ 감사합니다. 다음에도 같은분께 상담받고 싶네요 , 상담받을일이 없으면 더 좋구요 고생하셨어요</t>
    <phoneticPr fontId="1" type="noConversion"/>
  </si>
  <si>
    <t>이해할수 있게 정확하고 명확하게 설명을 잘 해주셨고 추후 발생문제에 대해 임시적인 해결방안을 이해하기 쉽게 설명해주셨습니다 서비스 대만족입니다 감사합니다</t>
    <phoneticPr fontId="1" type="noConversion"/>
  </si>
  <si>
    <t>인터넷이 계속 끊겨 화가 난 상태로 전화했지만, 상담원분과 엔지니어분께서 차분하게 응대 및 조치 해주셨습니다. 조금 격양 되어있던 자신이 부끄럽네요.. 도와주셔서 감사합니다.</t>
    <phoneticPr fontId="1" type="noConversion"/>
  </si>
  <si>
    <t>조아요</t>
  </si>
  <si>
    <t>친절히 안내 조치하였씁니다.</t>
  </si>
  <si>
    <t>최고로 친절하시고 빠르고 정확하게 해결해주셔서 진심으로 감사드립니다</t>
  </si>
  <si>
    <t>친절한 응대와 빠른 해결에 감사드립니다</t>
  </si>
  <si>
    <t>진짜 급했는데, 너무 빠르게 도와주시고, 자세한 궁금점을 설명해주셔서, 너무 감사합니다. 게이트웨이 모뎀에서 소프트웨어 문제라서, 다른 개인 컴이나, 공유기등 아무것도 건드릴필요 없다고 얘기해주시고, 게이트웨이 변경도 할필요 없다고 해주셔서, 속이 시원했습니다. 너무 칭찬합니다. 엔지니어님</t>
  </si>
  <si>
    <t>점검 장 받았습니다 감사합니다</t>
  </si>
  <si>
    <t>원격으로 간단하게 문제점을 확인 해주셔서 감사합니다.</t>
  </si>
  <si>
    <t>친절하게 설명해주시고 문제도 해결됐습니다</t>
  </si>
  <si>
    <t>너무 친절하게 해주셨습니다 감사합니다</t>
  </si>
  <si>
    <t>신속하고 정확하게 드라이버 업데이트 및 친절하게 안내 해주셨습니다.</t>
  </si>
  <si>
    <t>너무 친절하게 응대해주셔서 감사했습니다!</t>
  </si>
  <si>
    <t>친절하시고 빠르게 해결책을 알려주셨습니다 만족합니다</t>
  </si>
  <si>
    <t>친절하게설명해주심</t>
  </si>
  <si>
    <t>좋은 서비스인것 같습니다</t>
  </si>
  <si>
    <t>문제가 해결되지는 않았지만 친절한 답변 감사합니다.</t>
  </si>
  <si>
    <t>진단 친절하게해주셔써요 감사함니다.</t>
  </si>
  <si>
    <t>빠르고 정확한 진단 감사합니다.</t>
  </si>
  <si>
    <t>친절하시고 빠르게 진단 해주셔서 도움이 많이 되었습니다. 감사합니다.</t>
  </si>
  <si>
    <t>서비스 점검 잘받았습니다</t>
  </si>
  <si>
    <t>친절하시고 너무 잘 조치해주셨습니다!!</t>
  </si>
  <si>
    <t>고객센터는 인터넷 담당자 소관이라 판단하고, 인터넷 담당자는 엘지 u+ 티비 담당자 소관이라 판단해, 전화하다 지쳐 진단 받기를 포기할 지도 모르겠습니다.</t>
  </si>
  <si>
    <t>신속하게 해결되어서 좋았습니다. 내용도 좋았어요</t>
  </si>
  <si>
    <t>깔끔하게 처리해주셔서 넘 감사드립니다!!!!</t>
  </si>
  <si>
    <t>전화 최초로 받아주신 상담원님 부터 너무 친절하셨습니다. 기다리는 시간동안 말씀도 계속 해주시고, 친절한 설명과 안내에 따라서 진행할 수 있었습니다. 기술지원 해주시는 상담원분도 차근차근 설명해주시고 원격으로 수월하게 해결해주셨습니다. 저녁시간인데도 신속하게 해결해준 LG U+ 직원분들 감사합니다^^</t>
  </si>
  <si>
    <t>스마트원격진단이 있다는 것이 신기했다. 그리고 기사님 너무 친절하게 설명해주셔서 감사합니다.</t>
  </si>
  <si>
    <t>ㄳ요</t>
  </si>
  <si>
    <t>상담원님 원격해주신 기사님 두분다 매우 친절하셨습니다 저녁시간인데도 친절하게 해주셔서 아주 좋았어요 고생들하셨습니다</t>
  </si>
  <si>
    <t>친절하게 잘해주셨습니다.</t>
  </si>
  <si>
    <t>친절하게 상담 잘해주셨어요~감사합니다.</t>
  </si>
  <si>
    <t>친절한 설명과 신속한 처리!!</t>
  </si>
  <si>
    <t>친절하고 상세히 설명해주셨어요.</t>
  </si>
  <si>
    <t>ㅃㅏ른응대 감사합니다 속도끊김없이 잘되면 더 좋을것같아요 일단 잘써볼게요</t>
  </si>
  <si>
    <t>생각보다 간단히 해결되어서 좋았습니다.</t>
  </si>
  <si>
    <t>너무너무 친절하십니다 감사합니다. 건강하세요!</t>
  </si>
  <si>
    <t>서비스 최고였습니다 감사합니다</t>
  </si>
  <si>
    <t>친절히 서비스 잘받았습니다</t>
  </si>
  <si>
    <t>스마트 원격진단 서비스 점검후기 점검항목의 체크와 친절한 설명(인터넷 느림, 인터넷에 연결된 기타 기기설정)으로 문제해결에 도움주셔서 감사합니다.</t>
  </si>
  <si>
    <t>이전 전화 상담과 원격진단 전문가 상담 모두 친절하게 잘 받았습니다.</t>
  </si>
  <si>
    <t>이런 좋은 서비스를 꼼꼼히 해주셔서 감사합니다^^</t>
  </si>
  <si>
    <t>간결하구 빠르고 정확하게 문제를 해결해주셨습니다. 감사합니다!</t>
  </si>
  <si>
    <t>요새 상담원 분들에게 불같이 화를 내시는 분들이 많으실텐데... 고생하십니다 :( 우선 해결 당시엔 문제였던 부분이 해결되어 쌓였던 것이 가라앉은 느낌이네요 :) 상담원 분들도 너무 친절하셨습니다 :))</t>
  </si>
  <si>
    <t>문제점을 빠르게 이해해주셔서 빠른 조치가 가능했고 무엇보다 친절하고 제가 조치하기 쉽게 말씀해주셨어요 매우 만족스럽고 다음에 불편사항이 생겼을 때 다시 또 연결되셨으면 좋겠어요</t>
  </si>
  <si>
    <t>상담간 항상 친철히 응대해 주셨어요</t>
  </si>
  <si>
    <t>상담원도 친절하고 잘 봐주셔서 좋았습니다</t>
  </si>
  <si>
    <t>서비스 잘 받았습니다. 감사합니다.</t>
  </si>
  <si>
    <t>열심히 도와주심.</t>
  </si>
  <si>
    <t>친절하게 잘해주었습니다.</t>
  </si>
  <si>
    <t>친절하고 신속하게 상담해주셨습니다 감사합니다~</t>
  </si>
  <si>
    <t>많은 도움이 되었습니다. 감사합니다.</t>
  </si>
  <si>
    <t>오랜 기다림을 잘 견디시는것 같아 고생하시지만 감사했습니다.</t>
  </si>
  <si>
    <t>너무 친절하고 자세히 설명해주시고 점검 잘해주셔서 너무 감사합니다</t>
  </si>
  <si>
    <t>친절하게 상담을 잘 해주심</t>
  </si>
  <si>
    <t>상담사분들이 너무친절하시고 인터넷문제가 해결이 잘됬어요</t>
  </si>
  <si>
    <t>빠르고 확실한 점검부터 추후 동일 문제 발생시 후속처리 방법까지 자세히 알려주셔서 좋았습니다.</t>
  </si>
  <si>
    <t>빠르고 정확하게 그리고 친절하게 최선을 다해주셔서 감사합니다</t>
  </si>
  <si>
    <t>빠른진단과 서비스 감사합니다</t>
  </si>
  <si>
    <t>역시 기술자라 뭔지 바로아시네요 감사합니다.</t>
  </si>
  <si>
    <t>정말 친절하시고 가려운부분을 속시원하게 긁어주셔서 너무 좋습니다. 별거아닌 일인것같아도 사용자입장에선 스트레스받고 답답할 수 있는데, 친절하게 대해주셔서 너무 기분좋은 상담이였습니다. 감사합니다^^</t>
    <phoneticPr fontId="1" type="noConversion"/>
  </si>
  <si>
    <t>아주 속전속결이에요 ㅋㅋㅋㅋ 제가 포트포워딩하면 10분 20분 넘게 걸릴거 5분안에 깔끔하게 싹 해주셨네요 덕분에 걱정없이 서버 개방할 수 있을 것 같아요. 성능 최고네요 dmz 관련해서 문제생기거나 하면 또 연락드리겠습니다</t>
    <phoneticPr fontId="1" type="noConversion"/>
  </si>
  <si>
    <t>기사님께서 친절함은 물로 신속하게 점검해 주셔서 오늘 하루 만족도 최고입니다. 컴퓨터 초기화로 인터넷 프로그램도 초기화 되어 사용에 불편을 겪었는데 원격으로 빠르게 잘 처리해 주셔서 정말 감사드립니다. 그리고 부가적으로 컴퓨터 상태에 대한 조언도 해 주어 최고의 상담이었습니다, 감사합니다. 화이팅하세요</t>
    <phoneticPr fontId="1" type="noConversion"/>
  </si>
  <si>
    <t>늦은 시간에도 너무 친절하시고 설명을 잘해주셔서 진심으로 감사드립니다</t>
  </si>
  <si>
    <t>너무 친절하시고 잘해주셧습니다 감사합니다</t>
  </si>
  <si>
    <t>감사합니다~~~!!</t>
  </si>
  <si>
    <t>친절하고 자세하게 설명해주셔서 감사합니다.</t>
  </si>
  <si>
    <t>최치원 기사님 너무 친절하게 도와주셔서 감사했습니다</t>
  </si>
  <si>
    <t>빠른점검감사합니다</t>
  </si>
  <si>
    <t>부드럽게 친절했습니다</t>
  </si>
  <si>
    <t>빠른조치 감사드려요</t>
  </si>
  <si>
    <t>신속하고 빠르게 해결해주셔서 좋았습니다. 직원분들도 모두 친절하게 설명하고 해결해주셔서 좋아요!</t>
  </si>
  <si>
    <t>너무 친절하게 설명해주시고 해결도 빠르게 잘해주셨습니다. 덕분에 별도의 어려움 없이 문제를 해결할 수 있었습니다!</t>
  </si>
  <si>
    <t>깔끔하고 빠른조치 감사합니다. 수고하셨습니다.</t>
  </si>
  <si>
    <t>아주 감사합니다 !!</t>
  </si>
  <si>
    <t>너무 친절한 상담과 안내였습니다. 최고에요!!!</t>
  </si>
  <si>
    <t>친절하시고 설명도 잘해주십니다~</t>
  </si>
  <si>
    <t>신속히 문제가 해결되어 감사합니다.</t>
  </si>
  <si>
    <t>너무 친절하게 문제를 잘 해결해주셨습니다. 감사합니다.^^</t>
  </si>
  <si>
    <t>친절하고 섬세하게 잘해셨습니다 감사합니다</t>
  </si>
  <si>
    <t>너무 친절하고 좋아요</t>
  </si>
  <si>
    <t>빠른 조치 감사드립니다 아이들 넘좋아해요^-^</t>
  </si>
  <si>
    <t>문제점까지 완벽하게 찾아내시고 해결방법까지 너무 친절하게 잘 알려주셔서 감사합니다. 완벽한 친절사원 !!</t>
  </si>
  <si>
    <t>중간에 제 기기가 이상하여 끊기고 했지만 아주 친절하게 잘 처리해주신 것에 대한 감사함을 느낍니다. 다음번에도 이 분에게 받을 수 있다면 좋겠네요.</t>
  </si>
  <si>
    <t>친절하게 상세히 알려주셨습니다.</t>
  </si>
  <si>
    <t>자세하게 잘 설명해주셨습니다</t>
  </si>
  <si>
    <t>꼼꼼하게 점검 해주셨고 문제없이 해결됐습니다. 감사합니다.</t>
  </si>
  <si>
    <t>친절하고 끝까지 잘못된거 있나없ㅇ나 찾아주시고 꼼꼼해요 굿굿</t>
  </si>
  <si>
    <t>진짜 친절해요 꼼꼼하게 설명이랑 자기집처럼 잘못된거 있나 없ㅅ나 찾아주시고 감동입니다</t>
  </si>
  <si>
    <t>정말 친절하셨습니다.</t>
  </si>
  <si>
    <t>원격서비스로 pc진단 잘 해주셨습니다. 감사합니다.</t>
  </si>
  <si>
    <t>너무나 친절하게 잘 해주셨어요~ 감사합니다.</t>
  </si>
  <si>
    <t>친절하고 빠른 조치</t>
  </si>
  <si>
    <t>너무 친절하게 원하는 걸 해결해주셧습니다</t>
  </si>
  <si>
    <t>친절하고 자세하게 설명해 주셨어요 궁금증이 금새 해결되었습니다</t>
  </si>
  <si>
    <t>문제사항을 빠른시간내에 찾아내시고 정상으로 처리 해주셧습니다 매우 만족합니다</t>
  </si>
  <si>
    <t>친절하게 설명을 잘 해주셧습니다.</t>
  </si>
  <si>
    <t>너무 친절하셨어요!!!!!!</t>
  </si>
  <si>
    <t>친절하게 잘 해주셨어요 너무 감사합니다...</t>
  </si>
  <si>
    <t>친절하게 진단 잘 해주셨습니다</t>
  </si>
  <si>
    <t>친절한 상담 감사합니다 도움이 되었어요</t>
  </si>
  <si>
    <t>신속정확친절</t>
  </si>
  <si>
    <t>빠른 접수건에 대한 문의 빠른 처리 해주셧습니다.</t>
  </si>
  <si>
    <t>친절한 서비스에 넘 감사합니다</t>
  </si>
  <si>
    <t>친절하고 상세하게 알려주셔서 좋았습니다, 감사합니다.</t>
  </si>
  <si>
    <t>상세한 설명 감사!!</t>
  </si>
  <si>
    <t>상세하게 설명해주시고 대처방안도 설명 잘 해주셔서 감사합니다!</t>
  </si>
  <si>
    <t>좋아요.</t>
  </si>
  <si>
    <t>수고하셨습니다. 감사 합니다.</t>
  </si>
  <si>
    <t>친절하게 감사합니다</t>
  </si>
  <si>
    <t>친절하게 잘 설명해주셨어요. 제가 착오가 있었던 부분을 편안하게 잘 설명해주셔서 정말 감사했습니다.</t>
  </si>
  <si>
    <t>친절하게 오래기다려주시고 잘해주셨습니다</t>
  </si>
  <si>
    <t>빠른 진단 감사합니다.</t>
  </si>
  <si>
    <t>친절한 목소리로 고객을 응대하고 자신의 일처럼 해결하고자 앞서주는 모습이 너무 좋았습니다. 다음번에도 이런 문제가 생긴다면 다시 꼭 상담을 하고 싶습니다.</t>
    <phoneticPr fontId="1" type="noConversion"/>
  </si>
  <si>
    <t>친절하고, 차분하고, 편안하게 상담해 주셔서 이해가 빠르고 , 모든 문의사항에 친절하게 답변해 주셔서 궁금한 사항이 모두 해결 되었습니다. 너무 감사하고, 친절하게 응대해 주셔서 감사했습니다.</t>
    <phoneticPr fontId="1" type="noConversion"/>
  </si>
  <si>
    <t>기사님께서 친절하게 설명해주시고 증상에 대한 대책으로 와이파이 원격서비스를 잘 해주셨습니다. 앞으로도 문제가 있을시 연락달라고 마지막까지 잘 챙겨주셔서 감사합니다.</t>
    <phoneticPr fontId="1" type="noConversion"/>
  </si>
  <si>
    <t>친절하고 빠르게 진단 해주셨습니다. 늦은 시간에도 수고가 많으십니다.</t>
  </si>
  <si>
    <t>빠르고 정확하고 친절하게 안내받았습니다.</t>
  </si>
  <si>
    <t>빠르고 신속하게 조치를 해주셨습니다. 감사합니다.</t>
  </si>
  <si>
    <t>친절하시고 해결 방안까지 알려주셔서 좋았습니다</t>
  </si>
  <si>
    <t>친절하게 잘 확인해주십니다.</t>
  </si>
  <si>
    <t>네 친절하게 알아듣기 쉽게 말씀해주셨습니다</t>
  </si>
  <si>
    <t>상담하시는분 친천하시고 처리도 빨리 되고 좋아요.</t>
  </si>
  <si>
    <t>아주 친절하게 알려주시고 확실하게 고쳐주셨어요. 너무 감사드립니다. 감사합니다.</t>
  </si>
  <si>
    <t>빠르고 편하다</t>
  </si>
  <si>
    <t>자세한설명과 드라이버 업데이트 감사합니다</t>
  </si>
  <si>
    <t>어디서 문제가 발생했는지 친절하게 자세히 알려주셨습니다. 감사합니다.</t>
  </si>
  <si>
    <t>정말 친절하게 안내해주셨습니다 감사합니다.</t>
  </si>
  <si>
    <t>상담사분이 너무 친절하고 상세하게 알려주셔서 좋았습니다 덕분에 좋은 하루 될 것 같습니다</t>
  </si>
  <si>
    <t>문제점을 알고 있으며 차후에 어떻게 처리해야 하는지 설명을 자세히 잘 해주었다.</t>
  </si>
  <si>
    <t>친절하게 설명해주시고 문제해결을 빠르게 해결해주셔서 감사합니다.</t>
  </si>
  <si>
    <t>정말 친절하고 완벽하게 문제 사항들을 잘 처리해 주셨고 가장 중요한 것은 고객입장에서 어려운 것들을 잘 풀어서 쉽게 알려주셔서 넘 감사했습니다. 오늘 처음 이용하는데 완전 강추!!!!!</t>
  </si>
  <si>
    <t>최대한 해결 해주시려고 노력 해주셔서 감사 합니다.</t>
  </si>
  <si>
    <t>설명도 잘 해주시고 금방 끝내주셨어요! 감사합니다</t>
  </si>
  <si>
    <t>친절하고 세세하게 알려주셨습니다.</t>
  </si>
  <si>
    <t>너무너무 친절하게 잘 안내해주셨습니다. 정말 감사합니다.</t>
  </si>
  <si>
    <t>친절하시고빠른서비스감사합니다</t>
  </si>
  <si>
    <t>빠른조치 감사합니다 인터넷 빠라져서 속이 뻥 뚤리네요</t>
  </si>
  <si>
    <t>젠더 문제를 잘 확인해주셨습니다.</t>
  </si>
  <si>
    <t>만족해요</t>
  </si>
  <si>
    <t>친절하게 잘진행해 주셨읍니다</t>
  </si>
  <si>
    <t>친절하시고 정확한 진단 해주셔서 감사합니다!</t>
  </si>
  <si>
    <t>정확한 진단과 자세한 설명으로 이해 했습니다. 감사합니다.</t>
  </si>
  <si>
    <t>수고했고 친절한 응대 고맙습니다</t>
  </si>
  <si>
    <t>결과적으로 해결은 안됐지만, 절차 안내가 신속하여 좋았습니다.</t>
  </si>
  <si>
    <t>친절하고 깔끔한 서비스 받았습니다 문제 해결도 바로 되었습니다</t>
  </si>
  <si>
    <t>친절한 상담 및 조치, 감사합니다.</t>
  </si>
  <si>
    <t>적극적이고 도움이 많이 되었습니다.</t>
  </si>
  <si>
    <t>무더운날씨에 수고가 많으십니다. 기사님이 친절하게 잘설명해주어 인터넷속도가 개선되었네요 수고하세요</t>
  </si>
  <si>
    <t>원격진단 해주셔서 감사합니다. 원통형공유기와 뿔달린공유기의 역할을 잘 몰라 좀 헷갈렸는데 도와주신 덕분에 문제를 해결했습니다.</t>
  </si>
  <si>
    <t>누구나 이해 가능하게 천천히 잘 알려주셨습니다.</t>
  </si>
  <si>
    <t>너무나 친절하게 설명해주니까 마음이 놓이네요 전문성을 갖춘 선생님께서 원격으로 해결해주시니 감사합니다. 수고하세요</t>
  </si>
  <si>
    <t>친절한 설명과 서비스 짱짱 만족합니다..</t>
  </si>
  <si>
    <t>원격진단 해주시는분이 너무 친절하셨습니다</t>
  </si>
  <si>
    <t>쉬운 설명 감사합니다 :)</t>
  </si>
  <si>
    <t>편리해요</t>
  </si>
  <si>
    <t>빠른처리 감사합니다^^</t>
  </si>
  <si>
    <t>질문이 많았는데도 불구하고 친절하고 명확하게 이해가 잘되도록 설명해 주셔서 너무 감사했습니다!! 완전 만족입니다!!</t>
  </si>
  <si>
    <t>친절하셨습니다\</t>
  </si>
  <si>
    <t>친절하게 잘 설명해주시고 후속 조치도 좋습니다</t>
  </si>
  <si>
    <t>친절히 설명해주셔서 매우 만족스럽습니다</t>
  </si>
  <si>
    <t>완전 빠르게 해결해주셨습니다 감사합니다</t>
  </si>
  <si>
    <t>친철하시고 좋았습니다</t>
  </si>
  <si>
    <t>친절하고 상세하게 잘 설명해주시네요 감사합니다~</t>
  </si>
  <si>
    <t>빠르고 정확하게 문제 해결해주시고 원인까지 자세히 설명해주셔서 감사합니다!</t>
  </si>
  <si>
    <t>너무 친절하시고 설명도 잘 해주셨습니다!</t>
  </si>
  <si>
    <t>친절하고 정확한 응대에 감사드립니다.</t>
  </si>
  <si>
    <t>빠르고 적절한 대처에 감사드립니다.</t>
  </si>
  <si>
    <t>빠른진단및친절설명.원인파악후재설명 감사합니다</t>
  </si>
  <si>
    <t>고객센터에서 스마트원격진단 상담사님한테 연결도 부드럽고 하나하나 잘 살펴주신거 같아 서비스 대만족입니다. 소소한 부분까지 잘 봐주셔서 감사합니다 !!</t>
  </si>
  <si>
    <t>방문해 주신 기사님과 원격 해주신 선생님 모두 친절하게 응해 주셔서 감사합니다.</t>
  </si>
  <si>
    <t>빠른조치 감사합니다~~~^^</t>
  </si>
  <si>
    <t>꼼꼼한 점검 고맙습니다. 무더운 날씨 건강유의하세요.</t>
  </si>
  <si>
    <t>고객눈에 맞게 설명잘 해주심</t>
  </si>
  <si>
    <t>엄청 친절하게 대응해주셨어요. 덕분에 안심하게 되었습니다. 수능을 앞두고 수능 사전입력시스템이 안되서 연락드린 것이라 친절한 진단 감사합니다</t>
  </si>
  <si>
    <t>빠르고 정확한 판단을 해주시고 해결을 위해 기사님 연결도 해주셨습니다.</t>
  </si>
  <si>
    <t>친절하고 빠르게 잘 안내해주셔서 감사합니다.</t>
  </si>
  <si>
    <t>빠르게 잘해결해주셨습니다.</t>
  </si>
  <si>
    <t>여태 같은증상으로 AS신청을 수차례했는데, 이런 서비스를 받아본적은 지금이 처음입니다. 고객이 당사의 로그파일을 확인 할 수 없다는 이유로 신호는 정상이다. 와 같은 말만 들었을 뿐, 원격 서비스는 만족하나 AS과정은 만족스럽지 못함</t>
    <phoneticPr fontId="1" type="noConversion"/>
  </si>
  <si>
    <t>9월19일 원격으로 점검해주신 김민석(?) 님의 service에 감사 드립니다. 1. 친절하시고 2. 문제 되는 부분 상세히 설명 해 주시고 3. 문제에 대한 대응 방안 까지 잘 설명해 주셨습니다. 최고 입니다. 위의 성함은 화면에 잠시 보인것인데 정확한지는 확인이 필요하나 ...아주 만족도 높은 Service였습니다. 좋은 하루 되세요.</t>
    <phoneticPr fontId="1" type="noConversion"/>
  </si>
  <si>
    <t>늦은 시간에 친절하게 상담해주신 것만으로도 최고의 서비스라고 생각합니다. 이런 늦은 시간에도 열심히 상담해주셔서 감사합니다.</t>
    <phoneticPr fontId="1" type="noConversion"/>
  </si>
  <si>
    <t>처음부터 통화끝날때까지 엄청 친절하게 열심이 봐주셨어요 인터넷이 너무 느려서 기분이 안좋았는데 기사님 덕분에 기분좋게 마무리 할수 있었습니다 정말 감사드려요 기사님 최고!!!</t>
    <phoneticPr fontId="1" type="noConversion"/>
  </si>
  <si>
    <t>주말기술전담팀</t>
  </si>
  <si>
    <t>스마트 원격 진단 첨 받았습니다 막힌 변비가 뚤려버렸습니다 감사합니다</t>
  </si>
  <si>
    <t>너무나 편안하게 설명해주시고 빠르게 처리해주심 감사합니다.</t>
  </si>
  <si>
    <t>친절하게 설명해주시고 진단 잘해주셨습니다.</t>
  </si>
  <si>
    <t>친절하고 빠르게 조치 해주시고 감사합니다</t>
  </si>
  <si>
    <t>대기시간은 좀 있었는데 원격담당해주시는 상담사님, 기사님도 빠른 판단과 바로 기사님 출동 안내해주셔서 화가 좀 누그러졌습니다. 감사합니다.</t>
  </si>
  <si>
    <t>깔끔하게 해결해주셨습니다</t>
  </si>
  <si>
    <t>충분한 서비스</t>
  </si>
  <si>
    <t>전문적으로 잘 점검해주시고 해결해주셨습니다</t>
  </si>
  <si>
    <t>친절이싱담받았읍니디감사합니다 매우만족합니다</t>
  </si>
  <si>
    <t>매우 친절하시네요. 빠른 조치해주셔서 감사합니다.</t>
  </si>
  <si>
    <t>친절하고 자세하게 알려주셔서 감사합니다</t>
  </si>
  <si>
    <t>인터넷 속도 이상무이네요 감사함니다</t>
  </si>
  <si>
    <t>보통입니다</t>
  </si>
  <si>
    <t>친절하게 문제점도 잘 설명해주시고 빠르게 해결해주셔서 감사합니다.</t>
  </si>
  <si>
    <t>친철하고 명확하게 해주시네요 감사합니다</t>
  </si>
  <si>
    <t>친절하게 하나하나 설명 해주시면서 해주셨습니다.</t>
  </si>
  <si>
    <t>자세한 설명과 친절한 원격서비스 감사합니다.</t>
  </si>
  <si>
    <t>친절히 해결해주셔서 감사합니다!</t>
  </si>
  <si>
    <t>잘 진단해주셨습니다!</t>
  </si>
  <si>
    <t>너무 친절하게 잘 조치해주셨습니다.</t>
  </si>
  <si>
    <t>친절하시고 꼼곰히 잘 봐주시고 목소리도 참 좋으십니다^^</t>
  </si>
  <si>
    <t>너무 친절하셨습니다</t>
  </si>
  <si>
    <t>인터넷 사용을 잘 할 수 있도록 친절히 알려주셔서 감사합니다^^</t>
  </si>
  <si>
    <t>친절하고 고객의 눈높이에서 설명을 상세하게 해주셨습니다. 너무 감사드려요~</t>
  </si>
  <si>
    <t>친절하게 잘 봐주셨어요 감사합니다</t>
  </si>
  <si>
    <t>빠르고 친절하게 진단해주셨습니다~ 감사합니다~</t>
  </si>
  <si>
    <t>우선 너무 친절하시고 문의 드렸을때 잘 설명해주십니다.</t>
  </si>
  <si>
    <t>뛰어난 설명 감사합니다. 많은 도움이 되었습니다.</t>
  </si>
  <si>
    <t>친절하고 명확하게 서비스 받았습니다. 감사합니다.</t>
  </si>
  <si>
    <t>친절하고 참잘헷습니다</t>
  </si>
  <si>
    <t>인터넷만 켜놓고 다른일 보기가 좋네요 많이 편해요</t>
  </si>
  <si>
    <t>너무 친절하시고, 원인 진단도 빠르게 잘 해주셔서 감사했습니다!</t>
  </si>
  <si>
    <t>빠르게 설명해주시고 빠르게 해결해주셨습니다. 스마트 원격진단 너무 좋네요 감사합니다 !</t>
  </si>
  <si>
    <t>친절하시고 원격하시는거보니 멋있으십니다</t>
  </si>
  <si>
    <t>너무 친절하게 잘 상담해주셨습니다 불편사항 다 해결되었습니다~!</t>
  </si>
  <si>
    <t>컴퓨터를 잘하지 못하는데 친절하게 대응해주시고 스마트원격 덕분에 편하게 서비스 받았습니다 감사합니다</t>
  </si>
  <si>
    <t>친절하시고 최고이십니다 감사합니다 .</t>
  </si>
  <si>
    <t>SSS</t>
  </si>
  <si>
    <t>친절하게 잘 설명해주셨습니다. 감사합니다.</t>
  </si>
  <si>
    <t>자세한 설명 감사</t>
  </si>
  <si>
    <t>친절하시고 정확하시고 신속하십니다.</t>
  </si>
  <si>
    <t>친절하고 잘 알려주셔서 이해가 잘됐습니다. 감사합니다</t>
  </si>
  <si>
    <t>잘 알려주셔서 감사합니다!</t>
  </si>
  <si>
    <t>친절하게 설명 잘해주셔서 감사합니니다 좋은 하루되세요^^</t>
  </si>
  <si>
    <t>친절한 응대 서비스 감사합니다</t>
  </si>
  <si>
    <t>엔지니어님이 아주 친절하시고 잘 답변해주었습니다</t>
  </si>
  <si>
    <t>매운 친절하고 자세히 잘 설명해 주셨습니다.</t>
  </si>
  <si>
    <t>항상 만족 최고의 만족속에 100% 1000% 그이상의 기쁨을 주셔셔 감사드립니다 매일 좋은고객과 만족스러운 대화이루어 지시도록 기원합니다 수고 하셔요</t>
  </si>
  <si>
    <t>원격 상담은 처음인대 신기한 느낌이내요. 내일이 기대 되내요. 감사 합니다</t>
  </si>
  <si>
    <t>친절하게 응대해 주시고 정확, 신속한 처리 감사합니다. 수고하셨습니다.</t>
  </si>
  <si>
    <t>직원분이 너무도 친절히 잘설명해주셔서 매우만족되었습니다 감사합니다</t>
  </si>
  <si>
    <t>궁금한 내용 꼼꼼하게 다 체크해 주셨고 다른 내용도 친절하게 다 설명해주셧습니다 감사합니다</t>
  </si>
  <si>
    <t>친절한 상담, 체크 감사합니다.</t>
  </si>
  <si>
    <t>친절하게 응대해 주셔서 아주 만족합니다</t>
  </si>
  <si>
    <t>친절하게 수리 잘 해주셧습니다</t>
  </si>
  <si>
    <t>친절하고 깔끔하게 문제 확인하고 점검해주셨습니다. 감사합니다.</t>
  </si>
  <si>
    <t>상담사분이랑 원격도와주신 직원분 엄청나게 친절하고 엄청 빠르게 일처리 도와주셨습니다. 인터넷 문제가 아니라 제 컴퓨터 내부 문제였는데 빠르게 캐치하셔서 도와주셨고, 바로 해결 됐습니다. 인터넷이랑 TV를 LG로 바꾼게 진짜 잘한 일 같다고 느껴졌어요.</t>
    <phoneticPr fontId="1" type="noConversion"/>
  </si>
  <si>
    <t>문제해결에 많은 도움이 되었습니다. 문제의 원인이 직접적인 것이 아님에도 문제 해결을 위해 오랜 시간이 걸렸음에도 친절하게 응대해 주시고 해결이 되기까지 도움 주셔서 감사드립니다.</t>
    <phoneticPr fontId="1" type="noConversion"/>
  </si>
  <si>
    <t>바로 연결해서 이렇게 빠르게 해결해 주실 줄 몰랐어요. 유플러스 장기 사용 고객으로 만족감 1000%입니다. 원격해 주신 분도 너무 쉽게 잘 설명해 주셔서 이해가 쉬웠어요. 감사합니다.</t>
    <phoneticPr fontId="1" type="noConversion"/>
  </si>
  <si>
    <t>서비스 잘 받았습니다 늦은시간에 요청드려 죄송하고, 친절히 잘 응대해주셔서 감사합니다</t>
  </si>
  <si>
    <t>친절하게 문제점을 짚어주시고 해결책도 내주셨네요 감사합니다</t>
  </si>
  <si>
    <t>아주 좋았습니다 cpu 문제였다니....</t>
  </si>
  <si>
    <t>네 아주 만족합니다</t>
  </si>
  <si>
    <t>빠르고 친절하게 상담해주셨으며 해결잘되었습니다. 감사합니다.</t>
  </si>
  <si>
    <t>너무 친절하시고 자세하게 설명해 주셔서 매우 만족스럽게 서비스를 제공받았습니다... 만점입니다~!!</t>
  </si>
  <si>
    <t>상세하게 잘 알아봐주셔서 감사합니다</t>
  </si>
  <si>
    <t>너무만족서럽고 감사합니다^^</t>
  </si>
  <si>
    <t>빠르고,정확하게, 친절하게 설명 너무 잘 해주셔서 좋았습니다. 감사합니다</t>
  </si>
  <si>
    <t>랜카드 업데이트가 안되어 있던것도 친절하게 설명해주시고 너무 만족스러운 서비스였습니다. 감사합니다~!</t>
  </si>
  <si>
    <t>친절하게 잘 설명해주고 해결해주려고 해서 감사합니다. 그러나 해결은 되지 않았습니다.</t>
  </si>
  <si>
    <t>친절한 응대에 감사드립니다.</t>
  </si>
  <si>
    <t>방금까지 인터넷 긇겼습니다...</t>
  </si>
  <si>
    <t>불편함이 없도록 최선을 다해 도와주셔서 큰 감동을 받았습니다. 인터넷 속도가 잘 안나와 문의 드렸는데 문제 해결을 완벽하게 해주셨습니다. 추가로 이것저것 살펴주시고 별 열개가 아니라 백개를 드려야 할 것 같아요!! 작년에 ㅅㅅ고객센터 갔다가 정말 기분만 나빠서 온 적 있는데 너무 너무 비교되네요~~ 바쁘신 와중에도 고객 입장에서 생각해주시고, 세심하게 배려해 주셔서 감사드려요. 이런 분이 계셔서 LG에 대한 신뢰도도 함께 높아지는 것 같습니다^^</t>
  </si>
  <si>
    <t>네 편하고 빠르고 좋네요</t>
  </si>
  <si>
    <t>친절하게 잘 설명해 주고 알아서 다 정리해 주어서 편리했어요 LGU+ 10년도 넘게 사용했는데 서비스 만족해서 앞으로도 쭉 사용할거 같아요</t>
  </si>
  <si>
    <t>차분한 설명 감사드립니다。</t>
  </si>
  <si>
    <t>친절한 응대에 감사 드립니다. 만족합니다.</t>
  </si>
  <si>
    <t>친절한 서비스 너무 잘 받았습니다</t>
  </si>
  <si>
    <t>기사님들 고생 많으셨습니다. 충분히 고쳐 주시려고 애 많이 쓰셨어요.</t>
  </si>
  <si>
    <t>친절하고 잘해주셨습니다</t>
  </si>
  <si>
    <t>전문적이고 친절한 설명과 하여 주셔서 문제해결에 도움이 많이 됬습니다. 고맙습니다.</t>
  </si>
  <si>
    <t>친절하게 상담 해줌</t>
  </si>
  <si>
    <t>지금까지 고객센터 이용 중 직원 분들께서 친절한 상담과 더불어 빠른 진행에 대단히 만족하였습니다. 감사합니다</t>
  </si>
  <si>
    <t>너무 친절하게 설명 잘해주셨습니다 감사합니다</t>
  </si>
  <si>
    <t>상담사분이 친절히 안내해 주시고 알려 주셔서 문제가 해결되어 좋습니다.</t>
  </si>
  <si>
    <t>신속하고 빠른 상담이었습니다. A/S일정과 부가적으로 발생할 수 있는 요소도 친절히 설명해주셔서 잘 이해됐네요 감사합니다</t>
  </si>
  <si>
    <t>친절하시구 너무 이해 가능하게 상담 잘해주셨습니다</t>
  </si>
  <si>
    <t>친절하게 응대해주셧습니다</t>
  </si>
  <si>
    <t>친절하고 고맙습니다</t>
  </si>
  <si>
    <t>친절하게 잘봐주십니다</t>
  </si>
  <si>
    <t>감사합니다 원격진단 기사님 친절하고 자상하신 설명과 함께 피씨 진단 해주셔서 너무 감사하고 엘제 유플러스 서비스 정신에 감사 드립니다 전주시 완산구 덕적골 덕적1길에서 홍순삼 엘지 유플러스 사용자</t>
  </si>
  <si>
    <t>빠른 진단 감사합니다!</t>
  </si>
  <si>
    <t>친절한 상담 조치 감사합니다</t>
  </si>
  <si>
    <t>아주 친절하시고 빠르고 정확한 진단으로 문제 해결해주셔 너무 감사합니다</t>
  </si>
  <si>
    <t>점심시간인데도 친절하게 대응해주셨고 이해가 쇽쇽되었습니다。 다들 고생많으십니다。</t>
  </si>
  <si>
    <t>친절하고 신속한 일처리로 문제해결에 도움이 되었습니다 감사합니다</t>
  </si>
  <si>
    <t>꼼꼼하고 자세하게 잘 봐주시고 처리해주셔서 너무나 감사합니다 살펴가면서 사용하겠습니다 감사합니다~~~</t>
  </si>
  <si>
    <t>친절하고 자세하게 알려주십니다.</t>
  </si>
  <si>
    <t>알아듣기 쉽게 설명도 잘 해 주셨고 빠르게 일처리 해주셔서 너무 만족합니다. 감사합니다~</t>
  </si>
  <si>
    <t>좋은 서비스 감사합니다 많이 좋은것 같습니다.</t>
  </si>
  <si>
    <t>친절하고 상세하게 점검받았습니다</t>
  </si>
  <si>
    <t>담당 관리자분께서 이해하기 쉽게 설명해주었습니다 문제해결 빠르게 해주셔서 감사합니다</t>
  </si>
  <si>
    <t>친절하고 상황에 맞는 일처리로 잘 해주셨습니다. 문제도 이해가 쉬웠습니다. 감사합니다.</t>
  </si>
  <si>
    <t>설명이 명쾌하네요...^^</t>
  </si>
  <si>
    <t>상황 설명을 잘 못했는데, 알아서 잘 처리해주셨어요.</t>
  </si>
  <si>
    <t>빠른대응과 정확한 원인파악 감사합니다</t>
  </si>
  <si>
    <t>일단 서비스 상담원님이 매우 친절합니다 그 후 연결된 기사님도 빠르게 문제를 찾고 해결해주셔서 정말 감사했습니다 하도 화가나서 인터넷바꿀까 진지하게 고민했는데 이 두분덕에 안바꾸게 될것같아요</t>
  </si>
  <si>
    <t>주말인데도 빠른 상담과 응대에 다시 한번 감사드려요 해결도 바로해주셔서 너무 감사드립니다 :)</t>
  </si>
  <si>
    <t>신속하고 빠르게 화면을 확인해주셨습니다</t>
  </si>
  <si>
    <t>친절하고 빨라서 좋습니다</t>
  </si>
  <si>
    <t>친절하고 상세하게 알려주셧어요 감사합니다</t>
  </si>
  <si>
    <t>개굳</t>
  </si>
  <si>
    <t>빠르고 좋네요 감사합니다</t>
  </si>
  <si>
    <t>궁금한 점이 해결되었어요.</t>
  </si>
  <si>
    <t>감사하비낟</t>
  </si>
  <si>
    <t>친절하게 문제를 잘 확인해 주셔서 감사합니다. ^ ^</t>
  </si>
  <si>
    <t>문제해결이 정확하고 빠름. 고객이 잘 알아들을 수 있도록 친절하게 설명해줌</t>
  </si>
  <si>
    <t>친절하게 잘 설명해주셔서 감사합니다 ^^</t>
  </si>
  <si>
    <t>친절하고 꼼꼼하게 설명 잘해주시고 잘봐주셧습니다</t>
  </si>
  <si>
    <t>우선 만족합니다 이제 안끊기면 감사하겟습니다 ㅎ</t>
  </si>
  <si>
    <t>매우 친절하게 서비스를 잘해주셨습니다.</t>
  </si>
  <si>
    <t>very good!!!!!!!!!!!!!!!!</t>
  </si>
  <si>
    <t>친절하게 설명잘해주시고 점검도 꼼꼼하게 잘해주시고 감사합니다</t>
  </si>
  <si>
    <t>빠르고 정확한 조치 감사합니다</t>
  </si>
  <si>
    <t>쉽고 친절하게 설명해 주셔서 감사합니다~^^</t>
  </si>
  <si>
    <t>친절과 깔끔한 일 처리가 참 좋아요</t>
  </si>
  <si>
    <t>친절하시고 만족합니다</t>
  </si>
  <si>
    <t>빠르고 친철하게 응대해주셔서 감사합니다. 납득이 가는 설명도 좋았어요</t>
  </si>
  <si>
    <t>아주 좋아요!</t>
  </si>
  <si>
    <t>진짜 친절 끝판왕이셨고 너무너무 해결 잘 해주셨어요 진짜 최고의 상담이였씁니다</t>
  </si>
  <si>
    <t>엄청 친절하게 상담해주셔서 감사했습니다! 도움이 많이 되었어요!!</t>
  </si>
  <si>
    <t>문의사항 까지 꼼꼼히 설명 해두셔서 감사합니다</t>
  </si>
  <si>
    <t>친절하고 침착하게 잘 알려주셨습니다 감사합니다.</t>
  </si>
  <si>
    <t>매우 만족 합니다~</t>
  </si>
  <si>
    <t>친절하게 응대해주셨습니다</t>
  </si>
  <si>
    <t>기사님이 잘해주시고가셨습니다~</t>
  </si>
  <si>
    <t>빠르게 답변받았습니다</t>
  </si>
  <si>
    <t>문제가 있었는지 몰랐던 부분도 알려주시고 정말 친절하셨어요 질문에도 답변도 잘 해주시고 뭐가 문제인지 최대한 설명해드리려고 마우스로 동그라미도 그려주시면서 단번에 알수있게 도와주셨어요</t>
  </si>
  <si>
    <t>편했습니다.</t>
  </si>
  <si>
    <t>깔끔한 해결 완줜 좋아요</t>
  </si>
  <si>
    <t>컴퓨터쪽 끊김으로 접수했는데 친철히 자세하게 알려주셔서 감사합니다</t>
  </si>
  <si>
    <t>친절하게 카톡전송 캐시 삭제 부분까지 잘 안내해 주셔서 도움이 많이 되었습니다 감사합니다^^</t>
  </si>
  <si>
    <t>친절하게 신속하게 처리해주셨어요 감사합니다 ㅎㅎ</t>
  </si>
  <si>
    <t>잘 해결되었습니다~ 감사합니다!</t>
  </si>
  <si>
    <t>편안하게 점검 받았습니다. 감사합니다</t>
  </si>
  <si>
    <t>너무 친절하게 잘 해주셨습니다. 감사합니다</t>
  </si>
  <si>
    <t>한방에 해결해주심</t>
  </si>
  <si>
    <t>앞에서 상담 받은 내용을 모를수는 있으나 불친철 합니다. 친철하게 말해주시면 감사하겠습니다.</t>
  </si>
  <si>
    <t>감사합니다~^^</t>
  </si>
  <si>
    <t>친절하고 설명 잘해주심</t>
  </si>
  <si>
    <t>감사함니다 상담 잘해주셨어요</t>
  </si>
  <si>
    <t>친절하게 잘 해 주셨습니다</t>
  </si>
  <si>
    <t>엄청 잘 확인해주세요 감사함니다</t>
  </si>
  <si>
    <t>친절하고 자세히 문제를 해결해 주어서 감사합니다.</t>
  </si>
  <si>
    <t>빠른 점검 좋습니다</t>
  </si>
  <si>
    <t>원인은 해결 못 했지만 사후 대처등 여러면에서 알려 주셨어여</t>
  </si>
  <si>
    <t>빠르고 정확한 진단 감사드립니다.</t>
  </si>
  <si>
    <t>ps 포탈 ip 대역이 달라서 접수를 신청하였는데 어려운 상황임에도 친절하게 대응해주셔서 너무 감사드립니다 ㅠㅠ 통신사 바꾼뒤로 너무 스트레스였는데 잘 사용하겠습니다 다음에 문제있을시 문의드리겠습니다!</t>
    <phoneticPr fontId="1" type="noConversion"/>
  </si>
  <si>
    <t>친절하게 잘 설명해주셔서 속이 시원합니다. 감사합니다.</t>
    <phoneticPr fontId="1" type="noConversion"/>
  </si>
  <si>
    <t>상담도 친절하게 자세히 설명 해주고 많은 도움이 되었습니다. 감사합니다</t>
  </si>
  <si>
    <t>조치가 빠르고 설명도 잘해주셔서 감사합니다</t>
  </si>
  <si>
    <t>너무 친절하게 잘알려주셧어요</t>
  </si>
  <si>
    <t>감사 합니다 100점 드립니다</t>
  </si>
  <si>
    <t>빠른 진단과 친절한 상담에 감사드립니다~!^^</t>
  </si>
  <si>
    <t>신속하게 점검해 주셔서 감사합니다</t>
  </si>
  <si>
    <t>상담도 친절하시고 설명도 잘 해주셔서 최고입니다!</t>
  </si>
  <si>
    <t>친절하고 상세하게 잘 했습니다. 항상 감사합니다.</t>
  </si>
  <si>
    <t>문제 해결과 추후 동일증상 발현시 해결방법까지 잘 안내받았습니다. 감사합니다.</t>
  </si>
  <si>
    <t>정말 친절하게 잘 알려주셨습니다 감사합니다!!</t>
  </si>
  <si>
    <t>친절하게 설명잘해주셨어요 감사합니다^^</t>
  </si>
  <si>
    <t>정말 친절하게 알려주셔서 감사합니다</t>
  </si>
  <si>
    <t>친철하게 잘 받았습니다 ^^</t>
  </si>
  <si>
    <t>친절하게 잘 성명해 주십니다!!! 감사합니다!!</t>
  </si>
  <si>
    <t>연결에 어려움도 있었지만 친절함을 잃지 않고 이해 쉽게 설명해주셔서 너무 감사했습니다 비록 원격으로 해결은 돼지 않았지만 방문 일정과 상황에 따른 비용 관련 하여 자세히 알려주셨습니다 오늘 하루 고생 많으셨습니다 감사합니다!</t>
  </si>
  <si>
    <t>친절하게 잘 설명해주십니다 정말 감사합니다</t>
  </si>
  <si>
    <t>너무 친절하게 잘 해주셨어요~</t>
  </si>
  <si>
    <t>문제 발생 하면 한번더 연락 드리겠습니다.</t>
  </si>
  <si>
    <t>친절하게 문제 해결에 도움을 주셨습니다.</t>
  </si>
  <si>
    <t>친절하게 해결해주셨습니다.</t>
  </si>
  <si>
    <t>친절하고 상세한 지원 감사합니다!!</t>
  </si>
  <si>
    <t>친절하게 설명해주셨어요.</t>
  </si>
  <si>
    <t>너무 친절하고 알기쉽게 알려주셨습니다.</t>
  </si>
  <si>
    <t>친절하게 설명해주셔서 매우 좋습니다 감사합니다.</t>
  </si>
  <si>
    <t>너무 친절하고 자세하게 잘 설명해주셔서 감사드립니다.</t>
  </si>
  <si>
    <t>문의에 즉각적인 조치와 설명이 매우 도움 되었습니다. 감사합니다.</t>
  </si>
  <si>
    <t>친절하고 정확하게 as 처리 해주셨습니다. 감사합니다1</t>
  </si>
  <si>
    <t>친절하시고 좋습니당</t>
  </si>
  <si>
    <t>원격진단 편리하네요</t>
  </si>
  <si>
    <t>빠른 안내와 접수 감사합니다 자세한 설명또한 고맙습니다 수고 하서ㅔ요</t>
  </si>
  <si>
    <t>친절하시고 꼼꼼히 체크해주셨어요 만족1000%입니다.</t>
  </si>
  <si>
    <t>문제 원인 빠르게 파악하여 잘 해결해 주셨습니다.</t>
  </si>
  <si>
    <t>친절하게 설명해주셔서 감사합니다~</t>
  </si>
  <si>
    <t>출장 엔지니어 보다도 전문적이고 출장 엔지니어는 근본적인 문제 해결보다는 소비자 과실로 돌리는 측면이 있었습니다. 하지만 원격 전문 엔지니어 분은 이유를 명확하게 알려주시고 소비자의 과실로 돌리기 보다는 정확하게 문제를 파악하여 해결해주실려고 노력 하시는 모습이 정말 좋았습니다. 계속하여 인터넷 장애를 한번에 해결해주신 덕분에 인터넷 사용에 문제가 없을거 같습니다. 출장 엔지니어에서 해결 안되는 문제를 해결해주셔서 정말 감사합니다.</t>
  </si>
  <si>
    <t>문제였던 부분을 정말 친절하게 해결해주셔서 감사합니다!!</t>
  </si>
  <si>
    <t>친절하게 시비스 받았습니다 감사합니다</t>
  </si>
  <si>
    <t>친절하게 잘 응대해 주셔서 감사합니다</t>
  </si>
  <si>
    <t>친절하게 안내해 주셔서 감사합니다.</t>
  </si>
  <si>
    <t>친절하고 자세한 설명 감사드립니다.</t>
  </si>
  <si>
    <t>제가 원하는 서비스를 이용하기 위해서 어떻게 해야 할지 친절하고 자세하게 잘 알려 주셔서 문제를 잘 해결했습니다. 감사합니다.</t>
  </si>
  <si>
    <t>친절하시게 필요한 것 들 전부 해주셧습니다. 정말 감사합니다~!</t>
  </si>
  <si>
    <t>친절하고 확실한 서비스 해주셔서 감사합니다</t>
  </si>
  <si>
    <t>적극적으로 문제를 해결해주려고 하셔서 좋았어요</t>
  </si>
  <si>
    <t>친절함에 감사드립니다, ㅅㅅ</t>
  </si>
  <si>
    <t>빠른 상담과 답변 너무 감사드립니다. 도움이 되었습니다!</t>
  </si>
  <si>
    <t>정확한 처리로 바로 해결되었습니다</t>
  </si>
  <si>
    <t>친절한 안내 감사 합니다.</t>
  </si>
  <si>
    <t>말도 재밌게 해주시고 설명도 쉽게 잘해주셔서 이해하기 쉬웠습니다. 최고입니다.</t>
  </si>
  <si>
    <t>아주 친절하고 확실했습니다!</t>
  </si>
  <si>
    <t>꼼꼼하게 진단 해 주시고, 친절하게 설명도 잘 해주셨는데 사후 방법까지 알려주시네요 감사합니다ㅎㅎ</t>
  </si>
  <si>
    <t>친절하고 빠른 문제해결 감사합니다.^^</t>
  </si>
  <si>
    <t>친절하게 잘 설명해주셨습니다 감사합니다</t>
  </si>
  <si>
    <t>아주 만족했습니다 감사합니다</t>
  </si>
  <si>
    <t>친절히 점검 잘 받았고 방문 안내 또한 잘 받았습니다.</t>
  </si>
  <si>
    <t>전화로 친절하고 빠르게 상담해 주셨습니다. 덕분에 인터넷을 사용할 수 있게 되었습니다. 감사합니다!</t>
  </si>
  <si>
    <t>원격점검으로 wifi랑 컴퓨터를 점검해주시고 신속하게 처리해주셔서 감사합니다. 기사님이 너무 친절하게 통화 해주셔서 좋았습니다.</t>
  </si>
  <si>
    <t>정말 최고의 노력으로 도움을 주셔서 정말 감사합니다. 컴알못들도 잘 알수있도록 설명해주시고 도움주셔서 감사합니다.</t>
  </si>
  <si>
    <t>친절하고 신속하고 다 좋습니다.</t>
  </si>
  <si>
    <t>꼼꼼히 봐주셧습니다</t>
  </si>
  <si>
    <t>담당자분께서 매우 친절하고 신속하게 안내해 주셔서 큰 도움이 되었습니다. 세심하게 설명해 주시고 끝까지 책임감 있게 대응해 주셔서 정말 감사드립니다. 믿음이 가는 서비스였습니다.</t>
    <phoneticPr fontId="1" type="noConversion"/>
  </si>
  <si>
    <t>앱으로 손쉽게 진단을 받고 상세한 안내까지 받을 수 있어 안심되네요. 편리함과 효율성을 동시에 느낄 수 있는 서비스였네요 물론 전화걸어주신 분도 친절하고요</t>
    <phoneticPr fontId="1" type="noConversion"/>
  </si>
  <si>
    <t>삼담사님께서 친절하게 하나하나 설명 해주셔서 문제점이 뭔지 빨리 파악하고 후속 조치 할수 있게끔 알려주셔서 감사했습니다.</t>
    <phoneticPr fontId="1" type="noConversion"/>
  </si>
  <si>
    <t>넘 친절하시게 잘모르는용어인데도 불구하고, 잘알아듣기 쉽게 설명까지 해주시면서, 설정변경해주셨습니다! 감사합니다!</t>
    <phoneticPr fontId="1" type="noConversion"/>
  </si>
  <si>
    <t>친절하게 잘 설명해 주시고 좋습니다..^^</t>
  </si>
  <si>
    <t>친절하게 이해가 잘 되게 설명 해주셔서 감사합니다!</t>
  </si>
  <si>
    <t>빠른진단 감사합니다</t>
  </si>
  <si>
    <t>친절하시고 빠르게 진행해주셔서 만족 합니다</t>
  </si>
  <si>
    <t>완전 꼼꼼히 체크해주시고 왕친절하셔요 감사합니다 최고10000000%</t>
  </si>
  <si>
    <t>매우 만족 합니다.</t>
  </si>
  <si>
    <t>상세한 ap 설정 설명 감사합니다.</t>
  </si>
  <si>
    <t>인터넷 문제점 속도 늦어 지는 부분 확인하고 다른 조치 방법 진행 해 보겠습니다. 그리고 상담해 주시는분 설명 잘해 주셨습니다..</t>
  </si>
  <si>
    <t>자상하신분 같아감사합니다</t>
  </si>
  <si>
    <t>친절한 서비스 만족합니다</t>
  </si>
  <si>
    <t>상담사님 넘 잘해주시고 친절하게 응대해 주셔서 감사드립니다</t>
  </si>
  <si>
    <t>친철하게 상담했습니다.</t>
  </si>
  <si>
    <t>도움 잘 받았습니다 감사합니다</t>
  </si>
  <si>
    <t>상담하시는분 설치하시는 분 모두 빠르게 저치 잘해주셔서 만족합니다.</t>
  </si>
  <si>
    <t>빠르고 친절한 서비스 바로바로 응대해주셔서 너무 감사합니다.</t>
  </si>
  <si>
    <t>금방 금방 해결해주셔서 좋았습니다.</t>
  </si>
  <si>
    <t>친절하게 잘받았습니다. 감사합니다..</t>
  </si>
  <si>
    <t>잘 상담 받았습니다.</t>
  </si>
  <si>
    <t>생각했던 것 보다 훨씬 친절하게 안내해 주셔서 감사합니다.</t>
  </si>
  <si>
    <t>친절하시게 설명 해주셔서 감사합니다</t>
  </si>
  <si>
    <t>친절하고 빠르게 문제 해결 해주시네요^^</t>
  </si>
  <si>
    <t>설명이 깔끔하고 부담되지 않게 말씀하신점이 매우 좋았습니다1</t>
  </si>
  <si>
    <t>너무 친절하시고 덕분에 문제가 잘 해결되었습니다. 감사합니다.</t>
  </si>
  <si>
    <t>인터넷 통신연결 속도와 관련한 문제의 예상되는 원인과 결과에 대하여 체계적이고 상세하게 설명해 주신 점에 기사님께 감사드립니다. 답답한 면을 해소할 수 있었고 합리적인 대처방안을 제시해 주셔서 처리하여 보도록 하겠습니다. LG유플러스의 고객서비스 응대방식에 대하여 항상 고객을 생각하는 같은 기조를 유지하여 주시니 장기간 사용하게 되는 것 같습니다. 앞으로도 잘 부탁드립니다. 감사합니다.</t>
  </si>
  <si>
    <t>친절한 설명 감사합니다!</t>
  </si>
  <si>
    <t>그동안 불편했지만 그냥 사용중이었는데 간단하게 해결이 되었네요 감사합니다!</t>
  </si>
  <si>
    <t>자세하게 설명해주셔서 감사합니다</t>
  </si>
  <si>
    <t>친절한설명 / 초보자도 잘 알아들을수있게 설명해주시네요. 목소리와 발음 딕션이 좋으셔서 잘 알아들을수있었습니다. 감사합니다.</t>
  </si>
  <si>
    <t>친절 하십니다</t>
  </si>
  <si>
    <t>빠르게 조치를 해주시고 원하는 방향으로 해결을 잘 해주십니다!</t>
  </si>
  <si>
    <t>서비스 만족스럽습니다 정말 자세하게 설명해주셔서 감사합니다</t>
  </si>
  <si>
    <t>친절하게 정검해주시고 감사합니다</t>
  </si>
  <si>
    <t>친절한 상담 감사합니다 도움이 되었습니다.</t>
  </si>
  <si>
    <t>친절히 잘 받았습니다.</t>
  </si>
  <si>
    <t>친절한 상담과 서비스에 감사드립니다.</t>
  </si>
  <si>
    <t>너무 친절하시고 상세한 안내 감사드립니다.</t>
  </si>
  <si>
    <t>빠르게 문제를 해결했습니다 감사합니다</t>
  </si>
  <si>
    <t>감사합니다!!!!!!</t>
  </si>
  <si>
    <t>복잡한 문의였는데 정말 친절하게 상담해결 완료해주셨습니다. 감사드립니다!</t>
  </si>
  <si>
    <t>신경써 주셔서 감사합니다</t>
  </si>
  <si>
    <t>컴퓨터나 인터넷에 대해 잘 몰라서 뭐라 할 말이 없지만 잘 해주신거 같습니다</t>
  </si>
  <si>
    <t>척하면척이네요. 감사합니다.</t>
  </si>
  <si>
    <t>문제 해결되었습니다. 감사합니다</t>
  </si>
  <si>
    <t>신속하고 깔끔하게 처리해 주셔서 너무 만족도 가 높습니다 감사합니다~</t>
  </si>
  <si>
    <t>빠르게 확인 후 안내</t>
  </si>
  <si>
    <t>컴퓨터 활용이 미숙해서 불편한 점이 많았는데 상담해 주시는 선생님께서 친절하고 상세히 잘 설명해 주셔서 많은 것들을 알고 이해하게 되었습니다. 긴 시간 상담해 주시느라 힘드셨을텐데 너무 감사드립니다.</t>
    <phoneticPr fontId="1" type="noConversion"/>
  </si>
  <si>
    <t>스마트원격진단 과정 및 결과에 매우 만족하고 품질 향상을 위하여 친절하게 노력해 주신 분께 감사드립니다.</t>
    <phoneticPr fontId="1" type="noConversion"/>
  </si>
  <si>
    <t>친절하게 잘 설명 해주셨습니다</t>
  </si>
  <si>
    <t>너무 감사합니다 무지한 고객에게 친절히 설명해주시고 늘 대박나세요 ^^ 엘지 화이팅입니다...</t>
  </si>
  <si>
    <t>매우 친절하고 설명잘해주셔서 감사합니다. 많은 도움이 되었습니다.</t>
  </si>
  <si>
    <t>최고입니다.감사했습니다.</t>
  </si>
  <si>
    <t>친절하고 꼼꼼한 점검 감사합니다.</t>
  </si>
  <si>
    <t>해당 문제에 관하여 아무것도 모르는 상태에서도 이해가 쉽게 설명해주셨고 매사 친절하게 대해주셔서 감사합니다.</t>
  </si>
  <si>
    <t>빠르고 안전하게 잘 처리하였습니다 감사합니다</t>
  </si>
  <si>
    <t>친절하게 설명해 주셨습니다</t>
  </si>
  <si>
    <t>수고하셨습니다 감사합니다~~</t>
  </si>
  <si>
    <t>너무 친절한 상담 감사드립니다!</t>
  </si>
  <si>
    <t>아이피 설정에 문제가 있는거면 처음부터 셋팅이 잘못된거 같네요... 기초적인 문제 같은데... 처음부터 이런문제가 발생하지 않았으면 더 좋았것을.. 그래도 서비스 대기시간이 좀 걸린거 빼고는 만족합니다</t>
  </si>
  <si>
    <t>매우 만족 입니다</t>
  </si>
  <si>
    <t>원격으로 랜카드쪽 끊김을 제대로 확인해주셔서 감사합니다</t>
  </si>
  <si>
    <t>친절하고 꼼꼼히 점검 해주십니다 감사합니다</t>
  </si>
  <si>
    <t>친절하고 빠른 도움 감사합니다</t>
  </si>
  <si>
    <t>친절하게 설명해 주시고 조치해 주셔서 감사합니다.</t>
  </si>
  <si>
    <t>친절하고 자세히 알려주십니다</t>
  </si>
  <si>
    <t>감사합니다. 덕분에 잘 해결 되었습니다!!!!^^</t>
  </si>
  <si>
    <t>친절하게 응해주었습니다</t>
  </si>
  <si>
    <t>완전 신기하고 친절하고 빠르고 좋았습니다.</t>
  </si>
  <si>
    <t>친절하게 최대한 해결해주시려고 도움주십니다</t>
  </si>
  <si>
    <t>너무 친절하게 설명을 자세히 잘 해 주시구요 해결 방법까지 이야기 해 주셔서 너무나 감사 했습니다.</t>
  </si>
  <si>
    <t>전화와 원격으로 친절하게 지원해주셔서 도움이 되었습니다</t>
  </si>
  <si>
    <t>자세한 설명과 추후 조치까지 상세한 설명 감사합니다</t>
  </si>
  <si>
    <t>너무 편리하고 잘 설명해주셔서 좋습니다</t>
  </si>
  <si>
    <t>신속한 응대 감사드립니다</t>
  </si>
  <si>
    <t>기술적 설명도 완벽하시고 상황 해결도 빠르게 되었습니다.</t>
  </si>
  <si>
    <t>쵝오입니다.^^</t>
  </si>
  <si>
    <t>친절한 설명에 감사합니다</t>
  </si>
  <si>
    <t>^^</t>
  </si>
  <si>
    <t>꼼꼼하게 잘해주시고 친절하게 설명까지 다 해주셔서 매번 감사합니다</t>
  </si>
  <si>
    <t>너무 친절하시고 매우 만족하는 서비스를 받았습니다.</t>
  </si>
  <si>
    <t>감사합니다 잘알려주셨어요</t>
  </si>
  <si>
    <t>엄청 친절하시구 문제되는거 말안해도 다 해결해 주셨습니다 !!! 좋은하루 보내세요 감사합니당 ^ ㅡ ^!!</t>
  </si>
  <si>
    <t>친철하게 상담해주십니다</t>
  </si>
  <si>
    <t>친절한 상담 잘 받았습니다.</t>
  </si>
  <si>
    <t>너무 친절하게 상담해주시고 해결해 주셔서 감사드립니다.</t>
  </si>
  <si>
    <t>늦은 시간 친절하게 도와 주셔서 감사합니다.</t>
  </si>
  <si>
    <t>불편함이 생겨 최초 연결된 상담사 분부터 원격 지원 해주신 분까지 너무 친절하게 안내해 주셔서 인터넷 연결이 자주 끈기는거 같아서 조금 짜증났던 마음까지 깔끔하게 정리해주셨습니다 원격 지원은 특히 집에서 확인해주시는거처럼 설명도 자세하게 해주셨고 차후 어떻게 해야하는지 까지 안내해주셔서 만약 또 동일 증상이 발생했을 경우 어떻게 해야할지에 대해 알게되어 너무 좋았습니다</t>
    <phoneticPr fontId="1" type="noConversion"/>
  </si>
  <si>
    <t>기사님분이 친절하게 잘알려주시고 문제가 해결되는 속도가 빨라서 좋습니다.</t>
    <phoneticPr fontId="1" type="noConversion"/>
  </si>
  <si>
    <t>친절하게 잘 설명해주셨습니다. 감사합니다.</t>
    <phoneticPr fontId="1" type="noConversion"/>
  </si>
  <si>
    <t>친절하시고 원인 및 해결 잘 설명해주셨어요. 감사합니다. 진단후 인터넷 잘되네요~!</t>
    <phoneticPr fontId="1" type="noConversion"/>
  </si>
  <si>
    <t>신속. 깔끔. 감사합니다</t>
  </si>
  <si>
    <t>친절하시고 빠른응대해주십니다. 너무감사합니다.</t>
  </si>
  <si>
    <t>as기사님 보내주신대요</t>
  </si>
  <si>
    <t>너무 친절하게 잘 설명해주셨어 너무감사합니다 ~</t>
  </si>
  <si>
    <t>친절하고 잘해주십니다</t>
  </si>
  <si>
    <t>친절하게 업무 대응 감사합니다.</t>
  </si>
  <si>
    <t>너무 좋습니다.</t>
  </si>
  <si>
    <t>이후 사용해보겠습니다</t>
  </si>
  <si>
    <t>자세하고 친절하게 설명 해주셔서 감사합니다. 잘 사용 하겠습니다.^-^</t>
  </si>
  <si>
    <t>정말 친절하시고, 신속하게 해결해 주셔서 너무 좋았습니다 !! 감사합니다 !!</t>
  </si>
  <si>
    <t>만족합니다。</t>
  </si>
  <si>
    <t>전문가로서 정확한 진단과 빠른조치, 추후에 문제가 될 경우 방법까지 제시해주셔서 너무 감사합니다. 만족도 최고입니다.</t>
  </si>
  <si>
    <t>친절하고 신속하게 처리해 주셔서 감사합니다</t>
  </si>
  <si>
    <t>친절합니다 감사합니다</t>
  </si>
  <si>
    <t>스마트 원격진단을 함으로서 문제해결을 바로해서 좋았다.</t>
  </si>
  <si>
    <t>친절하고 모르는 부분을 정확히 알려주셔서 감사합니다.</t>
  </si>
  <si>
    <t>친절하게 상담도 잘해주시고 문제도 완벽하게 잘 해결됏습니다</t>
  </si>
  <si>
    <t>안녕하세요. 기사님께서 너무 친절하게 잘해주셔서 감사했습니다. 노트북 두대나 잘 봐주셨어요 :) 다음에도 또 기사님께 연결해주세요! 감사합니다~</t>
  </si>
  <si>
    <t>친절하시고 자세하게 잘 설명해주시면서 원격을 해주셨습니다.</t>
  </si>
  <si>
    <t>빠른진단 및 원격으로 확인하니 좋았습니다</t>
  </si>
  <si>
    <t>전문성 있는 상담 감사합니다</t>
  </si>
  <si>
    <t>엄청 친절 하시고 디테일 하게 설명해주셔서 감동먹었습니다 감사합니다</t>
  </si>
  <si>
    <t>친절한 서비스 고맙습니다^^</t>
  </si>
  <si>
    <t>편하고 친절하며 업무 외 질무에도 친절하게 답변해주셨습니다. 감사합니다.</t>
  </si>
  <si>
    <t>너무 친절하게 설명도 잘해주시고 빠르게 해결해주셨어요! 감사합니다~!</t>
  </si>
  <si>
    <t>친절하게 잘 알려주셨어요</t>
  </si>
  <si>
    <t>친절하시고 알아듣기 편하게 말씀해주셔서 도움이 많이 되었습니다</t>
  </si>
  <si>
    <t>상세한 설명 잘 들었습니다.</t>
  </si>
  <si>
    <t>친절하게 알려주셔서 감사합니다!</t>
  </si>
  <si>
    <t>옛날엔 이런거 없었던거같은데 어디서 문제인지 원인을 빠르게 찾을수있어서 좋네요</t>
  </si>
  <si>
    <t>전화로 친절하게 잘 설명해주시고 점검이랑 처리해주시는 속도도 엄청 빨라서 금방 해결할 수 있었어요 너무 감사드립니다 짱짱</t>
  </si>
  <si>
    <t>친절하고 상세하게 확인 및 조치 해주셔서 좋았습니다.</t>
  </si>
  <si>
    <t>친절한설명및 해결방법 안내 잘해주셧음</t>
  </si>
  <si>
    <t>빠르게 원하는 진단과 해결을 해주셔서 감사합니다.</t>
  </si>
  <si>
    <t>친절히 정말 잘해주셨습니다</t>
  </si>
  <si>
    <t>빨라서 좋았습니다.</t>
  </si>
  <si>
    <t>달일 바로 연결해주시고 원격으로 진단및 문제점을 해결해 주셨습니다!! 너무 감사드리고 컴퓨터도 속도가 빨라졌습니다!! 대단히 감사드립니다!!</t>
  </si>
  <si>
    <t>만족했습니다.</t>
  </si>
  <si>
    <t>친절한 상담과 설명으로 무엇이 원인이고 이런저런 해결 방안을 안내 받아 좋았습니다.</t>
  </si>
  <si>
    <t>친절한 상당과 빠른 처리 완전 최고 입니다</t>
  </si>
  <si>
    <t>늦은 시간까지 불편함없이 처리해주셔서 감사합니다.. 항시 감사드립니다</t>
  </si>
  <si>
    <t>상담사분들이 너무 친절하고 이해하기 쉽게 설명해 주셔서 감사합니다. 내일 방문해 주신다는데 잘 해결 됬으면 좋겠네요</t>
  </si>
  <si>
    <t>친절하게 잘 설명주셔서 감사합니다.</t>
  </si>
  <si>
    <t>너무 친절하십니다. 고장의 대한 이해를 시켜주시고 차 후 방안까지 모두 알려주셔서 아주 큰 도움이 되었습니다. 항상 감사드립니다.</t>
  </si>
  <si>
    <t>친절한 설명 감사합니다. 덕분에 잘 해결 되었네요</t>
  </si>
  <si>
    <t>증상 원인 가능성과 추후 해결방안을 단계별로 친절하게 설명을 해주셨습니다. 말씀하신대로 시도해보겠습니다 고생하세요.</t>
  </si>
  <si>
    <t>만족합니다.감사합니다</t>
  </si>
  <si>
    <t>이해 하기 쉽게 친절하게 설명해 주셔서 감사합니다.</t>
  </si>
  <si>
    <t>속도문제가 해결되었습니다. 빠른처리 및 이해하기 쉽게 설명해주셔서 감사합니다.</t>
    <phoneticPr fontId="1" type="noConversion"/>
  </si>
  <si>
    <t>원격상담 처음인데 너무 친절하고 해결하는데 있어서 제가 컴맹이라 잘못알아들어서 어려운 부분이 있고 답답하셨을건데 오랜시간 짜증한번 안내고 정말 너무 친절하게 해결해주셨습니다 너무너무 감사드립니다 덕분에 아들녀석 얼굴에 그늘이 사라졌네요 ㅎㅎ~ 다시한번 감사드립니다~</t>
    <phoneticPr fontId="1" type="noConversion"/>
  </si>
  <si>
    <t>계속 되는 질문에도 친절하게 답변해주시고 문제점에 대한 해결을 위하여 여러가지 대처를 해주셨습니다. 질문을 너무 많이 드려서 힘드셨을 텐데 감사합니다.</t>
    <phoneticPr fontId="1" type="noConversion"/>
  </si>
  <si>
    <t>빠르게 점검 잘 해주시고 친절하게 답변도 남겨주심</t>
  </si>
  <si>
    <t>g</t>
  </si>
  <si>
    <t>신속해결</t>
  </si>
  <si>
    <t>신속하고 친절하게 해결해 주셔서 감사합니다!</t>
  </si>
  <si>
    <t>친절하시고 꼼꼼하게 점검 해주십니다</t>
  </si>
  <si>
    <t>네. 빠른 응대와 조치해주셔서 감사합니다</t>
  </si>
  <si>
    <t>아주 훌륭합니다 가려운 부분을 쏚쏚 긁어주셨습니다. 정말 감사합니다.</t>
  </si>
  <si>
    <t>친절하게 설명해주시고 문제 해결에 너무 도움을 주셔서 너무 감사합니다¡¡</t>
  </si>
  <si>
    <t>친절하고 빠르셨어요</t>
  </si>
  <si>
    <t>빠르고 친절하게 상당해주셨습니다. 원격 수리는 처음 받아보는데 전화상담도 겸해서 친절하게 설명해 주셨습니다</t>
  </si>
  <si>
    <t>z</t>
  </si>
  <si>
    <t>친절하고 정확한 서비스를 받았습니다</t>
  </si>
  <si>
    <t>친절하게 설명해주시고 원인과 해결방법까지 잘 알려주셨습니다!</t>
  </si>
  <si>
    <t>네..친절하게 설명해주셔서 감사합니다.</t>
  </si>
  <si>
    <t>신속하고 친절하게 서비스 잘받았네요..감사합니다</t>
  </si>
  <si>
    <t>친절하게 설명해주시고 속도 점검해주셨네요</t>
  </si>
  <si>
    <t>정말 친절하게 잘안내해주시고 알아듣기편했습니다.</t>
  </si>
  <si>
    <t>자세하고 친절한 설명 감사합니다.</t>
  </si>
  <si>
    <t>친절하고 전문성 있게 점검해주셔서 감사합니다.</t>
  </si>
  <si>
    <t>친절하게 잘 도와주셨습니다. 감사합니다.</t>
  </si>
  <si>
    <t>문제점 해결</t>
  </si>
  <si>
    <t>인터넷 진단 뿐만 아니라 점검 내용 안내, 컴퓨터 프로그램 업데이트 등 아주 친절하고 상세하게 봐주셨습니다.</t>
  </si>
  <si>
    <t>친절하고 상세한 설명 감사합니다</t>
  </si>
  <si>
    <t>상담사와 원격기사분들 모두 너무 친절하시고 궁금한 사항들을 시원하게 상담해 주셔서 매우 만족스러웠습니다.</t>
  </si>
  <si>
    <t>ＬＡＮ card 문제라고 친절하게 알려 주셨습니다. LAN card를 새로 사든지 아니면 인터넷을 100Mbps로 낮추든지 생각해서 다시 전화하겠습니다. 수고하세요~, 고맙습니다.</t>
  </si>
  <si>
    <t>친절하고 정확한 상담 감사드립니다.</t>
  </si>
  <si>
    <t>자세하게 후 대처까지 안내해주셔서 만족합니다. 감사합니다.</t>
  </si>
  <si>
    <t>너무친절하게 설명도잘해주시구 정말감사합니다 기사님 행복한하루되세요 정말감사합니다</t>
  </si>
  <si>
    <t>very good service</t>
  </si>
  <si>
    <t>친절하고 알기쉽게 상담해주셔서 감사합니다</t>
  </si>
  <si>
    <t>친절하게 상담해주시고 원격으로 해결되지 않아 아쉽지만 감사합니다!</t>
  </si>
  <si>
    <t>매우만족 진작에 전화할걸 그랬음 고객센터 상담원분도 이거 원격 해준분도 매우친절 굿굿 계속안되서 짜증났는데 아주 속이 시원</t>
  </si>
  <si>
    <t>기사님이 너무 친절하시고 원인 진단을 잘하시는 것 같네요 좋은 하루 보내세요 같은 따뜻한 말이 너무 감동적이었습니다.</t>
  </si>
  <si>
    <t>빠른처리 좋습니다</t>
  </si>
  <si>
    <t>진철하게 상담해 주시고 서비스 만족합니다。</t>
  </si>
  <si>
    <t>빠르게 진단해주셨습니다 감사합니다</t>
  </si>
  <si>
    <t>친절하시고, 주말인데 잘 대응 해주셔서 너무 감사했어요, 원인 정확하게 찾아주셔서 좋았어요@.@</t>
  </si>
  <si>
    <t>원격으로 서비스를 받아서 편리하고 쉽게 점검받았습니다 상담해주신분도 친절하시고 너무 감사드립니다</t>
  </si>
  <si>
    <t>너무 친절하게 해주셔서 감사합니다</t>
  </si>
  <si>
    <t>너무 친절하셔서 좋았습니다</t>
  </si>
  <si>
    <t>친절한응대 만족합니다.</t>
  </si>
  <si>
    <t>기사님께서 아주 친절히 꼼꼼히 점검해주셔서 감사드립니다.</t>
  </si>
  <si>
    <t>설명도 잘하시고 착하시네요</t>
  </si>
  <si>
    <t>자세하고 신속하게 대응해주셨습니다!!! 감사합니다!</t>
  </si>
  <si>
    <t>빠른 해결 좋습니다</t>
  </si>
  <si>
    <t>친절하게 알려주셔서 만족합니다</t>
  </si>
  <si>
    <t>너무 친절하시게 설명잘해주셔서 잘 이해했습니다 감사합니다^^</t>
  </si>
  <si>
    <t>빠른 조치에 감사합니다</t>
  </si>
  <si>
    <t>원격으로 하니까 편리하기도 하고 해당 전문가분이 확인해주시니 믿음이 갑니다. 좋은 서비스 감사합니다.</t>
  </si>
  <si>
    <t>편하게 도움 받을수 있어서 감사했습니다 세심하게 신경써주신다는 느낌을 받았습니다</t>
  </si>
  <si>
    <t>친절하게 자세히 어떠한 문제가 있는지 알려주셨고 제가 궁금한 사항에 대해 알아들을수 있도록 차근차근 설명해주셨습니다.</t>
  </si>
  <si>
    <t>안녕하세요? 와이파이 비번이 노출된듯하여 상담 신청하였습니다. 상담 직원분들의 친절한 안내로 궁금증이 해소되었습니다. 감사합니다. 즐거운 하루 되세요. ㅅ</t>
  </si>
  <si>
    <t>친절하게 설명해주셔서 빨리 해결했습니다. 대만족해요.</t>
  </si>
  <si>
    <t>친절하게 상담해주시고 문제에대한 해결도 적극 해주시려는 모습에 정말 감사함을 느꼈습니다. 감사합니다.</t>
  </si>
  <si>
    <t>안녕하세요 25.9.1 인터넷 사용 속도 느림으로 상담받은 강정철 고객입니다 이른 시간임에도 접수부터 점검까지 빠른 상담 및 처리 감사드립니다. 오늘도 상담직원님들 모두 건행하세요</t>
  </si>
  <si>
    <t>최고입니다!!</t>
  </si>
  <si>
    <t>꼼꼼한점검 감사합니다</t>
  </si>
  <si>
    <t>친절하게 잘설명해 주셨습니다</t>
  </si>
  <si>
    <t>상담사 분들이 상당히 친철하시네요</t>
  </si>
  <si>
    <t>네 빨리 처리해 주셔서 고맙습니다. 아주 만족해요</t>
  </si>
  <si>
    <t>알아듣기 쉬운~설명 속도 간결한내용 전달 감사해요~</t>
  </si>
  <si>
    <t>빠른처리 감사드립니다</t>
  </si>
  <si>
    <t>빠른 원인 파악으로 금방 해결했습니다 감사합니다</t>
  </si>
  <si>
    <t>잘 모르는 저를 대상으로 쉽게 쉽게 잘 설명해 주셨습니다.</t>
  </si>
  <si>
    <t>친절해여!!</t>
  </si>
  <si>
    <t>친절하고 신속한 처리 감사합니다.</t>
  </si>
  <si>
    <t>친절하게 잘해주셧습니다</t>
  </si>
  <si>
    <t>불편사항을 일단은 꼼꼼하게 점검해 주셔서 신뢰가 가요 결과는 좀더 사용해 봐야 알겠지만요... 친절한 상담 처리 감사합니다</t>
  </si>
  <si>
    <t>좋았습니다. 감사합니다</t>
  </si>
  <si>
    <t>친절하게 전문적으로 해결을 해주셨습니다. 감사합니다.</t>
  </si>
  <si>
    <t>친절하고 꼼꼼하게 체크해 주셨어요 감사합니다 서비스가 매우 만족스러웠습니다</t>
  </si>
  <si>
    <t>제가 알고싶었던 해외서버와 LG유플러스의 호환관계를 알려주셨습니다 IP도 바꿔주셨으니 감사합니다</t>
  </si>
  <si>
    <t>빠르고 편하고 정확했다</t>
  </si>
  <si>
    <t>문제점 설명 잘 해주셔서 감사드립니다</t>
  </si>
  <si>
    <t>오 빨라 졌어요 진짜로 다운로드 속도 3메가 나오고 그랫는대 갑자기 100메가 넘게 나오내요 감사합니다 게임다운로드하는대 같은 1기가 친구랑 비교되가지고 전화 드렸는대 이렇게 빠르게 해주셔서 감사합니다 수고하십셔~</t>
  </si>
  <si>
    <t>해결은 안됐지만 친절하십니다.</t>
  </si>
  <si>
    <t>친절하게 안내해주셨습니다!</t>
  </si>
  <si>
    <t>잘설명해주셔서 감사해요</t>
  </si>
  <si>
    <t>친절하게 잘해주셧어요</t>
  </si>
  <si>
    <t>친절하게 잘 해주셔서 감사했습니다. 화이팅입니다!</t>
  </si>
  <si>
    <t>처리 시간도 매우 만족하고 친절하게 잘 설명 해주셨습니다 매우 만족 합니다 감사합니다</t>
  </si>
  <si>
    <t>친절하게 안내해주셨습니다.</t>
  </si>
  <si>
    <t>친철하고 상세하게 상담 종료하였습니다.</t>
  </si>
  <si>
    <t>친절하시고 빠른 조치 고맙습니다.</t>
  </si>
  <si>
    <t>친절하고 자세하게 설명해주십니다.</t>
  </si>
  <si>
    <t>신속하고 친절하게 해주셔서 감사합니다</t>
  </si>
  <si>
    <t>어려운 부분 설명 잘 해주셔서 도움이 되었습니다. 감사합니다.</t>
  </si>
  <si>
    <t>설명도 친절하게 해주시고 해결방법도 알려주셨어요 감사합니당!</t>
  </si>
  <si>
    <t>친절하게 상담해주셔서 감사합니다!!</t>
  </si>
  <si>
    <t>친절한 응대 감사 합니다</t>
  </si>
  <si>
    <t>매우친절하십니다. 많은 도움이 되었습니다.</t>
  </si>
  <si>
    <t>설명이 쉽고 듣기 편했습니다</t>
  </si>
  <si>
    <t>빠르게 해결해주셔서 감사합니다</t>
  </si>
  <si>
    <t>빠른 해결해주셔서 감사합니다.</t>
  </si>
  <si>
    <t>아주 친절하게 설명도 잘 해주셨습니다. 수고하세요</t>
  </si>
  <si>
    <t>어떤 게 문제점인지 말 뿐만 아니라 그림으로 설명도 해주셔서 정말 쉽게 이해하게 해주시고 이후 해결 방법도 명확하게 잘 알려주셔서 정말 감사합니다 :)</t>
  </si>
  <si>
    <t>네 잘해주셨습니다</t>
  </si>
  <si>
    <t>너무 친절하시고 어떤 원인인지 바로 파악하시고, 문제점을 바로 짚어 주시네요 완전한 해결은 아니지만 다른 방법이 있다는걸 안내 해주셔서 그나마 사용해 보겠습니다. 밤에 친절하게 응대해 주셔서 감사합니다. 이상입니다.</t>
  </si>
  <si>
    <t>모르는 내용에서 세부적으로 알려주시고 여러가지 확인 후 무엇이 문제인지에 대해서 설명해주셔서 너무 좋았어요</t>
    <phoneticPr fontId="1" type="noConversion"/>
  </si>
  <si>
    <t>원격 진단 해주신 기사님이 너무 차분하고 친절하게 설명과 조치 해주셔서 아주 만족스럽습니다.</t>
    <phoneticPr fontId="1" type="noConversion"/>
  </si>
  <si>
    <t>기사님이 친절하게 설명해주시고 모르는 부분도 꼼꼼하게 챙겨주시고 말씀드리지 않았던 부분까지 완벽하게 해결해주셨습니다. 심지어 기존에 몰랐었던 부분도 알아서 챙겨주셔서 너무 감사드립니다</t>
    <phoneticPr fontId="1" type="noConversion"/>
  </si>
  <si>
    <t>친절하고 빠르게 진단 잘받았습니다~ 오늘 하루도 행복한 하루되세요~</t>
  </si>
  <si>
    <t>빠르게 해주셔서 감사합니다 해결되었으면 좋겠습니다 고생하세요</t>
  </si>
  <si>
    <t>친절하게 설명해주십니다 굿굿</t>
  </si>
  <si>
    <t>친절하게 잘 도와주셔서 좋았습니다</t>
  </si>
  <si>
    <t>세밀하게 아주 친절하게 잘해주셨습니다</t>
  </si>
  <si>
    <t>매우 만족합니다,고맙습니다.</t>
  </si>
  <si>
    <t>친절한 설명 너무 감사합니다.</t>
  </si>
  <si>
    <t>친절하게 잘 설명을 해주셨습니다.</t>
  </si>
  <si>
    <t>신속하고 친절해서 좋습니다.</t>
  </si>
  <si>
    <t>신속하고 빠르게 점검해주셔서 감사합니다</t>
  </si>
  <si>
    <t>친절하게 안내해주시고 문제점 해결해 주셔서 감사합니다..</t>
  </si>
  <si>
    <t>정말 친절하게 답변해주셔서 감사합니다.</t>
  </si>
  <si>
    <t>편리하고 좋습니다.</t>
  </si>
  <si>
    <t>빠르고 좋았어요</t>
  </si>
  <si>
    <t>빠르게 문제를 해결해 주셔서 대단히 고맙습니다</t>
  </si>
  <si>
    <t>빠르게 문제 해결해 주셔서 감사합니다</t>
  </si>
  <si>
    <t>엄청 친절하시고 설명도 쉽게 잘해주셔서 감사합니다</t>
  </si>
  <si>
    <t>친절하게 해결 되었습니다</t>
  </si>
  <si>
    <t>친절하고 프로페셔녈합니다</t>
  </si>
  <si>
    <t>김태환 님 김사합니다</t>
  </si>
  <si>
    <t>친절하게 잘해주십니다</t>
  </si>
  <si>
    <t>아주 만족스러운 상담이었습니다. 자세한 설명 감사합니다.</t>
  </si>
  <si>
    <t>정말 친절하게 잘 상담해주시고, 해결해주셨습니다!! 감사합니다 :)</t>
  </si>
  <si>
    <t>친절하세요!! 해외망 문제가 빨리 해결되길 바라겠습니다</t>
  </si>
  <si>
    <t>친절하시고 문제 잘 해결되었습니다</t>
  </si>
  <si>
    <t>너무친절하개 잘해결돼습니다 감사합니다</t>
  </si>
  <si>
    <t>친절한 상담과 해결로 매우 만족합니다</t>
  </si>
  <si>
    <t>친절하게 잘 처리 해주시내요</t>
  </si>
  <si>
    <t>궁금한점 해결했습니다. 감사합니다.</t>
  </si>
  <si>
    <t>감사합니다 한방에 잘 처리 되어썽요!!!</t>
  </si>
  <si>
    <t>친절히 응답 해주셔서 만족합니다.</t>
  </si>
  <si>
    <t>아주 빠르게 설명이 좋습니다 ㅎㅎ 한번에 알아들었어여 ㅎㅎ</t>
  </si>
  <si>
    <t>바로 조취 완료됐습니다 감사합니다!!!</t>
  </si>
  <si>
    <t>빠른 해결 감사합니다 너무 친절하시네요</t>
  </si>
  <si>
    <t>항상불편한점에언제나해결사로 불만제로시까지수고해주셔서감사드립니다 만족도최고입니다 감사합니다</t>
    <phoneticPr fontId="1" type="noConversion"/>
  </si>
  <si>
    <t>이해 하기 쉽게 설명해주셔서 무엇이 문제인지 파악 할 수 있었습니다.</t>
    <phoneticPr fontId="1" type="noConversion"/>
  </si>
  <si>
    <t>명료하게 제가 알고 싶은 부분을 잘 짚어 해결해주셨습니다</t>
    <phoneticPr fontId="1" type="noConversion"/>
  </si>
  <si>
    <t>친절한 상담 설명 감사합니다.</t>
  </si>
  <si>
    <t>친절하시고 설명을 잘 해주셨네요</t>
  </si>
  <si>
    <t>친절하게 상담과 원격진단을 해주셨습니다.</t>
  </si>
  <si>
    <t>친절하게 문제해결에 힘써주셔서 감사합니다. 매우만족!!! 최고에요!!!</t>
  </si>
  <si>
    <t>친철해요</t>
  </si>
  <si>
    <t>친절하시네요.</t>
  </si>
  <si>
    <t>좋은 시스템 같습니다.</t>
  </si>
  <si>
    <t>빠르고 정확하게 원격으로 도움받아 편하고 좋네요</t>
  </si>
  <si>
    <t>문제점 신속 처리 넘 고맙습니다 수고하셨습니다</t>
  </si>
  <si>
    <t>친절하게 설명해주시고 원인부터진단까지 깔끔하게 해주시내요 감사합니다</t>
  </si>
  <si>
    <t>감사합니다 해결이 잘 되어서 기분이 좋아용</t>
  </si>
  <si>
    <t>빠른점검 좋았습니다</t>
  </si>
  <si>
    <t>매우 만족합니다 감사합니다</t>
  </si>
  <si>
    <t>차분하고 완벽한 설명과 차후를 위하여 메모까지 남겨주시는 세심함에 정말 최고의 서비스를 받았다고 생각이 듭니다. 모든 칭찬을 다 드리고 싶습니다. 너무 감사합니다.</t>
  </si>
  <si>
    <t>최고입니다 고맙습니다 감사합니다</t>
  </si>
  <si>
    <t>추가적인 설명 해주어서 감사합니다.</t>
  </si>
  <si>
    <t>상세한 설명과 상담으로 찾기 어려운 문제가 있던게 조금더 사용해봐야 명확해지겠지만 현제상황 봐서는 해결 된거 같습니다. 친절한안내주신 담당자분가 설치기사 두분모두 고생 많으셨네요. 서비스 만족합니다.</t>
  </si>
  <si>
    <t>랜카드 업데이트 문제점이 발견되어 수정되었습니다</t>
  </si>
  <si>
    <t>친절하고 빠르게 처리해주셔서 너무 감사드립니다 ^^</t>
  </si>
  <si>
    <t>개인 부탁 인데 도 끝까지 설명 해주시고 노력해 주셔서 고맙습니다...</t>
  </si>
  <si>
    <t>친절하게 설명 잘해주십니다</t>
  </si>
  <si>
    <t>정확하고 친절하십니다</t>
  </si>
  <si>
    <t>친절하게 잘 설명해 주셨습니다</t>
  </si>
  <si>
    <t>빨리 조치를 받았다</t>
  </si>
  <si>
    <t>빠른 상담과 대처 감사드립니다. 기술지원팀 김태형님 김연희 상담사님 감사합니다.</t>
  </si>
  <si>
    <t>최고입니다. 감사드려요</t>
  </si>
  <si>
    <t>잘 조치해 주셔서 마음에 한결 좋아진 것 같네요..감사합니다.</t>
  </si>
  <si>
    <t>제가 말주변이 없는데 설명도 잘 알아들으시고 안내도 빠르게 해주셔서 답답부분 없이 빠르게 원격진단/기사님 배정까지 마쳤습니다 너무 좋아요~~~~~~</t>
  </si>
  <si>
    <t>친절하게 해주셔서 잘 해결했습니다! 감사합니다.</t>
  </si>
  <si>
    <t>친절하게 잘 받았습니다. 감사합니다.</t>
  </si>
  <si>
    <t>최선을 다해 안내해 주셔서 고맙습니다.</t>
  </si>
  <si>
    <t>고맙습니다 서비스 만족 합니다</t>
  </si>
  <si>
    <t>친절하게 잘 알려주셔서 좋았습니다</t>
  </si>
  <si>
    <t>늦은시간 감사합니다</t>
  </si>
  <si>
    <t>친절하게 잘설명해주셔서 감사합니다!! 최고입니다</t>
  </si>
  <si>
    <t>친절하게 응대해줬습니다.</t>
  </si>
  <si>
    <t>빠른시간내에 정확하게 해결해 주셔서 너무 감사합니다~ 친절하게 응대해주셧어요~ 최고!!</t>
  </si>
  <si>
    <t>고객센터, 원격센터 직원분 두분다 친절하게 설명해주셨습니다</t>
  </si>
  <si>
    <t>친절하고 자세한 설명 감사합니다. IT장비 관련해서 받아본 최고의 서비스였습니다.</t>
  </si>
  <si>
    <t>늦은시간까지 친절대응 감사합니다</t>
  </si>
  <si>
    <t>친절하게 잘해주셨음</t>
  </si>
  <si>
    <t>상담잘받았습니다 감사합니다</t>
  </si>
  <si>
    <t>빠르고 정확한 진단 감사합니다 ㅎㅎ</t>
  </si>
  <si>
    <t>늦은 시간에도 불구하고 친절하게 진단해주시고, 점검을 해주셔서 대단히 감사했어요, 전화 받아주신 여성 상담사, 원격 점검 해주신 기사님까지 모두 감사합니다.</t>
  </si>
  <si>
    <t>문제에 대해 빠르게 인식해주시고 점검과 대안을 명확하게 제시해주셨습니다. 친절한 도움에 감사드립니다.</t>
    <phoneticPr fontId="1" type="noConversion"/>
  </si>
  <si>
    <t>답답했던 순간에 속을 뻥 뚤어주셨어요 진짜 감사합니다~~~~</t>
    <phoneticPr fontId="1" type="noConversion"/>
  </si>
  <si>
    <t>여러가지 잘처리해주셔서 정말감사드립니다</t>
  </si>
  <si>
    <t>기사님 친절하십니다. 랜선을 허브에서 공유기에 연결했더니, 끊기지 않는것 같습니다. 지켜봐야겠지만 해결된것 같습니다. 감사합니다.</t>
  </si>
  <si>
    <t>친절하게 잘 응대해주셨습니다.</t>
  </si>
  <si>
    <t>자세한 안내 감사합니다</t>
  </si>
  <si>
    <t>친절한 설명 정말 감사드립니다.</t>
  </si>
  <si>
    <t>잘하셨습니다..고맙습니다.</t>
  </si>
  <si>
    <t>잘 해주셨습니다</t>
  </si>
  <si>
    <t>일반적으로 찾아보지 않으면 알수 없는일도 검색 해주고 원인규명에 힘쓰고 있음을 알게되어 좋은것 같습니다</t>
  </si>
  <si>
    <t>문제해결에 많은 도움이 되었습니다 감사드리고 수고많으셨습니다~</t>
  </si>
  <si>
    <t>빠르고 친절하게 해주셨어요</t>
  </si>
  <si>
    <t>친절하십니다 감사합니다</t>
  </si>
  <si>
    <t>잘해주셨어요</t>
  </si>
  <si>
    <t>친절하게 너무 잘 해주셔서 감사합니다</t>
  </si>
  <si>
    <t>네....감사합니다. 덕분에 잘됫습니다 ^^</t>
  </si>
  <si>
    <t>알기 쉽게 설명도 잘해주시고 친절히 잘 응대해 주셨습니다.</t>
  </si>
  <si>
    <t>잘 안내해주세요</t>
  </si>
  <si>
    <t>인터넷이 간헐적으로 끊겨 불편상 상황속에서 상담사 및 원격지원센터에서 말씀을 잘해 주시고 조치 까지 안내를 해주셔 감사합니다.</t>
  </si>
  <si>
    <t>만족합니다. 잘해주시네요</t>
  </si>
  <si>
    <t>설명도 친절하게 해주시고 일정도 빠르게 잡아주셔서 너무 좋았습니다</t>
  </si>
  <si>
    <t>인터넷 끊김 현상이 있어서 문의 드렸는데 원활하고 신속하게 문제를 해결해주셔서 큰 도움이 되었습니다!</t>
  </si>
  <si>
    <t>너무 친절하셔셔 좋앗습니다</t>
  </si>
  <si>
    <t>김태훈 기술 지원팀 선생님 최고의 매니저로 적극 추천 합니다. 더운데 수고 많으셨습니다. 모든 문제가 해결 되었음을 감사 드립니다. 무더위 건강 하세요.</t>
  </si>
  <si>
    <t>차분하게 잘 마무리 해주셔서 감사하고 정말 도움 많이 됐습니다.좋은 저녁시간 되세요</t>
  </si>
  <si>
    <t>친절하고 신속하게 처리해주셔서 만족합니다! 콜센터+원격 지원 직원분 모두 매우매우 친절하셨어요~~</t>
  </si>
  <si>
    <t>고객센터 상담원과 원격 상담사의 진철한 대응 감사드리며 인터넷 속도가 매번 전화 할때잠깐 돌아오고 다시 원상태로 돌아오는 것떄문에 문제가 많았고 몇년동안 쓰던 인터넷을 바꾸고 싶지않아 마지막으로 다시 상담 했었는대 친절한 답변 감사드리며 추후 현장 점검 오시는 분꼐도 너무 감사드리며 해결을 잘 되었으면 좋겠습니다 더운날 수고 많으십니다</t>
  </si>
  <si>
    <t>친절하게 문제해결해주셨습니다.</t>
  </si>
  <si>
    <t>빠른 해결 감사합니다.</t>
  </si>
  <si>
    <t>최고감사합니다</t>
  </si>
  <si>
    <t>친절하고 잘 설명해 주셨어요</t>
  </si>
  <si>
    <t>빠르고 친절하게 문제를 해결해주셨습니다. 감사합니다</t>
  </si>
  <si>
    <t>상담사 두 분과 원격 기술지원팀 윤찬효 님 친절하고 응대 잘해주심,, 몇 개월 간 인터넷 속도 때문....좀 그래 는대 감사합니다</t>
  </si>
  <si>
    <t>늦은시간에도 친철하고 꼼꼼하게 잘 봐주셨습니다 감사합니다.</t>
  </si>
  <si>
    <t>제가 KT, SK 전부 써보았는데.. 써비스는 LG가 짱인 것 같습니다. 최곱니다.</t>
    <phoneticPr fontId="1" type="noConversion"/>
  </si>
  <si>
    <t>빠르고 정확한 진단과 조치 그리고 친절한 안내로 문제 해결이 잘 되었습니다.</t>
    <phoneticPr fontId="1" type="noConversion"/>
  </si>
  <si>
    <t>빠른 조치 및 디테일한 안내가 좋았습니다. 감사합니다.</t>
    <phoneticPr fontId="1" type="noConversion"/>
  </si>
  <si>
    <t>친절하고 잘 안내해주셨어요</t>
  </si>
  <si>
    <t>좋은정보 감사합니다^^</t>
  </si>
  <si>
    <t>친절하고만족도좋아요</t>
  </si>
  <si>
    <t>점검 감사합니다.</t>
  </si>
  <si>
    <t>아쥬 나이스</t>
  </si>
  <si>
    <t>친절하고 쉽게 설명 해주셔서 감사합니다.</t>
  </si>
  <si>
    <t>매우 섬세하고 친절하게 점검해주셔서 매우 만족스러웠습니다</t>
  </si>
  <si>
    <t>바로 증상이 해결되어서 좋았습니다 기사님도 친절하셨고 매우 만족합니다</t>
  </si>
  <si>
    <t>최고입니다 감사합니다</t>
  </si>
  <si>
    <t>친절하고 빠른 서비스</t>
  </si>
  <si>
    <t>친절 하시고 정확한 안내</t>
  </si>
  <si>
    <t>어려운 부분인데도 친절히 도움주시려고 노력해주시는부분 정말 감사합니다</t>
  </si>
  <si>
    <t>..</t>
  </si>
  <si>
    <t>친절하게 다음 단계까지 알려주세요</t>
  </si>
  <si>
    <t>직접 방문하지 않으셔도 소통하며, 제가 하지 못한 어려운 부분을 잘 설명해주셔서 해결에 도움을 받을 수 있었습니다. 감사합니다.</t>
  </si>
  <si>
    <t>친절히 설명 잘 해주셨습니다.</t>
  </si>
  <si>
    <t>빠르고 친절하게 알려주셔서 좋았습니다</t>
  </si>
  <si>
    <t>친절히 잘해주셨습니다.</t>
  </si>
  <si>
    <t>친절하고 명쾌하게 해결해주셔서 감사합니다. 너무 자세히 알려주셔서 이해가 됐습니다. 늦은 시간인데도 감사했습니다</t>
  </si>
  <si>
    <t>인터넷 속도 때문에 처음으로 원격점검 시도를 해봤네요. 최초 통화해주신 TM님과 원격점검해주신 TM님 2분다 너무나 친절하게 설명을 잘해주시니까 기분이 좋아지네요 ㅎㅎ 만족스러운 통화였습니다. TM님들 감사합니다 수고하세요~~~~~~~~~~</t>
  </si>
  <si>
    <t>신속, 정확, 깔끔한 설명, 편안한 목소리 등 근래 도움을 받았던 고객 서비스중에 최고였습니다.</t>
  </si>
  <si>
    <t>정확한 진단과 빠른 처리 너무너무 도움이 되였습니다... 젊고 빠릿한 기사님들 오래 오래 남아 있어주세요~~~</t>
  </si>
  <si>
    <t>친절한 상담 감사합니다 빨리 와우 서비스 잘되게 해주세요</t>
  </si>
  <si>
    <t>친절히 알려주셨습니다.</t>
  </si>
  <si>
    <t>친절하게 알기쉽게 설명 하시면서 점검 해주셨습니다</t>
  </si>
  <si>
    <t>정말 친절하고 자세하게 알려주셨습니다!! 다른 부분까지 살펴봐주시고 문제해결도 빠르게 해주셨습니다 감사합니다</t>
  </si>
  <si>
    <t>말씀드린 문제는 해결되었습니다만, 전에 없던 전체적인 게임에 응답속도 저하 및 제가 호스트로 있는 전체 게임원들에 대한 렉이 발생되었습니다. 몇일 더 사용해보고 취하신 조치를 다시 취소할지에 대해 고민해 보아야할 것같습니다. 방어벽을 우회하는 방법으로 해결하신거라고 예상이되는데 해결하신 방법에 대한 안내는 전혀 없어서 조금 아쉽네요. 최고 평점을 드리고 싶지만 이러한 불완전한 해결로 인해 별1개, 안내 부족으로 별1개 빼도록 하겠습니다. 고생하셨습니다.</t>
  </si>
  <si>
    <t>sk 인터넷 사용할땐 이런 불편함이 전혀 없었는데 LG꺼 사용하면서 이런 불편함이 생기니 매우 유감 입니다. 어쨋든 원격진단으로 해결 되었으니 다행 이구요 친절하고 빠른 대처 고맙습니다.</t>
  </si>
  <si>
    <t>감사합니다. 수고하셨습니다.</t>
  </si>
  <si>
    <t>해결 안 됨.</t>
  </si>
  <si>
    <t>빠른 검사 감사합니다</t>
  </si>
  <si>
    <t>장애 현상을 기다림 없이 바로 해결 할 수 있어 좋습니다.</t>
  </si>
  <si>
    <t>친절하고 빠른 조치 자세한설명 해주셨습니다 좋아요~</t>
  </si>
  <si>
    <t>정말 너무 편하고 빠른 응대에 놀랐습니다 원격진단 하기전 상담사분도 너무 친절 하셨고 원격진단 해주신 기사님도 친절하고 빠른 속도에 감탄했습니다. 유플러스 인터넷 많이 칭찬합니다.</t>
    <phoneticPr fontId="1" type="noConversion"/>
  </si>
  <si>
    <t>친절한 설명 및 진단, 해결까지 감사드립니다. 처음 상담부터 엔지니어분 해결까지 모든게 일사천리였습니다. 감사합니다.</t>
    <phoneticPr fontId="1" type="noConversion"/>
  </si>
  <si>
    <t>친절하게 설명해주셔서 감사합니다. 또 이용하고싶습니다</t>
  </si>
  <si>
    <t>감사합니다 친절하셨어요</t>
  </si>
  <si>
    <t>성실하고 차분한 설명 정말로 고맙습니다</t>
  </si>
  <si>
    <t>상담감사합니다 100%만족합니다 항상 도움 주셔서10,000%만족합니다 오늘도 항상 즐거운 날돼시고 고객님들께 매일매일 만족한날들 돼셔요 감사합니다</t>
  </si>
  <si>
    <t>친절하게 응대해 주셨습니다.</t>
  </si>
  <si>
    <t>빠르게 진단해주시고 설명이 친절하셨어요. 기기점검 AS부탁드렸는데 가능한 날짜가 언제냐며 먼저 물어봐주시고 후속조치에 대한 설명도 친절히 해주셨어요</t>
  </si>
  <si>
    <t>친절하게 상담해 주셧습니다</t>
  </si>
  <si>
    <t>친절하게 잘 대처해 주셔서 감사합니다</t>
  </si>
  <si>
    <t>친절하게 상담 및 조치를 해주어 감사했습니다</t>
  </si>
  <si>
    <t>친절 대응 해주신점 감사드립니다.</t>
  </si>
  <si>
    <t>너무 친절하십니다 원인 해결 바로 됐고 설명도 잘해주셔서 어떤 문제였는지 바로 확인이 가능했습니다 감사합니다ㅠㅠ!</t>
  </si>
  <si>
    <t>원격 서비스는 처음 받아 봤는데... 너무 좋네요~ 전화로도 꼼꼼히 설명도 잘 해주셨고 불편한 부분을 같이 아쉬워 해주시는 부분도 참 좋았습니다</t>
  </si>
  <si>
    <t>친절하게 잘 상담해주셨습니다. 감사합니다.</t>
  </si>
  <si>
    <t>와.. 정말 멋지신 상담사분이셧습니다 30분이라는 긴시간동안 친절히 모르는부분 조목조목 설명해주셨습니다 이런 기사님이 계셔서 유플러스를 사용함에 있어서 더욱더 공부하게 되는것 같습니다 제가 3일 밤낮을 하면서 했던거를 10분도 안걸리는 시간에 금방 처리하시더군요 멋지십니다 kt쓰다가 유플러스 왓는데 대만족입니다 이렇게 되시기까지 얼마나 공부하셨을지 정말 감동 또 감동이었습니다 항상 하시는일 잘되시길 바랍니다 유플러스 화이팅입니다~ 정말 감사해요~</t>
  </si>
  <si>
    <t>친절하게 잘 대응해주셨어요</t>
  </si>
  <si>
    <t>굉장히 친절하게 해결해 주시려 노력해 주셨습니다 향후 문제가 있을 시 다시 한번 연락 달라고 말씀해주시고 전반적으로 매우 만족했습니다 감사합니다!!~</t>
  </si>
  <si>
    <t>상담 잘 해주셔서 감사합니다 !</t>
  </si>
  <si>
    <t>이번엔 고객 무시없이 이해되게 설명을 잘 해주셔서 좋았어요.</t>
  </si>
  <si>
    <t>편하고 빠르고 좋아요</t>
  </si>
  <si>
    <t>인터넷 속도때문에 계속 답답했는데 친절하고 빠르게 해결해 주셔서 편했습니다 감사합니다!!</t>
  </si>
  <si>
    <t>스마트원격 기사님 원인 파악 잘해주셔서 감사합니다. 친절한 상담 인터넷 잘 사용해보겠습니다.</t>
  </si>
  <si>
    <t>이런 원격 서비스는 너무 좋은것 같습니다. 만족하고 통화 종료 합니다.</t>
  </si>
  <si>
    <t>친절하고 많은정보를 알려주셔서 너무 만족스러운 시간이었습니다</t>
  </si>
  <si>
    <t>인터넷 기술은 일반인이 잘 모르는 어려운 용어가 많은데 이해하기 쉽게 설명해주셔서 감사합니다</t>
  </si>
  <si>
    <t>엄청 빠르게 해주셨어요</t>
  </si>
  <si>
    <t>상담자분의 빠른설명과 친절의 감사드립니다.</t>
  </si>
  <si>
    <t>친절하십니다 !</t>
  </si>
  <si>
    <t>매우 친절하십니다.</t>
  </si>
  <si>
    <t>인터넷 속도 저하로 원격진단 받았고 처음엔 한 가지 가능성만 있었지만 상황을 설명드리니 다른 가능성도 말씀해주셔서 문제 해결에 도움이 될 것 같습니다.</t>
  </si>
  <si>
    <t>친절하게 설명해주시고 빠르게 조치가 되어 좋았습니다.</t>
  </si>
  <si>
    <t>빠르고 친절하고 정확한상담 감사합니다.</t>
  </si>
  <si>
    <t>친절하게 알려 주시고, 문의 사항 외에도 추가 정보도 알려주셔서 만족 하였습니다. 감사합니다.</t>
  </si>
  <si>
    <t>꼼꼼하게 설명과 말씀 잘 해주시고 상담받는 동안 편했습니다 ^^ 감사합니다.</t>
  </si>
  <si>
    <t>늦은 시간에도 친절하게 상담해주셔서 감사합니다</t>
  </si>
  <si>
    <t>밤 늦은 시간에도 친절하게 설명해주시고 기다려 주시며 해결해 주셔서 너무 감사드려요</t>
  </si>
  <si>
    <t>1. 상담원과 전화 연결이 다른 업체보다 조금 빠르다. 2. 상담원의 응대는 매우 친절 하였다. 3. 전문상담원의 업무처리 능력은 매우 휼륭하였다. *. 서비스 만족도는 "매우 만족" 입니다. 김시힙니다.</t>
    <phoneticPr fontId="1" type="noConversion"/>
  </si>
  <si>
    <t>애로사항 잘 들어주시고 신속하신 조치로 인하여 장애가 훌륭하게 회복되어서 진심으로 감사드림니다. 기존 설비 업데이트도 해주셨습니다. 겸하여 추후 장애 재발시에 취해야 할 단계별 대응방안까지 친절하게 안내해주시어 대단히 감사드림니다. 고맙습니다.</t>
    <phoneticPr fontId="1" type="noConversion"/>
  </si>
  <si>
    <t>quffhdla!</t>
  </si>
  <si>
    <t>사용중 문제가 발생하면 당황 스럽는데 친절한 상담과 신속한 처리로 많은도움과 의지가 되었습니다 감사합니다.</t>
  </si>
  <si>
    <t>공유기 문제상황에 대해서 성심성의껏 답변해 주시고 다방면으로 해결책을 알려주셔서 도움이 많이 되었습니다. 감사합니다!</t>
  </si>
  <si>
    <t>감사합니다. 좋은 서비스 유지해 주세요</t>
  </si>
  <si>
    <t>정말 신속 정확하게 처리해주셔서 감사합니다!</t>
  </si>
  <si>
    <t>친절하게 너무 잘 해주시는 것 같아요</t>
  </si>
  <si>
    <t>친절하게 잘 설명해주고 고쳐주셨어요</t>
  </si>
  <si>
    <t>필요한 내용을 친절히 잘 해결해 주셨네요. 감사합니다.</t>
  </si>
  <si>
    <t>친절한 상담 잘 받았습니다.^^</t>
  </si>
  <si>
    <t>친절하게 진행해주셨고 설명도 자세하게 해주셨습니다.</t>
  </si>
  <si>
    <t>친절한 상담 되었습니다 감사합니다</t>
  </si>
  <si>
    <t>아주 편하고 친절한거 같습니다</t>
  </si>
  <si>
    <t>원격진단 해주시는 매니져님 이 상세하고 친절하게 메모장에 하나하나 적어서 말씀해 주시는게 인상 깊었습니다.</t>
  </si>
  <si>
    <t>빠른조치로 빠르게 친절하게 해결해주셔서 너무 감사합니다 최고십니다~</t>
  </si>
  <si>
    <t>너무 친절하시게 해주셔서 너무 만족합니다.</t>
  </si>
  <si>
    <t>너무 친절 하시고 설명을 잘 해주십니다.!!! 감사합니다!! 행복한 하루 되세요~</t>
  </si>
  <si>
    <t>친절한 설명과 친절하게 응대 해주셨습니다.</t>
  </si>
  <si>
    <t>너무 친절한 상담 감사합니다</t>
  </si>
  <si>
    <t>빠르고 정확한 진단 감사합니다 잘 사용하겠습니다</t>
  </si>
  <si>
    <t>자세한 설명과 친절하게 이야기해주셔서 매우 만족합니다!</t>
  </si>
  <si>
    <t>친절하고 빠르게 처리해주셨어요. 감사합니다</t>
  </si>
  <si>
    <t>모르는 부분 잘 설명해주시고 기분좋게 원격으로 필요없는 프로그램 삭제해주셔서 노트북 속도가 좋아졌습니다</t>
  </si>
  <si>
    <t>아주 친절히 처리해주셨습니다. 빠른 처리 감사합니다.</t>
  </si>
  <si>
    <t>빠른 점검 및 처리 해주셔서 감사합니다 친절한 응대 해주셔서 감사합니다 수고하세요!</t>
  </si>
  <si>
    <t>자세한 설명 추후 변화 과정에서 필요한 부분들 설명을 잘해주셔서 추가 대응을 할 수 있게 된 것 같습니다 감사합니다 ^^</t>
  </si>
  <si>
    <t>속도가 빨라진것 같아요. 감사합니다</t>
  </si>
  <si>
    <t>친절하시고 잘해주셧습니다. 늦은 시간에도 꼼꼼하게 설명도 잘해주시고 처음과 끝이 좋았습니다</t>
  </si>
  <si>
    <t>금방금방 해결될수있어서 좋았습니다</t>
  </si>
  <si>
    <t>친절하게 해주셔서 감사합니다.</t>
  </si>
  <si>
    <t>자세한 안내 감사합니다.</t>
  </si>
  <si>
    <t>너무 친절하시고 지금 사용 환경까지도 개선해주셔서 완전 대만족입니다¡¡</t>
  </si>
  <si>
    <t>너무 친절하게 자세히 설명해주시고 해결해 주시네요 감사합니다.</t>
  </si>
  <si>
    <t>몇일동안 문제가 되었던 인터넷 끊김 / 핑 끊김 이슈를 10~20분 만에 해결을 해주었습니다. 현장 방문없이 손쉽게 원격으로 간단하게 해결해주셔서 아주 만족스럽습니다.</t>
    <phoneticPr fontId="1" type="noConversion"/>
  </si>
  <si>
    <t>문제점 찾아서 보완해주시고 친절하게 설명까지 해주셔서 만족스러웠습니다 사용해보고 문제가 지속될 경우 다시 연락드리겠습니다 오늘 받은 서비스는 아주아주아주 만족합니다 감사합니다</t>
    <phoneticPr fontId="1" type="noConversion"/>
  </si>
  <si>
    <t>친절하고 상세하게 잘 설명해주셔서 감사합니다. 질문에도 잘 답변해주셔서 궁금한 것도 해소됐어요~ 감사합니다.</t>
    <phoneticPr fontId="1" type="noConversion"/>
  </si>
  <si>
    <t>너무 친절하십니다 엘쥐유플러스 오래이용할게요 짱</t>
  </si>
  <si>
    <t>친절하게 잘 해주셨습니다 감사합니다</t>
  </si>
  <si>
    <t>너무 친절하게 알려주셔서 감사합니다.</t>
  </si>
  <si>
    <t>칠절하게 잘 도와주셨습니다</t>
  </si>
  <si>
    <t>너무 친절 하게 잘해 주셨어요</t>
  </si>
  <si>
    <t>친절한 상담과 깔끔한 문제해결 감사합니다.</t>
  </si>
  <si>
    <t>친절/빠른처리</t>
  </si>
  <si>
    <t>빠르게 해결해 주셔서 감사합니다. 혹시나 후에 문제가 될부분까지 체크 해주시고 친절한 말씀 감사드립니다~</t>
  </si>
  <si>
    <t>친절하게 해주시네요 점검결과는 사용후 알려 드리겠슴.</t>
  </si>
  <si>
    <t>원인확인과 해결이 빨랐음</t>
  </si>
  <si>
    <t>귀찮으실텐데 자세히 설명해주시면서 이해시켜주셔서 만족했습니다 감사합니다</t>
  </si>
  <si>
    <t>친절하시네요 감사합니다</t>
  </si>
  <si>
    <t>굿굿굿굿 베리굿</t>
  </si>
  <si>
    <t>30분이 넘는 긴 시간동안 정말 친절하게 해주셨습니다ㅜㅜ 정말 감사합니다! 노트북 와이파이가 연결이 안되서 정말 고생했는데 친절하게 잘 도와주셨어요 ㅜ.ㅜ</t>
  </si>
  <si>
    <t>해결책을 자세히 찾아주시고 친절하셨습니다</t>
  </si>
  <si>
    <t>친절하셨어요 ㅎㅎ 감사합니다!</t>
  </si>
  <si>
    <t>신속 친철 처리 감사합니다</t>
  </si>
  <si>
    <t>잘되네요 감사합니다.</t>
  </si>
  <si>
    <t>빠르게 원인 찾고 해결해주셔서 감사했습니다.</t>
  </si>
  <si>
    <t>친절하게 설명해 주셔서 감사합니다. 베스트</t>
  </si>
  <si>
    <t>스마트원격진단 정말 편리하네요 고객응대도 최고입니다 다시한번 감사드립니다</t>
  </si>
  <si>
    <t>친절하고 상세하게 말씀해주셔서 이해가 잘 되었습니다. 감사합니다.</t>
  </si>
  <si>
    <t>친절하시고 설명도 잘해주시네요</t>
  </si>
  <si>
    <t>상담사분이 너무 친절하고 알기쉽게 설명해주셔서 좋았어요</t>
  </si>
  <si>
    <t>신속하게 진단해주고 해결해 주셧어요. 이후 조치방법도 친절하게 설명해주셔서 감사합니다.</t>
  </si>
  <si>
    <t>엘지 인터넷 설치 후 속도가 불안정 하고 최저속도에 문제가 있다고 판단되여 고객센터와 원격진단 담당자와 통화 상담을 했고 자세한 설명과 친절함에 글로써 감사 말씀드립니다. 고객센터 직원분들 모두 감사 드립니다.</t>
  </si>
  <si>
    <t>빠르고 친절하게 응대해주셔서 만족 했습니다</t>
  </si>
  <si>
    <t>친절하고 자세히 설명해주셔서 감사드립니다.</t>
  </si>
  <si>
    <t>빠르고 친절합니다. 정확성 있구요</t>
  </si>
  <si>
    <t>친절하게 문제점을 잘 알려주셨습니다.</t>
  </si>
  <si>
    <t>빠른 응대와 해결점을 주셔서 좋았네요</t>
  </si>
  <si>
    <t>전문가답게 깔끔히 해결해주시니 너무 개운하고 좋습니다!!</t>
  </si>
  <si>
    <t>흑흑 너무 감사합니다 기술자분들 존경합니다 너무 친절하시고 빨리 처리 되었어요 감사합니다</t>
  </si>
  <si>
    <t>친절한 상담으로 문제 해결했습니다 감사합니다</t>
  </si>
  <si>
    <t>친절한 상담,빠른조치 만족합니다.</t>
  </si>
  <si>
    <t>답답했는데 속시원하게 해결해주셨네요 수고하세요</t>
    <phoneticPr fontId="1" type="noConversion"/>
  </si>
  <si>
    <t>잘모르는 분야를 어렵게 설명한것같은데도 빠르게 이해하시고 쉽게 설명해주셔서 이해하기 쉬웠습니다. 그리고 문제 해결을 적극적으로 추천해주셔서 감사합니다</t>
    <phoneticPr fontId="1" type="noConversion"/>
  </si>
  <si>
    <t>일단 너무너무 감사드리고 진짜 엘지유플러스 더 오래 사용하고싶은 마음이 생겼어요 . 빠른처리 친절한응대 너무 감사드립니다. 진짜 왕왕왕만족해요 !!!</t>
  </si>
  <si>
    <t>친절하고 잘 설명해주셔서 좋았습니다!</t>
  </si>
  <si>
    <t>문제점을 정확히 진단해주고 고쳐주셨습니다</t>
  </si>
  <si>
    <t>친절과 서비스 모두 최고입니다. 최근 모든 상담중에 상담사님 보이스와 친절에 감동받았습니다.. 늘 유플러스 이용중이지만 한번더 감동받았으며 앞으로도 쭉이용 하겠습니다... 모든직원이 이번 상담사님처럼 친절했으면 좋겠네요 정말 상담 잘받았습니다 너무 감사합니다... 마음같아선 선물도 드리고싶을정도입니다! 너무 감사드리고 늘 건강하십쇼</t>
  </si>
  <si>
    <t>친절하셨어요~</t>
  </si>
  <si>
    <t>친철하게 잘 알려주시고 자세히 설명을 해주셔가지고 이해하기 좋았습니다.</t>
  </si>
  <si>
    <t>친절하고 꼼꼼한 상담 감사합니다</t>
  </si>
  <si>
    <t>상세한설명 감사합니다</t>
  </si>
  <si>
    <t>너무 친절합니다</t>
  </si>
  <si>
    <t>친절하게 응대해주시고 쉽게 설명해주셔서 편하게 잘 들었습니다 감사합니다</t>
  </si>
  <si>
    <t>친절하게 설명 잘해주시고 너무 좋았습니다:) 최고!</t>
  </si>
  <si>
    <t>원격 서비스에 만족합니다.</t>
  </si>
  <si>
    <t>매우만족함니다 감사</t>
  </si>
  <si>
    <t>뭐가 문제인지 친절하게 알려주셨습니다</t>
  </si>
  <si>
    <t>친절하고 신속하게 해결해주셨어요 감사합니다</t>
  </si>
  <si>
    <t>친절하고 전문적으로 잘해주셔서 바로 문제사항이 처리되었습니다. 감사합니다.</t>
  </si>
  <si>
    <t>친절하고 빠르게 진행해주셔서 좋습니다</t>
  </si>
  <si>
    <t>매우 친절하고 빠른확인이 가능했어요. 감사합니다.</t>
  </si>
  <si>
    <t>빠른 시간안에 문제해결하고 자세한 설명 감사합니다.</t>
  </si>
  <si>
    <t>빠르고 친절하게 해결해주셨어요 감사합니다</t>
  </si>
  <si>
    <t>상세하게 하나부터 열까지 설명해주셔서 감사합니다.</t>
  </si>
  <si>
    <t>빠른처리와 문재해결 감사합니다!! 친절하세요 ㅎㅎ</t>
  </si>
  <si>
    <t>빠르고 확실합니다</t>
  </si>
  <si>
    <t>와이파이쪽 안되는부분 적절히 안내해주셔서 감사드립나다</t>
  </si>
  <si>
    <t>친절하고 구체적으로 설명해주셔서 이해하기 편했습니다. 감사합니다!</t>
  </si>
  <si>
    <t>친절하고 신속한 서비스 감사합니다</t>
  </si>
  <si>
    <t>친절하게 잘해주셔서 감사 합니다.</t>
  </si>
  <si>
    <t>친절 신속 정확 합니다</t>
  </si>
  <si>
    <t>친절하게 안내 잘 받았습니다. 감사합니다!</t>
  </si>
  <si>
    <t>인터넷이 느려진 부분에 대해 정확히 안내해주시며, 원인파악 및 문제 해결을 잘 해주셨습니다. 감사합니다.</t>
  </si>
  <si>
    <t>친절한상담 감사했습니다.</t>
  </si>
  <si>
    <t>속도저하의 원인이 궁금합니다 친절한응대 감사합니다</t>
  </si>
  <si>
    <t>친절하시고 자세히알려주셔서 감사햇습니다</t>
  </si>
  <si>
    <t>너무 친절하시게 잘 해주셔서 감사합니다~~</t>
  </si>
  <si>
    <t>굉장히 만족스럽습니다</t>
  </si>
  <si>
    <t>군더더기 없는 깔끔하고 친절한 설명 ㄳㄳ</t>
  </si>
  <si>
    <t>친절하고 정확하게 설명해주시네요</t>
  </si>
  <si>
    <t>빠른 진단 및 해결 감사합니다</t>
  </si>
  <si>
    <t>빠르게 진행되었어요 문제가 해결되는지 기대가 됩니다</t>
  </si>
  <si>
    <t>깔끔한 설명과 빠른처리 해주셨습니다</t>
  </si>
  <si>
    <t>원격진단시 굉장히 빠르게 업무처리해주셨고, 처리내용도 알기쉽게 설명해주셨습니다. 원격진단에 대해 굉장히 만족스러웠습니다.</t>
    <phoneticPr fontId="1" type="noConversion"/>
  </si>
  <si>
    <t>너무나 친절하게 세세하게 말씀을 해주셔서 너무 감사했고, 예측가능한 상황과 대처요령까지 잘 말씀을 해주셔서 좋았습니다. 다시한번 감사드립니다.</t>
  </si>
  <si>
    <t>친절에 감사합니다~</t>
  </si>
  <si>
    <t>친절 써비스감사합니다.</t>
  </si>
  <si>
    <t>타 공유기는 해결안해주던걸 엘지에서 다해주셨어요 너무 감사해요 최고친절</t>
  </si>
  <si>
    <t>부서 간 상담원 연결 부분에서도 모두 친절하셨고 인터넷 속도 느렸던 것도 잘 해결 되었습니다. 친절하게 도움 주셔서 감사합니다.</t>
  </si>
  <si>
    <t>친절한 상담과 궁금한 부분 잘 해결해 주셔서 감사합니다!!</t>
  </si>
  <si>
    <t>잘하셨습니다. 높은 만족감이 느껴집니다.</t>
  </si>
  <si>
    <t>원인을 찾기 위해 꼼꼼하게 점검해주시고 전화로도 친절하게 설명 해주어서 만족해요</t>
  </si>
  <si>
    <t>만족 너무 만족해요 ㅎㅎ 수고하세요</t>
  </si>
  <si>
    <t>문의사항이 잘 해결되었습니다</t>
  </si>
  <si>
    <t>친절하고 빠르게 해결해주시고 다른 해결방안도 찾아주셔서 감사했습니다~!! 다음에도 이분으로 상담받고싶네요~!</t>
  </si>
  <si>
    <t>친절하게 알려주시고 몇 가지 절차를 쉽게 설명해주셔서 잘 해결했습니다.</t>
  </si>
  <si>
    <t>친절하시고 이해하기 쉽게 알려주셔서 감사합니다.</t>
  </si>
  <si>
    <t>서비스 잘 받았읍니다</t>
  </si>
  <si>
    <t>친절하게 체크해주셔서 아주 만족 했습니다</t>
  </si>
  <si>
    <t>에어컨 인터넷 안되서 문제가 발생했는데 친절하게 잘 대응해 주셨습니다. 에어컨 문제 같은데, 에어컨 회사에서 확인할 사항까지 꼼꼼히 챙겨 주셨네요. ^^</t>
  </si>
  <si>
    <t>친절하게 해주셨습니다</t>
  </si>
  <si>
    <t>인터넷으로 스트레스를 너무 많이 받았는데 상담사님과 기사님의 너무 친절하고 신속한 조치에 한번도 아닌 10번정도는 반한거 같습니다 다음에도 같은 증상이 생기면 꼭 같은 기사님을 뵙고싶습니다 ㅎ 꼭 좋은하루 되시길 바라겠습니다!</t>
  </si>
  <si>
    <t>찬찬히 설명해주셔서 문제 파악 및 개선에 도움 됐습니다. 앞으로 사용하면서 이용할 팁도 알려주셔서 유용할 듯 합니다.</t>
  </si>
  <si>
    <t>설정 원복 했는데 친절하게 잘 대응해주셨습니다. 항상 빠른 대응 감사드립니다.</t>
  </si>
  <si>
    <t>몇 년째 불편을 겪고 있었는데 사소한 걸 지라도 저한테는 큰 도움이 되었습니다. 친절하게 안내해주셨고 할 수 있는 선에서 최대한 문제를 해결해 주셔서 감사합니다.</t>
  </si>
  <si>
    <t>친절하고 좋은 서비스네요 ㅎㅎ</t>
  </si>
  <si>
    <t>매우 친절합니다.</t>
  </si>
  <si>
    <t>너무 친절하시고 ,빠르고 알기쉽게 설명하시고 처리 해주샤서 감사합니다..수고 하십시요,</t>
  </si>
  <si>
    <t>친절히 잘 정리해주시고 요구 사항도 잘 들어주셔서 만족합니다.</t>
  </si>
  <si>
    <t>원격으로 너무 잘 봐주시고 친절하게 설명 해드린것같아요 감사합니다</t>
  </si>
  <si>
    <t>친절하셨어요!</t>
  </si>
  <si>
    <t>친절하게 설명해주시고 감사합니다.</t>
  </si>
  <si>
    <t>너무 친절하고 좋았습니다</t>
  </si>
  <si>
    <t>잘 받았어요~</t>
  </si>
  <si>
    <t>친절하게 상담해 주셨습니다.</t>
  </si>
  <si>
    <t>조치 해주셔서 바로 인터넷 빨라졌습니다. 감사합니다.!!!!</t>
  </si>
  <si>
    <t>친절하고 원하는 내용을 바로 조치해주셨어요</t>
  </si>
  <si>
    <t>바쁘실 텐데 친절하게 설명해 주시고 조치해주셔서 감사합니다~ 좋은 하루 보내세요.</t>
  </si>
  <si>
    <t>아주 친절하고 자세하게 감사드립니다</t>
  </si>
  <si>
    <t>친절하시고 빠르게 처리해주셨습니다</t>
  </si>
  <si>
    <t>친절하십니다! 빠른 문제해결 감사합니다!!</t>
  </si>
  <si>
    <t>친절하고, 신속하고 아주 만족스럽습니다.</t>
  </si>
  <si>
    <t>친절 정확</t>
  </si>
  <si>
    <t>뭔가 방법을 제시해 주셨어요!!</t>
  </si>
  <si>
    <t>인터넷이 안되여 전화 드려는데 원격진단으로 컴퓨터검사까지 해주시고 또한 최신버전으로 해주셔서 고맙네요 우리같이 인터넷을 몰라도 원격으로 잔단,조치 정말 감사합니다.</t>
  </si>
  <si>
    <t>친절한 진단 감사합니다</t>
  </si>
  <si>
    <t>기사님께서 너무나 친절하게 서비스 제공을 해주셨습니다!!</t>
  </si>
  <si>
    <t>친절히 안내받았습니다. 사용잘 하겠습니다.^^</t>
  </si>
  <si>
    <t>인터넷 연결 결함으로 연락을 드렸는데 각 가능성 별로 꼼꼼히 개인pc기기까지 점검해주셔서 너무 감사 드려요. 하루 종일 웃으며 소통하기 쉽지 않으실 텐데 끝까지 신경 써주셔서 만족도 굿입니다^^</t>
    <phoneticPr fontId="1" type="noConversion"/>
  </si>
  <si>
    <t>방문기사의 정밀한 진단과 전산실의 원격지원의 협업으로 원인을 파악하였습니다. 컴퓨터의 성능을 보강하면 인터넷 속도를 감당할 수 있다고 추측되었으며 LGU+의 인터넷 속도에는 이상이 없다는 사실을 확인하였으므로 다음 조치 방법까지 상담하여서 향후 개선에 적절한 도움이 되었습니다.</t>
    <phoneticPr fontId="1" type="noConversion"/>
  </si>
  <si>
    <t>만족 했습니다</t>
  </si>
  <si>
    <t>친절히 설명해 주셌습니다</t>
  </si>
  <si>
    <t>원격서비스로 문제가 해결되어 만족합니다. 친절한 통화와 신속한 서비스에 만족합니다.</t>
  </si>
  <si>
    <t>빠르고 정확하고 필요한것만 딱딱</t>
  </si>
  <si>
    <t>꼼꼼히 체크해주시고 필요한 부분이랑 체크해야할 부분 잘 체크해주시고 수정까지 잘 해주셔서 감사합니다.</t>
  </si>
  <si>
    <t>친절하개 대해주셔서 감사합니다.</t>
  </si>
  <si>
    <t>친철하게 모든 문제를 알기 쉽게 설명해 주셔서 감사합니다. !!^^</t>
  </si>
  <si>
    <t>응답도 빠르고 친절하시고 문제해결도 바로 되어서 너무 좋았습니다! 이렇게 기사님이 안오시고 원격으로 하는게 너무 편하고 좋네요 감사합니다!!</t>
  </si>
  <si>
    <t>친절한 설명과 함께 문제점을 바로 해결해 주셔서 감사드립니다 ~~^^</t>
  </si>
  <si>
    <t>친절한 상담 최고입니다</t>
  </si>
  <si>
    <t>설명잘해주시고 as신청도 해주시고 감사했습니다</t>
  </si>
  <si>
    <t>문제 파악이 빠르고 매우 친절하십니다.</t>
  </si>
  <si>
    <t>네 더무친절하게 잘해주셨어요 수고했습니다 감사합니다</t>
  </si>
  <si>
    <t>너무 친절하시고 하나하나 궁금한 점 설명도 친절하게 알아듣기 쉽게 해주셔서 감사했습니다 !!</t>
  </si>
  <si>
    <t>빠른 시간내에 진단이 너무 좋았습니다</t>
  </si>
  <si>
    <t>친절하고 빠르게 서비스 만족하게 해주셨어요 전문가 아니면 모르는 건데 알아서 잘 해주셔서 감사합니다</t>
  </si>
  <si>
    <t>이해하기 쉽게 천천히 꼼꼼하게 잘 설명해주셔서 들으면서 바로바로 알아 들을 수 있었어요~! 차분하게 문제 있는 부분을 다시 설명해 주셔서 너무 너무 감사합니다.</t>
  </si>
  <si>
    <t>친절하고 자세히 알려주셨습니다.</t>
  </si>
  <si>
    <t>친절이 잘 상담 도와 주셨어요</t>
  </si>
  <si>
    <t>친절하게 잘 도와주십니다</t>
  </si>
  <si>
    <t>친절하게 설명해주셨습니다 .</t>
  </si>
  <si>
    <t>친절하게 문제를 잘 해결 해주셨어요 감사합니다</t>
  </si>
  <si>
    <t>친절하게 잘 설명해주셔서 문제를 쉽게 해결했습니다. 감사합니다.</t>
  </si>
  <si>
    <t>너무 친절하게 잘해주셨습니다</t>
  </si>
  <si>
    <t>무엇이 문제인지 빠르게 캐치하여 신속하게 문제를 해결해주셨습니다!</t>
  </si>
  <si>
    <t>상담원분들이 다 친절하시고 좋으시다 또 이용하고싶다</t>
  </si>
  <si>
    <t>전화 응대, 서비스가 빨라서 잘 안내 받았습니다.</t>
  </si>
  <si>
    <t>신속 정확하게 분석하시면서 친절히 대해주셨습니다.</t>
  </si>
  <si>
    <t>상담사님이 친절하게 잘 설명해주셔서 쉽게 이해할 수 있었습니다</t>
  </si>
  <si>
    <t>친절한 안내 감사드립니다</t>
  </si>
  <si>
    <t>원격진단으로 컴퓨터 상황 파악 후 친절하게 진단 내려주고 방법까지 알려주셔서 원활하게 사용하도록 하겠습니다.</t>
  </si>
  <si>
    <t>수고하셨어요</t>
  </si>
  <si>
    <t>친절하게 잘 처리되었습니다.</t>
  </si>
  <si>
    <t>굉장이 만족스러운 상담이었습니다. 감사합니다.</t>
  </si>
  <si>
    <t>원격으로 한번에 해결되었습니다. 좋습니다.</t>
  </si>
  <si>
    <t>상세하게 잘 설명해주셔서 잘 해결되었습니다.</t>
  </si>
  <si>
    <t>늦은 시간에도 친절히 빠르게 원하는 부분 해결해 주셔서 좋았습니다. 감사합니다.</t>
  </si>
  <si>
    <t>친절하게 설명해줬습니다.</t>
  </si>
  <si>
    <t>이전에 어떤 원인으로 인해서 문제가 발생되었고, 해결 방법과 결과를 이해하기 쉽게 설명하고 보여주셨습니다. 도움 주셔서 감사합니다.</t>
    <phoneticPr fontId="1" type="noConversion"/>
  </si>
  <si>
    <t>신속한 진단과 친절한 설명이 정말 좋았습니다</t>
  </si>
  <si>
    <t>편리하게 잘 진단 해주셨어요.</t>
  </si>
  <si>
    <t>제 질문들이 어렵거나 이해하기 힘드셨을텐데 잘 쉽게 풀어서 얘기 해주시고 . 결과로 얘기 하시나 너무 좋습니다. 오훗 감사합니다 이제 점심시간 오시는데 맛점 하세요^^</t>
  </si>
  <si>
    <t>수고하셨습니다. 이상 없이 잘 되었으면 좋겠습니다.</t>
  </si>
  <si>
    <t>아주 좋아용</t>
  </si>
  <si>
    <t>완벽,빠른 해결 고맙습니다.</t>
  </si>
  <si>
    <t>너무나 전문가적인 실력으로 문제점을 시원스럽게 해결해주었습니다.</t>
  </si>
  <si>
    <t>상담 해주신 상담원과 원격 서비스 기사님이 너무 친절하셧습니다 감사합니다</t>
  </si>
  <si>
    <t>친절한 상담이었어요</t>
  </si>
  <si>
    <t>인터넷이 끊기는 이유를 잘 설명해주셨습니다 원인 파악 잘 되었습니다</t>
  </si>
  <si>
    <t>기사님 굉장히 친절하시고 문제 해결을 위해 노력하시는게 보여서 감사했습니다</t>
  </si>
  <si>
    <t>친절하고 세심한 서비스 감사합니다. 처리할 수 있는 좋은 방법까지 알려주셔서 큰 도움 되었습니다.</t>
  </si>
  <si>
    <t>상세히 잘 친절하게 설명해주셨습니다 감사합니다.</t>
  </si>
  <si>
    <t>신속 정확하고 친절하게 잘 응대 해주셨습니다. 감사합니다.-</t>
  </si>
  <si>
    <t>명확하고 친절하게 궁금한 사항 그리고 문제가 해결되었습니다. 또한 따로 랜카드 업데이트 지원해 주신 부분도 직접적인 도움이 되어서 아주 만족스럽습니다. 감사합니다. 좋은 하루 되세요!</t>
  </si>
  <si>
    <t>감사합니다. 너무 만족합니다!</t>
  </si>
  <si>
    <t>빠른진단 정말 감사드립니다~~</t>
  </si>
  <si>
    <t>친절하게 잘 설명해주고 알려주셔서 이해하기도 쉽고 해결도 된거같아요 너무 고맙습니다!</t>
  </si>
  <si>
    <t>친절 하시고 자세한 설명을 해주셨습니다</t>
  </si>
  <si>
    <t>원격으론 해결 할 수 없는 부분이 생겨 아쉽지만 응대는 매우 친절하십니다.</t>
  </si>
  <si>
    <t>고객 Claim에 대한 빠른 응대 및 문제 해결을 위한 일련의 과정에 전체 만족합니다</t>
  </si>
  <si>
    <t>친절하게 응대해주셔서 좋았습니다</t>
  </si>
  <si>
    <t>친절한 설명과 안내, 점검 감사합니다.,</t>
  </si>
  <si>
    <t>설명을 알아 듣기 쉽게 잘 해주셨어요</t>
  </si>
  <si>
    <t>전문적인 기술 서비스에 감사드립니다 친절하시고 좋아요!</t>
  </si>
  <si>
    <t>친절하게 모든질문에 답변해주셔서 좋은기억에 남을거 같습니다. 혹시 안될경우에 대비해서 여러가지 절충안도 말해주신것도 기억에 남아요.</t>
    <phoneticPr fontId="1" type="noConversion"/>
  </si>
  <si>
    <t>제가 직면한 문제가 무엇인지 친절하게 확인해주시고, 그에 대한 해결책을 차분하게 설명하고 진행해 주셔서 매우 감사드리고, 귀사의 서비스에 만족스럽습니다.</t>
    <phoneticPr fontId="1" type="noConversion"/>
  </si>
  <si>
    <t>친절한 상담에 너무 감사합니다. 문제 해결에 너무 도움이 되었습니다.</t>
  </si>
  <si>
    <t>이전에 상담사는 때문에 시간낭비만했음~~ 이번에 상단해준상담사가 문제해결을 잘해줬습니다.</t>
  </si>
  <si>
    <t>친절하고 빠르게 문제 해결해주셔서 만족합니다.</t>
  </si>
  <si>
    <t>신속, 친절하게 잘 응대주셨습니다. 감사합니다</t>
  </si>
  <si>
    <t>전문가 선생님이 친절하시고 상품이나 인터넷 속도 관련해서 잘 모르는 저에게도 이해가 잘 되도록 상냥하게 설명해주셨어요. 감사합니다. 노트북 사양이 안 좋아서 작업하기 힘드셨을텐데 점검해봐야 할 부분도 알려주셔서 감사했어요.</t>
  </si>
  <si>
    <t>빠르고 친절 하였음 서비스만족1000% 감사합니다</t>
  </si>
  <si>
    <t>친절해요~</t>
  </si>
  <si>
    <t>오랜만에 받는서비스라 그런지 예전보다 더 친절들하시네여 많은도움이댓네여 친절히 응대해주셔서 기분이좋네여 오늘도 좋은하루대시길 바람니다 화이팅~~~~~</t>
  </si>
  <si>
    <t>매우 친절하고 쉽게 상담해주시는 것이 매우 전문적이고 믿음직스러웠습니다.</t>
  </si>
  <si>
    <t>친절하고 자세한설명 감사합니다</t>
  </si>
  <si>
    <t>친절하게 잘설명해주시고 조치해주셨어요</t>
  </si>
  <si>
    <t>이해가 쉽게 자세히 설명해 주셔서 감사합니다.</t>
  </si>
  <si>
    <t>친절하고 빠르게 잘 처리해 주셨습니다~^^</t>
  </si>
  <si>
    <t>친절 끝장입니다 최고의서비스 감사해요</t>
  </si>
  <si>
    <t>문제 해결에 힘써주셔서 정말 감사합니다!!!</t>
  </si>
  <si>
    <t>정비팀에서 친정하게 점검해주셔서 너무 감사하다는 말 남깁니다. 좋은 하루 되세요.</t>
  </si>
  <si>
    <t>친절한 안내 및 추후 정비안내 잘 받았습니다</t>
  </si>
  <si>
    <t>너무 만족하였습니다. 친절하시고 물어보는거에 자세히 답변해주셔 도움이 많이 되었습니다^^</t>
  </si>
  <si>
    <t>잘 모르는 부분도 상담 필요없이 잘알려주셔서 알게되었습니다! 친절한 상담 감사드립니다.</t>
  </si>
  <si>
    <t>감사합니다 잘받았어요 수고하세요</t>
  </si>
  <si>
    <t>친절하고 상세히 알려줘서 넘고맙고 진짜 좋은 분입니다</t>
  </si>
  <si>
    <t>처음 전화 받은 상담원님께서 친절하고 정확한 시간에 return call을 해주셔서 문제 없이 상담할 수 있었고 전문 기사님을 원격으로 연결 될 수 있도록 모바일 핫스팟 아이디어를 주셔서 문제를 잘 해결했고, 원격 기사님도 친절하게 내용 설명 잘 해주셧습니다. 모두모두 고맙습니다!</t>
  </si>
  <si>
    <t>친절하게 설명해 주셔서 원인을 해결할 수 있었습니다. 감사합니다.</t>
  </si>
  <si>
    <t>잘 사용해 보겠습니다. 감사합니다.</t>
  </si>
  <si>
    <t>좋습니다 굿굿</t>
  </si>
  <si>
    <t>설정도 잘 해주시고 말씀도 차분히 잘 해주셔서 너무 만족스럽네요</t>
  </si>
  <si>
    <t>r감사합니다</t>
  </si>
  <si>
    <t>다들 친절하게 잘 응대해주시고 뭐가 문제였는지 잘 설명해주셔서 좋았습니다 굿~</t>
  </si>
  <si>
    <t>친절하고 자세하게 설명해주셔서 문제 발생원인에 대해서 이해가 쉽고 지식도 늘어나서 좋았습니다.</t>
  </si>
  <si>
    <t>설명도 잘 해주시고 친절했습니다 ^^</t>
  </si>
  <si>
    <t>순식간에 문제해결됐어요</t>
  </si>
  <si>
    <t>친절하게 잘 설명 해주십니다</t>
  </si>
  <si>
    <t>친절하고 상세히 성명하면서 조치해줘서 감사합니다</t>
  </si>
  <si>
    <t>빠르게 일처리 잘해주셨습니다</t>
  </si>
  <si>
    <t>친절한 안내 고맙습니다.</t>
  </si>
  <si>
    <t>친절하게 잘 해결해주었습니다.</t>
  </si>
  <si>
    <t>베리굿 전문가의 답변</t>
  </si>
  <si>
    <t>이한웅 선생님께서 사실 안도와 주실수 있는 부분 일수도 있음에도 친절하고 자상하게 저의 고충을 잘 해결해 주셔서 진심으로 감사 드립니다 이한웅 선생님을 엘지 유플러스에서 우수 직원으로 상을 주시면 감사하겠습니다</t>
    <phoneticPr fontId="1" type="noConversion"/>
  </si>
  <si>
    <t>정말 친절 하셨어요~ 감사합니다~!!</t>
    <phoneticPr fontId="1" type="noConversion"/>
  </si>
  <si>
    <t>광주센타 김광석님이나 원격 진단 서비스 담당하신분들이 너무 친절하시고 또한 너무 열성적으로 도와 주셔서 매우 만족하고 이런 기분 처음입니다. 매우 매우 감사 드립니다.</t>
    <phoneticPr fontId="1" type="noConversion"/>
  </si>
  <si>
    <t>넘 친절했어요.</t>
  </si>
  <si>
    <t>차분하고 자세하게 설명해 주시고 꼼꼼하게 챙겨주시는 기사님 최고입니다. 감사합니다,</t>
  </si>
  <si>
    <t>친절한 답변감사합니다</t>
  </si>
  <si>
    <t>문제해결을 해주셔서 명쾌했습니다 감사합니다</t>
  </si>
  <si>
    <t>상담원님이 친철하게 잘 진행해 주셨으며 번거로운 작업도 차근차근 진행해 주셔서 문제 해결 했으며 향후 문제 될 것 같은 부분 까지 꼼꼼히 챙겨 주셔서 감사했습니다.</t>
  </si>
  <si>
    <t>친절하고 이용객의 편의와 사용수준에 맞춘 친절한 설명으로 이해가 쉽고 점검이후 직접적인 빠른 사후대처에 대한 방법을 이해하기 쉽게 설명해주셔서 매우 만족합니다. 기술인분의 건강과 행복을 기원합니다</t>
  </si>
  <si>
    <t>아주 좋습니다 컴맹이지만 선생들덕에 또 알아가네요 감사합니다!</t>
  </si>
  <si>
    <t>친절하게 잘 설명해주시고 꼼꼼히 잘 체크해주셨습니다~</t>
  </si>
  <si>
    <t>몰랐던 부분을 해결해 주셔서 감사 드립니다</t>
  </si>
  <si>
    <t>친절하게 서비스 만족 했습니다</t>
  </si>
  <si>
    <t>네 친절히 응대해주셔서 감사합니다.</t>
  </si>
  <si>
    <t>친절하게 상담주셨습니다</t>
  </si>
  <si>
    <t>친절끝판왕 최고입니다 감사합니다</t>
  </si>
  <si>
    <t>정말 친철히 작업을 신속하게 해주셔서 빠르게 해결되었네요 정말 감사드립니다. 이렇게 세상이 좋아졌다니 LG 유플러스 최고입니다.</t>
  </si>
  <si>
    <t>친절한 상담 잘 받았습니다 문의사항을 적극적으로 검토 해주시고 해결에 도움을 주셔서 감사합니다 수고하세요~~</t>
  </si>
  <si>
    <t>친절하게 잘 대응해주심</t>
  </si>
  <si>
    <t>원격진단 요청하고 너무 신속하게 해결해 주셨어요 먼저 제 pc확인하시고 문제점이 뭔지 어떤 증상이 었는지도 전화로 다 친절하게 설명해주셔서 궁금증도 해결되었고, 이 후에도 증상이 발생하면 대처방법도 친절하게 설명해주셨습니다. 속 시원하네요</t>
  </si>
  <si>
    <t>속이 시원하네요~~ 설명도 잘해주시고 친절하신 스마트하신 직원분 짱입니다!</t>
  </si>
  <si>
    <t>너무 친절하고 자세하게 제가 원하는것을 해결해주셨습니다. 역시 사랑해요 LG 입니다 . 무적엘지~!</t>
  </si>
  <si>
    <t>너무 친절하고 잘해주셨습니다!</t>
  </si>
  <si>
    <t>너무 만족스럽습니다. 저같은 컴맹도 쉽게 이해할수있게 잘 설명해주셔서 감사해요 ㅋ</t>
  </si>
  <si>
    <t>네 훌륭하셨습니다.</t>
  </si>
  <si>
    <t>친절하시고 좋습니다~!!</t>
  </si>
  <si>
    <t>친절하게 설명해주시고 문제점을 해결해주셔서 진심으로 감사합니다. 늘 고객을 신경써주셔서 진심 감사드립니다. ^^</t>
  </si>
  <si>
    <t>매우 친절하고 자세히 잘 설명해주셔서 많은 도움이 되었습니다</t>
  </si>
  <si>
    <t>훌룽합니다. 유플러스에 이런서비스가있는게 정말신기합니다. 친절하게 안내해주시고 컴퓨터에대해 잘모르는부분 많이배웠어요. 저희 다른직원분들께 정말추천해주고싶어요 점검 정말 잘받았습니다!</t>
  </si>
  <si>
    <t>너무 친절하세요</t>
  </si>
  <si>
    <t>너무 친절하게 잘 해 주셔서 감사합니다 ..</t>
  </si>
  <si>
    <t>빨리 해결해주셨습니다</t>
  </si>
  <si>
    <t>친절하고 빠르게 원인 분석 및 해결 방안을 안내해주셨어요</t>
  </si>
  <si>
    <t>자세히 알기 쉽게 설명해주십니다.</t>
  </si>
  <si>
    <t>늦은 시간 진단해주시고 자세한 설명까지 감사했어요</t>
  </si>
  <si>
    <t>친절한 원격 서비스 감사합니다 친절한 원격 서비스 감사합니다 친절한 원격 서비스 감사합니다 친절한 원격 서비스 감사합니다 친절한 원격 서비스 감사합니다 친절한 원격 서비스 감사합니다 친절한 원격 서비스 감사합니다 친절한 원격 서비스 감사합니다 친절한 원격 서비스 감사합니다</t>
  </si>
  <si>
    <t>늦은시간에 친절한 상담과 처리 만족합니다</t>
  </si>
  <si>
    <t>기술적 전문가의 포스가 넘쳐났습니다.</t>
  </si>
  <si>
    <t>빨리 찾아주셔서 감사합니다!!!</t>
  </si>
  <si>
    <t>빠르고 자세히 알려주셔서 감사합니다</t>
  </si>
  <si>
    <t>화면이 깨져서 컴프터 제작회사 등에 문의하였스나 해결이 되지않아 LG U프러스에 문의하니 원격으로 친절하고 신속하게 처리하엿습니다. 담당하신 기사님께 깊은 감사를 드리고 LGU프러스를 신뢰 합니다. 감사합니다.</t>
  </si>
  <si>
    <t>너무 친절하셨고 지식도 알려주시고 너무 너무 좋았습니다. 이맛에 유플 오래쓰는거라 이런기사님들이 많이 있으셨으면 좋겠습니다. 너무 만족입니다.</t>
  </si>
  <si>
    <t>정확한판단및 처리과정이 너무 좋습니다</t>
  </si>
  <si>
    <t>친절한 설명과 눈으로 볼수 잇는 안내가 잇어서 도움이 많이 됫고 후에 필요한 조치나 방문점검까지 완벽하게 접수 해주셔서 좋앗습니다</t>
  </si>
  <si>
    <t>서비스 만족합니다 수고하세요.</t>
  </si>
  <si>
    <t>good job!!!!</t>
  </si>
  <si>
    <t>자세하고 친절한 설명 감사합니다</t>
  </si>
  <si>
    <t>친절하고 감사히 점검 잘 받았습니다.</t>
  </si>
  <si>
    <t>고객의 문제를 적극적으로 해결해주셔서 감사합니다.</t>
  </si>
  <si>
    <t>친절하셨습니다. 감사합니다.</t>
  </si>
  <si>
    <t>아주 최고의 상담이였습니다. 보자마자 외부 ip 를 보시더니 이게 문제일 가능성이 있다 라는 말씀에 외부 ip 를 기존 ip로 바로 바꿔주셨습니다. 이후에 기존 ip로 정상적으로 1분안에 돌아왔으며, 인터넷 끊김 현상 버퍼링 등등이 해소되었습니다. 실력가입니다. 고맙습니다.</t>
  </si>
  <si>
    <t>감사합니다 빠른진단과 친절한 설명 최고 입니다.</t>
  </si>
  <si>
    <t>정확하고 빠른진단 감사합니다 고장의사유와계선방향 정말 좋습니다</t>
  </si>
  <si>
    <t>친절하게 잘 안내해주셔서 감사합니다.</t>
  </si>
  <si>
    <t>친절하고 상세하게 설명을 잘 해주시고, 문제를 해결해 주셔서 감사합니다.</t>
  </si>
  <si>
    <t>친절하고 상세하게 상담해주셨어요. 기능적인 부분과 부가적인 부분까지 설명해 주셔서 잘 해결됐고 만족합니다. 감사합니다.</t>
  </si>
  <si>
    <t>친절히 질 설명헤주셔사 감사합니다.</t>
  </si>
  <si>
    <t>빠르게 처리 잘 해주셨고 친절하게 상담해주셔서 만족스러웠습니다,</t>
  </si>
  <si>
    <t>너무 친절하게 잘 설명해주셨어요 ! 오늘 해결해주신 이후로 또 문제가 발생하면 다시 신청하겠습니다 ~ 감사합니다 ~!</t>
  </si>
  <si>
    <t>친절하게 안내해주셔서 좋았습니다 감사합니다.</t>
  </si>
  <si>
    <t>신속처리하셨습니다</t>
  </si>
  <si>
    <t>너무 친절하고 자세하게 설명해 주셨습니다. 기술적 대응이 필요한 부분이고, 저도 백그라운드가 있어서 질문을 드렸는데, 각종 디테일 친절하게 잘 설명해 주셔서 문제도 해결되고 궁금증도 풀렸습니다. 감사합니다</t>
  </si>
  <si>
    <t>너무 친절하시고 제가 원하는 바를 잘 이행해 주셔서 감사합니다 원격점검해주신 기사님 콜센터 상담사님 전부 감사드려요 최고</t>
  </si>
  <si>
    <t>빨리 대응해주셔서 감사합니다. 덕분에 인터넷 속도가 좀 나아졌습니다~!</t>
  </si>
  <si>
    <t>서버 사용을 우해 포트포워딩을 요청드렸는데, 네트워크에 대한 관련지식이 없는 저를 위해 그림판에 게이트웨이등을 그려주시며 자세하게 안내해주셔서 이해하는데 큰 도움이 되었습니다. 장비측 문제로 오늘 해결이 되질 않아 너무 아쉽지만, 기사님 방문접수까지 직접 챙겨주셔서 감사드립니다. 즐거운 주말 보내세요.</t>
  </si>
  <si>
    <t>친절하게 와이파이 아이디 비번 편하게 변경처리 해 주셔서 감사합니다^^</t>
  </si>
  <si>
    <t>친절히 궁금 했던거 물어 봤는데 잘 설명해주시고 쉽게 설명해줘서 알아 듣기 편했습니다. 덕분에 잘 해결 한 거 같습니다 감사합니다</t>
  </si>
  <si>
    <t>친절하게 잘 확인 해주셨습니당 ㅎㅎ</t>
  </si>
  <si>
    <t>제가 LG 유플러스 받아본 서비스 중에서 최고로 만족스런 조치였습니다. 감사합니다.</t>
  </si>
  <si>
    <t>친절하고 해결해주셔서 감사드립니다. 복받으세요~~~</t>
  </si>
  <si>
    <t>친절하셨고 꼼꼼히 체크해주셨어요~</t>
  </si>
  <si>
    <t>기사님이 친절하게 알려주셔서 쉽게 문제를 해결 할 수 있었습니다. 감사합니다.</t>
  </si>
  <si>
    <t>정확한 설명 감사해요...</t>
  </si>
  <si>
    <t>6개월~1년 이상 증상이 있었던건데 증상이 잘 안나타서 a/s를 문의 안드렸는데 이번에 문의할게 있어서 한김에 문의를 같이했는데 다들 엄청 친절하시고 귀찮으셨을텐데 엄청 꼼꼼히 봐주셔서 정말 감사했습니다. 방금 문의 도와주신 3분 엄청 친절하셨고 설명을 잘해줘서 정말 기분이 좋았습니다.</t>
  </si>
  <si>
    <t>친절하고 상냥하고 고객에게 친절을 해줘서 좋습니다</t>
  </si>
  <si>
    <t>너무 친절하게 잘 알려주셔서 감사합니다. 즐거운 주말 보내세요</t>
  </si>
  <si>
    <t>친절하게 안내를 도와주셨어요</t>
  </si>
  <si>
    <t>너무 친절하시고 문제가 생긴거에 대한 이유를 이해하기 싶게 자세히 설명해주셨으며 조치도 바로 해주시고 추후에 생길수 있는 부분까지도 미리 안내주셔서 너무 감사드립니다!!!</t>
  </si>
  <si>
    <t>친절하게 안내해주셔서 좋았습니다!</t>
  </si>
  <si>
    <t>친절하게 해결해주셔서 감사합니다</t>
  </si>
  <si>
    <t>편하고 빠른 해결 좋습니다</t>
  </si>
  <si>
    <t>아주 친절하십니다.</t>
  </si>
  <si>
    <t>늦은시간에 감사합니다</t>
  </si>
  <si>
    <t>친절하고 빠르게 상태 파악하시고 해결까지 완변하게 해주셔서 너무 만족 스럽습니다.</t>
  </si>
  <si>
    <t>친절하게 설명을 해주시면서 불편사항을 잘 해결해 주어 감사합니다.</t>
  </si>
  <si>
    <t>친절하고 신속한 서비스 감사드립니다.</t>
  </si>
  <si>
    <t>담당 직원이 매우 친절하고 꼼꼼하게 점검해주셔서 아주 만족스러웠습니다. 감사합니다.</t>
  </si>
  <si>
    <t>아주아주 너무 친절하게 상담원님이 잘 해결해주시고 너무 기분좋았습니다 너무너무 감사합니다</t>
  </si>
  <si>
    <t>친절하고 빠르게 해결해주셨습니다.</t>
  </si>
  <si>
    <t>친절하시고 좋은 설명 감사 드립니다 친절하시고 좋은 설명 감사 드립니다 친절하시고 좋은 설명 감사 드립니다 친절하시고 좋은 설명 감사 드립니다친절하시고 좋은 설명 감사 드립니다</t>
  </si>
  <si>
    <t>친절하게 해주셔서 감사합니다. 항상 건강하세요</t>
  </si>
  <si>
    <t>신기한 세상입니다. 주말인데도 잘 응대 해주셔서 감사합니다^^</t>
  </si>
  <si>
    <t>도움많이 되었습니다</t>
  </si>
  <si>
    <t>완전 대박이에여! 완전 빠르게 해결해주셔서 감사합니다. 그리고 또 너무 친절하셔서 만족스러웠어요!!!</t>
  </si>
  <si>
    <t>이해하기 쉽게 설명해주셔서 편합니다.</t>
  </si>
  <si>
    <t>확인 해보니 해결된거 같습니다. 감사합니다!!</t>
  </si>
  <si>
    <t>주말에 지원해 주셔서 감사합니다.</t>
  </si>
  <si>
    <t>감사합니다. 주말에도 잘 대응해주셔서 ....</t>
  </si>
  <si>
    <t>진짜 오늘 처음 LG 처음 사용해서 처음엔 속도 때문에 연락드렸었는데 나스 포워딩 등 너무 복잡하고 했던것도 너무 친절하게 도와주시고 진짜 통신사한테 이렇게 감동 받아본거 처음인거 같아요!! ㅜㅜ 진짜 도와주신분 복 많이많이 받으시고 좋은하루 되세요!!</t>
    <phoneticPr fontId="1" type="noConversion"/>
  </si>
  <si>
    <t>친절하게 자세히 설명해 주셔서 답답함 해결에 도움이 되었습니다</t>
  </si>
  <si>
    <t>기사님의 조은 감사합니다</t>
  </si>
  <si>
    <t>자세한 설명으로 이해가 되었습니다.</t>
  </si>
  <si>
    <t>너무 친절하게 잘 해주셔서 너무 감사했습니다 최고입니다</t>
  </si>
  <si>
    <t>진단 잘 해주셨어요 감사합니다.</t>
  </si>
  <si>
    <t>네 친절히 상담 잘 받고 문제 해결하였습니다.</t>
  </si>
  <si>
    <t>친절한 상담과 컼퓨터 점검및 서비스는 최고의 상담사 였습니다.감사합니다</t>
  </si>
  <si>
    <t>빠르게 이슈를 확인해주셨습니다</t>
  </si>
  <si>
    <t>빠르고 친절한 조치 감사합니다</t>
  </si>
  <si>
    <t>도저히 안되서 원격요청했는데 금방해결해 주셔서 너무 감사합니다</t>
  </si>
  <si>
    <t>주셔서감사합니다.</t>
  </si>
  <si>
    <t>답답하셨을텐데 처음부터 끝까지 친절하신 상담 너무나 감사드립니다. 저와같은 다른분들께도 항상 같은 마음으로 임해주신다면 모든 복을 다 받으시는 분이 되실거라 생각됩니다. 행복하세요~</t>
  </si>
  <si>
    <t>네 자세하고 친절하게 긴시간 도움 주셨습니다. 감사합니다.</t>
  </si>
  <si>
    <t>원격으로 아주 친절하고 섬세하게 상담해주셨습니다. 문제가 발호 해결됐어요 감사합니다.</t>
  </si>
  <si>
    <t>최고로 만족입니다</t>
  </si>
  <si>
    <t>친절한 안내 감사드려요</t>
  </si>
  <si>
    <t>바쁘신 와중에 너무 디테일하게 설명해주셔서 이해가 잘 되었습니다. 원인도 금방해결해주셔서 감사드립니다 :-)</t>
  </si>
  <si>
    <t>친절한 설명과 빠른 처리. 최고!!</t>
  </si>
  <si>
    <t>신속 정확하고 설명을 충분하게 해주셔서 좋았습니다 훌륭한 서비스 감사합니다</t>
  </si>
  <si>
    <t>여러가지 궁금한 사항들 해소되었고, 너무 친절하게 상담해 주셔서 대단히 감사했습니다. 좋은하루 되시고 수고하세요~^^</t>
  </si>
  <si>
    <t>네 기사님이 이해하기 편하게말슴해주셨어 이해했습니다 감사합니다</t>
  </si>
  <si>
    <t>아주 친절하게 잘응대 해주셔서 감사합니다 좋은하루 되시고 늘 건강들 하세요 ^^화이팅~~</t>
  </si>
  <si>
    <t>너무 빨리문제 해결해주시고 친절합니다</t>
  </si>
  <si>
    <t>문제점을 잘 말씀해 주시고 후속조치에 대해서도 잘 설명해 주시고 아주아주 친절하시네요~ 감사합니다.</t>
  </si>
  <si>
    <t>친절하게 잘 설명해주셔서 문제를 해결할수있었습니다 감사합니다.</t>
  </si>
  <si>
    <t>매우 친절하고 자세하게 알려주셨어요</t>
  </si>
  <si>
    <t>친절하게 서비스 잘 받았습니다 너무 만족합니다**</t>
  </si>
  <si>
    <t>궁금한 점 모두 해결했습니다 친절하게 알려주셔서 감사합니다</t>
  </si>
  <si>
    <t>굿입니다.</t>
  </si>
  <si>
    <t>상담사분이 친절하셨습니다</t>
  </si>
  <si>
    <t>그냥 딱 깔끔하고 좋았는데 컴터 뒤적이는게 뭔가 뭔가 엿네요</t>
  </si>
  <si>
    <t>신속하게 처리되었음.</t>
  </si>
  <si>
    <t>친절하게 잘 알려주시네요</t>
  </si>
  <si>
    <t>정말 감사합니다. 하루종일 해결 못한 문제를 한번에 해결해주시고 , 친절히 대응해주셔서 너무 감사드립니다. 친절한 대응 , 정확한 문제 해결능력. 정말 고마우신 eng`r 시네요. 감사합니다~!</t>
  </si>
  <si>
    <t>너무 친절하게 상담해주시고 불필요한것까지 다 케어해주셔서 너무 감사했습니다. 이서비스가 생기게 되서 좋아보이네요</t>
    <phoneticPr fontId="1" type="noConversion"/>
  </si>
  <si>
    <t>친절하게 잘 해주십니다</t>
  </si>
  <si>
    <t>진단 잘 받았습니다.</t>
  </si>
  <si>
    <t>잘 설명해주셔서 감사합니다.</t>
  </si>
  <si>
    <t>매우 친철하게 응대 해주시고 방법도 알려주셨습니다.</t>
  </si>
  <si>
    <t>친절하게 잘 안내 받았습니다. 감사합니다.</t>
  </si>
  <si>
    <t>빠르네요</t>
  </si>
  <si>
    <t>친절한 상담 감사합니다^^</t>
  </si>
  <si>
    <t>친절하게 잘 상담해주셨네요. 만족합니다</t>
  </si>
  <si>
    <t>자세한설명과 빠른처리가 좋았어요</t>
  </si>
  <si>
    <t>친절하게 잘 상담해주십니다</t>
  </si>
  <si>
    <t>친절하게 알려주셔서 감사합니다..</t>
  </si>
  <si>
    <t>채팅할때 상담사는 답답했는데 원격진단 해주시는 기사님은 친절하고 지식도 뛰어난것 같아서 많은 도움되었습니다.</t>
  </si>
  <si>
    <t>신속하고 친절한 조치 감사합니다.</t>
  </si>
  <si>
    <t>친절히 알려주셔서 감사합니다.</t>
  </si>
  <si>
    <t>친절하게 설명도 잘해주셔서 감사 했습니다.</t>
  </si>
  <si>
    <t>장재훈님 친절하시고 잘 알려주셨어요 이제 서비스가 원활했으면 좋겠습니다. 감사합니다.</t>
  </si>
  <si>
    <t>친절하게 잘 설명해주셔서 감사합니다.수고하세요.</t>
  </si>
  <si>
    <t>너무 친절히 응대해주시고 처리해주셔서 너무 감사합니다</t>
  </si>
  <si>
    <t>좋은 서비스에 감동입니다. 유플러스 좋네요</t>
  </si>
  <si>
    <t>컴퓨터가 많이 느려서 힘드셨을텐데 최선을 다해서 도와주셔서 감사합니다.</t>
  </si>
  <si>
    <t>친절하시고, 편리하고 좋았습니다. 다만 인터넷 자체의 속도가 느린데 통신사의 문제이니.. 어떻게 해결해야할지 잘 모르겠네요....</t>
  </si>
  <si>
    <t>진심을 담아 친절하고 신속하게 응대 해 주셨습니다.</t>
  </si>
  <si>
    <t>궁금한 사항 잘 해결해주시고 문제점을 적극적으로 찾아서 해결해주셔서 많은 도움이 됬습니다.</t>
  </si>
  <si>
    <t>이해하기 쉽게 설명해주십니다</t>
  </si>
  <si>
    <t>빠른 점검 감사합니다</t>
  </si>
  <si>
    <t>친절하고 빠른상담 좋았습니다.</t>
  </si>
  <si>
    <t>친절하고 자세히 안내해줬습니다.</t>
  </si>
  <si>
    <t>특정 사이트 접속 불가로 문의드렸는데 빠르고 친절하게 해결해 주셔서 너무 좋았습니다. 그 외 궁금한 점도 물어봤는데 친절하게 답변해 주셔서 좋았어요: ) 앞으로도 이번에 해결해 주셨던 기사님이 해결해 주셨으면 좋겠습니다! 좋은 하루 보내세요 :)</t>
    <phoneticPr fontId="1" type="noConversion"/>
  </si>
  <si>
    <t>감사합니다 ~! 친절하게 알려 주셔서 너무 좋았습니다 !! 설치 조치 해주신 걸로 사용 열심히 한번 해보겠습니다 !</t>
    <phoneticPr fontId="1" type="noConversion"/>
  </si>
  <si>
    <t>스마트원격진단에 있어서는 아주 순조롭게 해결해주었습니다。 제가 불편해하는 부분을 집중적으로 해결해주었습니다。 늦은시간이였는데도 해결이 가능한다는것은 좋은 서비스인것 같습니다。 기사님 감사합니다。</t>
    <phoneticPr fontId="1" type="noConversion"/>
  </si>
  <si>
    <t>친절하고 다양한 방법으로 도움을 주셔서 감사합니다.</t>
  </si>
  <si>
    <t>겸손하시고 성실히 상담해주시고 정말 감사하시다고 말씀 드리고싶습니다 . 고생 많으셨습니다.^^</t>
  </si>
  <si>
    <t>통화상으로 해경되는 문제는 아니였기에 추가 방문점검이 필요한 것 까지 진핸되었지만. 친절하게 설명해주셨습니다. 감사합니다.</t>
  </si>
  <si>
    <t>빠르고 정확한 안내와 조치 감사합니다. 상담사님 친절합니다.</t>
  </si>
  <si>
    <t>친절 하시고 빠른 해결 감사합니다. 최고에요~!!</t>
  </si>
  <si>
    <t>친절하고 명확한 설명에 매우 만족합니다</t>
  </si>
  <si>
    <t>인테넷 원격진단 기사님의 상담및 안내가 너무 친전하고 자세하게 말씀해 주셔서 너무 최고 입니다. 감사합니다.</t>
  </si>
  <si>
    <t>친절하게 설명해주시고 궁금한 부분도 잘 설명해 주셨습니다. 친절한 점검 감사드립니다 :)</t>
  </si>
  <si>
    <t>친절하시고 문제점을 이해하는데 어려윰 없이 도와주셔서 감사합니다</t>
  </si>
  <si>
    <t>너무 친절하게 잘 해결해주셔서 감사합니다! 늘 행복하세요!</t>
  </si>
  <si>
    <t>친정하시고 설명 잘 해주세요</t>
  </si>
  <si>
    <t>별로도움안데요</t>
  </si>
  <si>
    <t>만족해요!</t>
  </si>
  <si>
    <t>제가 잘 모르고 햇갈려 하는데도 조용히 기다려주셔서 너무 감사했습니다....</t>
  </si>
  <si>
    <t>설명 친절히 잘 해주셔서 좋았습니다.</t>
  </si>
  <si>
    <t>이해하기 쉽게 잘 설명해주셔서 빠르게 상담받고 빠르게 해결된거 같습니다!</t>
  </si>
  <si>
    <t>친절하고 신속하게 처리되었습니다</t>
  </si>
  <si>
    <t>친절하게 설명과 조치 잘 취해주셨고 설명도 감사했습니다</t>
  </si>
  <si>
    <t>고객의 입장에서 자세한 설명과 조치 감사합니다.</t>
  </si>
  <si>
    <t>캬 빠른 조치와 시원 시원한 해결로 아주 기분이 좋았습니다~!! 상담사분들도 정말 친절하게 말씀해주셔서 ARS에서 연결로 진상 빙의할 뻔 하다가 바로 다 풀려버렸네요~ 정말 고생이 많으실 것 같습니다! 회사에서 ARS 빨리 바꿔주셔서 상담사분들 고생 안하시게 해주셨으면 좋겠습니다^^</t>
  </si>
  <si>
    <t>친절하게 상담해주셔서 감사해요~</t>
  </si>
  <si>
    <t>너무 친절 하셔서 감사합니다</t>
  </si>
  <si>
    <t>수고하셨습니다. 고맙습니다.</t>
  </si>
  <si>
    <t>친절하고 자세한 안내 갑사했습니다,</t>
  </si>
  <si>
    <t>네 친절하게 잘 설명해주심</t>
  </si>
  <si>
    <t>고생하셧고 수고하세요</t>
  </si>
  <si>
    <t>늦은 시간까지 친절하게 도와주셔서 감사합니다</t>
  </si>
  <si>
    <t>친절하게 안내해주셨네요 감사합니다.</t>
  </si>
  <si>
    <t>친절하게 설명까지 해주시고 빠른 조치도 해주셔서 정말 너무너무 감사했습니다! 다음에 또 이상있으면 이분께 다시 진단 받고 싶을정도입니다! 감사합니다.</t>
    <phoneticPr fontId="1" type="noConversion"/>
  </si>
  <si>
    <t>기사님이 친절하게 설명해줘서 어렵지 않게 도움 받을 수 있었습니다. 해결 방법도 세세하게 알려주셔서 금방 해결할 수 있을것 같습니다.</t>
    <phoneticPr fontId="1" type="noConversion"/>
  </si>
  <si>
    <t>하나하나 같이 체크하면서 확인해주셔서 많은 도움이 됐습니다. 친절한 상담 감사합니다 ^^</t>
  </si>
  <si>
    <t>친절하게 잘 응대해주셔서 불편사항 빠르게 고쳤습니다 👍👍</t>
  </si>
  <si>
    <t>친절하게 원인도알려주시고 빠르게 해결해주셔서 좋았어요.</t>
  </si>
  <si>
    <t>오래된 노트북에서 와이파이가 안되어 문의 드렸고 원격으로 문제를 해결해 주셨네요. 원인과 문제점을 친절하게 이해할 수 있을 때까지 상세하게 잘 안내해 주셨습니다. 수고해 주셔서 감사합니다.</t>
  </si>
  <si>
    <t>자세하고 상세한 설명과 신속한 처리 향후 관리까지 많은 도움이 되었습니다 감사드리고 수고하셨습니다~</t>
  </si>
  <si>
    <t>상담원 분들께서도 친절하게 알려주시고 원격 진단으로 편리하게 뭐가 문제점인지 잘 집어주셔서 편하고 신속하게 해결했습니다</t>
  </si>
  <si>
    <t>친절하게 잘 설명해주셔서 감사합니다 문제가 잘 해결되었습니다。</t>
  </si>
  <si>
    <t>정말 친절하게 잘 설명하시고 조치해주셨습니다.</t>
  </si>
  <si>
    <t>궁금한 점을 시원하게 원격으로 편하게 해결해주셔서 정말 감사합니다..또한 친절한 상담으로 컴맹인데도 쉽게 이해할 수 있도록 잘 설명해주신 기사님께 다시 한번 감사드립니다^^</t>
  </si>
  <si>
    <t>해결잘되었습니다 감사합니다 친절한 상담 감사드립니다</t>
  </si>
  <si>
    <t>친절하고 꼼꼼하게 잘 해 주셨습니다. 추천드립니다.</t>
  </si>
  <si>
    <t>친절히 잘해주셨습니다</t>
  </si>
  <si>
    <t>친절하고 자세하게 설명해 주셨습니다.</t>
  </si>
  <si>
    <t>빠른 시간 안에 문제를 잘 해결해주셨습니다. 넘 감사합니다~!</t>
  </si>
  <si>
    <t>정확한 진단 잘 받았습니다.</t>
  </si>
  <si>
    <t>친절하게 잘 알려줌 만족</t>
  </si>
  <si>
    <t>친절한 상담으로 정보전달해주셔습니다</t>
  </si>
  <si>
    <t>친절한 상담 감사합니</t>
  </si>
  <si>
    <t>너무 친절하고 빠른해결 감사드립니다!!!!!!!!!!!!!!컴퓨터고수님!!!!!!!!!!!!!</t>
  </si>
  <si>
    <t>기사님 최고세요 기사님의 조언덕분에 간단히 짧고 명료하게 처리됐어요!! 감사합니다</t>
  </si>
  <si>
    <t>너무 친절하고 꼼꼼하시고 알아듣기 쉽게 설명해주십니다</t>
  </si>
  <si>
    <t>빠르고 정확하게 처리해주셔서 금방 해결했습니다. 감사합니다!</t>
  </si>
  <si>
    <t>점검매우만족합니다 감사합니다</t>
  </si>
  <si>
    <t>친절하고 자세히 설명해 주셔서 감사합니다.</t>
  </si>
  <si>
    <t>친절한 상담 및 안내 감사합니다~</t>
  </si>
  <si>
    <t>신속 정확 친절하게 잘 조치 받았습니다.</t>
  </si>
  <si>
    <t>친절히 상담을 자라 해주셨어요 너무 감사합니다 다음에점검 받게 된다면 이분께 점검 받고 싶어요 신뢰가 갑니다</t>
  </si>
  <si>
    <t>섬세하게 이야기해주시고 이해가 잘 되게끔 설명해주셔서 감사합니다</t>
  </si>
  <si>
    <t>빠른 응대 감사합니다!</t>
  </si>
  <si>
    <t>친절히 케어해주셔서 감사합니다.</t>
  </si>
  <si>
    <t>늦은시간에 친절하게 응대해주셔서 감사합니다!!</t>
  </si>
  <si>
    <t>해결은 안됬지만 노력해주셔서 감사합니다</t>
  </si>
  <si>
    <t>친절하고 신속하게 어떤게 문제인지 예상되었던것들을 말해주시고 점검해주셨는데 5분도 안걸렸습니다 빠르게 처리해주셔서 감사합니다</t>
  </si>
  <si>
    <t>늦은 시간에도 빠른 상담 받을 수 있어서 좋습니다. 감사합니다.</t>
  </si>
  <si>
    <t>너무 친절하셔서 더 할말이 없습니다 문제 해결도 원만하게 됐고 설명도 친절하게 해주셔서 너무 감사합니다</t>
    <phoneticPr fontId="1" type="noConversion"/>
  </si>
  <si>
    <t>친절하게 그림까지 그려주시면서 설명... 신속하고 정확한 설명 좋았습니다.</t>
    <phoneticPr fontId="1" type="noConversion"/>
  </si>
  <si>
    <t>세세히 알려주시고 꼼꼼히 체크해주셔서 감사합니다!!문제 해결 되었습니다!</t>
    <phoneticPr fontId="1" type="noConversion"/>
  </si>
  <si>
    <t>바로 해결해주셨어요 매우 신속하고 빠르게 해결해주셨습니다 기분이좋아요 야호</t>
    <phoneticPr fontId="1" type="noConversion"/>
  </si>
  <si>
    <t>다른 얘기 안하고 바로 빠르고 명쾌한 해결책 주셔서 감사합니다.</t>
    <phoneticPr fontId="1" type="noConversion"/>
  </si>
  <si>
    <t>친절하게 하셨습니다</t>
  </si>
  <si>
    <t>도움주셔서 감사합니다</t>
  </si>
  <si>
    <t>친절하십니다. 컴퓨터 내의 필요 없는 것들도 삭제 해주셨고 삭제 시 왜 삭제해야 하는지에 대한 차분한 설명도 해주셨습니다. 밝게 말씀해주셔서 기분도 좋게 마무리 됐네요 감사합니다.</t>
  </si>
  <si>
    <t>친절하시고 자세하게 설명도 해주시고 매우 만족했습니다</t>
  </si>
  <si>
    <t>정확한 진단 및 친절한 응대가 좋았습니다. 감사합니다.</t>
  </si>
  <si>
    <t>친절하게 문제를 잘 해결해주셨어요 감사합니다</t>
  </si>
  <si>
    <t>친절하고 상세히 안내 해 주었습니다</t>
  </si>
  <si>
    <t>너무 친절하시고 편하게 상담 받았습니다!</t>
  </si>
  <si>
    <t>편리한 서비스였고, 친절한 응대였습니다. 감사합니다.</t>
  </si>
  <si>
    <t>아주친절히 설명 받았습니다</t>
  </si>
  <si>
    <t>친절한 응대및 조치 감사합니다 수고하세요</t>
  </si>
  <si>
    <t>감사함니다</t>
  </si>
  <si>
    <t>감사합니다. 원격문제에 대한 원인 설명을 잘 듣고, 해결해주셨습니다.~~</t>
  </si>
  <si>
    <t>신속하고 쉽게 잘 설명해 주셨어요.만족합니다</t>
  </si>
  <si>
    <t>서비스 잘 받았습니다. 수고하세요</t>
  </si>
  <si>
    <t>너무 빠르게 문제를 잘 짚어주시고 해결해주셨고 엄청 친철하였어요</t>
  </si>
  <si>
    <t>뭐가 문제인지 알기 쉽게 설명을 잘해주셔서 너무 감사합니다.</t>
  </si>
  <si>
    <t>무엇이 문제인지 알기쉽게 설명해주시고 문제해결을 위해 랜카드 업데이트까지 해주셔서 너무 감사합니다.</t>
  </si>
  <si>
    <t>친절히 상담해주셔서 너무 감사합니다~~</t>
  </si>
  <si>
    <t>빠르게 체크해주셔서 감사합니다.</t>
  </si>
  <si>
    <t>고마음 말씀 감사합니다</t>
  </si>
  <si>
    <t>매우 친절하시고 설명도 하나 하나 자세하게 쉽게 설명해주셔서 너무 좋았습니다.</t>
  </si>
  <si>
    <t>상세하고 친절하십니다. 감사합니다.</t>
  </si>
  <si>
    <t>아주 친절한 설명과 적절한 조취를 해주셨어요!</t>
  </si>
  <si>
    <t>친절하고 자세하게 알려주셨어요 감사합니다.</t>
  </si>
  <si>
    <t>아주 빠르고 친절하게 서비스 해주셨습니다 감사합니다.</t>
  </si>
  <si>
    <t>친절하게 잘 설명들었습니다 수고하세요....</t>
  </si>
  <si>
    <t>친절하고 쉽게 응대해주셔서 감사드립니다.</t>
  </si>
  <si>
    <t>확실히 LG가 좋다</t>
  </si>
  <si>
    <t>친절하고 명확한 상담으로 문제를 파악하여 해결첵을 알려 주셨습니다.</t>
  </si>
  <si>
    <t>친절한 대응 감사합니다~</t>
  </si>
  <si>
    <t>정확하게 잘 처리되었습니다. 만족합니다^^~~</t>
  </si>
  <si>
    <t>필요한 정보 위주로 빠르게 점검을 진행해주셨습니다.</t>
  </si>
  <si>
    <t>친절한 서비스 최고입니다</t>
  </si>
  <si>
    <t>친절히 잘해주셔서 감사합니다</t>
  </si>
  <si>
    <t>친절하게 명확하게 서비스 되었습니다.</t>
  </si>
  <si>
    <t>서비스가 많이 좋아졌네요</t>
  </si>
  <si>
    <t>정말 최고였어요 !! 감사합니다!!</t>
  </si>
  <si>
    <t>친절히 잘 설명해 주셔서 감사합니다.</t>
  </si>
  <si>
    <t>원격으로 랜카드 설치해주시고 너무친절하시고 전문적이세요</t>
  </si>
  <si>
    <t>빠른 확인 및 조치 그리고 빠르게 연락주셔서 상황 설명 및 추후 동일 증상일때 처리방법등 친절하게 설명해 주셔서 좋았습니다.</t>
  </si>
  <si>
    <t>최고였습니다~!!!! 자세한 설명 받아서 빠르게 조치할 수 있었어요!</t>
  </si>
  <si>
    <t>상담 잘 받았습니다. 감사합니다.</t>
  </si>
  <si>
    <t>A/S 요청 전화를 받고 즉시 원격진단을 해주시고 즉시 조치도 해 주시면서 현재 상테에서 PC의 약점도 알려주셔서 향후 대응 방안도 알게 되었습니다~! 짧은 시간에 궁금증을 해결해 주셔서 매우 감사ㅏㅎㅂ니다~^^</t>
    <phoneticPr fontId="1" type="noConversion"/>
  </si>
  <si>
    <t>인터넷 속도 문의 원격 진단 받았습니다. 친절하게 설명해주시고 추가적으로 문제 발생 시 조치설명까지 해주셔서 감사합니다. 원격 진단 안 받았으면 생 돈 나갈 뻔 했습니다. 진심으로 감사합니다...</t>
    <phoneticPr fontId="1" type="noConversion"/>
  </si>
  <si>
    <t>친절한 설명과 안내 감사합니다</t>
  </si>
  <si>
    <t>매우 친절하게 도와주셨습니다</t>
  </si>
  <si>
    <t>원격지원은 처음인대요 생각보다 훨씬 좋네요 만족합니다</t>
  </si>
  <si>
    <t>네.만족합니다</t>
  </si>
  <si>
    <t>빠른 진단과 친절함으로 서비스를 너무나 만족 하였습니다 감사합니다.</t>
  </si>
  <si>
    <t>정말 자세하게 하나하나 알려주셔서 편하게 받을수있었습니다 감사합니다</t>
  </si>
  <si>
    <t>매우 친절하고 정확하게 설명해 주셔서 감사합니다</t>
  </si>
  <si>
    <t>친절하게 잘 상담해주셨습니다~</t>
  </si>
  <si>
    <t>빠르고 정확하네요</t>
  </si>
  <si>
    <t>친절하게 설명해주시고 감사합니다</t>
  </si>
  <si>
    <t>친절하게 잘 설명 도와주셨습니다.</t>
  </si>
  <si>
    <t>담당 서버분께서 친절하고 빠르게 바로 해결해주셨습니다 감사합니다 !</t>
  </si>
  <si>
    <t>너무 잘해주심 뭘 하려는지 딱 알아채심</t>
  </si>
  <si>
    <t>LG유플러스 인터넷 서비스를 이용해보니 매우 만족스러웠습니다. 인터넷 속도도 안정적이고 설치 기사님도 친절하게 설명해주셔서 편리하게 사용할 수 있었습니다. 앞으로도 좋은 서비스 부탁드립니다.</t>
  </si>
  <si>
    <t>스마트 원격진단 처음에 배정 되지 않아 오래 기다린 것 빼고는 전체적인 상담원의 상담과 처리과정은 좋았습니다.</t>
  </si>
  <si>
    <t>너무 쉽게 설명해주시고 친절히 문제해결해 주셔서 얼마나 감사한지 몰라여... 이렇게 문제해결이 되어 속시원하네여...^^ 감사합니다....</t>
  </si>
  <si>
    <t>친절하시고 잘 알려주셔서 좋았습니다</t>
  </si>
  <si>
    <t>빠른 연락 감사합니다.</t>
  </si>
  <si>
    <t>너무 섬세하고 다정하시네요 ㅎㅎ 감동입니다. 사실상 직접적인 인터넷문제도 아니였고 제가 가지고 있는 컴퓨터 문제였었는데, 제가 원인이라고 생각했던 인터넷 부분의 문제도 너무 주체적으로 하나하나 짚어주시면서 적극적으로 해결해주실려고 하구 결과적으로는 컴퓨터 문제라는게 저도 납득이 될만큼 말씀해주셔서 그냥 ㅎㅎ 도움받으면서 기분이 많이 좋았던 것 같습니다. 감사합니다!</t>
  </si>
  <si>
    <t>원격 서비스로 해결은 못했지만 차후 해결 방안에 대해서는 자세히 설명 해주셨습니다.</t>
  </si>
  <si>
    <t>친절하게 설명도 잘해주시고 신속하게 처리해주셔서 정말 감사드립니다. 추석연휴 잘 보내시고 항상 행복하세요</t>
  </si>
  <si>
    <t>감사합니다. 친절하고 메 너 가 좋아 편하게 서비스를 받았습니다 차분한 목소리가 인상 깊었습니다 감사합니다.</t>
  </si>
  <si>
    <t>친절하시고 잘 해결되었습니다.</t>
  </si>
  <si>
    <t>깔끔하네요</t>
  </si>
  <si>
    <t>제품 외 다른 서비스(나스) 호환 연결까지 도와주셔서 시간도 절약하고 큰 도움받았습니다. 감사합니다!</t>
  </si>
  <si>
    <t>정말 친절하시고, 알기 쉽게 설명해주세요. 최고! 궁금한 점도 군더더기 없이 알려주셔서 아주 만좃합니다!</t>
  </si>
  <si>
    <t>친절하게 설명해 주셔서 감사합니다!</t>
  </si>
  <si>
    <t>친절한 안내 감사드립니다!!!!!!!!!!!!!!</t>
  </si>
  <si>
    <t>세심하게 잘 체크해주시고 친절히 상담해 주셔서 매우 만족합니다.</t>
  </si>
  <si>
    <t>만족합니다 감사합니다!</t>
  </si>
  <si>
    <t>친절하게 문제를 해결해주시고 어떻게 해야하는지를 알기 쉽게 설명해주셨습니다.</t>
  </si>
  <si>
    <t>친절하고 자세한 답변과 점검 해 주셔서 감사합니다</t>
  </si>
  <si>
    <t>늦은시간에 빠르게 nas 설정해주셔서 감사합니다.</t>
  </si>
  <si>
    <t>스마트원격진단 서비스를 이용하면서 겪었던 불편함이 신속하고 완벽하게 해결되어 매우 만족스럽습니다. 처음 원격 서비스를 요청했을 때부터 연결이 매우 빠르고 안정적이었으며, 기술 담당자님의 전문적인 지식과 친절한 설명 덕분에 안심하고 모든 과정을 지켜볼 수 있었습니다. 특히, 제 PC의 문제를 정확히 진단하고 해결해 주시는 모습에서 숙련된 기술력이 느껴졌습니다. 문제 해결 후에는 사용된 모든 실행 파일이 깔끔하게 삭제되었다는 안내를 받아 보안에 대한 걱정도 전혀 없었습니다. '원격연결이 종료되었습니다. 안심하고 사용하시면 됩니다'라는 메시지처럼, 실제로 PC가 훨씬 쾌적해져 최고의 서비스 품질을 경험했습니다. 앞으로도 이런 높은 수준의 원격 점검 서비스를 지속해 주시길 기대하며, 주저 없이 주변에 추천하고 싶습니다.</t>
    <phoneticPr fontId="1" type="noConversion"/>
  </si>
  <si>
    <t>문제해결을 전문가 실력으로 가장 빠르게 해결하시고 친절하게 설명도 해주셨습니다.</t>
    <phoneticPr fontId="1" type="noConversion"/>
  </si>
  <si>
    <t>너무 친절하게 잘 알려주셨습니다.</t>
  </si>
  <si>
    <t>자세히 알려 주시고 좋은 도움을 주셨습니다. 감사드립니다. 행복하게 좋은 하루 보내세요</t>
  </si>
  <si>
    <t>초기 상담사 분이 저희 의도를 이해 하지 못했지만 전체적인 상담은 친절하게 이루어 졌습니다.</t>
  </si>
  <si>
    <t>너무좋습니다 ~~</t>
  </si>
  <si>
    <t>빠른처리로 확인가능했슴니다.</t>
  </si>
  <si>
    <t>빠른고 좋아요</t>
  </si>
  <si>
    <t>whgdkdy</t>
  </si>
  <si>
    <t>답답한 상황에서도 친절히 설명해주시고 도와주셔서 감사합니다.</t>
  </si>
  <si>
    <t>너무만족했습니다</t>
  </si>
  <si>
    <t>친절하게 잘 설명해주셔서 고맙습니다</t>
  </si>
  <si>
    <t>상세하게 점검하여 원인을 찾기 위해 노력해주시고 친절하게 설명해주셔서 좋았습니다.</t>
  </si>
  <si>
    <t>설명을 너무 자세하고 친절하게 해주셨어요. 너무 감사드립니다.!</t>
  </si>
  <si>
    <t>빠른진단 친절한 상담 감사드립니다</t>
  </si>
  <si>
    <t>친절하게 문제점을 찾아서 해결해주셨음</t>
  </si>
  <si>
    <t>친절하게 문제의 부분을 잘 설명해 주시고, 해결해 주셨습니다. 감사합니다.</t>
  </si>
  <si>
    <t>아주 깔끔 명료하게 문제를 해결해주셨어요 친절하게 질문사항에대해 자세히 설명해 주셨어요 만족합니다</t>
  </si>
  <si>
    <t>친절한 상담을 상세하게 해주셨고, 모르는 부분에 대하여 꼼꼼하게 체크하며 알려주셨습니다.</t>
  </si>
  <si>
    <t>너무 친절히 잘해주셔서 감사합니다~^^</t>
  </si>
  <si>
    <t>너무 친절하시고 제가 궁금했던점과 문제점 모두 완벽하게 해결해주셨습니다 나중에 문제가 생겼을시 대처방법까지 너무 잘 알려주셨어요 별을 더 드릴 수 있으면 더 드리고 싶네요</t>
    <phoneticPr fontId="1" type="noConversion"/>
  </si>
  <si>
    <t>빠른 진단 과 정확한 진단으로 복구해 주셔서 감사합니다. 유플러스 최고!!!!</t>
    <phoneticPr fontId="1" type="noConversion"/>
  </si>
  <si>
    <t>서비스가 친절하고 하나부터 열까지 잘설명주십니다. 반복적으로 똑같은말을해도 잘이해해주시고 다시설명해주십니다. 칭찬합니다.</t>
    <phoneticPr fontId="1" type="noConversion"/>
  </si>
  <si>
    <t>친절하세 상담해주셔 감사합니다</t>
  </si>
  <si>
    <t>어우 아주 속 시원하게 설명해주시고 친절하게 해주셔서 너무 감사하네요 감사합니다~</t>
  </si>
  <si>
    <t>잘되네요 감사합니다..</t>
  </si>
  <si>
    <t>친절히 설명을 잘 해 주시고 다음 고장시의 처리방법도 알려 주셨습니다. 감사합니다.^^</t>
  </si>
  <si>
    <t>속도가 잘 나왔네요^^ 다행입니다~ 감사합니다! 풍성한 한가위되세요 그리고 너무 친절해서 좋았어요!</t>
  </si>
  <si>
    <t>굉장히 친절하시고 문제해결을 잘 해주셨습니다. 너무 감사드립니다.</t>
  </si>
  <si>
    <t>친절하게 봐주시고 점검도 꼼꼼하게 해주셨어요. 문제도 깔끔하게 해결됐습니다. 감사합니다!</t>
  </si>
  <si>
    <t>너무 친절하게 깔끔하게 잘해주셨어요 ! 문제도 해결 다해주시고 ! 너무 감사합니다 !</t>
  </si>
  <si>
    <t>친절하게 처리해 주시고 설명을 잘 해주셔서 만족합니다.</t>
  </si>
  <si>
    <t>전애 같은증상으로 뵙던분이라 오늘도 친절하게 상담잘해주시고 편하게 대해주셔 증상해결도하고 편한하고 즐거운상담이 였습니다 감사합니다 김태환 상담사 님</t>
  </si>
  <si>
    <t>수고하셨습니다 잘밭았습니다</t>
  </si>
  <si>
    <t>인터넷 연결에 대해서 잘은 모르지만, 눈으로보며 설명을 해주시니 조금은 이해하기 쉬웠으며, 친절하게 말씀해주셔서 감사했습니다.</t>
  </si>
  <si>
    <t>빠르고 친절합니다.감사합니다.</t>
  </si>
  <si>
    <t>직관적인 설명 아주 감사합니다.</t>
  </si>
  <si>
    <t>빠른 점검 감샇랍니다</t>
  </si>
  <si>
    <t>원격진단 신세계네요 전에 쓸땐 이런거 못본듯한데 새로운 경험 해봅니다~</t>
  </si>
  <si>
    <t>컴퓨터 잘모르는데 너무 친절하시고 잘 해주셔서 감사드립니다... 최고 입니다....</t>
  </si>
  <si>
    <t>아니요불편해요</t>
  </si>
  <si>
    <t>엄청 친절하셨습니다 큰 문제는 아니였지만 골치아팠던일인데 단번에 해결해주셨어요!!</t>
  </si>
  <si>
    <t>친절 하고 전문적 이십니다.</t>
  </si>
  <si>
    <t>필요한 조치를 충분하고 친절히 안내 받았습니다.</t>
  </si>
  <si>
    <t>친절하게 꼼꼼히 봐주셔서 너무 좋았습니다 감사합니다</t>
  </si>
  <si>
    <t>써봐야 알겠지만 친절한상담 감사합니다.</t>
  </si>
  <si>
    <t>신속,정확,친절 감사합니다.</t>
  </si>
  <si>
    <t>빠른상담 감사합니다.</t>
  </si>
  <si>
    <t>상세하게 . 이해가쉽게 잘 진단 및 설명해주셔서 감사했습니다. 도움이 크게되었습니다</t>
  </si>
  <si>
    <t>cl친절감사합니다</t>
  </si>
  <si>
    <t>감사합니다. 수고하세요.</t>
  </si>
  <si>
    <t>친절하고만족했습니다</t>
  </si>
  <si>
    <t>친절하시고 일단 문제를 빠르게 체크하고 안내해주셨어요 작업시간도 빨라서 좋았고 제가 체크못하는 부분까지 신경써서 마무리해주셔서 좋았습니다~~ 다음에도 또 부탁드리고싶어요~ 감사합니다~</t>
  </si>
  <si>
    <t>점검 매우 잘 받았습니다. 친절하시고 말씀도 알아 듣기 쉽게 잘 설명해 주셔서 감사합니다.</t>
  </si>
  <si>
    <t>원격으로 잘 처리해 주셨습니다.</t>
  </si>
  <si>
    <t>친철하고 문제해결이 빨랐습니다</t>
  </si>
  <si>
    <t>빠른대응 이후 신속히해결</t>
  </si>
  <si>
    <t>점검받고 문제해결되어서 만족합니다</t>
  </si>
  <si>
    <t>친절하고 이해하기쉽게 잘 설명해주셔서 좋았어요 . 문제점도 잘 해결되서 좋습니다!</t>
  </si>
  <si>
    <t>친절해서 감사합니다.</t>
  </si>
  <si>
    <t>매우 친절 하십니다.</t>
  </si>
  <si>
    <t>고맙고 감사합니다 최고의기술임니다,</t>
  </si>
  <si>
    <t>너무나 친철하게 잘 안내 설명 해주심 정말로 감사합니다.사용후 불편부분생기면 조치 하는법까지 안내 받아서 더욱더 좋았습니다.</t>
  </si>
  <si>
    <t>아주 친절하시고 전문적인 부분까지 세세하게 점검 받았습니다 고맙습니다</t>
  </si>
  <si>
    <t>매우 친절하고 설명을 잘해주셨습니다.</t>
  </si>
  <si>
    <t>친절하게 하나하나 알려주셔서 알아듣기 편했습니다 감사합니다</t>
  </si>
  <si>
    <t>친절하게 꼼꼼하게 하나하나 알려주셔서 쉽게 이해했고, 상담사분이 친절하셔서 기분좋게 통화종료했습니다! 감사합니다^^</t>
  </si>
  <si>
    <t>친절하게 바로 해결해주셨습니다 감사합니다!</t>
  </si>
  <si>
    <t>우선 늦은시간에 상담해주셔서 감사하다는 말씀드리고 컴퓨터에 대해서 잘모르고 있어서 걱정됐는데 알아듣기 쉽게 친절하게 잘 상담해주셔서 감사했습니다</t>
  </si>
  <si>
    <t>한번에 알아 들을 수 있는 설명 너무 감사 합니다.</t>
  </si>
  <si>
    <t>연결되는 순간부터 모든 상담원들이 정말 친절하시고 전화도 안끊기고 특히 마지막 원격으로 신속하고 친절하게 상담해주신 직원분 특히 더 감사합니다 모두모두 수고하셨습니다 해피한 추석 되세요~~</t>
    <phoneticPr fontId="1" type="noConversion"/>
  </si>
  <si>
    <t>친절하게 잘 설명해주시고, PC에 대한 문제점도 같이 알려주셔서 복합적인 해결과 이해를 도와주셔서 감사합니다 .</t>
    <phoneticPr fontId="1" type="noConversion"/>
  </si>
  <si>
    <t>친절하게 설명해주셔서 이해하기 수월했습니다.</t>
  </si>
  <si>
    <t>친절하시고 확실하게 잡아주셔서 너무편했습니다. 최고</t>
  </si>
  <si>
    <t>알기쉽게 설명해주시고 원인과 이유를 잘 말씀해주셔서 감사드립니다</t>
  </si>
  <si>
    <t>친절하게 잘 해주셔서 감사드립니다</t>
  </si>
  <si>
    <t>빠른진단 빠른대처감사합니다</t>
  </si>
  <si>
    <t>매우 친절하셨습니다 단순 정비 외에도 기술적인 부분까지 가르쳐 주셔서 도움이 많이 되었습니다 감사합니다</t>
  </si>
  <si>
    <t>친절하고 상세하게 가르쳐 주시고 점검을 잘해주셨습니다 감사합니다</t>
  </si>
  <si>
    <t>ok</t>
  </si>
  <si>
    <t>잘 받았습니다 친절한상담 감사합니다</t>
  </si>
  <si>
    <t>다들 친절하셧어요</t>
  </si>
  <si>
    <t>친절하고 세세하게 설명해줘요</t>
  </si>
  <si>
    <t>빠르게 잘 진단해주셨습니다 !</t>
  </si>
  <si>
    <t>친절하시고 빠른 해결 감사합니다!!</t>
  </si>
  <si>
    <t>친절하게 잘 도와주셔서 만족합니다.</t>
  </si>
  <si>
    <t>친절한 응대 감사합니다~^^</t>
  </si>
  <si>
    <t>잘해결됐어요</t>
  </si>
  <si>
    <t>너무 빠르게 처리되었습니다.,감사합니다.</t>
  </si>
  <si>
    <t>I can t write korean I m satisfied with the service.</t>
  </si>
  <si>
    <t>깔끔하고 편하게 해결해주셧어요</t>
  </si>
  <si>
    <t>쉽고 빠르게 설명해주셔서 좋았습니다!</t>
  </si>
  <si>
    <t>빠르고 친절하게 대응해주셨습니다.</t>
  </si>
  <si>
    <t>해결 감사합니다~~ 최고예요~~</t>
  </si>
  <si>
    <t>상세하게 설명해주셔서 감사합니다</t>
  </si>
  <si>
    <t>통화 시작부터 마무리까지 기술적인 문제점에 대한 상세하고 친절한 상담에 깊이 감사드립니다. LG 유플러스 사용에 많은 신뢰를 주는 의미있는 상담으로 판단합니다. 감사합니다.</t>
  </si>
  <si>
    <t>rr</t>
  </si>
  <si>
    <t>상담을 친절히 해주시고 즉흥적인 질문에도 상세하게 대답해주셔서 좋았습니다.</t>
  </si>
  <si>
    <t>친절하시고 꼼꼼하게 봐주셨어요</t>
  </si>
  <si>
    <t>친절하게 상당해주셔서 감사합니다.</t>
  </si>
  <si>
    <t>친절하고 빠르게 문제점 찾아내서 해주셨어요</t>
  </si>
  <si>
    <t>늘 친절하고 상세한 설명 주셔 감사드립니다. 편한 명절 보내세요</t>
  </si>
  <si>
    <t>대응이 빨랐어요</t>
  </si>
  <si>
    <t>인내심 있게 친절하게 처리해 주셔서 감사합니다!</t>
  </si>
  <si>
    <t>상담사분은 공감과 설명을 잘해주셨고, AS기사분은 오늘 컴퓨터 처음 설치했다니까 부가적으로 도움주셨는데, 친절에 너무 감사드립니다!</t>
  </si>
  <si>
    <t>너무 쉽게 설명해 주시고 너무 친철해요!!! 학생인 저도 알기 쉽게 말해주셔서 정말 편했습니다! 다음에 또 검사를 받게 된다면 이분한테 받고싶네요!</t>
  </si>
  <si>
    <t>공유기랑 인터넷 접속 딱히 문제가 없었습니다!</t>
  </si>
  <si>
    <t>만족합니다 감사합니다</t>
  </si>
  <si>
    <t>명절 연휴 기간에도 고생이 많으신데 너무 친절하고 빠르게 쉽게 도와주셨어여 너무 감사합니다</t>
  </si>
  <si>
    <t>깔끔하게 작업해주시고 친절하게 상담해주셧습니다 !</t>
  </si>
  <si>
    <t>친절하게 자세히 설명으 해 주네요</t>
  </si>
  <si>
    <t>잘봐주셧습니다.</t>
  </si>
  <si>
    <t>친절히 잘받앗습니다~</t>
  </si>
  <si>
    <t>상당원이랑 원격점검 서비스 기사님 모두 너무 친절하시고 잘 해주셔서 감사합니다.엘지 유플러스 계속 사용할수 있는 이유입니다,</t>
  </si>
  <si>
    <t>보통의 기술부서는 일반인이 알아듣지 못하는 말만 하는데 김태형 기사님은 알아듣기 쉽고 친절하게 잘 응대해 주셨습니다. 손봐주신 부분으로 문제증상이 꼭 완화되면 좋겠네요 연휴에 도움주셔서 감사합니다.</t>
  </si>
  <si>
    <t>주말임에도 불구하고 친절한 목소리톤으로 끝까지 응대해주셔서 감사했습니다</t>
  </si>
  <si>
    <t>바쁜 연휴에도 빠른 조치로 문제를 잘 해결 할 수 있었습니다. 원격점검팀 고맙습니다</t>
  </si>
  <si>
    <t>친절한 상담 감사합니다~ 목소리도 좋으셔서 듣기가 좋았어요 빠르게 점검해주시고 만족스런 상담이었습니다</t>
  </si>
  <si>
    <t>유용합니다.</t>
  </si>
  <si>
    <t>김태환 선생님께서 명절인데도 불구하고 고객을 위해 많이 참아주시고 잘 대응해주셔서 잘 사용하게 되었습니다. 제가 잘 몰라서 어리버리하는데 목소리에 친구처럼 겁나 밝게 유머러스하게 잘 가르쳐주셨습니다. 감사합니다. 추석 연휴 잘 보내시고 항상 감사합니다. 유플러스 화이팅</t>
    <phoneticPr fontId="1" type="noConversion"/>
  </si>
  <si>
    <t>친절하게 말씀해주시고, 원인과 과정 설명을 상세하게 해주셨어요 연휴 끝이라 고객요청이 많으셨을건데 친철한 말씀감사합니다. 좋은 하루 되세요</t>
  </si>
  <si>
    <t>직접 했는데 안되서 통화했는데 해결됬다고 뜨네요</t>
  </si>
  <si>
    <t>윈도우10을 깔고 인터넷이 수시로 끊어지는 문제가 발생했습니다 기사님께서 통화를 통해 수리를 진행해 주셨고 수리 과정을 보면서도 인터넷망의 문제라기보다는 제 컴퓨터의 문제임을 인식하게 되었습니다 그럼에도 불구하고 너무 성심성의껏 친절히 상담과 조치를 해주셔서 너무 감사했습니다.</t>
  </si>
  <si>
    <t>원격진단결과 컴퓨터에 문제없고 업체컴퓨터에 문제가있는것확인했습니다 성실하게 진단해주셔서 정말 감사합니다 수고하셨습니다</t>
  </si>
  <si>
    <t>친절하였습니다</t>
  </si>
  <si>
    <t>빠른원인파악으로 문제점을 찾은거 같습니다</t>
  </si>
  <si>
    <t>정말로 친절하고 상세하게 설명해주셨습니다.</t>
  </si>
  <si>
    <t>최고의 서비스입니다 ㅎㅎ</t>
  </si>
  <si>
    <t>너무 친절하시구 제가 잘모르는 부분도 잘 설명해 주셔서 너무 감사드립니다.</t>
  </si>
  <si>
    <t>원격이라 편하네요</t>
  </si>
  <si>
    <t>시간이 걸렸지만 잘 설명해줘서 너무 감사히 상담 받았습니다 아는것이 없다보니 너무 친절하게 알려주시고 변경해주셔서 감사합니다~늦져지만 추석 잘보내셨으면 좋겠습니다</t>
  </si>
  <si>
    <t>편리하고 빠르게 해결해주셔서 감사합니다</t>
  </si>
  <si>
    <t>설명을 잘해주시고 친절하세요!!</t>
  </si>
  <si>
    <t>너무 친절하시고 신경써 주셔서 감사합니다</t>
  </si>
  <si>
    <t>원격조치를 처음 받아보는 입장에서 전문적 조치를 방문없이 해주신다는게 신기하고 감사합니다. 다만 통화를 진행하면서 원격조치 하는쪽이 좀 더 신뢰가 가고 불안도 덜할것 같습니다.</t>
  </si>
  <si>
    <t>친절하게 증상 설명받았습니다.</t>
  </si>
  <si>
    <t>제 상황에 맞게끔 여러가지 경우까지 다 고민해주시고 조치해주셔서 너무 감사했습니다. 왜 안되는지도 명확하고 쉽게 설명해주셔서 납득이 되고, 다른 방법으로 설정 변경하고 어떤 차이가 있는지에 대해서도 대해서도 수준에 맞게 설명해주셔서 너무 감사했습니다.</t>
  </si>
  <si>
    <t>문재 바로해결됨 굿</t>
  </si>
  <si>
    <t>친절하게 원하는 부분 잘 처리해주셔서 감사합니다.</t>
  </si>
  <si>
    <t>정말 친절하시고 상세한 부분까지 설명 잘해주셔서 해결했습니다ㅎㅎ 매우만족합니다</t>
  </si>
  <si>
    <t>친절하게 상담 잘 받고 문제도 해결되었어요..</t>
  </si>
  <si>
    <t>친절하게 잘 설명해주셔서 컴퓨터 잘 모르는 저도 이해 잘 하였습니다.</t>
  </si>
  <si>
    <t>감사합니다 너무 친절하세용</t>
  </si>
  <si>
    <t>친절하게해주셔 감사합니다.</t>
  </si>
  <si>
    <t>친절하게 하나부터 차근차근 잘 알려주셔서 편하게 알았습니다~! 다음에 또 이런일 발생되면 이 분이 해줬으면 좋겠어요</t>
  </si>
  <si>
    <t>도움 많이 되었습니다</t>
  </si>
  <si>
    <t>대단히 친절하시고 설명 감사드립니다.</t>
  </si>
  <si>
    <t>인터넷 끊기는 현상이 있었는데 친절하게 설명 잘 해주셨습니다!! 대처 방안까지 깔끔하게 설명해주셔서 이해가 잘 됐습니다 ㅎㅎ 감사합니다</t>
  </si>
  <si>
    <t>수리 잘 받았습니다. 매번 감사 드립니다.</t>
  </si>
  <si>
    <t>빠르고 친절한 설명과 해결 감사드립니다!!</t>
  </si>
  <si>
    <t>아예 몰라서 막막했는데 감사합니다. 친절하고 좋으십니다</t>
  </si>
  <si>
    <t>기사님이 스마트원격진단을 해주셨더니, 스팀도 닌텐도 어카운트도 정상적으로 고쳐진 거 같습니다! 거기다 추석연휴때 저희만 그런 오류가 뜬 게 아니었네요... 감사합니다.</t>
  </si>
  <si>
    <t>태도가 매우 좋았고, 문제도 아주 빠르게 해결해주셔서 정말 감사합니다!</t>
  </si>
  <si>
    <t>원인 파악을 해주셔서 감사합니다 지원 감사드립니다.</t>
  </si>
  <si>
    <t>친절한 상담과 정확한 약속시간 준수 최고입니다!</t>
  </si>
  <si>
    <t>친절하시고 빠르고 좋습니다</t>
  </si>
  <si>
    <t>빠르게 알아봐주셔서 좋았습니다</t>
  </si>
  <si>
    <t>친절하게 안내받았고 당장 문제가 해결된건 아니지만 원인은 알았고, 점검후 기사방문 AS 신청하기로 함.</t>
  </si>
  <si>
    <t>친절, 신속하게 알기쉽게 잘 설명해주셔서 잘 처리 되었습니다. 만족^^</t>
  </si>
  <si>
    <t>친절하시고 문제해결을 빨리해주셨어요</t>
  </si>
  <si>
    <t>친절하고 이해가 잘 되게 설명을 해주셨어여</t>
  </si>
  <si>
    <t>친절하게 잘 처리해 주셨습니다 덕분에 마음놓고 사용할수 있을것 같습니다 감사합니다</t>
  </si>
  <si>
    <t>설명 감사합니다</t>
  </si>
  <si>
    <t>친절하게 문제해결에 힘써주셨으며 고민을 같이 찾아주고 파악하는데 힘써주셨어요</t>
  </si>
  <si>
    <t>친절하고 신속한 수리 감사합니다.</t>
  </si>
  <si>
    <t>친절하시고 제가 궁금한거 다 답해주셨습니다 감사합니다</t>
  </si>
  <si>
    <t>아주 만족스러웠습니다. 간단 명료가 가장 좋았습니다.</t>
  </si>
  <si>
    <t>친절해서 좋았어요</t>
  </si>
  <si>
    <t>기사님의 자세하고 친절한 대응 덕분에 모든 것이 해결되었습니다. 고맙습니다.^^</t>
  </si>
  <si>
    <t>역시 lg유플입니다. 손색없는 메너 엑기스한 실력 쵝오입니다 덕분에 좋은 주말 보낼 것 같습니다,기사님 감사합니다.</t>
  </si>
  <si>
    <t>친절하세요!!</t>
  </si>
  <si>
    <t>고객이 이해하기 쉽게 잘 설명해주시고 조치 해주셔서 감사합니다.</t>
  </si>
  <si>
    <t>친절하고 빠른 상담이 좋았습니다.</t>
  </si>
  <si>
    <t>신속한 대응으로 문제점을 정확하게 해결해 주셨습니다. 처리 중에 친절하고 자세하게 설명까지 해주셔서 감사했습니다.</t>
  </si>
  <si>
    <t>인터넷 끊김이 문제였었는데 너무 친절하게 처리해 주셔서 감사합니다. 진즉 전화드리고 해결할걸 고민만 하고 있었네요. 기사님 감사합니다. ~~</t>
  </si>
  <si>
    <t>일반인은 하기 어려운 설정들을 아주 쉽게 하시는게 너무 멋집니다 친절하면서 설명까지 잘해주셔서 감사합니다</t>
  </si>
  <si>
    <t>상담사 및 AS 기사 분께서 신속하게 원안을 진단해 주시고, 원인 규명 및 해결책을 주셨습니다.</t>
  </si>
  <si>
    <t>친절 상세한 답변 응대 아주 만족합니다</t>
  </si>
  <si>
    <t>빠르고 친절하게 문제 해결해주셧습니다</t>
  </si>
  <si>
    <t>너무 친절하게 상담해주시고 대응해주셔서 감사합니다~! 좋은하루 되세요~~~~</t>
  </si>
  <si>
    <t>빠르고 친절하세요 감사합니다.</t>
  </si>
  <si>
    <t>친절하게 잘 알려주셔서 감사합니다. 좋은 기사님입니다.</t>
  </si>
  <si>
    <t>매우 만족합니다. 상담원분 매우 친절하시고 깔끔하게 문제 해결 해 주셨음.</t>
  </si>
  <si>
    <t>친절하게 하나하나 다 설명해 주심</t>
  </si>
  <si>
    <t>빠른 조치 감사드립니다!</t>
  </si>
  <si>
    <t>친절하고 빠르게 잘해주셨습니다. 감사합니다.</t>
  </si>
  <si>
    <t>너무 감사합니다. 정말 신속하고 친절하고 정확하게 문제를 해결해주셨습니다. 항상 건강하시고 좋은하루 보내세요~</t>
  </si>
  <si>
    <t>c친절해서 좋았습니다</t>
  </si>
  <si>
    <t>상세한 설명과 빠른 조치로 도움 받았습니다.</t>
  </si>
  <si>
    <t>,</t>
  </si>
  <si>
    <t>안내 잘해주셔서 감사합니다</t>
  </si>
  <si>
    <t>완전 친절합니다! 제가 비전문가여서 잘모르는 부분까지 능동적으로 해결해주시는 모습을보고 이런 상담은 처음이다라는 느낌을 받았어요 최고입니다. lg u+만 쓸까봐요최고!!</t>
    <phoneticPr fontId="1" type="noConversion"/>
  </si>
  <si>
    <t>친절하고 꼼꼼하게 확인해주셔서 감사합니다.</t>
  </si>
  <si>
    <t>자세한 설명과 조치 감사합니다.</t>
  </si>
  <si>
    <t>전문적이며 신속한 대응입니다.</t>
  </si>
  <si>
    <t>원격으로 잘 파악해주셔서 감사합니다</t>
  </si>
  <si>
    <t>친절하게 서비스 잘받았습니다</t>
  </si>
  <si>
    <t>친절하시고 빠릅니다!</t>
  </si>
  <si>
    <t>어제 통화했을때 상담원분도 그렇고 방금 통화한 상담원분도 엄청 친철하게 잘알려주셨습니다 감사합니다 좋은하루되세요</t>
  </si>
  <si>
    <t>빠른 인터넷속도 체크와 담당자 금일 배정에 감사드립니다.</t>
  </si>
  <si>
    <t>친절하고 신속하게 잘 처리되었습니다. 감사합니다.</t>
  </si>
  <si>
    <t>간편하게 집에서 진받 받았어요</t>
  </si>
  <si>
    <t>직원이 너무 친절하게 알아 듣게 설명해주셔서 너무 좋았습니다.</t>
  </si>
  <si>
    <t>매우만족하십니다.</t>
  </si>
  <si>
    <t>넘 친절하게 잘 설명해주셨어요 ㅠㅠ 감동 그 자체 제가 못알아들을 용어에 대해서도 알아듣기 쉽게 설명해주시고ㅠㅠ 그리고 꼼꼼하게 진짜 가족처럼 해결해주려고 애써주시는 태도가 인상깊었답니다!!! lg u+ 감사합니다~</t>
  </si>
  <si>
    <t>필요한 정보를 친절하게 알려주셔서 감사합니다.</t>
  </si>
  <si>
    <t>친절했어요</t>
  </si>
  <si>
    <t>굴금한점 빨리 처리해주셔서 감사합니다~~!!!</t>
  </si>
  <si>
    <t>잘 점검해 주셔서 감사합니다.</t>
  </si>
  <si>
    <t>차근차근 설명해 주셔서 감사합니다</t>
  </si>
  <si>
    <t>감사합니다. 좋은 하루 되십시오.</t>
  </si>
  <si>
    <t>기사님이 친절하게 말씀 해주시고 쉽게 설명해주셔서 편안하게 통화했습니다. 감사합니다!</t>
  </si>
  <si>
    <t>친절 하게잘설명해주셔서감사합니다</t>
  </si>
  <si>
    <t>친절한설면 감사했습니다!^^</t>
  </si>
  <si>
    <t>너무 친절하게 잘 알려주셔서 감사합니다</t>
  </si>
  <si>
    <t>문제 확인에 있어 친절한 도움 주셔서 감사합니다.</t>
  </si>
  <si>
    <t>친절하고 꼼꼼하게 잘 해주셧습니다.</t>
  </si>
  <si>
    <t>빠른응대 및 친절한 안내 감사합니다</t>
  </si>
  <si>
    <t>감사힙니다...</t>
  </si>
  <si>
    <t>감사합미다</t>
  </si>
  <si>
    <t>마인크래프트 재밋게할게요</t>
  </si>
  <si>
    <t>친절하고 설명도 잘해주시고 만족합니다</t>
  </si>
  <si>
    <t>친절하시고 쉽게 잘 알려주셨습니다</t>
  </si>
  <si>
    <t>친절하게 잘 도와주셔서 만족합니다. 감사합니다.</t>
  </si>
  <si>
    <t>친절하지만 빠르고 정확하게 진단해주셨습니다. 감사합니다 ㅎㅎ</t>
  </si>
  <si>
    <t>간편하고 쉽게 설명해주셔서 잘 이해가 됐습니다 감사합니다</t>
  </si>
  <si>
    <t>문제에 대해 친절하고 상세히 설명해주시고 빠르게 처리해주셔서 아주 만족합니다 감사합니다</t>
    <phoneticPr fontId="1" type="noConversion"/>
  </si>
  <si>
    <t>친절하게 응대해주시고 다음 문제있을시에 어떻게 처리할지 피드백이 너무 잘되어서 좋네요</t>
    <phoneticPr fontId="1" type="noConversion"/>
  </si>
  <si>
    <t>친절하게 잘 설명해주면서 요청사항 잘 들어주셨습니다 감사합니다.</t>
  </si>
  <si>
    <t>상담원 분들의 친절한 설명 응대가 참 인상적이네요 좋은하루 되시길 바랍니다</t>
  </si>
  <si>
    <t>신속상담 감사합니다.</t>
  </si>
  <si>
    <t>수고하셨습니다..</t>
  </si>
  <si>
    <t>꼼꼼한점검 감사합니바</t>
  </si>
  <si>
    <t>pc에 대해서 몰랐던부분을 조금이나마 알게 되었습니다. 감사합니다.</t>
  </si>
  <si>
    <t>처음해보는 원격이엿는데 엄청 친절하게 잘 알려주셔서 너무 감사했습니다!!</t>
  </si>
  <si>
    <t>너무 신기하고 불필요하게 잡아 먹던걸 깔끔하게 지워주셨다 해서 너무 든든하고 친철하셔서 좋았습니다</t>
  </si>
  <si>
    <t>덕분에 어려운 문제 빨리해결했습니다</t>
  </si>
  <si>
    <t>기사님 너무 잘 해주시네요. 고장 사유까지 설명 잘 들었습니다.</t>
  </si>
  <si>
    <t>정확한 점검 신속한 처리에 매우 만족합니다</t>
  </si>
  <si>
    <t>편하고 좋네요</t>
  </si>
  <si>
    <t>신속하고 정확하게 너무 만족한 서비스를 해주셨네요 감사합니다^^</t>
  </si>
  <si>
    <t>친절하시고 원인파악빠름</t>
  </si>
  <si>
    <t>친절하게 서비스 진행해 주셔서 감사합니다~~</t>
  </si>
  <si>
    <t>친절.</t>
  </si>
  <si>
    <t>친절하게 안내해주셔서 감사합니다!</t>
  </si>
  <si>
    <t>친절하고 정확한 상담에 감사드립니다</t>
  </si>
  <si>
    <t>상담사님 및 기술지원팀 모두 너무 친절하게 도와주셔서 매우 만족합니다</t>
  </si>
  <si>
    <t>친절하게 설명해주시면서 전문성있게 처리해주셨습니다</t>
  </si>
  <si>
    <t>의문점을 해결할 수 있어서 감사합니다.</t>
  </si>
  <si>
    <t>너무 친절하게 잘 해결해주셨습니다! 최고!</t>
  </si>
  <si>
    <t>문제점을 구체적으로 말하기도전에 알아서 잘 설명해주시고 문제를 금방 해결해드렸습니다 아주 친절</t>
  </si>
  <si>
    <t>만족스럽습니다.</t>
  </si>
  <si>
    <t>하나 하나 친절하시고 섬세하게 원격으로 진단해주시고 상담해주시며 몰랐던 부분까지 가르쳐주셔서 최고로 만족합니다 감사합니다</t>
  </si>
  <si>
    <t>문제점을 확실하게 알려주셔서 문제점을 해결하려고합니다</t>
  </si>
  <si>
    <t>친절하게 설명 잘 해주셔서 아주 만족합니다!</t>
  </si>
  <si>
    <t>네.. 빠른 시간에 지원해 주셔서 감사합니다.</t>
  </si>
  <si>
    <t>안내 하시는분 모두 너무 너무 잘 안내를 잘해 주셔서 감사합니다. 궁금중이 해결 되었읍니다.....</t>
  </si>
  <si>
    <t>전문용어를 잘 모르는 아줌마도 이해하기 쉽게, 설명을 친절하게 해주셨습니다. 감사합니다.</t>
  </si>
  <si>
    <t>게임에 대한 이해도가 높으셔서 더 좋았어요! 설명도 잘해 주시고 넘 친절하셨어욥 ㅎㅎ 감사합니다 ㅜㅜ</t>
  </si>
  <si>
    <t>전문적이면서도 친절한 안내 감사드립니다. 서비스는 최고입니다.~~^^</t>
    <phoneticPr fontId="1" type="noConversion"/>
  </si>
  <si>
    <t>너무 친절하게 잘 해주셨어요! 모르는 부분 물어봐도 너무 친절하게 잘 알려주셔서 많이 알 수 있었습니다. 너무 신속하고 정확하게 해결해주셨습니다. 다음에도 잘 부탁드려요!</t>
    <phoneticPr fontId="1" type="noConversion"/>
  </si>
  <si>
    <t>친절하게 해결방법을 제시 해주셨어요. 감사합니다.</t>
    <phoneticPr fontId="1" type="noConversion"/>
  </si>
  <si>
    <t>친절한 상담 감사드립니다. 좋은 하루되세요</t>
  </si>
  <si>
    <t>일단 너무 친절하셨어요 사람이 말 한마디로 천냥빚을 갚는다고 하죠 인터넷에 문제가 생겼지만 친절한 대응으로 응해주셔서 아침부터 나빴던 기분이 조금은 나아진거 같습니다. 내적인 문제는 없다고 말씀 해 주셨고 기사님 방문 요청을 신청해 주셨습니다. 제가 컴에 문제가 있나 싶어 점검을 다 해봤지만 아무 이상이 없었습니다.</t>
  </si>
  <si>
    <t>빠른 처리에 감사드립니다</t>
  </si>
  <si>
    <t>설명도 친절하게 잘 해주시고 좋았습니다</t>
  </si>
  <si>
    <t>매우 친절하고 기술적인 문제를 쉽게 알려줘서 감사합니다</t>
  </si>
  <si>
    <t>어려운 상황인데 잘 해결해주시고 잘 설명해주셔서 감사합니다~</t>
  </si>
  <si>
    <t>친절하게 점검 잘 해주셨습니다.</t>
  </si>
  <si>
    <t>친절하고 그림판에 그림까지 그려주시면서 설명해 주면서 이해하기가 쉬웠습니다. 친절하고 쉬운 상담 감사합니다.</t>
  </si>
  <si>
    <t>너무 친절하게 잘 설명해 주시고, 조치해 주셔서 감사 합니다.</t>
  </si>
  <si>
    <t>아직은 결과 확인은 안되었지만.. 만족합니다</t>
  </si>
  <si>
    <t>신속,정확, 서비스 정신이 매우 좋았습니다.</t>
  </si>
  <si>
    <t>친철하게 설명도 너무 잘해주셨습니다.</t>
  </si>
  <si>
    <t>정혹한 내용전달이 되어 만족합니다</t>
  </si>
  <si>
    <t>도움주신 정보 최고입나 편리하고 대단히 감사 합니다</t>
  </si>
  <si>
    <t>친절하게 잘 설명해주시고 잘 고쳐주셔서 감사합니다 ~~ 즐거운 하루 되세요~~</t>
  </si>
  <si>
    <t>원격이지만 꼼꼼하게 확인해주셨습니다.</t>
  </si>
  <si>
    <t>매우 친절하십니다. 대화가 잘통해서 좋았습니다</t>
  </si>
  <si>
    <t>당황하셨을 순간도 있었지만 친절하게 답변 해주셨습니다</t>
  </si>
  <si>
    <t>친절상담 진행 빠른조치 감사합니다.</t>
  </si>
  <si>
    <t>설명도 잘해주시고 매우 친절하심</t>
  </si>
  <si>
    <t>잘설명해주시고 스마트원격진단도 자세히 알려주시고 좋습니다!</t>
  </si>
  <si>
    <t>친절하고 잘 조치해주십니다 감사합니다</t>
  </si>
  <si>
    <t>좋았습니다!</t>
  </si>
  <si>
    <t>아쉽네요 ㅡㅡ</t>
  </si>
  <si>
    <t>너무 친절하게 꼼꼼히 잘봐주셔서 너무 감사합니다 도움이 아주 크게되엇고 고객님께도 좋은안내 드릴수있어서 너무 고맙습니다.</t>
  </si>
  <si>
    <t>친절하게 피시점검 및 상담 잘 받았습니ㅑㅏㄷ</t>
  </si>
  <si>
    <t>친절하게 원격진단 해주셨습니다</t>
  </si>
  <si>
    <t>친절한 답변 감사드립니다~~</t>
  </si>
  <si>
    <t>아주 친절하게 구체적으로 듣기 편하게 설명해 주시고 이해하기 쉽게 말씀해 주셔서 감하했습니다</t>
  </si>
  <si>
    <t>추가적인 설명까지 너무 좋았습니다~ 다음에도 문의사항있으면 또 연락드리겠습니다~ 좋은하루 되세요!</t>
  </si>
  <si>
    <t>전문적인 지식과 기술력으로 고객에게 믿음을주고 문제점에대한 설명과 해결을 빠르게 해주셨습니다.</t>
  </si>
  <si>
    <t>빠르고 정확한 AS좋아요</t>
  </si>
  <si>
    <t>매우 친절하고 불편 이외의 사항까지 체크하시어 도움주셨습니다.</t>
  </si>
  <si>
    <t>친절하게 잘 설명 해주시더라고요^^</t>
  </si>
  <si>
    <t>빠르고 상세내용까지 알려주셔서 너무 속시원했네요 친절한 상담 감사합니다 ! 불편한 인터넷 사용이 상담으로 먼저 해결되는거 같아 좋았네요 !</t>
    <phoneticPr fontId="1" type="noConversion"/>
  </si>
  <si>
    <t>여태까지 모든 상담 전화 받은 분들중에 가장 친절한것 같아요. 제가 모르는 부분 물어도 정말 친절하게 세세히 다 가르쳐주고 방지할수 있는 방법까지 모두 설명해 주셨어요.이렇게 친절하게 상담하시는 분만 있었으면 좋겠네요. 기분이 하는일 때문에 안좋았는데 기분이 다 좋아졌어요. 감사합니다~</t>
    <phoneticPr fontId="1" type="noConversion"/>
  </si>
  <si>
    <t>어제 하루종일 씨름했던 문제가 해결되니 속이 시원합니다. 해결해주신 기사님 너무 감사해요. 조곤조곤 설명해주시면서 하나하나 짚어가주시니 원격화면 보는내내 신기하고 멋지고 그랬습니다^^ 문제가 있었던 부분 뿐만 아니라 다른기기에서도 프린터연결되게 알려주셔셔 감사했어요. 다시한번 감사합니다. 좋은하루 보내시길 바라요.</t>
    <phoneticPr fontId="1" type="noConversion"/>
  </si>
  <si>
    <t>친절상담 좋았습니다</t>
  </si>
  <si>
    <t>좋은 상담 감사합니다</t>
  </si>
  <si>
    <t>매우 친절 하셨고, 매우 신속 하셨고, 매우 정확 하셨습니다. 도움 주셔서 감사했어요!</t>
  </si>
  <si>
    <t>특별한 어려움없이 친절하게 설명해주셔서 매우 잘 해결 되었습니다.~</t>
  </si>
  <si>
    <t>아주 친절하게 상담도 잘해주시고 이 어려운 시기에 불편으로 상담을 했는데 아주 유쾌한 상담이 었습니다 항상 유쾌한 상담 부탁 드립니다.^^</t>
  </si>
  <si>
    <t>아주 자세하게 설명을 해주셨습니다. 또한 문제점도 잘 지적해주셔서 고쳐주셨습니다.</t>
  </si>
  <si>
    <t>고객센타 상담원 전화연결 무리없이 가능하고 상담원 궁금내용 매우 친절하였습니다. 감사합니다</t>
  </si>
  <si>
    <t>친절합니다. 굳좝</t>
  </si>
  <si>
    <t>친절한 상담 감사합니다 수고하세요~~</t>
  </si>
  <si>
    <t>빠른 원격상담지원 감사합니다.</t>
  </si>
  <si>
    <t>너무 착하셔서 좋았습니다</t>
  </si>
  <si>
    <t>빠르고 친절해요 잘 해주셨어요</t>
  </si>
  <si>
    <t>와이파이 연결 문제점을 컴퓨터 프로그램까지 파악해서 신속하게 처리 해주셔서 감사합니다</t>
  </si>
  <si>
    <t>고민되었던 부분이 빠르게 해결되서 너무 좋았어요ㅠㅠ 기사님도 매우 친절하시고 문제점을 정확히 짚어주셨습니다!</t>
  </si>
  <si>
    <t>친절하고 정확한 서비스</t>
  </si>
  <si>
    <t>100점 만점으로 서비스에 매우 만족을 느꼇습니다.</t>
  </si>
  <si>
    <t>빠르게 잘 처리받았습니다</t>
  </si>
  <si>
    <t>자세한 설명과 궁금한 사항을 질문 드리면 답변이 정말 최고 입니다.</t>
  </si>
  <si>
    <t>깔끔하고 상황에 맞는 친절한 답변 너무 감사합니다.</t>
  </si>
  <si>
    <t>깔끔했습니다 감사합니다</t>
  </si>
  <si>
    <t>역시 lg는 서비스가 정말 좋은거같습니다. 기사님 목소리도 좋고 친절하셔서 좋은 서비스를 받아 기분이 좋네요 항상 기분좋게 서비스 받게 해주셔서 감사하고 고생하신 기사님도 정말감사합니다. 좋은 하루 되세요</t>
    <phoneticPr fontId="1" type="noConversion"/>
  </si>
  <si>
    <t>내 나이 78세 64년전 금성사 부터 사랑했던 보람을 오늘 받았습니다 ㅎㅎ LG 최고의 회사는 물론이고 각 분야 상담사 를 포함한 전 직원이 대박 대박 초 대박 나시기 를 빌고 또 빌어 봅니다 LG 사랑해요</t>
    <phoneticPr fontId="1" type="noConversion"/>
  </si>
  <si>
    <t>빠르게 문제 파악을 해주시고 정확한 진단으로 해결해주셔서 감사합니다! 친절하게 설명도 해주시고 잘 해결되서 너무 좋네요!</t>
    <phoneticPr fontId="1" type="noConversion"/>
  </si>
  <si>
    <t>매우 친절하고 문제점을 정확하게 파악하여 문제를 해결해 주셨습니다</t>
  </si>
  <si>
    <t>고생하셨습니다. 감사합니다</t>
  </si>
  <si>
    <t>끝까지 친절하게 잘 설명해주셔서 너무 좋았습니다~ 아주 만족스러웟습니다</t>
  </si>
  <si>
    <t>신속하게 연결되었고, 자세한 설명과 친절한 태도가 무척 좋았습니다. 중간 중간 질문을 드려도 바로바로 잘 대답해 주셔서 궁금증이 많이 해소되었습니다. 문제 해결에 도움이 되었습니다. 매우 만족합니다.</t>
  </si>
  <si>
    <t>대응이 정확하고 친절하시네요 감사합니다.</t>
  </si>
  <si>
    <t>정말친절하게 처리해주셨어요 너무감사합니다.</t>
  </si>
  <si>
    <t>이해되게 잘 설명 해주시네요 ^^</t>
  </si>
  <si>
    <t>항상 원격 기술부서 도움주신 상담에 항상 감사인사 드리면서 100% 1,000% 만% 대만족 을 합니다 아주 행복함을 간직 하면서 오늘도 최고의 기분으로 항상 편안하게 이용 하겠습니다 감사합니다 따뜻한 마음으로 저와가은 마음으로 만족을 느끼도록 고객님 들께 행운 가득 우슴가득 좋은 마음으로 만족스런 행복한 상담 주셔요 꾸벅</t>
  </si>
  <si>
    <t>신속,정확,친절 감동입니다.</t>
  </si>
  <si>
    <t>친절하게 상담 해주셔서 감사합니다 오늘은 기다림 없이 빨라서 더 좋네요</t>
  </si>
  <si>
    <t>참 친절한 응대를 받았믑니다 감사합니다</t>
  </si>
  <si>
    <t>상담 감사합니다 만족 100% 만족합니다 고객님과 행복한 만족 하시고 점심맛있게 드셔요 꾸벅</t>
  </si>
  <si>
    <t>서비스 아주 잘 받았습니다. 대단히 고맙습니다</t>
  </si>
  <si>
    <t>최고입니다. 잘해 주셨어요</t>
  </si>
  <si>
    <t>문제가 되는 인터넷 오류를 친절하게 설명해주시면서 잘 처리해주셨습니다 감사합니다</t>
  </si>
  <si>
    <t>신뢰감 있게 설명 해주셔서 감사합니다</t>
  </si>
  <si>
    <t>wife가 않터져 상담 받고나서 인터넷창에 원치않는 사이트가 계속 접속되어 않되게 해달라고 부탁 했는데 친철하게 점검 해주셔서 대단히 감사 합니다</t>
  </si>
  <si>
    <t>친절하게 응대해주셨습니다. 감사합니다.</t>
  </si>
  <si>
    <t>해결되었습니다 감사합니다</t>
  </si>
  <si>
    <t>친절하게 하나하나 친절하게 설명 잘 해주시고, 후속 조취는 어떻게 해야하는지 잘 알려주셨습니다</t>
  </si>
  <si>
    <t>매너가 좋아요</t>
  </si>
  <si>
    <t>빠르고 정확하게 설명해 주셨습니다</t>
  </si>
  <si>
    <t>bb</t>
  </si>
  <si>
    <t>감사합니다. 친절하게 설명해 주셨습니다~</t>
  </si>
  <si>
    <t>만족합니다. 감사합니다.</t>
  </si>
  <si>
    <t>자세하고 친절하게 상담 받아서 좋았습니다.</t>
  </si>
  <si>
    <t>친절합니다. 감사합니다.</t>
  </si>
  <si>
    <t>문제를 잘 해결해주시고, 궁금한 부분도 친절하게 설명 잘 해주셨습니다. 감사합니다.</t>
  </si>
  <si>
    <t>점검잘해주시고 친절하게 말씀해주셔서 감사합니다.</t>
  </si>
  <si>
    <t>친절하게 잘상담해주시고 어떤게 문제인지 정확하게 알려주셔서 좋았습니다</t>
  </si>
  <si>
    <t>빠른 서비스 감사합니다. 덕분에 해결됐습니다. 지식이 올라갔습니다. 수고하세요.</t>
  </si>
  <si>
    <t>잘처리됐습니다.</t>
  </si>
  <si>
    <t>빠른처리 감사합니다. 이상있으면 기사님부르겠습니다.</t>
  </si>
  <si>
    <t>친절하게 잘설명해주셨어여</t>
  </si>
  <si>
    <t>원격 감사드립니다 100% 만% 만족 드리며 항상 도움에 너무나 많은 도움받습니다 고객님들과 만족스런 대화와 도움 많이 드리셔요 감사합니다 꾸벅</t>
  </si>
  <si>
    <t>친절하시고 해결해주십니다, 감사합니다.</t>
  </si>
  <si>
    <t>친절히 설명도 다 해주시고 편하게 받았습니다</t>
  </si>
  <si>
    <t>제한된 환경에서 최대한 적극적으로 도와주려고 하시는 모습이 좋습니다.</t>
  </si>
  <si>
    <t>친절하시게 잘 설명해주시고 문제 해결을 빠르게 해주셨습니다.</t>
  </si>
  <si>
    <t>빠르게 해결 해 주셔서 감사합니다!</t>
  </si>
  <si>
    <t>상담 감사합니다 100% 만족합니다 꾸벅 고객님과 좋은 상담 이루셔요 행운가득 우슴가득 좋은날 돼시기 바랍니다 꾸벅</t>
  </si>
  <si>
    <t>불편했던 점을 상세하게 찾아보며 안내받았습니다</t>
  </si>
  <si>
    <t>잘되서 다행이엘=요</t>
  </si>
  <si>
    <t>정확한 진단과 빠른 처리 감사합니다.</t>
  </si>
  <si>
    <t>너무 친절한설명으로인해 인터넷끊김증상에대해 갈증해소가되었습니다 추후 문제사항까지 메모해서 AS기사님이 보시고 바로 점검할수있게 도와주셔서 너무 감사드립니다 주말 원격이 가능한거에대해 많이놀랐습니다 만족입니다</t>
    <phoneticPr fontId="1" type="noConversion"/>
  </si>
  <si>
    <t>바로해결 좋아요</t>
  </si>
  <si>
    <t>친철한 상담 서비스였습니다</t>
  </si>
  <si>
    <t>너무 너무 감사합니다 최고예요</t>
  </si>
  <si>
    <t>매우 친절하고 잘 기다려주셔서 감사합니다.</t>
  </si>
  <si>
    <t>전문가의 지식과 손길이 느껴집니다.</t>
  </si>
  <si>
    <t>빠르게 처리해주셨습니다. 감사합니다.</t>
  </si>
  <si>
    <t>문제가 생겨 혼자서 해결해보려다가 안 돼서 문의를 드렸는데 빠르게 처리해 주셔서 대단히 감사드립니다:) 좋은 하루 보내세요!</t>
  </si>
  <si>
    <t>꼼꼼하게 봐주심</t>
  </si>
  <si>
    <t>만점 참 좋아요 !</t>
  </si>
  <si>
    <t>친절하고 신속하게 문제점해결과 사용방법까지 알려주셔 감사했습니다. 수고해주셔서 고맙습니다.</t>
  </si>
  <si>
    <t>인터넷 속도문제를 빠르게 해결해 주었고, 문의사항 외의 조치도 해주셨습니다. 감사합니다.</t>
  </si>
  <si>
    <t>너무 친절하고 소상하게 처리해 주셨습니다</t>
  </si>
  <si>
    <t>친절하게 안되는거 잘해주셨습니다!! 최고입니다!!</t>
  </si>
  <si>
    <t>LG를 사랑하는 소비자로서 오늘 같은 서비스는 처음 경험한 감동이었읍니다. 도와 주신 기사님께 다시한번 고마운 마음을 전합니다. 고맙습니다^^</t>
  </si>
  <si>
    <t>너무 친절하게 잘 설명해주시고 진행도 빨랐습니다. 감사합니다.</t>
  </si>
  <si>
    <t>잘 해결해주셔서 감사합니다</t>
  </si>
  <si>
    <t>친절하시고 차분하시게 잘 안내해주셨습니다.</t>
  </si>
  <si>
    <t>상담 친절하시고 자세이 알려주셔서 감사했습니다!</t>
  </si>
  <si>
    <t>정확한진단 서비스 좋습니다.</t>
  </si>
  <si>
    <t>신속하고 빠르게 진단해주셨어요 감사합니다.</t>
  </si>
  <si>
    <t>컴퓨터가 느려서 답답하셨을텐데 기다려주시고 친절하게 안내해 주셔서 감사합니다 오늘 꼭 5g연결이 필요한 날이였는데 해결해 주셔서 너무 감사드립니다 항상 건강하세요</t>
  </si>
  <si>
    <t>감동...</t>
  </si>
  <si>
    <t>꼼?꼼</t>
  </si>
  <si>
    <t>감사합니다. 친절하고 신속하게 처리해 주셨습니다.</t>
  </si>
  <si>
    <t>Thanks a lot!!!</t>
  </si>
  <si>
    <t>불편했던 내요에 대한 신속한 점검과 친절한 고개응대에 만족감을 느꼈습니다</t>
  </si>
  <si>
    <t>친절하구 자세한 설명 감사합니다~!!!</t>
  </si>
  <si>
    <t>친절하고 알기쉽게 설명해 주셔서 감사 합니다.</t>
  </si>
  <si>
    <t>알기 쉬운 설명과 친절한 응대에 고맙습니다.</t>
  </si>
  <si>
    <t>친절히 상담해 주셔서 감사합니다.</t>
  </si>
  <si>
    <t>작년에도 스탠드랑 와이파이 연동이 안되어서 원격제어까지 했는데 안되었었는데 그러면 보통 A/S해줄 기사님 불러주는 게 맞는데 방법이 없다는 말만 하셔서 정말 엘지에 신뢰가 없었습니다. 오늘도 몇 번이나 엘지에 전화를 했었는데 마지막 상담사분.제가 정신이 없어서 성함을 기억못하겠는데 마지막 남자상담사님이었습니다 상담사님이 똑똑하신건지 너무 쉽게 그리구 제가 느린데두 불구하구 넘 차분하게 친절하게 안내해주셔서 엘지에 대한 반감이 조금 사그라드네요. 일단 마지막 상담사님덕분에 2.4기가 연결할 수 있게 되어서 전자제품들이랑 스탠드 꼭 연동해봐야겠어요. 고맙습니다.</t>
  </si>
  <si>
    <t>친절하게 잘 해결해 주셔서 감사합니다.</t>
  </si>
  <si>
    <t>친절하고 세심한 답변 감사 합니다</t>
  </si>
  <si>
    <t>친절하고 빠르게 응대해 주셔서 감사합니다.</t>
  </si>
  <si>
    <t>저번에는 잘 모르셨는데 이번 엔지니어분은 정확히 아셔서 빠른조치를 해주셔서 너무 좋았어여 너무 감사합니다</t>
  </si>
  <si>
    <t>친절하시고 설명을 알아듣기 쉬웟습니다 감사합니다</t>
  </si>
  <si>
    <t>증상을 바로 찾아주셔서 감사합니다.</t>
  </si>
  <si>
    <t>꼼꼼히 잘봐줘서 좋습니다,</t>
  </si>
  <si>
    <t>빠른 진행과 상담에 시간 단축을 하고 설명 또한 편하게 잘 알려주셔서 대만족을 했습니다 앞으로도 이렇게 인터넷에 문제가 생기면 상담이 빠르니 스마트 원격진단을 받아볼거같습니다 친절하고 아주 대응 또한 좋았습니다</t>
    <phoneticPr fontId="1" type="noConversion"/>
  </si>
  <si>
    <t>상냥하고 설명도 잘해주셔서 알아듣기편했어요 다음에도 이러면 어떻게 해야하는지 알려주셔서 다음에 어떻게 해야할지 알아서 편하네요 원하는것에 대하여 잘해결해주셔서 매우만족입니다!</t>
    <phoneticPr fontId="1" type="noConversion"/>
  </si>
  <si>
    <t>친절하고 전문적인 상담 감사합니다.</t>
  </si>
  <si>
    <t>불편사항 성실하게 답변해 주셔서 감사합니다.^^</t>
  </si>
  <si>
    <t>친절하시고 이해하기 쉬운 설명 감사합니다!</t>
  </si>
  <si>
    <t>친절하고 전문가답게 빠르게 진행 하십니다.</t>
  </si>
  <si>
    <t>친절하고 좋은상담 감사합니다. 모두 원할하게 처리되었습니다</t>
  </si>
  <si>
    <t>최고네요 빠르고 친절하십니다</t>
  </si>
  <si>
    <t>너무 친절하고 최고의 서비스였습니다 감사합니다</t>
  </si>
  <si>
    <t>그동안 답답함을 해결해주셔서 정말 감사합니다!!!!!!!!!!!!!</t>
  </si>
  <si>
    <t>이런 친절하고 명쾌한 답변과 업무를 해주시는 분을 최근에 뵙지 못했네요. 요청사항에 대하여 능숙한 답변과 업무 처리 능력에 감사하며, 추가적인 질의에 대한 명확한 답변에 감동 했습니다. 감사합니다.</t>
  </si>
  <si>
    <t>친절하십니다.. 제가 컴퓨터를 잘 모르기도 하구요 ㅠㅠ 엄청 친절하게 설명을 잘 해주셨습니다 감사합니다.</t>
  </si>
  <si>
    <t>원하는 내용을 정확히 파악하셔서 빠르게 처리해 주셨어요~ 친절하게 몇번씩 확인하고 잘 처리해주셔서 감사합니다~</t>
  </si>
  <si>
    <t>나스 연결이 안됬는데 원격제어로 엄청 쉽게 연결해 주셨어요 능력자 이신거 같아요 정말 감사합니다</t>
  </si>
  <si>
    <t>너무 깔끔하게 해주셨어용 ~</t>
  </si>
  <si>
    <t>친절하게 잘설명해주셨고 응대가너무기분좋았습니다^^</t>
  </si>
  <si>
    <t>친절하시고 그냥 GOAT 이것저것 물어봐서 귀찮을수도있는데 다대답해주고 이형님 적게일하고 돈 많이버세요</t>
  </si>
  <si>
    <t>만족했습니다!</t>
  </si>
  <si>
    <t>연이틀 큰 도움을 주셔서 감사합니다.</t>
  </si>
  <si>
    <t>빠르게 문제해결을 해주셔서 너무 감사드려요 상담원도 친절하시고 원격해주신 선생님도 너무 친절 하십니다 ^^</t>
  </si>
  <si>
    <t>네 친절하게 설명도 잘해 주시고 자세히 알려주셔서 도움이 되어서 만족합니다. 감사합니다..</t>
  </si>
  <si>
    <t>친절하시고 너무 잘봐주셨습니다 ㅎ</t>
  </si>
  <si>
    <t>설명이 친절하고 알아듣기 쉽게 잘 알려주셔서 좋았습니다.</t>
  </si>
  <si>
    <t>너무 감사합니다. 예전에 원격 좀 썼지. 그게 생각이 안나서 너무 오랜만에 쓰는데 원활하게 잘 해결되는 쪽으로 가는 거 같아 좋습니다. 이런 부분을 아는 분이 잘 없네요. 잘 해결해나가도록 하겠습니다. 감사합니다. 다음에 문제 생기면 또 요청드리겠습니다.</t>
  </si>
  <si>
    <t>최대한 증상을 파악하려고 노력하고 해결하려했음</t>
  </si>
  <si>
    <t>친절하시고 만족도가 높은 상담이었습니다</t>
  </si>
  <si>
    <t>친절하게 도움주셔서 감사합니다.</t>
  </si>
  <si>
    <t>친절하게 설명해주셨어요~</t>
  </si>
  <si>
    <t>친절하게 설명해주시고 다른현상까지 찾아주시고 감사합니다.</t>
  </si>
  <si>
    <t>알기쉽게 풀어서 설명 해주시고, 빠른 원격진단 점검 감사드립니다.</t>
  </si>
  <si>
    <t>좋습니다 감사합니다</t>
  </si>
  <si>
    <t>친절하게 상담해주시고 빠르게 해결해주셔서 너무 편했습니다! 감사합니다</t>
  </si>
  <si>
    <t>진짜로 엄청 빠르시고 일 처리가 빠릅니다;; 감사합니다!!</t>
  </si>
  <si>
    <t>친절하게 잘 해결해주셨습니다</t>
  </si>
  <si>
    <t>잘해주셔서 감사합니다</t>
  </si>
  <si>
    <t>친절하시고 도움 되는 원격진단이었슴다!!</t>
  </si>
  <si>
    <t>친절하게 원인 확인해주시고 해결해주셨습니다.</t>
  </si>
  <si>
    <t>아주 친절하시고 컴퓨터에 다른 부분까지 상세하게 말씀해주십니다. 이런 기사분이 있어 든든합니다. 짱짱</t>
    <phoneticPr fontId="1" type="noConversion"/>
  </si>
  <si>
    <t>친절하시고 질문에 답변 잘해 주셧습니다. 감사합니다.</t>
  </si>
  <si>
    <t>서비스 상담 너무 만족스럽습니다 계속 유 플러스 이용할것 갑네요 친절한 상담 감사합니다</t>
  </si>
  <si>
    <t>너무 친절하게 진단해주셨습니다</t>
  </si>
  <si>
    <t>친절하시고, 최고였습니다~ 감사드려요~</t>
  </si>
  <si>
    <t>친절하게 설명 도와주셔서 해결했습니다 정말 감사합니다!</t>
  </si>
  <si>
    <t>원격진단을 실시하여 궁금한 와이파이 연결문에 대해 원격진단 부분에 대해 잘 받았습니다. 접수상담후 바로 연결되어 빠르게 조치받아 만족합니다. 감사합니다.</t>
  </si>
  <si>
    <t>친절하고 성실한 답변으로 감사합니다</t>
  </si>
  <si>
    <t>설명을 정말 명확하게 잘 해주셔서 이해하기 쉬웠습니다!</t>
  </si>
  <si>
    <t>친절하시고 똑똑하신거같아요 많은 도움이 되어서 감사드립니다</t>
  </si>
  <si>
    <t>친절하게 도움 주셨음</t>
  </si>
  <si>
    <t>신속하고 친절한 설명과 원인 및 증상을 초보자도 쉽게 이해 될수 있도록 얘기를 해줘서 너무 좋았습니다.</t>
  </si>
  <si>
    <t>완전 만족합니다 감사합니다</t>
  </si>
  <si>
    <t>친절히 문의에도 잘 응대해 주시고 매우 만족합니다</t>
  </si>
  <si>
    <t>정말 신속 정확 하게 해결해주셔서 감사합니다.</t>
  </si>
  <si>
    <t>서비스 만족하고 해결이 잘되었습니다^^</t>
  </si>
  <si>
    <t>아침에 주식창을 열고 매매를 할려고하면 트래픽이 많아서 거래를 할수가 없어서 문의 드렸는데 고장이 있나 없나만 보니 조금 답답한 느낌입니다 컴퓨터가 문제인지 인터넷 속도가 문제인지 알고싶네요</t>
  </si>
  <si>
    <t>친절히 상담 잘 받았습니다 감사합니다.</t>
  </si>
  <si>
    <t>친절하고 매우 만족</t>
  </si>
  <si>
    <t>친절하게 문제 잘 해결해 주셨습니다 감사합니다~</t>
  </si>
  <si>
    <t>해결되지 않음</t>
  </si>
  <si>
    <t>너무 친절하고 좋았습니다.</t>
  </si>
  <si>
    <t>알기 쉽게 설명도 자세히 잘해주시고 세심하게 잘 알려주셨어요 빠르게 불편한것도 고쳐주셨습니다 감사합니다</t>
  </si>
  <si>
    <t>감사합니다 친절하고 잘 진단 받앗습니다</t>
  </si>
  <si>
    <t>매우 좋았습니다.</t>
  </si>
  <si>
    <t>자세한 설명 감사합니다</t>
  </si>
  <si>
    <t>서비스A입니다</t>
  </si>
  <si>
    <t>상당히 친절하게 해주시네요</t>
  </si>
  <si>
    <t>친절 하시고 문제해결잘됬어요</t>
  </si>
  <si>
    <t>성심성의껏 도와주셔서 감사드립니다.</t>
  </si>
  <si>
    <t>친절하게 문제를 해결해 주셨어요</t>
  </si>
  <si>
    <t>구체적으로 알려주셔서 어떤 문제인지 알 수 있었습니다, 감사합니다.</t>
  </si>
  <si>
    <t>오늘도 최고의 만족을 주신 상담 100% 만% 아주 아주 아주 극 에 다 할 정도 로 만족했습니다 감사합니다 꾸벅 다른 고객님 과 도 흡족한 상담 이루시도록 행운가득 하시기를 복 많이 받으시고 돈 많이벌고 행복한 가정 이루셔요 감사합니다</t>
    <phoneticPr fontId="1" type="noConversion"/>
  </si>
  <si>
    <t>엄청 해메다 지푸라기 잡는심정으로 원격요청했는데 상담도 친절하시고 디테일하게 알려주셔서 감사합니다</t>
    <phoneticPr fontId="1" type="noConversion"/>
  </si>
  <si>
    <t>상담 잘햇네요 감사함니다</t>
  </si>
  <si>
    <t>친절하고, 문제를 구체적으로 잘 설명해주셨습니다!</t>
  </si>
  <si>
    <t>설명잘듣고 만족하는 서비스잘 받았습니다 감사합니다</t>
  </si>
  <si>
    <t>친절히 잘 설명해주시고 조치해주셨습니다 감사합니다!</t>
  </si>
  <si>
    <t>좋은 서비스 감사드립니다. 좋은 날 되세요</t>
  </si>
  <si>
    <t>최고의 서비스 감사합니다</t>
  </si>
  <si>
    <t>엄청 친절하시고 설명도 잘해주셔서 감사했어요 ^^ 가게 오픈이라 와이파이 설정 걱정했는데 금방 끝났네용 ❤ 감사합니다 :)</t>
  </si>
  <si>
    <t>최고에요 빠른해결 !</t>
  </si>
  <si>
    <t>빠르게 처리해주셨어요 굿</t>
  </si>
  <si>
    <t>114 전화로 걸어서 상담사 연결까지 4분이 걸려 화났지만 이분 때문에 편하게 문제 해결 했습니다!!!</t>
  </si>
  <si>
    <t>친철한 상담과 각종 해결방법으로 안내해주셨습니다</t>
  </si>
  <si>
    <t>목소리도 활기차시고 친절했습니다 감사합니다</t>
  </si>
  <si>
    <t>전화 상에서도 따듯하고 친절함이 느껴지는 서비스를 받을 수 있어 감사합니다. 문제점을 정확히 파악하고 신속하게 해결해주셨습니다. 기술적인 어려움을 고객 입장에서 쉽게 안내해주셔서 서비스를 받는데 어려움 없이 진행하고 마무리 하는 과정이 순조로웠습니다. 좋은 서비스를 받아 기분 좋습니다^^</t>
  </si>
  <si>
    <t>엄청 빠르고 간단하게 설명도 알아듣기 쉽게 설명해주셔서 감사합니다.</t>
  </si>
  <si>
    <t>매우 빠르고 정확하게 해결해주셨습니다. 감사합니다.</t>
  </si>
  <si>
    <t>최고이십니다 해결됏어요^^</t>
  </si>
  <si>
    <t>빠르고 좋습니다!</t>
  </si>
  <si>
    <t>기술 지원 잘 받았습니다.</t>
  </si>
  <si>
    <t>친절하시고 후속조치까지 완벽하게 해주셨습니다</t>
  </si>
  <si>
    <t>친절하고 신속하게 문제를 해결해 주셨습니다.</t>
  </si>
  <si>
    <t>너무 친절하게 완벽하게 해결해 주셔서 감사드립니다. 궁금한점이 완전 해결됐습니다.</t>
  </si>
  <si>
    <t>친절하게 신속하게 해결해주셔서 매우 만족합니다.</t>
  </si>
  <si>
    <t>요청하는 바를 빠르게 이해하고 처리해주셔서 너무 만족스럽습니다.</t>
  </si>
  <si>
    <t>친절하게 어디가 문제인지 알려주셨어요</t>
  </si>
  <si>
    <t>빠른써비스와 친철한 설명 을 잘해셔주셔서감사합니다</t>
  </si>
  <si>
    <t>친절하시네여!</t>
  </si>
  <si>
    <t>신속하고 친절하게 해결해주셔서 아주 만족합니다.</t>
  </si>
  <si>
    <t>친절하게 잘 해주시네요.감사합니다</t>
  </si>
  <si>
    <t>친절 하시고 설명 너무 잘해주셨어요</t>
  </si>
  <si>
    <t>감사합니다 친절하고 세세하게 수리 해주셔서 감사합니다 아ㅍ으로 잘사용 하겠습니다</t>
  </si>
  <si>
    <t>제 개인의 니즈에 마춰서 도와주셔서 감사합니다</t>
  </si>
  <si>
    <t>서비스 완전 최고였습니다~ 진단 및 상담 잘해주셨어요~</t>
  </si>
  <si>
    <t>너무도 친절하게 설명해주시고 마지막까지 뒷처리해주셔서 감사합니다.좋은 하루되세요</t>
  </si>
  <si>
    <t>매우친절하심</t>
  </si>
  <si>
    <t>아주 친절하고 전문가다운 지식이 엿보였습니다. 최고에요</t>
  </si>
  <si>
    <t>빠르고 친절하게 잘 진단해주셨습니다 감사합니다.</t>
  </si>
  <si>
    <t>친절하시고 꼼꼼한 상담에 이해가 잘 되었고 감사합니다.</t>
  </si>
  <si>
    <t>정말 많이 친절하십니다</t>
  </si>
  <si>
    <t>설명도 잘 해주시고 꼼꼼히 봐주셔서 좋았습니다 감사합니다</t>
  </si>
  <si>
    <t>최고입니다 사랑합니다</t>
  </si>
  <si>
    <t>아주친절히상담을하였고 또한친절하게설명도해주었습니다.</t>
  </si>
  <si>
    <t>컴퓨터 컴플렉스 세대의 눈높이에 맞춰 찬찬히 설명해주셔서 편하고 감사했습니다.</t>
  </si>
  <si>
    <t>빠르게 문제를 파악하셔서 신속하게 해결해주셨습니다. 최고예요 ㅎㅎ</t>
  </si>
  <si>
    <t>조와요 이것저것막휘루룩휘루룩하는데 잘하시네요</t>
  </si>
  <si>
    <t>잘 서비스받았습니다.</t>
  </si>
  <si>
    <t>친절하고 성의있는 서비스를 제공받았습니다. 원격기사님 감사합니다.</t>
  </si>
  <si>
    <t>최고의 서비스상담 이었습니다. 상세한 설명과 친절로 매우 만족한 경험이었습니다.</t>
  </si>
  <si>
    <t>친절하고 신속하게 원인파악 확인조치 해주셔서 불편 해소되었습니다. 감사합니다.</t>
  </si>
  <si>
    <t>세부적인점검과 진단 전문기술력이 뛰어나요 최고입니다.</t>
  </si>
  <si>
    <t>자신이 알고있는 정보를 듣는 이에게 정확하게 전달하는 능력이 아주 우수함 친절함도 만점이었음</t>
  </si>
  <si>
    <t>세부적인 진단과 점검 전문성이 뛰어나십니다. 최고예요!!!</t>
  </si>
  <si>
    <t>감사합니다 오랫만의 요청이라서... 대단히 수고하셨습니다</t>
  </si>
  <si>
    <t>간편하게 방문없이 진단받을 수 있어서 좋았습니다. 담당자님도 친절하시고, 신속하게 처리하여 주셨어요. 감사합니다.</t>
  </si>
  <si>
    <t>구체적인 문제 해결 방법을 메모 해주실수 있으시냐고 물어보니 바로 알아들으시고 직접 적어주심 해결 방안에 도움되는 사이트는 종료하지 않고 그대로 유지 해주셨고 다른 문제 일수도 있냐는 질문과 비교에도 잘 대답하여주셨음</t>
  </si>
  <si>
    <t>친절하게 응대해 주셔서 감사합니다</t>
  </si>
  <si>
    <t>친절한 안내와 빠른 조치로 매우 만족합니다.</t>
  </si>
  <si>
    <t>친절했습니다~</t>
  </si>
  <si>
    <t>매우 친절합니다. 굿~~~</t>
  </si>
  <si>
    <t>너무 친절히 상담을 잘해주셔서 감사합니다.</t>
  </si>
  <si>
    <t>늦은 시간에 지원해주셔서 감사합니다</t>
  </si>
  <si>
    <t>친절하고,,빠르네요,,,감사합니다</t>
  </si>
  <si>
    <t>101로 연락 → 스마트원격진단 안내 → 통화를 통해 상황을 설명하였고, 일반 고객센터를 통해 해외망 장애관련 상급부서로 연락요청을 하라고 안내받았으나 고객센터에서 수 차례 확인을 했음에도 그런 부서는 존재하지 않는다는 답변을 받았습니다. 결국 문제 해결이 되질 않았습니다. 제 해외 인터넷 속도는 누가 책임져주나요? 앞으로는 제대로 된 안내를 부탁합니다...</t>
  </si>
  <si>
    <t>상담사 분이 엄청 친절하시고 정말 설명을 잘해주십니다~ 100점 만점의 100점입니다~</t>
  </si>
  <si>
    <t>상담해주시는 분이 친절하시고 원격과 통화로 알아듣기 쉽게 조치를 해주셔서 감사합니다.</t>
  </si>
  <si>
    <t>처음 써 봤는데 설명도 깔끔하시고 아주 좋네요</t>
  </si>
  <si>
    <t>엄청 전문적이네요 지식이 놀랍습니다</t>
  </si>
  <si>
    <t>아주 친절하고 명확하게 요청사항에 대한 답변을 주셨습니다. 감사합니다. 많은 도움이 되었습니다.</t>
    <phoneticPr fontId="1" type="noConversion"/>
  </si>
  <si>
    <t>저의 불편함을 친절하고 빠르게 해소해주셨습니다 : ) 덕분에 저의 업무처리도 원활하게 할 수 있게 되었습니다! 퇴근시간이 임박하셨을텐데 도와주셔서 정말정말 감사합니다!</t>
    <phoneticPr fontId="1" type="noConversion"/>
  </si>
  <si>
    <t>친절한상담 알기쉬운 설명</t>
  </si>
  <si>
    <t>기사님의 친절한 설명과 도움으로 인터넷을 원만하게 이용할 수 있게 되어 너무 감사하게게 생각합니다. 기사님 좋은 하루 되세요.</t>
  </si>
  <si>
    <t>완전 친절하시고 스마트 원격진단 너무 좋와요 감사합니다</t>
  </si>
  <si>
    <t>편하고 친절하게 설명해주셔서 만족합니다.수고하세요</t>
  </si>
  <si>
    <t>친절하고 빠르게 문제를 해결해 주셨습니다.</t>
  </si>
  <si>
    <t>도움이 되었네요 감사합니다</t>
  </si>
  <si>
    <t>친절하게 상담 진단해주셔서 감사합니다</t>
  </si>
  <si>
    <t>스마트 원격진단 서비스를 처음 이용했는데, 상담사님께서 친절하게 연락 주시고 문제점을 꼼꼼하게 설명해주셨습니다. 또한 업그레이드까지 세심하게 도와주시고, 추후 문제가 발생했을 때의 대처 방법까지 안내해주셔서 매우 만족스러운 스마트 원격 상담이었습니다.</t>
  </si>
  <si>
    <t>비대면으로 완벽하게 고쳐주셧어요~!</t>
  </si>
  <si>
    <t>친절하시고 문제점 간결하게 집어주고 해결까지 알려주셔서 좋았습니다</t>
  </si>
  <si>
    <t>자세하고 차근차근 잘 설명해주셔서 쉽게 처리할수 있었네요. 감사합니다.</t>
  </si>
  <si>
    <t>최고입니다ㅠ바로해결해주셔서감사합니다</t>
  </si>
  <si>
    <t>참 친절히 잘 안내해주셔서 감사합니다. 속이 시원하네요.</t>
  </si>
  <si>
    <t>친절핫힘</t>
  </si>
  <si>
    <t>친절한 안내와 테스트, 설명 감사해요.</t>
  </si>
  <si>
    <t>오늘 화상수업 진행못할가봐 엄청 걱정했는데 친절하게 잘 해결해주셔서 감사합니다. 서비스 최고입니다!</t>
  </si>
  <si>
    <t>친절하시고 설명 잘해주셔서 좋았습니다</t>
  </si>
  <si>
    <t>친절한설명꼼꼼한점검</t>
  </si>
  <si>
    <t>도움되는 진단이었습니다. ^^</t>
  </si>
  <si>
    <t>친잘한 상담 부가 조치까지 만족한 서비스입니다</t>
  </si>
  <si>
    <t>친절하게 진단해주셨어요</t>
  </si>
  <si>
    <t>친절하시고 빠르게 확인해주셨어요! 감사합니다.</t>
  </si>
  <si>
    <t>인터넷이 종종 끊겨서 불편함을 오래 가지고 있다가 원격 요청드렸는데 어려운 단어들도 쉽게 이해할 수 있게 설명해주시고, 조금 더 빠르게 사용 가능하도록 해결해주셔서 감사합니다! 최고였어요!</t>
    <phoneticPr fontId="1" type="noConversion"/>
  </si>
  <si>
    <t>너무 친절하시고, 궁금한것도 답변 잘해주시고 빠르게 문제를 해결해주셨습니다~~~</t>
    <phoneticPr fontId="1" type="noConversion"/>
  </si>
  <si>
    <t>신속히 잘 대응해 주셨고 잘 문제 점을 고쳐주셨습니다</t>
  </si>
  <si>
    <t>자세히 친절하게 설명 잘해주셨습니다 감사합니다</t>
  </si>
  <si>
    <t>너무 좋은 원격이였습니다. 친절하십니다.</t>
  </si>
  <si>
    <t>짧은 시간에 속도개선을 해결해 주셔서 감사드립니다。</t>
  </si>
  <si>
    <t>잘 해결됐습니다</t>
  </si>
  <si>
    <t>좋은상담 감사합니다.</t>
  </si>
  <si>
    <t>친절하게 진행해주셔서 감사합니다!!</t>
  </si>
  <si>
    <t>감사 합니다</t>
  </si>
  <si>
    <t>빠르게 상태 확인하여 주셨습니다</t>
  </si>
  <si>
    <t>문제에대한 설명을 친절하게 해 주셨어요 감사합니다^^</t>
  </si>
  <si>
    <t>컴퓨터 잘 모르고 점검하는거 잘모르는 여자인 저는 너무 친절하고 알아서 척척 해주셔서 너무 만족스럽습니다</t>
  </si>
  <si>
    <t>설명도 잘해주시고 친절하게 잘 조치 해주셔서 매우 만족 합니다.</t>
  </si>
  <si>
    <t>서비스 잘받았습니다 감사합니다</t>
  </si>
  <si>
    <t>점검 잘 받았습니다. 친절에 감사드립립니다.</t>
  </si>
  <si>
    <t>인터넷 잘 됩니다. 서비스 만족합니다 감사합니다</t>
  </si>
  <si>
    <t>친절하고 꼼꼼하게 점검조치 해주셨습니다. 매우만족합니다.</t>
  </si>
  <si>
    <t>빠르게 해결해 주어서 감사합니다.</t>
  </si>
  <si>
    <t>아주 친절히 원격지원해주셨습니다. 감사합니다.</t>
  </si>
  <si>
    <t>rnt</t>
  </si>
  <si>
    <t>기사님의 친절과 자상한 내용으로 어느정도 궁금증은 해소가 되었습니다. 감사드립니다.</t>
    <phoneticPr fontId="1" type="noConversion"/>
  </si>
  <si>
    <t>빠르게 진행해주셔서 좋았습니다. 어떤 게 문제인 지 쉽게 이해할 수 있게 얘기 해주셨습니다.</t>
    <phoneticPr fontId="1" type="noConversion"/>
  </si>
  <si>
    <t>원격 담당자분이 전문적인 지식이 많으시고 알기 쉽게 설명해 주셔서 만족합니다.</t>
    <phoneticPr fontId="1" type="noConversion"/>
  </si>
  <si>
    <t>이해하기 쉽고 편하게 알려주셨고 간단하게 할 수 있어서 좋았습니다. 추가적으로 더 자세하게 설명해주셔서 감사했어요</t>
    <phoneticPr fontId="1" type="noConversion"/>
  </si>
  <si>
    <t>너무 친절하게 도와주시고 궁금했던걸 물어봐도 세세하게 설명해주시는게 너무 좋았습니다! 감사합니다!</t>
    <phoneticPr fontId="1" type="noConversion"/>
  </si>
  <si>
    <t>너무 친절하시고 설명도 잘해주셨습니다^^ 쵝오!!!!</t>
  </si>
  <si>
    <t>최고였습니다.</t>
  </si>
  <si>
    <t>매우만족 합니다</t>
  </si>
  <si>
    <t>너무 친절하시네요. 문제해결 해 주셔서 감사합니다.</t>
  </si>
  <si>
    <t>네 친절하게 안내 잘 받았습니다 감사합니다</t>
  </si>
  <si>
    <t>빠르게 해결해 주셔서 감사합니다 :)</t>
  </si>
  <si>
    <t>친절하시고 정확하게 진단해주심</t>
  </si>
  <si>
    <t>친절하고 상세한 안내 감사합ㄴ디ㅏ</t>
  </si>
  <si>
    <t>이해하기 쉽게 설명을 잘 해주셨어요</t>
  </si>
  <si>
    <t>빠르게 처리해주셨습니다.</t>
  </si>
  <si>
    <t>안녕하세요~~~서비스 최고입니다~~~너무너무 친절하셔서 대 만족입니다~~수고하세요.</t>
  </si>
  <si>
    <t>몰랐던 부분에서 자세히 설명해주고 해결 가능한 방법을 설명해준 뒤 더 나은 방향으로 문제를 해결해주셨습니다</t>
  </si>
  <si>
    <t>정말 전문가의 손길은 다릅니다. 설명 잘해 주십니다. 아주 만족합니다. 원격지원 굳입니다.</t>
  </si>
  <si>
    <t>너무 천절하게 잘 해 주셨네요 정말 감사합니다</t>
  </si>
  <si>
    <t>친절하게 설명해주셔서 감사합니다!</t>
  </si>
  <si>
    <t>고맙습니다. 잘 사용하겠습니다.</t>
  </si>
  <si>
    <t>설명도 매우 잘해주시고 처리도 빨라 너무 좋았습니다.</t>
  </si>
  <si>
    <t>s너무 좋아요 짱짱</t>
  </si>
  <si>
    <t>만족합니다 감사합니다~~</t>
  </si>
  <si>
    <t>친절하게 잘 알려주십니다 감사합니다</t>
  </si>
  <si>
    <t>친절한 설명 및 안내 감사합니다. 쵝오~</t>
  </si>
  <si>
    <t>신속한 처리로 감사드립니다.</t>
  </si>
  <si>
    <t>친절하게 상담 잘해주셔서 감사합니다</t>
  </si>
  <si>
    <t>아따 설명잘해주시고 친절하시네요 최고 입니다</t>
  </si>
  <si>
    <t>친절하게 원인을 설명해 주셔서 대단히 만족합니다</t>
  </si>
  <si>
    <t>증상에 대한 정확한 상담 및 사후조치까지 안내해주셔 좋았습니다.</t>
  </si>
  <si>
    <t>너무 친절하시게 하나씩 설명해주시면서 안내해주셔서 감사했습니다.</t>
    <phoneticPr fontId="1" type="noConversion"/>
  </si>
  <si>
    <t>어떤 점의 문제가 있는지 몰라서 서비스를 의뢰하였고 기사님께서 잘 처리해 주셨습니다. 설명도 잘 해주셨어요~</t>
    <phoneticPr fontId="1" type="noConversion"/>
  </si>
  <si>
    <t>인터넷 끊김문제로 전화드렸는데 상담사분들 모두 너무 친절하게 응대해주셔서 좋았어용. 좋은하루 되세요~</t>
    <phoneticPr fontId="1" type="noConversion"/>
  </si>
  <si>
    <t>매우 만족스럽습니다 하나하나 설명 잘해주셔서 감사합니다 ^^</t>
    <phoneticPr fontId="1" type="noConversion"/>
  </si>
  <si>
    <t>친절하시고 신속하게 처리해 주셔서 감사합니다!</t>
  </si>
  <si>
    <t>개인 SNS계정 도용이 의심되어 보안 강화 차원에서 홈 공유기 비번을 바꾸기 위해 스마트원격진단 시스템을 이용하게 되었는데, 기사님의 친절한 상담 덕분에 잘 마칠 수 있었습니다. 감사합니다.</t>
  </si>
  <si>
    <t>친절한 상담 지원 감사합니다.</t>
  </si>
  <si>
    <t>원인 및 증상 관련 상세하게 설명해주셔서 감사합니다.</t>
  </si>
  <si>
    <t>친절하게 상당해주시고 원하는 내용은 못들었지만 좋은 상담이었습니다</t>
  </si>
  <si>
    <t>친절하게 잘 도와주셨습니다.</t>
  </si>
  <si>
    <t>설명을 잘해주셔서 이해하기 좋았습니다</t>
  </si>
  <si>
    <t>친절 하시고 다른 사항까지 체크해주시고 마음에 쏙 들었습니다. 감사합니다.</t>
  </si>
  <si>
    <t>친절하시고 하나하나 자세히 알려주셔서 따라서 점검하기 편했습니다. 원격 점검으로 안돼서 해결이 안돼서 아쉬웠지만 방문 점검도 바로 접수해주셔서 감사했습니다.</t>
  </si>
  <si>
    <t>친절하고 빠르게 도와주셨습니다 감사합니다</t>
  </si>
  <si>
    <t>친절하고 잘봐주셨습니다</t>
  </si>
  <si>
    <t>신속한 조치 감사합니다</t>
  </si>
  <si>
    <t>친절하고 빠르게 증상을 진단해주셨어요</t>
  </si>
  <si>
    <t>해결하는데에 큰 도움이 되었습니다</t>
  </si>
  <si>
    <t>빠르고 신속하게 진단해주셔서 너무 감사하네요 역시 엘지네요 친절하시고 정확하고 쉽게 알려주셔서 너무 감사합니다~</t>
  </si>
  <si>
    <t>친절하시고 빨리진단하시고 바로해결해주셔서 아주만족합니다</t>
  </si>
  <si>
    <t>친절하세 잘 알려주시네요 서비스 만족 합니다 감사해요</t>
  </si>
  <si>
    <t>빠른 조치, 쉬운 설명 감사합니다. 이후 문제가 생기면 다시 문의하겠습니다</t>
  </si>
  <si>
    <t>상냥하고 친절합니다</t>
  </si>
  <si>
    <t>이해하기 쉽게 설명해주시고 친철하게 점검해주셨습니다.</t>
  </si>
  <si>
    <t>늦은시간에도 친절하게 답변해주셔서 감사합니다</t>
  </si>
  <si>
    <t>친절한 지원에 감사 드립니다.</t>
  </si>
  <si>
    <t>친절하게 잘 했습니다</t>
  </si>
  <si>
    <t>자세히 안내해주셔서 감사합니다~</t>
  </si>
  <si>
    <t>clswjfgkrp gowntutj wjdakf rkatkemflqslek. dyto ehcjddl aksgdk wjdakf glaemspdy smf rkatkemflqslek ghkdlxldgktpdy !</t>
  </si>
  <si>
    <t>편리하게 잘 사용하였습니다.</t>
  </si>
  <si>
    <t>상세한 설명 감사합니다 ^^</t>
  </si>
  <si>
    <t>정확하고 빠르게 해결해 주셨습니다 감사합니다</t>
  </si>
  <si>
    <t>친절하시고 진단 잘 해주셔서 감사합니다.... 빠른 상담 감사 드립니다....</t>
  </si>
  <si>
    <t>친절하게 자세히 설명해서 조치를 해주심</t>
  </si>
  <si>
    <t>친절하게 잘 설명해주셔서 감사합니다(김태훈 매니저님).</t>
  </si>
  <si>
    <t>원격진단 처음이고 인터넷 및 pc 관련해서 모르는게 많았는데 상세히 알려주시고 꼼꼼하게 현상황을 알려주셔서 감사합니다 사실 인터넷을 바꾸려고 생각을 했지만... 고민 되네요 주말인데도 너무 고생이 많으십니다</t>
  </si>
  <si>
    <t>원인에 대하여 잘 설명해주십니다.</t>
  </si>
  <si>
    <t>개인적으로 궁금했던 부분도 여쭤보니 정말 친절하게 최선을 다해서 잘 알려주시네요! 예전부터 인터넷 문제로 골치아팠는데 역시 전문가분께서 만져주시니 5분만에 해결되어버린.. 최고입니다!</t>
    <phoneticPr fontId="1" type="noConversion"/>
  </si>
  <si>
    <t>친절한 사담 및 추후 벌어질 상황에 대한 대처법까지 상세하게 안내해주셔서 좋았습니다. 그리고 안내센터에 한형석상담사님께서도 친절한 상담 및 해결방안을 꼼꼼하게 알려주셔서 두 분 모두 서비스에 대마족합니다. 감사합니다.</t>
    <phoneticPr fontId="1" type="noConversion"/>
  </si>
  <si>
    <t>친절한 설명으로 이해하기 쉬웠습니다</t>
  </si>
  <si>
    <t>친절에 감사합니다</t>
  </si>
  <si>
    <t>친절하고 신속하게 조치해주셔서 너무 만족합니다.</t>
  </si>
  <si>
    <t>세세하게 설명해 주시면서 향후 문제해결을 위한 조치방법을 다시금 알기 쉽게 일러 주셨습니다.</t>
  </si>
  <si>
    <t>넵</t>
  </si>
  <si>
    <t>제가 컴맹수준이라 답답하셨으ㄹ텐데 친절하게 대해 해주셔서 감사합니다</t>
  </si>
  <si>
    <t>말씀 친천히 해주시고 문제점을 잘파악해주시고 응대가좋습니다 감사합니다</t>
  </si>
  <si>
    <t>친절하시고 컴퓨터 치료 잘 마무리해주셨습니다!</t>
  </si>
  <si>
    <t>정성껏 설명해주시고 진단해주셔서 좋았습니다 감사합니다</t>
  </si>
  <si>
    <t>자세한 설명과 빠른 서비스 좋아요</t>
  </si>
  <si>
    <t>친절 서비스에 감사합니다!!</t>
  </si>
  <si>
    <t>친절한 상담조치 너무 감사합니다.</t>
  </si>
  <si>
    <t>상담원분?이 친절하시다.</t>
  </si>
  <si>
    <t>친절하게 응대헤 주시고 쉽게 설명해 주셔서 감사합니다. 제가 원격지원에 대한 선입견이 하나 있는데 개인정보나 다른 정보가 유출되지 않도록 해주세요</t>
  </si>
  <si>
    <t>부드러운 말투로 잘응대해주셧어요 편안하게상담 잘받았고 좋았어여 담에 또 이용할께요 감사합니당....</t>
  </si>
  <si>
    <t>친절하게 안내 해주시고 부가적인 설명도 잘해주셔서 많은 도움이 되었습니다. 감사합니다~</t>
  </si>
  <si>
    <t>잘설명해주시고 덕분에 인터넷이 잘됩니다 굿굿!!!</t>
  </si>
  <si>
    <t>빠르고 친절하십니다!</t>
  </si>
  <si>
    <t>빠르게 해결해주셔서 감사합니다 !</t>
  </si>
  <si>
    <t>너무나 감사합니다 친절하게 잘 바꿔주셨습니다 매니저님께서</t>
  </si>
  <si>
    <t>네 만족했습니다. 추가적으로 변동사항있으면 연락드리겠습니다.</t>
  </si>
  <si>
    <t>친절하시고 좋습니다!</t>
  </si>
  <si>
    <t>알기쉽게 알려주셨고 조치가 잘 되었습니다 감사합니다</t>
  </si>
  <si>
    <t>항상 도움을 주셔서 감사합니다.</t>
  </si>
  <si>
    <t>기사님의 친절하고도 정확한 안내와 서비스에 진심으로 감사합니다.</t>
  </si>
  <si>
    <t>원격 진단 편하고 빠르게 잘 했네요........... 대단히 만족합니다</t>
  </si>
  <si>
    <t>좋은 서비스 잘 받았습니다</t>
  </si>
  <si>
    <t>친절하고 빠른 처리 감사드립니다.</t>
  </si>
  <si>
    <t>너무 친절하시고 자세하게 설명해주셔서 감사합니다.</t>
  </si>
  <si>
    <t>친절하게 잘 알려주시고 빠르게 조치해주셨습니다 그 후 향후 인터넷 사용하는동안 문제점이 개선되지 않으면 어떻게 해결해야 할 지 잘 알려주셔서 너무 감사합니다</t>
  </si>
  <si>
    <t>친절하게 잘 설명해 주시고 원격으로 해결은 못했지만 문제가 될만한것을 잘 알려 주셔서 좋았습니다.</t>
  </si>
  <si>
    <t>정말 친절하고 좋으신분이었어요</t>
  </si>
  <si>
    <t>너무 친절하고 빠르게 처리해주셨습니다.</t>
  </si>
  <si>
    <t>조치도 좋고 설명도 잘해주시네요~!!44</t>
  </si>
  <si>
    <t>정말친절했다</t>
  </si>
  <si>
    <t>친절하게감사합니다</t>
  </si>
  <si>
    <t>궁금한점 완전 해결잘됬습닏나 고맙습니다 ^^</t>
  </si>
  <si>
    <t>친절하고 명료하게 설명해주셔서 해결 잘 했습니다.</t>
  </si>
  <si>
    <t>친절한 상담 감사합니다.늦은시간 고생 하셨습니다.</t>
  </si>
  <si>
    <t>데이터 전송 궁금증에 대해 친절하게 점검해주시고 상담해주셨습니다.</t>
  </si>
  <si>
    <t>차분하고 조리있게 설명하고 빠르게 조치해줘서 좋았습니다.</t>
  </si>
  <si>
    <t>너무 만족합니다 자세히 설명해주셔서 좋습니다</t>
  </si>
  <si>
    <t>한마디평가 전체적인 설명 정말고맙고 만족합니다 고맙습니다</t>
  </si>
  <si>
    <t>정말 친절하십니다 최고</t>
  </si>
  <si>
    <t>점검해주셔서 감사합니다.</t>
  </si>
  <si>
    <t>친절하고 잘 안내해주셨어요 감사합니다</t>
  </si>
  <si>
    <t>친절히 응대해 주셔서 감사합니다</t>
  </si>
  <si>
    <t>친절하시고 빠른지원 감사합니다.</t>
  </si>
  <si>
    <t>깔끔했습니다.</t>
  </si>
  <si>
    <t>친절하고 빠르게 해결해주셨습니다. 감사합니다~</t>
  </si>
  <si>
    <t>상담사 세 분을 거쳐서 원격진단을 받았는데 앞 상담사 세 분보다 훨씬 더 문제해결을 잘 해주셨습니다. 감사합니다</t>
  </si>
  <si>
    <t>너무 친절 하시고 알기쉽게 설명 잘해주셔서 감사합니다 ^^</t>
  </si>
  <si>
    <t>친절하게 잘해주셨어 감사합니다</t>
  </si>
  <si>
    <t>깔끔하게 안내해주시고 해결해주심</t>
  </si>
  <si>
    <t>친절하게 설명을 해주셨습니다. 처음 받아본 서비스인데 마음에 들었습니다</t>
  </si>
  <si>
    <t>컴퓨터사용을 몰라서 답답하셨을텐데 친절히 통화해주셔서 고맙습니다.</t>
  </si>
  <si>
    <t>상담 내 전체적으로 안정적이셨고 요청했던 사항도 빠르게 완료 해주시면서 추가적인 부분까지 확인 후 처리해주셔서 만족스러웠습니다.</t>
  </si>
  <si>
    <t>친절하고 빠른 피드백을 해주셔서 도움이 되었습니다. 감사합니다.</t>
  </si>
  <si>
    <t>빠르게 필요한 부분을 확인해 주셨고 다른 방법도 알려주셨습니다.</t>
  </si>
  <si>
    <t>아주 만족함 잘하셨어용</t>
  </si>
  <si>
    <t>빠른 원인 파악과 친절한 설명이 좋습니다.</t>
  </si>
  <si>
    <t>기사님 화이팅 감사감사</t>
  </si>
  <si>
    <t>신속 정확하게 봐주셨어요 감사합니다</t>
  </si>
  <si>
    <t>정말 빠르고 친절하게 해결 해 주셨습니다. 문제가 되는 아이피 주소 외에 문제를 일으킬 수 있는 다른 부분까지 꼼꼼하게 체크 해 주셔서 좋았습니다. 바로 해결되어 기분 좋습니다. 수고하세요.</t>
  </si>
  <si>
    <t>상담을 친절하게 잘 해주셔서 감사합니다~^^</t>
  </si>
  <si>
    <t>5분도 안되서 문제 해결해주시고 사유 친절하게 설명해 주셨습니다. 감사합니다.</t>
  </si>
  <si>
    <t>친절하고 빠른상담에 감사드립니다</t>
  </si>
  <si>
    <t>아주 친절하게 상담해주셨습니다. 감사합니다.</t>
  </si>
  <si>
    <t>아주 친절하게 설명 잘 해 주셨습니다</t>
  </si>
  <si>
    <t>아주 친절하게 잘 봐주셨습니다 감사합니다</t>
  </si>
  <si>
    <t>친절하게 다 확인 해주셧어요</t>
  </si>
  <si>
    <t>자세하고 구체적으로 친절히 잘 서비스해주셔서 감사합니다.</t>
  </si>
  <si>
    <t>신속 친절하시네용</t>
  </si>
  <si>
    <t>아주 좋은 기능입니다. 기사님도 친절하시구요.</t>
  </si>
  <si>
    <t>바로 방문없이할수있어서편해요</t>
  </si>
  <si>
    <t>친절하게 상담해주셔서 감사드려요</t>
  </si>
  <si>
    <t>친절한 상담 감사합니다. 빠르고 정확하게 점검해주셔서 좋았어요</t>
  </si>
  <si>
    <t>친절히 안내해주셔서 만족합니다</t>
  </si>
  <si>
    <t>친절하고 자세한 안내 감사합니다.</t>
  </si>
  <si>
    <t>궁금한거 잘 알려주셨씁니다 감사합니다</t>
  </si>
  <si>
    <t>친절합니다..기사분 오셔서 해결 않됐는데..단번에 해결됐네요..</t>
  </si>
  <si>
    <t>예. 만족합니다</t>
  </si>
  <si>
    <t>혼자서 해결하기 쉽지 않은 문제였는데 친절하게 같이 찾아주셔서 정말 도움이 되었습니다~</t>
  </si>
  <si>
    <t>시원시원하니 좋네요</t>
  </si>
  <si>
    <t>만족합니다~! 속시원~</t>
  </si>
  <si>
    <t>발생 문제에 대해서 잘 설명 해 주었음.</t>
  </si>
  <si>
    <t>신속 정확하고 친절하게 진단해주셨습니다. 감사합니다.</t>
  </si>
  <si>
    <t>정말 친절하게 질문에 하나하나 대답을 잘 해주셨습니다 잘 해결 해주셔서 감사합니다.</t>
  </si>
  <si>
    <t>안녕하세요. 원격 진단 받은 고객입니다. 기사님께서 친절하게 설명 해 주시면서 문제 해결을 도와주셨습니다. 감사합니다. 좋은 하루 보내세요 ^^</t>
  </si>
  <si>
    <t>자세한 안내및 소프웨어 설치 해 주셔서 감사합니다.</t>
  </si>
  <si>
    <t>기사님이 친절하셔서 좋았습니다</t>
  </si>
  <si>
    <t>며칠간 답답했던 게 확 씻겨지네요.ㅎㅎㅎㅎ 넘넘 감사합니다~!</t>
  </si>
  <si>
    <t>친절하게 원격 해 주시고 원인 분석에 잘 말씀해 주시니 정말 좋네요. 수고 하세요.</t>
  </si>
  <si>
    <t>친절한게 말씀을 잘해주셧서 감사 합니다.</t>
  </si>
  <si>
    <t>너무 친절하고 자세하게 알려 주시고 무엇보다 문제 원인과 해결 방법을 정확히 안내해주셔서 너무 편안했습니다. 감사합니다. 좋은 하루 보내세용!</t>
  </si>
  <si>
    <t>너무 친절 하시고 좋습니다!!!!</t>
  </si>
  <si>
    <t>정확한 설명과 친절하게 이야기 해주셔서 매운 만족합니다</t>
  </si>
  <si>
    <t>최대한 알려 주시려고 했음</t>
  </si>
  <si>
    <t>신속하고 친절한 조치 고맙습니다.</t>
  </si>
  <si>
    <t>뭐가 문제였는지 하나하나 친절하게 알려주시고 전문적으로 확인 해주셔서 감사했습니다</t>
  </si>
  <si>
    <t>완전 친절하고 문의한 문제를 빠르게 해결해주셨습니다</t>
  </si>
  <si>
    <t>너무 친절하고 상담을 잘 해주시네요 감사합니다</t>
  </si>
  <si>
    <t>장재훈 기사님 아주 친절하시고 자세한 설명 많은 도움미 되었슴니다 감사드립니다</t>
  </si>
  <si>
    <t>친절해서 좋습니다</t>
  </si>
  <si>
    <t>친절한 대응과 정확한 정보로 해결 방법에 대해 안내해주셨어요</t>
  </si>
  <si>
    <t>잘 받았습니다</t>
  </si>
  <si>
    <t>이해가 잘되게 설명 들음</t>
  </si>
  <si>
    <t>이한웅님 친절한 상담 감사합니다.</t>
  </si>
  <si>
    <t>친절하게 자세희 설명을 해주어 감사합니다.</t>
  </si>
  <si>
    <t>깔끔한 일처리 해주셔서 바로 해결했습니다 꼼꼼하게 봐주시네요</t>
  </si>
  <si>
    <t>너무 친절하시고, 해결 안되던 문제도 바로 해결해 주셔서 너무너무 감사합니다.^^</t>
  </si>
  <si>
    <t>신속, 정확하게 빠르게 진단 내리고 해결을 도와주셨음 매우 만족</t>
  </si>
  <si>
    <t>친절하게 알려주셔서 감사했습니다!</t>
  </si>
  <si>
    <t>친절하고 빠르게 점검 완료 해주셨습니다.</t>
  </si>
  <si>
    <t>어제 새벽까지 힘들게 해결 못했던 문제 해결해주셔서 정말 감사합니다. 즐거운 하루 되세요</t>
  </si>
  <si>
    <t>엄청 좋아요</t>
  </si>
  <si>
    <t>친절히 잘 상담해주셔서 감사합니다.</t>
  </si>
  <si>
    <t>최고싶니다.</t>
  </si>
  <si>
    <t>아침부터 정말 감사하고 빠르게 처리해주셔서 좋았습니다.</t>
  </si>
  <si>
    <t>완전친절 완전만족해요 상담사분도 친절하시고 원격해주신분도 왕친절하세요! 문제해결해주시고 차후 문제생길시 해결방안도 알려주셨어요!!</t>
  </si>
  <si>
    <t>친절하고 제가원하는 문제를 바로해결해주시네요</t>
  </si>
  <si>
    <t>빠른지원과 설명 잘받았습니다.</t>
  </si>
  <si>
    <t>원격서비스 이용하기전 상담사님 원격도와주신 원격상담사님 모든 분들이 친절하고 자세히 설명을해주셔서 하나도 안 놓치고 다 이해했습니다 오늘 저를 도와주신 분들 모두 감사합니다 감기조심하시고 좋은하루가 되시길~</t>
  </si>
  <si>
    <t>상담이 친절하고 진단이 정확해서 매우 만족했습니다. 원격점검 서비스가 친절하고 신속하며 정확해서 만족합니다. 서비스 품질이 좋아서 믿고 이용할 수 있었습니다.</t>
  </si>
  <si>
    <t>매우 친절하게 세세히 알려주셔서 큰 도움이 되었습니다.</t>
  </si>
  <si>
    <t>친절하게 잘 알려주셔서 잘 모르는데도 진행하기 편했습니다!</t>
  </si>
  <si>
    <t>감사합니다 잘해주셔서 너무 감사드려요</t>
  </si>
  <si>
    <t>친절히 신속하게 문제 해결해 주셨습니다.</t>
  </si>
  <si>
    <t>친절하게 응대해주셨고 알기쉽게 설명해주셨습니다!</t>
  </si>
  <si>
    <t>설명을 명확히 해주셔서 좋았습니다. 다음에도 쓸것같습니다.</t>
  </si>
  <si>
    <t>친절하고 너무 설명잘해주셔서 잘해결된거갔습니다.</t>
  </si>
  <si>
    <t>어디가 원인인지 잘 설명해 주셨어요~~~</t>
  </si>
  <si>
    <t>친절하게 잘 응대해주셔서 감사합니다</t>
  </si>
  <si>
    <t>친절하게 잘해주셧습니다~!</t>
  </si>
  <si>
    <t>w</t>
  </si>
  <si>
    <t>엄청 친절하고 상세하게 잘 알려주셔서 감사합니다. 잘 모르는 부분도 쉽게 말해주셔서 잘 이해되었습니다. 감사합니다.</t>
  </si>
  <si>
    <t>감사합니다 ㅠㅠ</t>
  </si>
  <si>
    <t>사실 이렇게 까지 확인해달란건 아니었는데 친절하게 끝까지 설명 다해주셔서 대단히 만족합니다 감사합니다</t>
  </si>
  <si>
    <t>친절 하고 알아 듣기 쉽게 설명해주셔서 상담 받기 편했습니다.</t>
  </si>
  <si>
    <t>LG유플러스 서비스를 이용하면서 정말 만족스러운 경험을 했습니다. 처음 상담을 도와주신 김가영 직원님께서 하나하나 꼼꼼하게 안내해주셔서 궁금했던 부분을 쉽게 이해할 수 있었고, 문제 상황도 빠르게 파악해주셨습니다. 또한, 원격으로 문제를 해결해주신 과정에서 세심하고 차분한 설명 덕분에 불편함 없이 모든 절차를 마칠 수 있었습니다. 고객 입장에서 필요한 부분을 먼저 생각해주시고, 이해하기 쉬운 언어로 안내해주셔서 신뢰감이 더욱 커졌습니다. 서비스를 이용하면서 이렇게 전 과정이 매끄럽고 만족스러웠던 건 오랜만입니다. 김가영 직원님을 비롯해 LG유플러스의 모든 담당자분들께 감사드리며, 고객의 입장에서 진심으로 대응해주는 모습에서 LG유플러스의 높은 서비스 품질을 느낄 수 있었습니다. 앞으로도 지금처럼 최고의 서비스로 고객 만족을 이어가길 바랍니다. :)</t>
  </si>
  <si>
    <t>매우 친절 굿 ㅋㅋㅋbb</t>
  </si>
  <si>
    <t>친절한 설명과 발생원인, 추후발생될수 있는 문제점까지 충분하게 설명해주셔서 너무 감사합니다.</t>
  </si>
  <si>
    <t>매우 친절하게 잘 설명해주십니다. 감사합니다. 서비스 최고입니다.</t>
  </si>
  <si>
    <t>친절히 상담해 주셔서 감사합니다</t>
  </si>
  <si>
    <t>친절하고 이해하기쉽게 설명 잘 해주십니다!</t>
  </si>
  <si>
    <t>너무 친절하세요 감사합니다</t>
  </si>
  <si>
    <t>친절하게 잘 설명해주셨어요~</t>
  </si>
  <si>
    <t>원격서비스로 현재 오류에 대한 정확한 파악과 증상 재발 시, 향후 진행 방향까지 제시해주시는 좋은 상담이었습니다. 전문적인 상담과 컴팩트한 안내과정 모두 훌륭했습니다. 감사합니다. 수고하세요~!</t>
  </si>
  <si>
    <t>15분동안 상담사분이 친절하게 차근차근 말씀해가면서 알려주시고 조치를 잘 취해주셨습니다</t>
  </si>
  <si>
    <t>친절하게 대응해주셔서 감사합1니다</t>
  </si>
  <si>
    <t>빠른 처리 속도 최고 입니다 감사 합니다</t>
  </si>
  <si>
    <t>안내잘받았습니다</t>
  </si>
  <si>
    <t>안내 잘 해주셔서 해결했습니다. 감사합니다!</t>
  </si>
  <si>
    <t>친절하시고 상세하게 설명 잘해주셔서 좋았어요!</t>
  </si>
  <si>
    <t>매우매우 만족스럽습니다. 감사합니다. 좋은 주말이 될거같습니다. 유플러스 최고!</t>
  </si>
  <si>
    <t>공휴일이라 대응이 미흡 할 것으로 예상 하였는데 너무나 빠르고 친절하게 대응 해주셔서 놀랍습니다. 특히 원격 서비스 해주신 담당자님이 너무 친절하게 설명 및 안내 등 추가 방문 점검을 일정까지 잡아 주셔서 너무 만족 습니다. 수고하세요.</t>
  </si>
  <si>
    <t>설명도 잘해주시고 좋습니다. !</t>
  </si>
  <si>
    <t>빠르고 정확한 대처 감사합니다</t>
  </si>
  <si>
    <t>물음에 성심껏 응대해 주시고 서비스 친절하게 잘 받았습니다.</t>
  </si>
  <si>
    <t>친절한 설명과 수리 감사합니다</t>
  </si>
  <si>
    <t>문제 해결 및 추가 질문에도 상세히 알려주셔서 감사했습니다.</t>
  </si>
  <si>
    <t>빠르고 친절하고 명쾌했습니다.</t>
  </si>
  <si>
    <t>너무 친절히 설명해주셔서 감사했어요 친절상담 감사드립니다.</t>
  </si>
  <si>
    <t>빠른 진단과 이후 설명과 함께 문제 해결에 도움을 친절하게 해주셔서 감사합니다.</t>
  </si>
  <si>
    <t>친절하게 잘 설명해주셔요 감사합니다.</t>
  </si>
  <si>
    <t>아주 친절하게 차근차근 설명해주셔서 정말 감사했습니다!</t>
  </si>
  <si>
    <t>너무너무 친절하게 해주십니다</t>
  </si>
  <si>
    <t>스마트원격진단 서비스를 이용했는데 정말 친절하게 응대해 주셔서 기분이 좋았습니다. 처음이라 조금 낯설었는데, 상담해 주신 분이 차분하게 안내해 주시고 하나하나 설명을 잘해 주셔서 어렵지 않게 해결할 수 있었어요. 기술적인 부분은 잘 모르지만, 끝까지 친절하게 도와주셔서 감사했습니다. 특히 말투나 태도에서도 성의가 느껴져서 믿음이 갔고, 고객 입장에서 배려해 주시는 게 느껴졌어요. 요즘은 이런 세심한 응대가 참 드물다고 생각하는데, 오랜만에 기분 좋은 경험이었습니다. 다음에도 이런 서비스라면 안심하고 이용할 수 있을 것 같아요. 감사합니다 😊</t>
  </si>
  <si>
    <t>문제사항을 잘 해결해 주시고, 친절히 상담해 주셨습니다.</t>
  </si>
  <si>
    <t>친절하게 포트포워딩에 대해 알려주셔서 감사했습니다</t>
  </si>
  <si>
    <t>안내 및 절차 설명등 부분에서 고객을 배려 하는 모습이 돋보였음.</t>
  </si>
  <si>
    <t>친절하게 처리해주셨습니다</t>
  </si>
  <si>
    <t>기사님이 친절하게 설명 해줫고 통화하면서 뭐가 문제가 있다고 하여 그것까지 잘해결해줫습니다</t>
  </si>
  <si>
    <t>친절한 응대~ 수고하세요</t>
  </si>
  <si>
    <t>랜카드 문의후 업그레이드를 해주셔서 감사합니다.</t>
  </si>
  <si>
    <t>엄청 빨리 해결해주셔서 너무 감사해요~^^</t>
  </si>
  <si>
    <t>물어보는거 대답 잘해주셧습니다</t>
  </si>
  <si>
    <t>친절하고 신속하게 해결해주셨습니다.</t>
  </si>
  <si>
    <t>친절하고 잘 하셔서 좋은 것 같다</t>
  </si>
  <si>
    <t>친절하고 빠른응대 감사드려요~</t>
  </si>
  <si>
    <t>신속하고 친절하게 해결해 주셔서 감사합니다.</t>
  </si>
  <si>
    <t>모르는거 친절하게 잘 설명해주셔서 기사님 너무 고맙네요</t>
  </si>
  <si>
    <t>친절한 상담으로 문제 해결방법을 제시해주셔서 해결방법찾음</t>
  </si>
  <si>
    <t>친절하게 상담잘받고 업그레이드도 잘받았습니다. 고맙습니다.</t>
  </si>
  <si>
    <t>친절하고 상세히 알려주셨습니다.</t>
  </si>
  <si>
    <t>정말 친절하게 궁금한점들을 한번에 잘 해결해 주셨습니다.</t>
  </si>
  <si>
    <t>기사님의 친절하고 빠른 조치로 좋은 지원 받았습니다. 이 기사님 너무 훌륭했어요. 감사합니다!</t>
  </si>
  <si>
    <t>친절하게 상담 해주셔서 감사합니다</t>
  </si>
  <si>
    <t>꼼꼼히 설명해주셔서 감사합니다^^ 도움이 많이 됫습니다~</t>
  </si>
  <si>
    <t>너무 친절히 잘 설명해 주셔서 이해했습니다.</t>
  </si>
  <si>
    <t>굉장히 친절하셔서 마음 놓고 as 받은 것 같습니다!! 정말 감사합니다~</t>
  </si>
  <si>
    <t>인터넷 상담 서비스품질 스마트원격진단 품질지원팀 상담 완전 만족스럽니다... 항상 친절히 답변 해주시고 알려주셔서 감사합니다</t>
  </si>
  <si>
    <t>고맙습니다 수고하셨어요~</t>
  </si>
  <si>
    <t>친절하게 잘해주셔서 감사합니다</t>
  </si>
  <si>
    <t>친절하게 설명해주시고 해결해주셨습니다 고맙습니다!</t>
  </si>
  <si>
    <t>빠르고 , 원인도얘기해주셔서 고맙습니다.</t>
  </si>
  <si>
    <t>신속하고 정확하게 처리해주셨어요~ 감사합니다!</t>
  </si>
  <si>
    <t>원격으로 쓸모없는것들 파악 제거해주셔서 좋았고 랜카드 업데이트 감사합니다</t>
  </si>
  <si>
    <t>상세히 친절하게 설명해 주셔서 감사합니다.</t>
  </si>
  <si>
    <t>너무 빠른서비스 너무너무 감사드립니다 이정도로 빠를줄은 몰랐는데 너무 잘 설명해주시고 빠르게 문제 해결해주셨습니다 고생 하시구 남은 하루 잘마무리하세요</t>
  </si>
  <si>
    <t>너무 친절하게 자세히 설명해주셔서 도움이 많이됐어요 감사합니다^^</t>
  </si>
  <si>
    <t>너무 친절하시고 감사드립니다.</t>
  </si>
  <si>
    <t>친절히 설명해주셨습니다</t>
  </si>
  <si>
    <t>편안하고 안정적인 말투로 천천히 잘 알려주셨어 편하게 서비스 받았습니다.</t>
  </si>
  <si>
    <t>매우친절하시고 컴퓨터 초보자도 이해하기 쉬울정도로 친절하고 정확하게 설명해주심</t>
  </si>
  <si>
    <t>친절하게 잘 케어해 주시고 설명도 잘 해주셔서 많은 도움이 되었습니다.</t>
  </si>
  <si>
    <t>친절하셔서 좋아요</t>
  </si>
  <si>
    <t>왕친절 전문성 이빠이</t>
  </si>
  <si>
    <t>엄청 친절하시고 잘해주시내요 감사합니다</t>
  </si>
  <si>
    <t>원격설명 잘해주셔서 감사합니다 그런데 500mb짜리인데 인터넷 장비를 100mb짜리로 설치해주신건 아닌것 같네요</t>
  </si>
  <si>
    <t>비록 해결은 안되었지만 확인 가능한 사항은 모두 확인할 수 있어서 다음 대책을 세울 수 있게 되었습니다.</t>
  </si>
  <si>
    <t>문제 해결에 적극적이세요</t>
  </si>
  <si>
    <t>매우 만족 합닉다.</t>
  </si>
  <si>
    <t>최고예요!</t>
  </si>
  <si>
    <t>친절하고 자세한 설명과 빠른 해결 감사합니다!</t>
  </si>
  <si>
    <t>잘 처리해주십니다</t>
  </si>
  <si>
    <t>상담감사합니다 100% 너무 감사하고 친절하시어 고객님들과 더욱 더 좋은시간 돼셔요 행운가득 행복하셔요</t>
  </si>
  <si>
    <t>아주친절하고 스마트하게 빠르고 혁신적인 분입니다.</t>
  </si>
  <si>
    <t>전문적이고 친절한 대단히 만족스러운 상담이었습니다 감사합니다</t>
  </si>
  <si>
    <t>빠른 원인파악과 해결로 속이 시원해졌습니다. 감사합니다.</t>
  </si>
  <si>
    <t>친절하게 잘설명하셨어요</t>
  </si>
  <si>
    <t>친절하고 섬세한 부분까지 진단해줬습니다. 아주 만족합니다 . 다음에도 원격 조종 필요할 경우 이분한테 받아보고 싶네요</t>
  </si>
  <si>
    <t>친절하시고 성실하게 답변해 주셨습니다</t>
  </si>
  <si>
    <t>친절하게 알려주셔서 좋았어요!!</t>
  </si>
  <si>
    <t>꼼꼼한 점검</t>
  </si>
  <si>
    <t>적시에 친절하게 완료해주셨습니다.</t>
  </si>
  <si>
    <t>너무 친절하게 잘 해주셨습니다.</t>
  </si>
  <si>
    <t>친절하게 알려주셔서 좋았습니다.</t>
  </si>
  <si>
    <t>최곱니다</t>
  </si>
  <si>
    <t>친절하게 아주 잘 처리해 주셔서 너무너무 감사합니다.</t>
  </si>
  <si>
    <t>빠른대응 감사드려요</t>
  </si>
  <si>
    <t>네에~친절하게잘설명해주셔서감사드립니다 ^^</t>
  </si>
  <si>
    <t>아주 만족합니다.</t>
  </si>
  <si>
    <t>빠르고 친절하게 점검 잘 해주셨습니다 감사합니다</t>
  </si>
  <si>
    <t>Good!!</t>
  </si>
  <si>
    <t>넘친절하게 해 주셨어요</t>
  </si>
  <si>
    <t>너무 감사합니다!</t>
  </si>
  <si>
    <t>친절하고 상세하게 안내해 주셔서 감사합니다</t>
  </si>
  <si>
    <t>정말 만족합니다.</t>
  </si>
  <si>
    <t>친절하고 만족스럽습니다!</t>
  </si>
  <si>
    <t>빠르게 원인파악해주시고 알기쉽게 설명해주셔서 매우 만족입니다.</t>
  </si>
  <si>
    <t>기사님께서 많이 친절하시고 불편함 없게 잘 점검 해주셨습니다</t>
  </si>
  <si>
    <t>감사합니다. 최고</t>
  </si>
  <si>
    <t>정말 친절하게 문제를 잘 해결해주셧습니다 감사합니다</t>
  </si>
  <si>
    <t>늦은 밤시간인데 열심히 맞춰주셔서 앞으로는 인터넷을 편안히 쓸 수 있게 되어 좋네요. 오시지 않아도 원격으로 되니 대만족입니다! 감사합니다.</t>
  </si>
  <si>
    <t>늦은 밤에도 빠른 처리 감사합니다</t>
  </si>
  <si>
    <t>친절하시고 정확하게 처리해주었네요 감사합니다</t>
  </si>
  <si>
    <t>일단 빠른 응대에 감사드립니다 그리고 정확한 진단과 설명에도 감사드립니다 전화 받아주신 상담사분의 친절함에도 감사드립니다 아울러 원격으로 점검해주신 서비스 기사분께도 신속하고 알기쉽게 설명해주시고 점검해주셔서 감사드립니다 엘지 유플러스 너무 조아요 번창하세요 ^^</t>
  </si>
  <si>
    <t>문제점을 빠르게 파악하여 바로 해결해주고, 친절하게 상담해주셔서 편하게 서비스 점검을 받을 수 있었습니다.</t>
  </si>
  <si>
    <t>친절하시고 일처리가 확실합니다</t>
  </si>
  <si>
    <t>친절하게 응대를 잘해주셔서 감사합니다</t>
  </si>
  <si>
    <t>친절하게 진단 해주셨습니다</t>
  </si>
  <si>
    <t>상담원 및 기사님께서 친절하고 세심하게 봐주셔서 정말 감사드립니다. 비록 완전 해결은 못했지만 맘이 편안해 졌습니다~^^ 바브신데 감사합니다.</t>
  </si>
  <si>
    <t>친절하게 문제점을 알려주시고 점검해주셔서 감사합니다</t>
  </si>
  <si>
    <t>친절하게 자세히 설명해주셔서 많은 도움이 되었었습니다.</t>
  </si>
  <si>
    <t>고생하셨씁니다</t>
  </si>
  <si>
    <t>너무 친절하게 잘 설명해주셨어요 감사드려요</t>
  </si>
  <si>
    <t>너무 친절하시고 하나하나 알려주시고 정말 감사합니다</t>
  </si>
  <si>
    <t>알기쉽게 설명해주시고 증상재현 확인 및 안내를 친절하게 해주십니다. 감사합니다.</t>
  </si>
  <si>
    <t>원하는 퍼포먼스를 제대로 해결하였습니다. 감사합니다.</t>
  </si>
  <si>
    <t>이해하기 쉽게 설명해주시고 빠른 AS해주셨습니다 추 후 정상적으로 작동이 되는지 불편함은 없는지 연락주는 서비스까지 너무 좋습니다. : )</t>
  </si>
  <si>
    <t>원격제어 해주시는 상담원? 분이 굉장히 친절하시고 제가 젊은 나이인데도 불구하고 원격으로 제 컴퓨터 화면을 같이보며 같이 의견을 나누는게 정말 신기하고 세상좋다는 생각도 들뿐더러, 서로 보고 이해하는게 헷갈리는 부분이 없다는게 참 좋은 것 같습니다.</t>
  </si>
  <si>
    <t>친철하고 자세한 설명과 진단 감사드립니다. 수고하셨습니다.</t>
  </si>
  <si>
    <t>친절하시고 빠른 검사 감사합니당</t>
  </si>
  <si>
    <t>친절하시고 잘 안내받아 진행되었습니다.</t>
  </si>
  <si>
    <t>오래 걸릴 줄 알았는데 되게 빠르게 문제해결돼서 좋았습니다</t>
  </si>
  <si>
    <t>기사님이 최선을 다해서 잘해주셨어요 .. 이상이 없기를 바랍니다 감사해요</t>
  </si>
  <si>
    <t>친절하시고 빠른대응해주셔서 좋았습니다</t>
  </si>
  <si>
    <t>감사합니다. 친절히 응대해주시구 설명도 해주셔서 오류 건에 대해 이해되었습니다. 덕분에 행복합니다. 감사합니다.</t>
  </si>
  <si>
    <t>친절한 응대와 빠른 서비스 감사합니다</t>
  </si>
  <si>
    <t>상세하게 쉽게 잘 설명해주셔서 감사합니다.</t>
  </si>
  <si>
    <t>전문성과 친절성 모두 만족합니다.</t>
  </si>
  <si>
    <t>친절하시고 상세히 안내 해주었습니다</t>
  </si>
  <si>
    <t>뭐가 문제인지 바로 캐치하시고 설명도 친절하게 해주셔서 너무 감사했습니다!</t>
  </si>
  <si>
    <t>빠른해결 너무 감사합니다^^</t>
  </si>
  <si>
    <t>친절하하고 꼼꼼하게 점검해주셔서 감사합니다. 이렇게좋은서비스가 있는지몰랐습니다.</t>
  </si>
  <si>
    <t>정확하고 빠른 서비스와 친절하고 정확한 설명이 정말 좋았어요</t>
  </si>
  <si>
    <t>친절하고 빨라서 좋습니다.</t>
  </si>
  <si>
    <t>빠르게 도움주셔서 감사합니다</t>
  </si>
  <si>
    <t>친절하고 자세한 설명으로 큰도움 받았습니다. 감사합니다.</t>
  </si>
  <si>
    <t>친절하고빠르게처리감사합니다</t>
  </si>
  <si>
    <t>처음 받았는데 설명도 정말 잘해주시고 빠르게 조치를 해주셔서 정말 좋았던 것 같습니다 항상 고생 많으십니다 화이팅 하십쇼!</t>
  </si>
  <si>
    <t>친절히 설명해주시고 정확한 원인을 찾아주시려고 꼼꼼히 봐주셔서 좋았습니다.</t>
  </si>
  <si>
    <t>빠르고 정확하게 문제 해결해주셔서 감사합니다</t>
  </si>
  <si>
    <t>친절하시고 설명 잘해주셔서 너무 좋았습니다. 다음에도 잘부탁드립니다.</t>
  </si>
  <si>
    <t>5분도 안돼서 호다다다다다다다다다닥 조치 완료 해주셨어요 최고@!</t>
  </si>
  <si>
    <t>친절하고 상세한 점검과 진단으로 문제해결까지 잘 도와주셔서 감사합니다. 항상 건강하시길~~~~ ^^</t>
  </si>
  <si>
    <t>뭘 해결해야하는 지 확실하지 않은 상황에서도 방법을 생각해봐주시고 해결해주셨습니다. 감사합니다.</t>
  </si>
  <si>
    <t>친절하고 이해가 쉽게 설명해 주셨습니다 정말 감사합니다</t>
  </si>
  <si>
    <t>하나하나 차근차근 잘 알려주셔서 문제를 해결할수 있었습니다. 너무 친절하셨고 감사합니다.</t>
  </si>
  <si>
    <t>친절한 상담 감사합니다. 감동이네요..</t>
  </si>
  <si>
    <t>잘 받았습니다. 감사합니다</t>
  </si>
  <si>
    <t>친절하고 처리속도가 좋아요 :)</t>
  </si>
  <si>
    <t>설명을 너무 잘해주셔서 감사합니다.</t>
  </si>
  <si>
    <t>금요일 늦은 시간에 친절히 점검해주셔서 감사합니다.</t>
  </si>
  <si>
    <t>자세하고 친절하게 잘 설명해주셨습니다 감사합니다.</t>
  </si>
  <si>
    <t>감사합니다. 코멘트 기억을 해서 좀 써먹어보도록 하겠습니다.</t>
  </si>
  <si>
    <t>항상친절하게 가르쳐 주어서 정말 고맙습니당'''''''</t>
  </si>
  <si>
    <t>주말에도해주셔서 감사합니다</t>
  </si>
  <si>
    <t>친절하네요</t>
  </si>
  <si>
    <t>잘 해결됐습니다! 친절한 설명 감사드립니다.</t>
  </si>
  <si>
    <t>빠른접수와 친절한 설명으로 해결되어 너무 만족합니다.</t>
  </si>
  <si>
    <t>너무 친절하고 전문성이 느껴졌습니다 최고에요 이래서 엘지를 못벗어나요 굿굿</t>
  </si>
  <si>
    <t>자세하게알려주셨어용</t>
  </si>
  <si>
    <t>친절하게 제품문제점에 대해 알려주시고 정확한 문제점을 찾아서 빠르게 응대해주셨습니다.</t>
  </si>
  <si>
    <t>진짜 스마트 원격진단 서비스는 대단하다! 인정! 너무 친절하게 제가 원하는 그 이상을 해주셔서 넘 감사합니다 남들 쉬는 토요일 서비스까지 해주시는게 넘 최고입니다!</t>
  </si>
  <si>
    <t>너무 친절하세요! 다음번에도 이분에게 상담받고 싶어요</t>
  </si>
  <si>
    <t>매우친절하시고 신속하게 도움을 주십니다. 감사합니다.</t>
  </si>
  <si>
    <t>신속, 친절, 전문적인 상담과 문제 해결 프로세스에 대해서 깊이 감사드립니다.</t>
  </si>
  <si>
    <t>PC IP 관련 문제로 상담을 요청드렸는데 상담사께서 상황을 아주 이해하기 쉽게 설명해주셔서 많은 도움이 되었습니다. 원격으로 바로 해결되는 내용이 아님에도 불구하고, 어떤부분을 확인해야하고 이후 고객센터에는 어떻게 다시 문의해야 하는지까지 친절하게 안내해주셔서 문제를 정리하는데 큰 도움이 되었습니다. 상담 내내 설명도 명확했고 응대 태도도 좋아서 감사한 마음에 글을 남깁니다. 덕분에 다음 단계로 어떻게 진행해야 할지 확실히 알게 되었고 상담사분의 세심한 안내에 진심으로 감사드립니다!!!</t>
  </si>
  <si>
    <t>너무나도 친절하십니다!</t>
  </si>
  <si>
    <t>친절하게 꼼꼼하게 점검해주셨습니다. 감사합니다.</t>
  </si>
  <si>
    <t>차분히 친절하게 설명을 잘해주셨습니다 기분좋게 마물리 해주셔서 감사합니다</t>
  </si>
  <si>
    <t>편리하고 빠르게 처리해주셨어요</t>
  </si>
  <si>
    <t>직원분이 친절 하시고 문제가 있는 부분을 제거 해주셔서 감사 했습니다</t>
  </si>
  <si>
    <t>직원분이 친절하고 잘알려주셨습니다 문재가 있는지 없는지도 알려 주셨고 문제 없음을 말해 주셨서 너무 감사했습니다</t>
  </si>
  <si>
    <t>설명 친절하시고 빠르게 해결 해주셨습니다</t>
  </si>
  <si>
    <t>덕분에 몇일동안 고생했는데 말끔하게 해결됐습니다 감사합니다</t>
  </si>
  <si>
    <t>너무 친절하게 안내해주시고 추가적인부분까지 새심하게 신경써주셔서 만족합니다.</t>
  </si>
  <si>
    <t>너무 친절하게 설명해 주셔서 좋았어요~!~ 빠른해결 감사합니다 :) LG유플러스 계속 애용하겠습니다!</t>
  </si>
  <si>
    <t>친절하고 꼼꼼하게 잘봐주시네요. 알려주신대로 한번 해볼께요.감사합니다.</t>
  </si>
  <si>
    <t>전화를 받았을 때 굉장히 친절하게 대해주셨고 기사님과 직접 통화하시면서 빠르게 문제점을 파악하고 처리해주셨습니다!</t>
  </si>
  <si>
    <t>친절하게 알려주시고 질문도 잘 받아주셔서 궁금한 점을 모두 알아 간 것 같네요. 도움 주셔서 감사합니다~</t>
  </si>
  <si>
    <t>말은 빠르지만..핵심만 콕집어 문제해결을 빠르게 해주셨습니다.</t>
  </si>
  <si>
    <t>친절하세요 감사합니다</t>
  </si>
  <si>
    <t>자세하게 설명해주시고 빠른시간내에 처리해주셔서 정말 정말 좋았습니다 감사합니다</t>
  </si>
  <si>
    <t>문제 해결은 안됐지만 친절하고 알기 쉽게 설명 해주시고 조치 해 주셨습니다.</t>
  </si>
  <si>
    <t>정확한 정보를 알려주시고.추후에 있을 문제점까지 미리 알려주셨습니다.</t>
  </si>
  <si>
    <t>늦은 시간임에도 친절히 설명 주심 감사합니다</t>
  </si>
  <si>
    <t>빠르고 친절하게 조치해주셨습니다 감사합니다</t>
  </si>
  <si>
    <t>간단하게 잘 끝나서 좋은 것 같습니다. 감사합니다.</t>
  </si>
  <si>
    <t>네 수고 하셨읍니다. 감사 합니다</t>
  </si>
  <si>
    <t>네~ 자세히 설명 잘 해주셔서 감사드립니다.</t>
  </si>
  <si>
    <t>친절한 서비스 잘 받았습니다.</t>
  </si>
  <si>
    <t>친절하게 잘 상담해 주시고 원활하게 해결해 주셨습니다.</t>
  </si>
  <si>
    <t>빠른원인 파악과 해결방법 제시까지 완벽합니다. 감사합니다.</t>
  </si>
  <si>
    <t>와 형님 감사합니다. 너무 자세하게 설명 해 주셔서 쉽게 작업 해결할 수 있었어요.</t>
  </si>
  <si>
    <t>친절하게 잘 처리해주셨습니다.</t>
  </si>
  <si>
    <t>네 만족했습니다.</t>
  </si>
  <si>
    <t>친절하게 잘 상담받았습니다. 감사합니다.</t>
  </si>
  <si>
    <t>친절하시고 매우 상냥히 응대해주셨습니다</t>
  </si>
  <si>
    <t>친절히 설명 해주셔서 문제 해결 잘 됏습니당</t>
  </si>
  <si>
    <t>빠르게 처리해주셨고 이후 문제에 대해 어떻게 해결할지 방법을 알려주셨습니다 감사합니다.</t>
  </si>
  <si>
    <t>친절한 설명 감사합니다. 행복한 하루 되세요^^</t>
  </si>
  <si>
    <t>친절하게 처음부터 천천히 해주셔서 잘해결되었습니다. 감사합니다!</t>
  </si>
  <si>
    <t>상세하고 친절한 설명 감사합니다.</t>
  </si>
  <si>
    <t>친절한 설명과 응대에 감사드립니다.</t>
  </si>
  <si>
    <t>공감 잘 해주시면서 상담 잘 받았습니다</t>
  </si>
  <si>
    <t>500M 인터넷 설치로 설치 기사님 방문, 속도 빠른 인터넷 권유로 기가 인터넷 설치 결정.속도 측정 결과 Down/upload 성능 나오지 않아 고객센터 문의 시 고객센터는 기술 부서로 내용 전달, 기술 부서에서는 기가 속도 나오지 않으니 500M 인터넷으로 사용 하시는 것이 좋을 것 같다고 함. 기술적인 조치는 없음. 상담 완료 후 고객센터에 전화해서 작일 설치 받은 기가 인터넷 속도가 나오지 않아 500M 로 변경 요청 시 요금제 변경은 월 1회만 가능하다고 전해 들음. 1. 인터넷 속도 측정 관련 문제 사항 소비자가 파악. 2. 권유 받은 기가 인터넷 요금제 변경이 속도 문제 사항으로 발생하였으나, 해당 요금제 변경에 대한 책임도 소비자가 지는 것이 맞나요? 답변 부탁 드립니다.</t>
  </si>
  <si>
    <t>굉장히 만족하였습니다. 문제가 해결되어버렸습니다.</t>
  </si>
  <si>
    <t>최고 입니다 감사해여</t>
  </si>
  <si>
    <t>인터넷 속도측정이 안되어서 원격요청 서비스 요청 하였는데 빠른 조치 감사드립니다</t>
  </si>
  <si>
    <t>고객센터 직원부 부터 원격점검 직원분까지 너무 빠르고 정확하고 친절하게 상담해주셔서 너무 좋았습니다. 감사합니다</t>
  </si>
  <si>
    <t>기사님께서 상세한 설명 주셨습니다. 매우친절하시고 사적인 문의까지 잘 안내해주셨습니다.</t>
  </si>
  <si>
    <t>문제가 있었던 부분도 해결해 주시고 문제가 일어난 원인도 설명해 주셔서 좋았습니다.</t>
  </si>
  <si>
    <t>친절해요 감사합니다</t>
  </si>
  <si>
    <t>설명도 잘해주고 너무 감사하고 그리고 만족합니다.</t>
  </si>
  <si>
    <t>친절하고 깔끔한 서비스 감사힙니다.</t>
  </si>
  <si>
    <t>친절한 응대와 서비스 감사합니다</t>
  </si>
  <si>
    <t>친절하게 알려주셔서 좋습니다</t>
  </si>
  <si>
    <t>잘찾아주시고 좋아요</t>
  </si>
  <si>
    <t>기사님께서 꼼꼼하게 잘 확인 해주셨습니다. 고맙습니다~!!</t>
  </si>
  <si>
    <t>너무 친절하시고 설명도 잘해주셔서 원격 조치 잘받았습니다 수고하시고 복만이 받으세요</t>
  </si>
  <si>
    <t>친절하게 설명해주셨어요~~^^ 덕분에 인터넷속도도 확인하게되었네요 추운날 감기 조심하시고 건강하세요~!ㅎㅎ</t>
  </si>
  <si>
    <t>친절하고 꼼꼼하게 잘 봐주셨습니다 감사합니다.</t>
  </si>
  <si>
    <t>너무 친절하게 잘 설명해주셨습니다 또 이용할게요 감사합니다.</t>
  </si>
  <si>
    <t>빠른 점검으로 해결해주셔서 감사합니다!</t>
  </si>
  <si>
    <t>엄청 친절하십니다. 서비스직 하시는 분들 모두 화이팅입니다.</t>
  </si>
  <si>
    <t>친절하고 빠르게 끝내주셧습니다</t>
  </si>
  <si>
    <t>장재훈 프로님 지식도 많으시고 친절하시고 아주 최고입니다. 다음에 as 받을일이 있으면 또 뵙고 싶습니다. 다시 한 번 감사합니다</t>
  </si>
  <si>
    <t>끝까지 신경써주셨습니다.</t>
  </si>
  <si>
    <t>친절한 설명</t>
  </si>
  <si>
    <t>빠른처리와 친절한서비스 너무 감사합니다!</t>
  </si>
  <si>
    <t>신속하고 정확하게 완벽히 해결해주심 감사합니다~</t>
  </si>
  <si>
    <t>너무 친절하시고, 자세하게 설명주셔서 좋았습니다.</t>
  </si>
  <si>
    <t>빠르게 처리 해 주셨습니다.</t>
  </si>
  <si>
    <t>컴 잘못 다루는 나에게 이해하기 쉽게 알려주어서 고맙게 감사합니다.</t>
  </si>
  <si>
    <t>아주 친절하고 상세히 알려주셔서 감사히 사용하게됐습니다 감사합니다</t>
  </si>
  <si>
    <t>서비스가 좋습니다. 친절하구요. 만족합니다.</t>
  </si>
  <si>
    <t>친절하시고 도움이 많이 되었습니다</t>
  </si>
  <si>
    <t>친절하시고 빠른해결도움 감사합니다</t>
  </si>
  <si>
    <t>자세하고 친절한 설명과 상담으로 마음을 놓았습니다. 감사합니다. 앞으로도 좋은 상담 부탁드립니다~</t>
  </si>
  <si>
    <t>상세히 설명 감사합니다.</t>
  </si>
  <si>
    <t>신속하게 해결해 주셔서 감사합니다.</t>
  </si>
  <si>
    <t>친절하시고 전문적이시고 너무 잘합니다 만족했어요</t>
  </si>
  <si>
    <t>친절히 상담잘받았습니다.</t>
  </si>
  <si>
    <t>몰라서 당황했는데 친절하게 가르켜주셔서 감사합니다</t>
  </si>
  <si>
    <t>친절하게 서비스 받아주셨습니다. 감사합니다</t>
  </si>
  <si>
    <t>빠른 처리 감사합니다 친절하게 잘 응대 해주셨습니다</t>
  </si>
  <si>
    <t>빠르고 정확하게 해결 해 주셨습니다~!</t>
  </si>
  <si>
    <t>친절하고 일반인이 알아듣기 손쉽게 말씀 해주셔서 이해가 쉬웠음</t>
  </si>
  <si>
    <t>전화 연결도 바로 잘 되었고 문제도 빠르게 해결해주셔서 감사합니다. 추후 문제 발생시 다시 문의드리겠습니다~!!</t>
  </si>
  <si>
    <t>문제외에 궁금한점도 알려주셨습니다. =^오^=b</t>
  </si>
  <si>
    <t>만족하고 감사합니다.</t>
  </si>
  <si>
    <t>집 구조상 시간이 오래 걸렸는데 잘 설명해주셨고 다 해결 됐습니다. 오전부터 감사드립니다.</t>
  </si>
  <si>
    <t>상담사님 이 빠르게 점검 해주시고 설명도 자세히 해주셔서 도움이 되었습니다. 감사합니다.</t>
  </si>
  <si>
    <t>goooooooooooooooood!!!!</t>
  </si>
  <si>
    <t>아주 친절하고 깔끔하게 설명해주었습니다. 너무 만족했습니다. 감사합니다!</t>
  </si>
  <si>
    <t>친절하게 이해하기 쉽게 그림도 그려 설명해주셨어요 감사합니다</t>
  </si>
  <si>
    <t>정확하고 신속하게 처리해 주셔서 감사합니다. 빠른 진단으로 속이 후련해지는 느낌 이였습니다. 친철히 응대해 주셔서 감사합니다.</t>
  </si>
  <si>
    <t>친절하고 빠르게 원격지원 점검 해주셨습니다. 추후 같은 문제 발생시 대처법 까지 알려주셔서 좋습니다</t>
  </si>
  <si>
    <t>너무친절하게 설명해주시고 응대해주셨습니다 감사드립니다</t>
  </si>
  <si>
    <t>상황에대해 이해하시고 친절하게 조치해주셨습니다 LG 는 반성하세요 회사에서 조치안하는 부분때문에 직원분들만 힘든겁니다</t>
  </si>
  <si>
    <t>기사분 덕텍에 문제가 해결되었고 추후 조치방법까지 친절히 안내받았습니다. 이런 기사분이 많으셨으면 좋겠네요~</t>
  </si>
  <si>
    <t>늦은 시간에 친절히 응대해주셨어요.</t>
  </si>
  <si>
    <t>네트워크에 대한 지식이 많지않아.. 현재 상황에 대해 두서없이 말씀드렸는데, 잘 응대해 주셔서 감사합니다.</t>
  </si>
  <si>
    <t>항상 원격 서비스가 좋아서 이상 있으면 받는 편인데 오늘도 좋은 원격 기사 님이 친절하게 설명 해주시면서 잘 받았습니다.</t>
  </si>
  <si>
    <t>컴퓨터와 프린터기를 무선 연결 하는 과정에서 알 수 없는 오류가 생겨서 인터넷 상의 문제인가 싶어 연락 드렸는데 원격지원으로 확인해주시는 엔지니어님께서 정말 세심하게 확인해주시며 무선인터넷 설치까지 완벽하게 도와주셨습니다. 제가 잘 하지 못하는 어려운 부분이라 당황스러웠던 상황인데 너무 친절하게 처리해주셔서 감동했어요. 복 많이 받으세요^^ 너무 너무 고맙습니다!</t>
  </si>
  <si>
    <t>빠르고 신속하게 잘 해 주셔서 너무 감사합니다... 좋은 하루 되세요 ~~~</t>
  </si>
  <si>
    <t>친절한 설명감사합니다</t>
  </si>
  <si>
    <t>좋은 해결 방법을 친절하게 알려주셔서 편하게 이용 할 수 있을 것 같습니다. 늦은 시간대에도 친절하게 문제 해결해주셔서 감사합니다 ^^</t>
  </si>
  <si>
    <t>친절한 상담~ 문제가 완벽히 해결될 때까지 처리해주신 기사님 감사드립니다~! 엘지 유플러스 굿입니다.</t>
  </si>
  <si>
    <t>good!!!</t>
  </si>
  <si>
    <t>상당 잘 받았습니다.</t>
  </si>
  <si>
    <t>자세하게 설명해주셔서 감사합니다.</t>
  </si>
  <si>
    <t>친절히 안내 받아서 기분 좋은 서비스를 받았습니다!!</t>
  </si>
  <si>
    <t>빠르고 친절하게 문제를 처리해 주셨습니다. 사후관리에 대해서도 안내해 주셨습니다. 고맙습니다.</t>
  </si>
  <si>
    <t>기술지원팀 김태환 상담사님이 너무 친절하게 안내해주시고, 인터넷문제가 아니였음 에도 불구 하고 여러 방면 으로 도움 주셔서 혼자서 몇주를 끙끙앓던 문제를 잘 해결 할 수 있었습니다. 정말 내 컴퓨터다 생각하고 봐주셔서 너무 감사 했고, 또 알아 듣기 쉽게 설명 해 주셔서 아 이래서 그랬구나! 라고 저처럼 컴퓨터를 잘 모르는 사람도 금방 이해 하기 쉬울 것 같다 라고 생각했어요. lg유플러스에 이런 분이 계셔서 앞으로도 쭉 장기 고객 으로 엘지를 써야겠다 마음 먹었고 인터넷도 kt에서 잘 갈아 탔다고 생각했습니다. 정말 정말 감사드려요^-^ 유플러스 본사에서는 이글을 보고 그냥 지나 치지 말고 고객의 소리를 귀 기울여 듣고 너무 친절 하고 우수 하신 우수 사원 김태환 상담사님께 고객 대신 충분한 보상을 해주시면 좋겠어요. 꼭이요~</t>
  </si>
  <si>
    <t>친절하고 빠르게 상담해주셔서 감사합ㄴ디ㅏ</t>
  </si>
  <si>
    <t>고민에 대한 빠른 진단으로 해결이 되었습니다 감사합니다</t>
  </si>
  <si>
    <t>친절한 상담감사합니다</t>
  </si>
  <si>
    <t>고마워요</t>
  </si>
  <si>
    <t>빠르고 친절한 해결과 공감과 따뜻한 말투로 불편함에 대해서 들어주셔서 너무 만족스러운 서비스였습니다. 감사합니다.</t>
  </si>
  <si>
    <t>해당 문제로 골머리를 앓고 있었는데 친절하고 자세하게 설명해주셔서 문제를 잘 해결할 수 있었습니다 너무 감사합니다</t>
  </si>
  <si>
    <t>정말 친절하게 응대해주시고 최고로 빠른 조치였습니다. 감사합니다 !</t>
  </si>
  <si>
    <t>친절하게 응대해 주시고, 알기 쉽게 설명해 주셔서 감사합니다!</t>
  </si>
  <si>
    <t>친절하게 서비스 주셨고, 추가로 교육?강의도 감사합니다.</t>
  </si>
  <si>
    <t>매우 친절하셔요ㅎㅎ</t>
  </si>
  <si>
    <t>엔지니어님이 친절하시고 해결해주시는것도 시원시원하게 해결도 바로해주시고 타당한 해결방법을 제시해주셔서 너무 좋아요! 감사합니다</t>
  </si>
  <si>
    <t>친절하고 빠르게 응대해주셨습니다. 감사합니다.</t>
  </si>
  <si>
    <t>너무 친절하게 도움ㅈ주셔서 감사합니다</t>
  </si>
  <si>
    <t>빠르게 해결해주셨어요 감사합니다</t>
  </si>
  <si>
    <t>원격으로 해주신 분께서 굉장히 친절하게 진행 해주셨고, 점검 받는 사람에 눈높이에 맞게 설명도 해주시고, 직접 보여주시면서 이야기 해주셔서 이해도 쉽게 되고 뭐가 문제 였는지 바로 파악을 해주셔서 금방 쉽고 빠르게 문제 해결을 했습니다~~! 아주 만족 했어요!</t>
  </si>
  <si>
    <t>처음 스마트원격진단 서비스 받아 보았습니다. 너~~무 만족스럽고 친절하게 꼼꼼하게 봐주셔서 lg유플러스에 대한 신뢰도가 많이 더 상승하였습니다. 감사합니다.</t>
  </si>
  <si>
    <t>친절하고 상세히 원격진단 잘 해주십니다</t>
  </si>
  <si>
    <t>처음 스마트원격진단서비스를 받아 보았습니다. 친절하시고 꼼꼼하게 상세히 설명해주셔서 나이가 든 어르신들도 원활이 이용가능할 듯 싶습니다. 감사합니다.</t>
  </si>
  <si>
    <t>친절하고 빠른 상담으로 편안하게 진행하였습니다</t>
  </si>
  <si>
    <t>제가 잘 몰라서 문제됐던 부분을 한 번에 캐치해주셔서 도움이 됐네요! 감사합니다</t>
  </si>
  <si>
    <t>답변 감사합니다</t>
  </si>
  <si>
    <t>최고예요!!!!</t>
  </si>
  <si>
    <t>친절하고 신속하게 처리해주셨습니다.</t>
  </si>
  <si>
    <t>네트워크 외에도 문제를 일으킬수 있는 부분에 대한 설명까지 해주셔서 문제 해결에 도움이 많이 될것같습니당</t>
  </si>
  <si>
    <t>최고예요!!!</t>
  </si>
  <si>
    <t>친절하시고 자세한 설명과 빠른 이해!! 최고예요!!</t>
  </si>
  <si>
    <t>친절하게 설명해주셔서 이해가 잘 되었습니다. 감사합니다.^^</t>
  </si>
  <si>
    <t>친절하시고 설명도 잘 해주십니다, 감사합니다</t>
  </si>
  <si>
    <t>친절하게 점검해주셔서 감사합니다.</t>
  </si>
  <si>
    <t>빠르고 정확하게 진행해주셨습니다</t>
  </si>
  <si>
    <t>친절하시고 정확한 원인파악 및 최고의 조치였습니다</t>
  </si>
  <si>
    <t>답답했던 부분이 해결되고 많은 이해가 되네요 감사합니다. 원격으로도 이렇게 볼 수 있다니 세상 좋아졌네요 기술지원팀 윤찬효 기사님 감사드려요^^ 점검 잘 봐주셔서 감사드립니다. 좋은 하루 되세요.</t>
  </si>
  <si>
    <t>너무나 친절하게 제가 문의드린 문제에 대해서 설명과 함께 원격을 지원해주셔서 대단히 좋았습니다. 이런 분들이 있어서 LG U+가 더욱더 마음에 들게 하네요. 인터넷 이동은 하지 말아야겠네요 ㅎㅎ 감사합니다.</t>
  </si>
  <si>
    <t>친절하게 요청드린 내용 처리해주셨습니다.</t>
  </si>
  <si>
    <t>잘 진단 및 피드백에 감사합니다</t>
  </si>
  <si>
    <t>c친절합니다</t>
  </si>
  <si>
    <t>친절하게 잘 해주십니다.</t>
  </si>
  <si>
    <t>빠른 응대로 빠른 조치 감사드립니다.</t>
  </si>
  <si>
    <t>친절하고 꼼꼼하게 잘 체크해주셔서 감사합니다.</t>
  </si>
  <si>
    <t>학습지 사이틀이 열리지 않아서 공부하기 힘들었는데 잘 정리해 주셔서 감사합니다. 친절한 상담과 즉각적인 조치에 더욱 감사드립니다. 번창하세요.</t>
  </si>
  <si>
    <t>덕분에 해결 잘했습니다 감사합니다~</t>
  </si>
  <si>
    <t>신속하게 무제해결해주셧어요 최고</t>
  </si>
  <si>
    <t>전화 연결 연결해서 겨우 연결되었는데,(서로 담당 아니라고 해서) 스마트 원격진단 직원왈 부모안심플러스 전담 전화번호를 알려주겠다고 한 번호 1644.7000 전화해보니. 일반전인 대표전화고 전담부서도 아니고 다시 처음부터 설명하고, 담당자한테 연결한닥고 하니..스마트 원격진단 직원 너무 불성실 한거 아닙니까? 1644-7000 전담 부서 맞나요? 장난을 쳐도...참</t>
  </si>
  <si>
    <t>금방 해결해주셨습니다! 감사합니다.</t>
  </si>
  <si>
    <t>지원 감사합니다.</t>
  </si>
  <si>
    <t>친절하게 문제점 잘 해결하고 설명해주셨어요 감사합니다~!</t>
  </si>
  <si>
    <t>너무나 친절하고 신속한 기사님의 대응에 진심으로 감동 했습니다. 이렇게 친절한 직원이 있는 통신사는 저처럼 충성 고객이 많아 질거라고 생각합니다. 앞으로도 쭉 LG U+ 를 사용할 이유가 되었습니다. 너무 감사드립니다. ^^</t>
  </si>
  <si>
    <t>서비스 친철합니다</t>
  </si>
  <si>
    <t>친절하고, 자세하고, 빠르게 문제 해결을 해주셨습니다. 감사합니다.</t>
  </si>
  <si>
    <t>빠르고 친절</t>
  </si>
  <si>
    <t>친절하게 하나하나 설명해주셔서 좋았습니다.</t>
  </si>
  <si>
    <t>매우 친절하게 잘 설명해주셔서 문제를 해결했습니다. 감사합니다.</t>
  </si>
  <si>
    <t>진철한 응대</t>
  </si>
  <si>
    <t>신속 정확 친절</t>
  </si>
  <si>
    <t>제가 질문한거에 친절하게 답변해주시고 어떻게 해결하면 좋은지나 다양한 해결방안을 친절하게 얘기해주셔서 좋았습니다</t>
  </si>
  <si>
    <t>친절하게 설명해주셨고 조치도 완벽하게 해주셨습니다. 감사합니다.</t>
  </si>
  <si>
    <t>자세한 설명과 추가적인 궁금한 사항에 대해서 아주 친절하게 설명해주셨습니다.</t>
  </si>
  <si>
    <t>엄청 빠르고 많이 친절해서 기분이 좋았어요 ㅎㅎ 다음에 또 이런일 생기면 직접 연락드리고싶을만큼 많이 좋았습니다 감사합니다!</t>
  </si>
  <si>
    <t>매우 만족합니다 감사합니다.</t>
  </si>
  <si>
    <t>해결완료 감사합니다</t>
  </si>
  <si>
    <t>신속하게 처리해주시고 설명도 잘해주셔서 궁금증이 풀렸네요 감사합니다 ^_^</t>
  </si>
  <si>
    <t>해결을 너무 잘해주셔서 감사합니다.</t>
  </si>
  <si>
    <t>정말 친절하세요</t>
  </si>
  <si>
    <t>친절하게 잘 상담해주셔서 문제가 해결되었습니다. 감사합니다.</t>
  </si>
  <si>
    <t>매우 친절하고 세심하게 도와주셨습니다. 감사합니다.</t>
  </si>
  <si>
    <t>상세한 내용까지 친절하게 설명해주셔서 이해가 쉽게됬습니다.</t>
  </si>
  <si>
    <t>잘점검 잘받았습니다. 감사합니다.</t>
  </si>
  <si>
    <t>인터넷이 되다 안다 되다 하더니 갑자기 끊겨 버려 너무 불편해 연락 드렸는데 친절하신 상담사 님과 함께 통화하면서 바로 담당 원격 지원을 연결 해주셨네요~ 와우! 이런 제도도 있다니 너무 편한 걸요? 5분-10분 정도 소요 될 것 같다고 하셨는데 바로 원격으로 보시면서 전화 주시며 자세한 내용 전달을 진행해주셨어요. 또 사향을 보시더니 2015년 업데이트로 업데이트를 못했다며 업데이트까지 꼼꼼하게 설치 도와주셨어요~ 컴퓨터 알못 사용자에겐 너무 감사한 일이지요^^ 잃어버리기 쉬운데 꼼꼼하게 메모장에다 인터넷 장애해결 방법까지! 작성 도와주셨답니다. 대박 중에 대박이시네요~ ^^ 기사님 덕분에 궁금한 점이 모두 풀렸답니다!! 역시 LG U+ 네요~ 오랜 기간 사용한 보람이 있네요~ 정말 난감했는데... 진심으로 감사드립니다!!!!</t>
  </si>
  <si>
    <t>아주 친절하게 잘해주심.</t>
  </si>
  <si>
    <t>문제 해결에 있어서 친절하게 응대해주시고 전문적인 지식을 이해하기 쉽게 잘 말씀해주셔서 좋았습니다. 감사합니다</t>
  </si>
  <si>
    <t>친절하게 잘 안내해 주셨어요</t>
  </si>
  <si>
    <t>빠르고 정확하게 문제점을 조치해줘서 좋았습니다.</t>
  </si>
  <si>
    <t>문제점을 명확히 짚어주셔서 좋았습니다</t>
  </si>
  <si>
    <t>증상 확인하여 적절한 조치를 취해주셨습니다.</t>
  </si>
  <si>
    <t>아주 고맙게 깔금하게 해결되어서 기분이 좋습니다 최고입니다...</t>
  </si>
  <si>
    <t>깔끔합니다</t>
  </si>
  <si>
    <t>친절하게 설명 잘해주셧어요</t>
  </si>
  <si>
    <t>깔끔함</t>
  </si>
  <si>
    <t>친절하시고 문제도 깔끔하고 빠르게 처리 해주셔서 아주 만족스러웠습니다!</t>
  </si>
  <si>
    <t>알기 쉬운 표현으로 이해하기 쉽게 말씀 해주셨습니다. 한번에 이해 할 수 있었습니다. 너무 감사합니다.</t>
  </si>
  <si>
    <t>친절히 설명해주시고 해결해 주셔서 감사합니다.</t>
  </si>
  <si>
    <t>너무 친절하게 최선을 다해서 안되는 부분을 끝까지 책임져주어서 정말 감사합니다. 늘 항상 LG분들은 친절과 성심성의껏 모두 잘해주어서 좋습니다~^^</t>
  </si>
  <si>
    <t>친절하게 상담해주셨습니다</t>
  </si>
  <si>
    <t>빠르고 정확한 업무 처리와 친절한 설명에 만족했습니다. 고맙습니다~ ^^</t>
  </si>
  <si>
    <t>늦은밤 빠른처리 해주셔서 감사합니다. 기사님 덕분에 인터넷 이용 불편 해결 하였습니다!</t>
  </si>
  <si>
    <t>친절하고 자세하게 설명을 잘 해주셔서 기분 좋은 상담시간이었습니다.</t>
  </si>
  <si>
    <t>인터넷 공유기 설정화면의 암호를 잊어버려 연락드렸는데요 담당자분과 신속하게 연결이 되어 안내 받았습니다. 원격진단도 처음 이용해봤는데, 담당자분과 통화도 병행하면서 화면으로 원격으로 점검해주시니까 답답했던 부분이 해소되었습니다. 안내도, 궁금했던 사항도 친절하게 답변주셔서 완전 만족스러운 서비스를 받아서 기분이 좋네요. 수고하셨습니다.</t>
  </si>
  <si>
    <t>늦은시간에 친절하게 설명해주셔서 감사합니다!! 덕분에 간단하게 문제 해결해주셨습니다 추운 날씨에 다들 건강 조심하세요</t>
  </si>
  <si>
    <t>최고 입니다 항상 잘해주셔서 말해 뭐하나 싶습니다 완벽하고 최고 입니다 ^^</t>
  </si>
  <si>
    <t>친절하시고 잘알아듣게 설명도 잘하셔서 아주 만족했어요^^</t>
  </si>
  <si>
    <t>빠른 답변 친절함 많은 도움이 됐습니다</t>
  </si>
  <si>
    <t>친절하고 편안한 상담에 감사드립니다.</t>
  </si>
  <si>
    <t>네네엄청답답했는데친절하게해주셔서정말감사해요,이렇게친절하게해결해주셔서계속lgu+사용하고있어요 ,정말감사해요 추운데건강하세요,,,</t>
  </si>
  <si>
    <t>친절하게 추후 방안까지 알려 주셔서 감사 합니다~~</t>
  </si>
  <si>
    <t>설명도 자세히 그리고 고장난 사항을 아주 재빠르고 시원하게 처리해주셔서 너무나 감사합니다. 만족도 최고!</t>
  </si>
  <si>
    <t>친절히 잘 통화하였음</t>
  </si>
  <si>
    <t>문제확인 및 앞으로 진행될 방향까지 정확하게 안내해주셔서 매우 만족스러움.</t>
  </si>
  <si>
    <t>바쁜 시간에도 불구하고 매우 빠르고 정확하게 해결해 주심 최고임</t>
  </si>
  <si>
    <t>점검이 확실히 다되었는지 재가 점검하는동안 기다려주시고. 또한번 엘지를 사용하기를 잘했다는 생각을 두번하게끔 하는 상담사분이셨습니다 고맙습니다.</t>
  </si>
  <si>
    <t>문의사항 접수 후 신속하고 빠르게 진행 해주셨으며 친절하고 세세하게 진행과정 설명해주셔서 좋았어요. 최대한 문의사항에 대하여 처리해주시려고 신경써 주셔서 전반적인 모든 과정이 만족스러웠습니다. 엔지니어님 고맙습니다.~좋은 하루보내세요.</t>
  </si>
  <si>
    <t>신속하고 빠르게 처리해주셨어요! 오랫동안 불편했는데 이렇게 쉽게 해결될 줄 몰랐습니다! 정말 감사드립니다 5분도 안 걸린 것 같아요 감사합니다!</t>
  </si>
  <si>
    <t>잘 설명해주시고 꼼꼼하게 점검해주셨습니다.</t>
  </si>
  <si>
    <t>굉장히 친절하시고 일 처리가 빨라서 놀랐습니다...! 정말 감사합니다!!</t>
  </si>
  <si>
    <t>정말 좋은 서비스입니다. 이런 서비스가 있는줄 몰랐네요. 홍보 좀 많이 하셔야할거같아요. 상담사님들도 친절하시고 빠른처리 감사합니다.</t>
  </si>
  <si>
    <t>친절하게 잘해주세요</t>
  </si>
  <si>
    <t>바쁘신 와중에도 빠르고 친절하게 궁금한 것에 대해 설명해주시고 직접 메모장에 이후 사용 방법에 대해 꼼꼼하게 기재해주시어 다음에도 제가 바로 확인할 수 있게 해주셔서 정말 감사합니다. 항상 행복하시길 바랄게요!! 감사합니다 ^^</t>
  </si>
  <si>
    <t>설명 드린 내용도 없는데 알아서 척척해주시네요. 공유기 문제로 해결은 안되었지만 만족합니다^^</t>
  </si>
  <si>
    <t>원격진단 잘받았습니다</t>
  </si>
  <si>
    <t>정말 빠른시간에 명쾌하고 깔끔하게 처리 해주셔서 너무감사합니다. 만족도 최고예요~!</t>
  </si>
  <si>
    <t>빠르고 정확한 진단 , 충분한 설명 까지 너무 감사합니다</t>
  </si>
  <si>
    <t>제가 잘 모르는 부분을 친절하고 알기 쉽게 설명해주셔서 굉장히 만족스러웠습니다.</t>
  </si>
  <si>
    <t>기사님이 너무 친절하게 설명해주시면서 문제를 정확하게 해결해주셔서 속이 시원합니다. 막힌속이 뻥 뚫린거 같아요!!진짜 사이다 백만개 먹은거 같아요!! 몇일동안 답답했던 궁굼증이 해결되어서 너무 행복합니다!! 원격으로 하라고 추천해주신 어제의 상담사님도 감사하고 오늘 해결 해 주신 상담사님 복 받으실거예요!!정말 은인으로 생각하겠습니다. 감사해요~~!!! 다시한번 유플러스 사용하길 잘했다 생각하며 장기고객인게 뿌듯합니다!! 기사님 항상 행복하고 복받으세요~~!!주말에도 시간내어 고쳐주셔서 감사해요</t>
  </si>
  <si>
    <t>원격써비스 잘 받았습니다. 감사합니다.</t>
  </si>
  <si>
    <t>안녕하세요, 캐논프린터기가 설치가 안되서 프린트사에 전화를 했더니 계속 통신사의 문제라고 해서 대략 3시간 가량 걸려 김태환? 기사님께서 해결해 주셨습니다. 결국 통신사의 문제가 아니라 프린터 기사님들의 전문성 문제였습니다. 다시 한번 유플러스 김태환 기사님께 친절한 설명과 조치 정말 정말 감사드립니다. 최고십니다 ^^</t>
  </si>
  <si>
    <t>친절하게 상담 잘해주시고 빠르게 대응해주셨습니다. 감사합니다.</t>
  </si>
  <si>
    <t>빠르고 너무 친절한 설명을 해주셔서 감사했어요. 인터넷 속도가 현저히 떨어져서 너무 당황스러웠는데, pc에 내장된 부품들 업데이트라던지( 램..) 추후 동일 증상 또는 안내해주신 방법을 시도하여도 증상이 동일하면 해야하는 몇가지 방안들도 제시해주셔서 감사했습니다. 너무 만족스러운 원격 진단 및 상담이었습니다 :)</t>
  </si>
  <si>
    <t>빠르게 점검 해주셔서 감사합니다</t>
  </si>
  <si>
    <t>HOME</t>
  </si>
  <si>
    <t>네 빠르게 조취해 주셔서 감사합니다</t>
  </si>
  <si>
    <t>친절하고 편하게 상담, 점검, 해결 되었습니다.</t>
  </si>
  <si>
    <t>신속 정확하게 안내해줍니다.</t>
  </si>
  <si>
    <t>친절하게 잘 처리해 주셨어요</t>
  </si>
  <si>
    <t>쉽고 친철하게 잘 설명해주셔서 대만족합니다.감사합니다</t>
  </si>
  <si>
    <t>전문적으로 잘 관리 해 주셨습니다</t>
  </si>
  <si>
    <t>문제 잘 찾아주셔서 감사합니다</t>
  </si>
  <si>
    <t>처음에 상담해주신분하고 연결돼서 원격으로 진단해주신분하고 둘다 너무 친절하고 좋아요!!</t>
  </si>
  <si>
    <t>친절하게 천천히 기다려주시면서 안내해주셨습니다. 만족스러운 서비스였습니다.</t>
  </si>
  <si>
    <t>자세하게 봐주시고 좋은것같습니다</t>
  </si>
  <si>
    <t>친절하시고 문제의 원인이 무엇인지 정확히 파악하고 조치해주셨습니다.</t>
  </si>
  <si>
    <t>친절하고 성의있게 해결해주셨습니다. ㅎ 최고입니다.</t>
  </si>
  <si>
    <t>빠르고 친절한 피드백 감사합니다.</t>
  </si>
  <si>
    <t>친절하게 잘 도와 주셨습니다.</t>
  </si>
  <si>
    <t>문제에 대해 빠르게 이해하시고 적극적으로 해결해주십니다. 편안하네요</t>
  </si>
  <si>
    <t>친절한 설명과 대처였습니다</t>
  </si>
  <si>
    <t>친절하게 상담 받았습니다</t>
  </si>
  <si>
    <t>친절하고 알기 쉽게 설명해주셔서 참 편했습니다. 원격이여서 참 편하게 상담받았습니다.</t>
  </si>
  <si>
    <t>정말친절하세요</t>
  </si>
  <si>
    <t>신속하고 빠른 응대 좋았습니다</t>
  </si>
  <si>
    <t>친절하시고 아주 스마트하게 진행하십니다.</t>
  </si>
  <si>
    <t>친절하고 빠르게 처리해 주십니다!</t>
  </si>
  <si>
    <t>빠르게 궁금증을 해결해 주셨습니다. 감사합니다.</t>
  </si>
  <si>
    <t>매우 만족합니다 설명도 잘하고 친절하고 전문성이 돋보입니다</t>
  </si>
  <si>
    <t>너무 감사합니다. 문제점 알려주셔서 잘 해결할 수 있을 것 같아요. 친절하고 정확한 설명 너무 감사드립니다.</t>
  </si>
  <si>
    <t>친절하고 빠르게 수리해주셔서 감사합니다.</t>
  </si>
  <si>
    <t>자세한 설명으로 이해를 시켜주셔서 감사합니다</t>
  </si>
  <si>
    <t>기사님께서 매우 친절하게 설명 잘 해주셨습니다. 감사합니다.</t>
  </si>
  <si>
    <t>친절하시고 할 수 있는 모든 방법을 다 시도해주심. 감사합니다:)</t>
    <phoneticPr fontId="1" type="noConversion"/>
  </si>
  <si>
    <t>결론적으로 엄청 만족합니다. 이정도로 원격해주실 생각은 꿈에도 몰랐습니다 엄청 신경써주시고 사소한것에도 질문 답변해주시고 잘 문제 해결 될 것 같습니다 감사합니다</t>
    <phoneticPr fontId="1" type="noConversion"/>
  </si>
  <si>
    <t>업무내용 밖의 일이었지만 도움은 되었습니다.</t>
  </si>
  <si>
    <t>친절한 상담과 빠른 처리 너무 감사합니다.</t>
  </si>
  <si>
    <t>친절히 설명해 주셨습니다~!!</t>
  </si>
  <si>
    <t>금방 잘 처리해주셔서 감사합니다</t>
  </si>
  <si>
    <t>속도도 빠르게 잘 처리해주시고 매우 친절하게 잘 안내해주셨어 감사합니다.</t>
  </si>
  <si>
    <t>방문기사 접수요청 상담접수</t>
  </si>
  <si>
    <t>친절하시고 업무 처리 해주시는 시간도 빠르시고 너무 만족합니다. 감사합니다.</t>
  </si>
  <si>
    <t>친절하게 잘 안내해 주셨습니다</t>
  </si>
  <si>
    <t>해결해주셔서 감사합니다ㅜㅜ</t>
  </si>
  <si>
    <t>친철히 잘 알려주시고 설명해주셔서 모르고있던것도 알았습니다. 감사합니다.</t>
  </si>
  <si>
    <t>친절하게 전화로 설명해주면서 점검까지 마무리 해주시네요 만족합니다</t>
  </si>
  <si>
    <t>빠르고 간단하게 해결되어서 좋아요!!</t>
  </si>
  <si>
    <t>굉장히 친절하시고 이해가돼게 설명을 잘해주셨습니다</t>
  </si>
  <si>
    <t>친절한 원격 점검 서비스 감사합니다^^</t>
  </si>
  <si>
    <t>잘 모르는 부분까지 친절히 안내해 주셔서 컴맹인 저에게 많은 도움이 되었습니다.</t>
  </si>
  <si>
    <t>친절하게 설명과 안내 점검을 잘받았습나다.</t>
  </si>
  <si>
    <t>짧은시간내에 원격으로 해결해 주시고, 전화 설명도 해주시고 너~~무 편하게 해결했습니다. 감사합니다. ^^</t>
  </si>
  <si>
    <t>친절하고 자세하게 이해가 쉽게 설명해주셔서 기분 좋았습니다~!</t>
  </si>
  <si>
    <t>친절하게 안내해줘서 감사합니다</t>
  </si>
  <si>
    <t>여러 번 번거롭게 변경하고 하는 작업을 몇 회 정도 진행했는데.. 차분하게 잘 안내 해주시고 시간이 걸리는 작업인데도 자세히 알려주시며 진행해 주셨어요.. 친절하게 잘 안내해 주셔서 원하는 작업을 모두 완료할 수 있었습니다. 기분 좋은 안내와 상담 이였습니다. 감사합니다! 최고의 안내였어요~~~^^</t>
  </si>
  <si>
    <t>일사천리로 해결해주셔서 매우 감사드립니다. 문제해결능력도 좋으시고, 빠르게 안내해주시며 친절하시기까지! 정말 너무 감사드립니다.</t>
  </si>
  <si>
    <t>친절하게 잘 알려주셔써용</t>
  </si>
  <si>
    <t>빠른 조치 해주셨습니다.</t>
  </si>
  <si>
    <t>친절하게 잘 설명해 주셨어요. 해결할 수 있는 다른 방법도 제시해주셨습니다.</t>
  </si>
  <si>
    <t>친절하시고 할 수 있는 모든 방법을 다 시도해주심. 감사합니다:)</t>
  </si>
  <si>
    <t>결론적으로 엄청 만족합니다. 이정도로 원격해주실 생각은 꿈에도 몰랐습니다 엄청 신경써주시고 사소한것에도 질문 답변해주시고 잘 문제 해결 될 것 같습니다 감사합니다</t>
  </si>
  <si>
    <t>리뷰없음</t>
  </si>
  <si>
    <t>디테일하게 설명을 잘 해 주셔서 감사합니다, 이해가 잘되었습니다,</t>
  </si>
  <si>
    <t>원인에 대한 진잔이 매우 빨랐구 그에대한 처리까지 완벽했습니다. 밤늦게까지 원격으로 진단 및 수리까지 정말 감사합니다</t>
  </si>
  <si>
    <t>인터넷 문제 때문에 며칠 동안 정말 스트레스가 많았는데, 오늘 상담해 주신 기사님 / 상담사님 덕분에 드디어 해결되었습니다. 게임도 다시 잘 되고, 속도와 연결도 안정적으로 아주 좋습니다. 제가 한국어를 잘 못해서 번역기를 쓰면서 천천히 답했는데도 끝까지 기다려 주시고, 하나하나 정말 친절하게 설명해 주셔서 너무 감사드립니다. 요즘 이렇게 꼼꼼하고 성의 있게 도와주시는 분 만나기 쉽지 않은데, 오늘 도와주신 분은 진짜 최고였습니다. 덕분에 안심하고 인터넷을 사용할 수 있게 되었습니다. 정말 감사합니다!</t>
  </si>
  <si>
    <t>친절한상담 감사합니다.</t>
  </si>
  <si>
    <t>친절하고 자세한 설명 감사합니다.</t>
  </si>
  <si>
    <t>1. 서비스 운영 현황</t>
  </si>
  <si>
    <t>구분</t>
  </si>
  <si>
    <t>총 접수 &amp; 비중</t>
  </si>
  <si>
    <t>주차별</t>
  </si>
  <si>
    <t>일자별</t>
  </si>
  <si>
    <t>영업일</t>
  </si>
  <si>
    <t>총 접수</t>
  </si>
  <si>
    <t>홈매니저</t>
  </si>
  <si>
    <t>기타</t>
  </si>
  <si>
    <t>소계</t>
  </si>
  <si>
    <t>방문 A/S 접수 비율</t>
  </si>
  <si>
    <t>2. 센터별 접수 통계</t>
  </si>
  <si>
    <t>센터</t>
  </si>
  <si>
    <t>팀</t>
  </si>
  <si>
    <t>총접수 &amp; 비중</t>
  </si>
  <si>
    <t>CSONE서울*1센터</t>
  </si>
  <si>
    <t>CSONE부산*1센터</t>
  </si>
  <si>
    <t>CSONE부산*2센터</t>
  </si>
  <si>
    <t>방문A/S
접수</t>
  </si>
  <si>
    <t>브릿지 모드 해달라고 했더니 dhcp 바꾸고 끝내버리고 설정 완료 본인이 누르라고 해서 눌렀더니 인터넷 끊겼다며 원격 끝내달라고 해서 끝냄 결국 해결 하나도 안됨 말하는 말투부터 시작해서 최악이였음.</t>
  </si>
  <si>
    <t>최고예요</t>
  </si>
  <si>
    <t>친절한설명감사합니다</t>
  </si>
  <si>
    <t>친절한 안내</t>
  </si>
  <si>
    <t>친절하게 잘 알려주셨습니다.</t>
  </si>
  <si>
    <t>빠르고 친절한 안내 감사합니다</t>
  </si>
  <si>
    <t>친절하게 잘 해주셨습니다</t>
  </si>
  <si>
    <t>친절하세요!</t>
  </si>
  <si>
    <t>친절하게 잘 해결해 주셨습니다</t>
  </si>
  <si>
    <t>너무 친절히 안내해주셔서 감사했습니다 ^_^/</t>
  </si>
  <si>
    <t>원격으로 해결이 안되서 내용 친절히 설명해 주시고 기사님 방문예약도 잡아 주셨습니다.</t>
  </si>
  <si>
    <t>아주 아주 좋습니다</t>
  </si>
  <si>
    <t>친절하십니다^^</t>
  </si>
  <si>
    <t>친절하고 신속하고 좋습니다</t>
  </si>
  <si>
    <t>질문한 내용뿐만 아니라 컴퓨터에 문제 있는 부분까지 꼼꼼하게 확인해 주셨고 뭐가 문제인 것 같은지 속 시원하게 알려주셔서 너무 좋았습니다 문제가 생기면 안 좋은 거지만 만약 또 상담받게 된다면 같은 기사님께 받고 싶네요~~</t>
  </si>
  <si>
    <t>빠른 원인파악 및 상세설명으로 고객의 입장에서 쉬운이해도로 잘풀이하여 설명해주셔서 감사드립니다. 항상 좋은일만 가득하시길 바랍니다. 다시한번 감사드립니다.</t>
  </si>
  <si>
    <t>빠르고 친철하고 상세한 설명 감사합니다</t>
  </si>
  <si>
    <t>친절한 꿀 보이스 목소리에요 상담사 목소리는 천사같은 목소리 음을 내네요 되게 친절하고 정확하게 설명해서 감사할따름이고 의심을 품은 소비자에게 정확하게 설명 과 이해 쉽게 말하구요 그리고 안전하게 빠르게 속도측정해줬구요 믿고 쓸겁니다 정말로 감사합니다 엔지니어 상담사가 있었어 매우만족입니다 요번 칭찬 사례금같은 도입있으면 주고싶은 마음이 굴뚝같지만 회사에서 소비자리뷰읽고 알아서 챙겨주셨으면 합니다!제바알~요~! 엘지유 플러스 대단합니다 소비자는 감동먹고 안심있게 믿고 쓸것같습니다 고맙습니다 LG유플러스 사랑해요~</t>
  </si>
  <si>
    <t>대만족</t>
  </si>
  <si>
    <t>친절하셨고 편하게 조치해주셨습니다.</t>
  </si>
  <si>
    <t>너무너무 친절하시고 설명 알아듣기쉽게 해주셔서 너무좋았습니다. 감사합니다.</t>
  </si>
  <si>
    <t>친절하고 빠른점검 감사합니다.</t>
  </si>
  <si>
    <t>친절하고 정확하게 진단해 주셨고 특히 상대방의 말을 경청해주셔서 상담 잘 마칠수 있었습니다</t>
  </si>
  <si>
    <t>전문가 분에게 빠르고 신속하고 정확하게 원격 진단을 받을수있어서 너무좋았습니다 감사합니다</t>
  </si>
  <si>
    <t>엄청 친정하심</t>
  </si>
  <si>
    <t>굿~~~~</t>
  </si>
  <si>
    <t>엄청 친절 한것같아요 설명도 잘해주셔서 감사합니다</t>
  </si>
  <si>
    <t>늦은시간 친절하게 상담해주셔서 감사드립니다.</t>
  </si>
  <si>
    <t>자세한 설명과 빠른 대응에 감사합니다. 수고하세요~</t>
  </si>
  <si>
    <t>궁금한 사항에 대해 빠르고 쉽게 답변 주셔서 감사합니다.</t>
  </si>
  <si>
    <t>기사님께서 문제를 해결해 주셨고 어떤것이 문제였는지 그리고 후속 조치는 어떻게 해야하는지 친절하고 자세하게 알려주셨습니다. 감사합니다.</t>
  </si>
  <si>
    <t>ai 가 해결못한 기술적인 문제를 정말 친절하고 자세히 완벽하게 알려주셨습니다. 추후 발생할 수 있는 문제들도 사전 차단할 수 있도록 많은 도움을 주셨습니다. 기술적인 문제 해결하는 분들은 앞으로도 절대 고객들이 불편하지 않도록 ai 가 대응 하는 일이 없었으면 합니다.</t>
  </si>
  <si>
    <t>하나하나 친절하게 너무 잘알려주셨습니다.</t>
  </si>
  <si>
    <t>친절하고 자세한 안내가 좋았다</t>
  </si>
  <si>
    <t>문의 내용에 관하여 친절한 점검 및 해결을 해주셨습니다. 아울러 궁금한점도 해결해주셔서 좋았습니다.</t>
  </si>
  <si>
    <t>친절하게 응대해주셨어요~</t>
  </si>
  <si>
    <t>친절하고 빠른대응 감사합니다^^.^^</t>
  </si>
  <si>
    <t>친절하게 잘 안내해주셨습니다 감사합니다.</t>
  </si>
  <si>
    <t>빠르고친질합니다</t>
  </si>
  <si>
    <t>친절하게 잘봐주셨습니다</t>
  </si>
  <si>
    <t>빠르게 해주시고 친절하십니다!</t>
  </si>
  <si>
    <t>친절히 잘 설명 해주셨어요 !!!</t>
  </si>
  <si>
    <t>편안하게 안내해주셔서 좋았습니다.</t>
  </si>
  <si>
    <t>신속하게 진단하고 원활하게 소통하면서 문제 해결까지 상당히 빠르게 진행되는게 좋습니당!</t>
  </si>
  <si>
    <t>빠른 답변 및 조치 감사합니다.</t>
  </si>
  <si>
    <t>친절 하시고 전문적 으로 프로 의 기술을 갖춘 분 인거 같습니다. 점검 잘 받고 상쾨 합니다</t>
  </si>
  <si>
    <t>친절하게 너무 잘 응대해 주셨어요 감사합니다.</t>
  </si>
  <si>
    <t>빠르게 원인 파악 후 연락 받아 친절하게 상담해주셨습니다. 추천</t>
  </si>
  <si>
    <t>서비스 차원에 도움이 많이 돼었습니다 감사합니다 꾸벅 상담 100% 만족합합니다 좋은시간 돼시구요 많은 고객님과도 같은상담 이루도록 좋은 시간 돼셔요 오늘상담 10,000%이상 만족합니다 꾸벅 감사 드립니다</t>
  </si>
  <si>
    <t>기사님께서 친절하고 빠르게 해결해주셨습니다 감사합니다</t>
  </si>
  <si>
    <t>친절하고 설명도 잘해주세요</t>
  </si>
  <si>
    <t>너무 시원하게 해결됐어요~ ㅎㅎ감사합니다</t>
  </si>
  <si>
    <t>불편 대응에 친절한 서비스로 해주셨어.요 원격 진행해 주시고 피드백도 기분 좋은 목소리로 전화 해 주셔서 저 역시 기분이 좋아지네요.. 원격 진행 주신분께 감사드려요 ^^</t>
  </si>
  <si>
    <t>너무 편하네요 늦은시간에도 친절하게 응대해주시고 굳이 서비스기사가 집에도 안와도되는 이 기능 너무 편합니다 정말 만족했어요</t>
  </si>
  <si>
    <t>친절히 셜명을 잘해주십니다.</t>
  </si>
  <si>
    <t>친절하시고, 빠르고, 전문적이어서 좋았습니다. 감사합니다!</t>
  </si>
  <si>
    <t>늦은시간에 친절한 설명과 확실하게 해결해주셔서 감사합니다^^</t>
  </si>
  <si>
    <t>만족합니다. 친절하게 잘 해결해셨습니다 :)</t>
  </si>
  <si>
    <t>매우친절하십니다!!!!!!</t>
  </si>
  <si>
    <t>매우 친절하시고 열정적이십니다!!!</t>
  </si>
  <si>
    <t>스마트 원격서비스로 전체적으로 점검을 받았습니다. 컴퓨터상태나 공유기 인터넷 네트워크 상태를 실시간으로 점검해주셔서 매우 신뢰가 됩니다. 전문적인 용어나 어려운 설명 없이 쉽게 설명해주시는 부분도 참 좋았습니다. 친절한 설명 감사드립니다.</t>
  </si>
  <si>
    <t>설명도 자세하게 해주시고 최고의 원격점검 서비스였습니다! 감사합니다.</t>
  </si>
  <si>
    <t>친절하게 잘 설명해주시구 어느정도 문제해결은 해주셔서 감사했습니다.</t>
  </si>
  <si>
    <t>속도가 왜 100메가로 떨어졌는지 로고 하나하나 보여주시면서 설명해주시고 원인이 왜 그렇는지 알려주셔서 감사했습니다. 그이후에 어떻게 해야되는지도 알려주셔서 감사했습니다.</t>
  </si>
  <si>
    <t>매우친절하셨어요!</t>
  </si>
  <si>
    <t>ddddd</t>
  </si>
  <si>
    <t>친절한 대응 설명 너무 감사합니다.</t>
  </si>
  <si>
    <t>일반인이 들어도 문제 없을만큼 차근차근 잘 알려주셨고 오류가 해결되었습니다.</t>
  </si>
  <si>
    <t>문제해결에 도움을 주셔서 감사합니다.</t>
  </si>
  <si>
    <t>성의것 해주셔서 감사드려요</t>
  </si>
  <si>
    <t>진단이신속정확해서 좋았습니다</t>
  </si>
  <si>
    <t>매우친절한응대로 마음편희 점검 잘 받앗습니다.</t>
  </si>
  <si>
    <t>컴퓨터 점검으로 어디 문제인지 파악 잘했씁니다</t>
  </si>
  <si>
    <t>잘해주셔서 감사함니다</t>
  </si>
  <si>
    <t>소프트웨어 검사를 빠르고 깔끔하게 진행해 주셨고, 수리 기사 연결 접수까지 편하게 진행되었습니다:)</t>
  </si>
  <si>
    <t>만족스러웠습니다</t>
  </si>
  <si>
    <t>친절하게 잘 상담 해주셔서 감사합니다.</t>
  </si>
  <si>
    <t>친절하고 꼼꼼하게 잘 알려주셔서 도움이 많이 되었습니다 감사합니다!</t>
  </si>
  <si>
    <t>매우 친절하셔서 감사합니다.</t>
  </si>
  <si>
    <t>잘 점검받았습니다.</t>
  </si>
  <si>
    <t>늦은시간 안내 잘받았습니다 친절히 안내해주셔서 감사해요</t>
  </si>
  <si>
    <t>정말 최고입니다. 엄청 친절한 응대와 빠른 해결까지 100점으로 만족합니다.</t>
  </si>
  <si>
    <t>빠른 진단과 해결이 좋음.</t>
  </si>
  <si>
    <t>친절하게 설명 및 해결방법 고민 및 제안주셨습니다. 감사합니다</t>
  </si>
  <si>
    <t>원격진단 받았는데 문제 없었음</t>
  </si>
  <si>
    <t>증상에 대한 피드백 감사드립니다</t>
  </si>
  <si>
    <t>이해하기쉽게 설명해주셨습니다</t>
  </si>
  <si>
    <t>완전 친절하시고 좋아요!</t>
  </si>
  <si>
    <t>설명도 잘해주셔서 고맙습니다~~ 최고에 엔지니어 입니다~~ 수고하세요^^</t>
  </si>
  <si>
    <t>너무 친절하게 잘 응대해 주셨습니다:)</t>
  </si>
  <si>
    <t>친절하고 세심한 상담내용에 감사드립니다. 좋은 하루 되세요~</t>
  </si>
  <si>
    <t>이번 원격기사님은 문제해결은 못했지만 공감하시고 친절하시네요..</t>
  </si>
  <si>
    <t>친절하시고 좋았습니다</t>
  </si>
  <si>
    <t>이상 있는부분을 원격으로 꼼꼼히 잘 점검해주셔서 대단히 감사합니다 최고입니다</t>
  </si>
  <si>
    <t>빠르게 해결해주셨어요 !!</t>
  </si>
  <si>
    <t>넘 감사합니다 잘 해결되었습니다 수고하세요~~~</t>
  </si>
  <si>
    <t>좋아요 만족합니다^^</t>
  </si>
  <si>
    <t>친ㅁ절하게 잘3해주시고 설명또한 잘햊주셨습니다</t>
  </si>
  <si>
    <t>친절한 상담 빠른진단 해주셔서 고맙습니다.</t>
  </si>
  <si>
    <t>빠르고 친절하십니다 완전 바로 해결이 되서 최곱니다</t>
  </si>
  <si>
    <t>친절하게 일처리 해주십니다</t>
  </si>
  <si>
    <t>빠른조치에 감사드립니다</t>
  </si>
  <si>
    <t>친절하게 점검 잘받았습니다 ~ 감사합니다 ㅎ</t>
  </si>
  <si>
    <t>친절하고 너무 감사합니다</t>
  </si>
  <si>
    <t>몰랐던사실ㅇ을 친절히 잘알려줬어요</t>
  </si>
  <si>
    <t>친절하고 잘 문제해결 되었습니다.</t>
  </si>
  <si>
    <t>친절 합니다</t>
  </si>
  <si>
    <t>너무너무 친절하시고 자세하게 설명해주셔서 잘 해결 되었어요~감사합니다!!</t>
  </si>
  <si>
    <t>너무너무 알기쉽게 설명해주셔서 빨리 복구 되었습니다~감사합니다!!</t>
  </si>
  <si>
    <t>친절하시고 잘 알려주셔서 큰 도움 되었습니다! 감사합니다</t>
  </si>
  <si>
    <t>신속한 응대 감사합니다</t>
  </si>
  <si>
    <t>D아주 친절하고 스마트하게 응대 해ㅜ셨어요</t>
  </si>
  <si>
    <t>친절하게 궁금한점 하나하나 잘 답변해주시고 일철이도 빨리 잘 해주셨어요 매우 만족합니다</t>
  </si>
  <si>
    <t>친절하고 꼼꼼하게 진행해주셔서 이해도 쉽고 빠르게 됫습니다! 감사합니다~</t>
  </si>
  <si>
    <t>원하던 결과는 못 얻었지만 기사님이 너무 친절하게 상담해 주신 덕택에 현 상태 잘 이해 되었습니다. 전문적인 도움을 받고 확인을 하니 차라리 몰랐던 상황보다 훨씬 더 마음이 편해요. 감사합니다.</t>
  </si>
  <si>
    <t>너무너무 친절하게 문제를 해결해주셨습니다. 감사합니다.!!</t>
  </si>
  <si>
    <t>최고 만족</t>
  </si>
  <si>
    <t>문제를 빠른 시간내에 바로 잘 해결해주셨습니다. 감사합니다.</t>
  </si>
  <si>
    <t>빠르고 친절하게 대해주셔서 감사합니다.</t>
  </si>
  <si>
    <t>친절하고 빠르게 문제를 해결 해 주셨습니다</t>
  </si>
  <si>
    <t>고객의 소리를 잘 들어 주시고! 어떤걸 정확하게 원하는지 대화를 통해서 전달을 너무 잘해주시는듯 합니다. 감사합니다.</t>
  </si>
  <si>
    <t>설명 듣고 이해했습니다</t>
  </si>
  <si>
    <t>최고입니다. 잘 진단받았습니다.</t>
  </si>
  <si>
    <t>친절하게 잘 대응해 주셨어요</t>
  </si>
  <si>
    <t>편리하고 좋습니다 직원분도 친절합니다</t>
  </si>
  <si>
    <t>빠른 점검 및 문의에 대하여 매우 친절하게 안내해주셨습니다. 매우 만족합니다.~</t>
  </si>
  <si>
    <t>친절하게 설명 잘 해주시고 빠르게 수리해주셔서 감사합니다</t>
  </si>
  <si>
    <t>친절하고 상세한 설명 및 대응</t>
  </si>
  <si>
    <t>자세한 설명과 추후 조취 안내를 잘받음</t>
  </si>
  <si>
    <t>네 아주 친절하게 응대가 빨라서 좋구 마무리 상담까지 친절히 응대해주시니 만족합니다</t>
  </si>
  <si>
    <t>모르는 부분이랑 궁금했던점 물어봤을때 대답도 잘해주시고 잘 처리해 주셨습니다.</t>
  </si>
  <si>
    <t>자세하게 설명도 잘해주시고 진단해주셔서 만족하고 종료 합니다. 감사합니다.</t>
  </si>
  <si>
    <t>감사해요</t>
  </si>
  <si>
    <t>빠르고 친절하게 설명해주셔서 감사합니다</t>
  </si>
  <si>
    <t>며칠내로 신청마감이 되어야 하는 업무가 있는데 인터넷 사용이 갑자기 안되어 당황스러웠는데, 원격으로 해결이 되어서 너무 좋습니다. 감사합니다^^</t>
  </si>
  <si>
    <t>친절한상담에 감사드림니다 수고 많이하셨어요</t>
  </si>
  <si>
    <t>프린트기 구입 후 무선 연결이 안되서 엄청 애먹었는데 프린트기 제조사 쪽 문제가 아니라 LG무선인터넷 쪽 문제라는 이야기에 원격으로 봐주셨어요. 30분을 통화로 원격처리 하며 저와같이 이것저것 해보며 진행해주신 끝에 결국 해결완료 되었어요 ㅜㅜ 눈물나게 감사드립니다. 긴 통화와 작업에도 싫은내색 하나 없이 차근차근하게 처리해주신 담당자분 정말 감사드리며 고생 많으셨습니다. 역시 전무가는 다르구나^^ 느끼며 너무너무 감사해요</t>
  </si>
  <si>
    <t>만족합니다 너무 친절하세요</t>
  </si>
  <si>
    <t>친철안내 감사감사합니다.</t>
  </si>
  <si>
    <t>빠른 조치로 감사드립니다.</t>
  </si>
  <si>
    <t>상품의 개인정보 변경을 요청드렸는데 전화상담과 기술부서, 원격진단부서 선생님들께서 친절하게 설명해주셨습니다. 제가 익숙치 않아도 기다려주시고 차분하게 설명해주셔서 쉽게 연결하고 작업 마무리할 수 있었습니다. 이래서 LG U+를 사용하나합니다. 저희도 오랫동안 사용했고 앞으로도 계속 사용하겠습니다. 도와주신 세분 선생님들께 감사드립니다.</t>
  </si>
  <si>
    <t>실시간으로 체크 및 피드백 친절하게 해주셔서 이해가 편했습니다~</t>
  </si>
  <si>
    <t>친절한 설명과 안내 감사합니다.</t>
  </si>
  <si>
    <t>근래에 들어 상담받은 모든 상담 중에 최고였습니다! 베스트! 베스트! 베스트! 신용카드사, 은행, 온라인 쇼핑몰 등등...모두 다 통틀어서 유플러스 원격진단 해주신 기사님이 최고의 응대였습니다. 목소리도 활기차고 알아듣기 쉽게 잘 설명해 주셨습니다. 최고 점수 백만개 드립니다!!!!</t>
  </si>
  <si>
    <t>친절하게 상담을 너무 잘받았어요~~</t>
  </si>
  <si>
    <t>이해가 편하게 설명해주셔서 좋았습니다!</t>
  </si>
  <si>
    <t>설명도 너무잘해주시고 간편하게 빠르게 해결해주셨습니다 다음에도 다시 이용하겠습니다 !!</t>
  </si>
  <si>
    <t>예 의문이 해결이 된 것 같습니다 고맙습니다</t>
  </si>
  <si>
    <t>정확하고 자세한 설명 감사드립니다.</t>
  </si>
  <si>
    <t>최고입니다!!!!!!!!!!!!!!!</t>
  </si>
  <si>
    <t>원격기사님께서 친절하게 잘 설명해 주셧습니다!감사합니다.</t>
  </si>
  <si>
    <t>OBS설정 등 점검 해주셔서 감사합니다 ^^</t>
  </si>
  <si>
    <t>너무 친절하셔서 좋습니다</t>
  </si>
  <si>
    <t>친절하고 빠르게 잘 마무리 해 주었습니다. 감사합니다. 하지만 저는 원격조정보다는 기사님 방문요청을 한거였는데 전달에 문제가 발생한것은 아쉬운 부분입니다.</t>
  </si>
  <si>
    <t>잘 알려주시고 친철하게 대해주셔서 너무 좋았습니다 다음에 또 부탁해도 충분히 믿고 의지할것 같아요!</t>
  </si>
  <si>
    <t>친절한 서비스 답변과 대처방안에 감사드립니다</t>
  </si>
  <si>
    <t>문제점을 정확히 파악해주시고 대처방안 까지 너무 좋았습니다</t>
  </si>
  <si>
    <t>너무 친절하게 상담해주셔서 감사합니다</t>
  </si>
  <si>
    <t>일반 고객이 해결할수없는 문제점의 빠른 조치 감사드립니다.</t>
  </si>
  <si>
    <t>신속하게 해결해주십니다.</t>
  </si>
  <si>
    <t>명확하게 문제 해결 방법 알려주셨습니다. 감사합니다.</t>
  </si>
  <si>
    <t>늦은 시간에 문제 해결 해주시고 기분좋은 친절한 목소리에 감동 받았습니다 어제 부터 너무 안되서 스트레스 받았는데 5분도 안되서 다 해결해주시고 정말 감사합니다~~</t>
  </si>
  <si>
    <t>모르고 있던 부분이 있었는데 상세하게 설명해 주시면서 원격뿐만이 아닌 외부적인 부분도 같이 해결해 주셨습니다. 정말 친절하고 감사합니다</t>
  </si>
  <si>
    <t>바로 해결해주셨어요</t>
  </si>
  <si>
    <t>친절하게 설명해주시고 안내해주셔서 고민이 어느정도 해소가되었습니다.. 감사합니다.. 원격으로 점검이 가능한지 몰랐는데 설명해주시면서 해주시니 알기쉽고 편하고 좋았습니다..</t>
  </si>
  <si>
    <t>처음 부터 끝까지 친절한 설명과 해결을 해주고자 하시는 열정에 칭찬드립니다 감사합니다</t>
  </si>
  <si>
    <t>어려워하는 고객에게 설명해주시려 신경써주시고 맞춤으로 가정내 인터넷 재설정 해주셔서 감사해요 사용후 다시 문제 생길시 연락해달라는 말씀도 남겨 주셨네요 빠르게 진행해 주셔서 감사합니다</t>
  </si>
  <si>
    <t>정말 친절하시고 신속정확 하십니다! 고생하세요 !</t>
  </si>
  <si>
    <t>원격으로도 이렇게 속시원하게 해결할수있다니 정말 놀랍고 편해서 좋았습니다.</t>
  </si>
  <si>
    <t>친절한 설명과 상담을 잘 해 주십니다.</t>
  </si>
  <si>
    <t>친절하고 빠르게 잘 해주셨습니다</t>
  </si>
  <si>
    <t>편안하게 상담 너무 잘 해주시고 이해 하기 쉽게 잘 말씀 해주셔서 세상 편안하네요! 굳입니다</t>
  </si>
  <si>
    <t>잘설명해주셨습니다</t>
  </si>
  <si>
    <t>친절하고 정확하게 잘 응대해주십니다</t>
  </si>
  <si>
    <t>빠르고 깔끔한 대응에 만족합니다</t>
  </si>
  <si>
    <t>아주만족 합니다</t>
  </si>
  <si>
    <t>문제점을 친절하게 생담 해주셨어요</t>
  </si>
  <si>
    <t>친절하게 응대 잘해주시고 관련 사항 잘 안내해주셨습니다. 전반적으로 깔금하게 처리 잘해주셔서 감사하며 해당 직원분들 친절사원으로 추천하고 싶습니다.</t>
  </si>
  <si>
    <t>고맙워요 짱이야 친절하시고고마워요</t>
  </si>
  <si>
    <t>친절하시고 정확하게 설명해주셔서 감사합니다</t>
  </si>
  <si>
    <t>굉장히 친절하게 잘 설명해주셨습니다.</t>
  </si>
  <si>
    <t>안내 처음부터 끝까지 이해가 잘 가도록 설명 도와 주시구 친절 하게 응대가 너무 좋앗습니다</t>
  </si>
  <si>
    <t>빠른 확인 및 친절하게 안내해주셨습니다</t>
  </si>
  <si>
    <t>빠른 연락 빠른 해결 서비스 잘 받았습니다.</t>
  </si>
  <si>
    <t>친절하게 여러원인을 알려주셔서 좋으신분 입니다.</t>
  </si>
  <si>
    <t>너무 친절하게 원격으로 하나하나 설명해주시고 설정해주셨습니다. 이런서비스 너무 만족스럽네요! 담당자분도 굿</t>
  </si>
  <si>
    <t>좋은 조언이 있어 고맙습니다.</t>
  </si>
  <si>
    <t>기사님께서 친절하고 명확하게 짚어주시고 추후 관리까지 말씀주셔서 속이 시원했습니다~ 진단받길 너무 잘한 것 같습니다. 감사드려요🤍</t>
  </si>
  <si>
    <t>친절하셨습니다 감사합니다!</t>
  </si>
  <si>
    <t>친절하게 잘 안내 해주셨습니다.</t>
  </si>
  <si>
    <t>친절한 설명과 빠른해결로 도움이 많이되었습니다 감사합니다.</t>
  </si>
  <si>
    <t>문제점을 잘 설명해주셨습니다</t>
  </si>
  <si>
    <t>친절하고 자세히 잘 받았습니다</t>
  </si>
  <si>
    <t>너무 친절하고 제가 알아듣기 쉽게 설명을 잘 해주셨습니다 정말 감사합니다</t>
  </si>
  <si>
    <t>문제는 잘 해결 되었으며, 친절하게 잘 설명해주셨습니다. 감사합니다.</t>
  </si>
  <si>
    <t>상세히 설명해주셨읍니다. 부필요한 프로그램 정리해 주셔서 감사했읍니다. 만족합니다.</t>
  </si>
  <si>
    <t>친절한 설명과 함께 빠른 조치에 만족합니다.</t>
  </si>
  <si>
    <t>대만족~~^^</t>
  </si>
  <si>
    <t>정말 감사합니다 설명 잘듣고 친절하게 대해주세서 고마워서요</t>
  </si>
  <si>
    <t>처음엔 낯설어서 망설여졌는데, 기사님이 시원시원하게 점검해주시고 말씀해주셔서 안심이 됐습니다. 감사합니다.</t>
  </si>
  <si>
    <t>빠르고 친절하고 정확한 점검 감사합니다.</t>
  </si>
  <si>
    <t>상담사님의 센스있는 말재주와 완벽한 일처리로 든든하게 잘 점검 받았습니다.</t>
  </si>
  <si>
    <t>세심한 진단 감사드립니다. 많이 도움 되써요</t>
  </si>
  <si>
    <t>원격지원 팀 최치원 감사합니다 귀사에 무궁한 발전을 기원합니다</t>
  </si>
  <si>
    <t>너무 친절하시고 좋습니다</t>
  </si>
  <si>
    <t>너무너무 아주아주 친절했습니다!</t>
  </si>
  <si>
    <t>문제 잘 해결해주셨어요 감사합니다~!</t>
  </si>
  <si>
    <t>친절히 잘 알려주셨어요 다른 궁금한 사항도 다음에 잘 알려주세요~^^</t>
  </si>
  <si>
    <t>빠르고 깔끔한 처리 좋습니다.</t>
  </si>
  <si>
    <t>매우 친절하게 대응해주셨고, 그림판으로 그림까지 그려가며 문제 원인을 상세하게 설명해주셔서 좋았습니다. 감사합니다.</t>
  </si>
  <si>
    <t>친절하게 문제점을 잘 파악해주셔서 많은 도움이 되었습니다 :)</t>
  </si>
  <si>
    <t>친절하고 설명을 잘해주셔서 좋네요~!</t>
  </si>
  <si>
    <t>친절하고 확실한 솔루션 감사합니다.</t>
  </si>
  <si>
    <t>빠르고 신속하고 자세하게 설명하고 대응해 주셔서 감사합니다.</t>
  </si>
  <si>
    <t>빠르게 진단해주셨어요</t>
  </si>
  <si>
    <t>-질문에 대한 친절한 설명과 문제해결을 위해 노력해 주신 점 감사드립니다.</t>
  </si>
  <si>
    <t>기사님이 친절하게 설명도 자세히 해주셔서 만족했습니다 나긋나긋 목소리도 너무 좋았어요</t>
  </si>
  <si>
    <t>문제가 해결되어 속이 시원합니다~~ 신속한 조치 감사드립니다.</t>
  </si>
  <si>
    <t>상담원분들이 친절하시고 문제점도 잘 해결해주셨습니다 ^^ 너무 감사합니다~~</t>
  </si>
  <si>
    <t>lg 유플러스 상담 직원 및 원격 지원 여러분께 감사드립니다 친절함은 물론 F BACK 해 주셔서 다시 한번 더 감사드립니다 귀사에 무궁한 발전과 성실한 직원 분이 근무하는 엘지 유플러스 화이팅 충성을 다하는 고객이 되겠습니다 상담 사 LG U + 이지수 및 원격 지원 상담 직원 감사드립니다</t>
  </si>
  <si>
    <t>너무 다들 친절하게 가르쳐 주셔서 감사합니다</t>
  </si>
  <si>
    <t>perfect</t>
  </si>
  <si>
    <t>매우 만족합니다 친절하게 해주엇 감사합니다</t>
  </si>
  <si>
    <t>급한일에 프린터 못쓰고있어서 힘들었는데 바로, 너무 친절하게 해결해주셔서 정말감사합니다 ㅜㅜ 덕분에 인쇄해야할거 호다다닥 인쇄하고 나갈 수 있었어요.친절하고 빠르게 해결받았습니다.</t>
  </si>
  <si>
    <t>상담사님 친절 하시고 잘 알려주셧어 감사합니다~</t>
  </si>
  <si>
    <t>정확했습니다</t>
  </si>
  <si>
    <t>정확한 진단과 점검 그리고 친절한 답변에 감사드립니다.</t>
  </si>
  <si>
    <t>상세한 설명과 이중 모뎀에 의한 공인ip 설정 불가에 따른 사항을 안내 받아 매우 만족합니다. 강제적인 모뎀연결에 의한 슈퍼DMZ설정은 보안상 취약하여 원하지 않고 정상적인 물리적 변경을 원함을 협의하였습니다. 고맙습니다</t>
  </si>
  <si>
    <t>친절하게 자세히 설명해주셧스빈다.</t>
  </si>
  <si>
    <t>자세하고 친절하게 설명 해주셔서 감사합니다.</t>
  </si>
  <si>
    <t>너무 친절하고 빠르게 해결되었습니다 . 주말에 고생 많으십니다</t>
  </si>
  <si>
    <t>인터넷이 안되어서 답답했는데 원인과 방법을 친절하게 알려주셨어 감사합니다.</t>
  </si>
  <si>
    <t>친절하시면서 정확하게 말씀하시면서 해결까지 해주시네요 문제해결하는데 5분도 안걸리네여 너무나도 좋습니다 감사합니다 고생많으셨습니다</t>
  </si>
  <si>
    <t>잘 몰랐는데 잘 알려주셔서 감사합니다~!</t>
  </si>
  <si>
    <t>e도움미 만이됨</t>
  </si>
  <si>
    <t>대만조합니다</t>
  </si>
  <si>
    <t>문제 해결은 정확하고 친절하게 해 주셔서 매우 만족합니다</t>
  </si>
  <si>
    <t>만족합니다 꼼꼼히 봐주셨습니다. 해결은안됬습니다</t>
  </si>
  <si>
    <t>아주 만족합니다 전화연결후 즉시 진단및 조치를 해주셔서 너무 좋아요</t>
  </si>
  <si>
    <t>원격진단 면밀하게 봐주고 상담잘 종료해주셨습니다. 해결은 되지않았습니다.</t>
  </si>
  <si>
    <t>자세하게 설명해주셨습니다.</t>
  </si>
  <si>
    <t>빠르고 정확하며 친절한 안내와 조치 감사합니다.</t>
  </si>
  <si>
    <t>굉장히 친절하고 정확하게 처리해주셨습니다.</t>
  </si>
  <si>
    <t>대응속도며 문제해결이며 신속하고 정확하게해결해주셔서고맙읍니다.</t>
  </si>
  <si>
    <t>빠른 조치과 친절한 서비스에 감사 드립니다.</t>
  </si>
  <si>
    <t>친절하셨고... 누구나 이해 할수 있게 쉽게 설명 해 주셨습니다.</t>
  </si>
  <si>
    <t>빠르고 확실하게 방법을 찾아주셨습니다! 아직 된 건 아니지만 감사합니다!!</t>
  </si>
  <si>
    <t>간단한 인터넷 속도 관련 문의를 한 거 였는데 컴퓨터를 못하는 저한테는 너무나 어려웠던 부분 이였습니다 그런데 직원 분께서 원격 시스템으로 하나하나 꼼꼼하게 살펴봐 주시고 메모장에 써가시면서 제가 전화 통화 상으로 못 듣고 넘어 갈법한 이야기들도 있을텐데 센스있게 하나하나 적어가면서 설명을 해주시는 부분이 정말 마음에 들었습니다. 필요한 부분은 반복 적으로 알려 주셔서 더 기억에 남았어요 수고하셨습니다 감사합니다.</t>
  </si>
  <si>
    <t>친절했습니다</t>
  </si>
  <si>
    <t>빠른 신속 정확 서비스 처리 감사합니다.</t>
  </si>
  <si>
    <t>친절하고 신속 하게 진단해 주심.</t>
  </si>
  <si>
    <t>정말 아이들 인터넷 문제때문에 마음이 너무 힘들었는데요. 오늘 와이파이 제한 서비스 친절하게 상담주셔서 너무 너무 감사했습니다. 패스워드가 지워져서 어떻게 해야될지 고민되었을때 직접 사진까지 전송하게 해주셔서 꼼꼼히 살펴주신점 너무 너무 감사합니다. 필요한 도움주시고 긴 시간 동안 작업해주셔서 너무 고생많으셨어요. 노동절과 주말 잘 보내시고 상담원님댁에 행복이 깃들길 바랍니다. 감사합니다. 엘지 스마트원격진단서비스 쵝오입니다.</t>
  </si>
  <si>
    <t>최고의서비스였읍니다 고맙읍니다.</t>
  </si>
  <si>
    <t>정말 고맙습니다. 수고하셨어요</t>
  </si>
  <si>
    <t>친절한 상담 만족합니다</t>
  </si>
  <si>
    <t>매우 만족합니다. 감사합니다. 끝까지 친절하게 설명주셔서 감사합니다!</t>
  </si>
  <si>
    <t>친절하시고 끝까지 해결해주려고 노력해주셨습니다.너무 만족합니다.</t>
  </si>
  <si>
    <t>친절한 응대와 전문가적 솔류션 제공 등 문제해결 완료 하였습니다</t>
  </si>
  <si>
    <t>너무 친절하게 잘해주셨어요..</t>
  </si>
  <si>
    <t>확실한 답변 감사합니다.</t>
  </si>
  <si>
    <t>수고 많으셨습니다.</t>
  </si>
  <si>
    <t>네 빠른처리 감사합니다.</t>
  </si>
  <si>
    <t>너무 친절하게 잘 받아서 기분이 좋아지네요~ 이래서 저는 lg씁니다 ^^</t>
  </si>
  <si>
    <t>정말 친절하게 잘 해주셨습니다. 감사합니다</t>
  </si>
  <si>
    <t>상담사 분은 친절하신데 문제 해결은 안된 것 같아서 속상하네요 ㅜㅜ</t>
  </si>
  <si>
    <t>원인 진단과 향후 서비스 개선 방향을 자세히 설명해주었고 방문 서비스의 비용까지도 설명해주어서 이해하기 쉬웠습니다.</t>
  </si>
  <si>
    <t>친절하게 상담해 주시고 문제 해결해 주셨어여~~~</t>
  </si>
  <si>
    <t>친절하게 설명해주셔서 만족합니다</t>
  </si>
  <si>
    <t>친절하게설명을잘해주셨고 차후조치까지 설명을해주셨네요</t>
  </si>
  <si>
    <t>알아듣기 쉽게 설명해주셨고, 다른부분에 문제가 있는것도 알려주셔서, 이해하기 쉬웠습니다.</t>
  </si>
  <si>
    <t>사설 공유기를 사용중에도 불구하고 최대한 고객의 요구사항을 확인하여 해결방안을 제시하는 노고에 너무 감사드립니다. 추가적으로 늦은 시간까지 고생하시는 모든 상담사분들에게도 감사의 말씀 드리고싶습니다.</t>
  </si>
  <si>
    <t>장애원인 빠른인지와 사항설명 잘해주셔서 감사합니다.</t>
  </si>
  <si>
    <t>감사합니다~~ 늦은 밤인데도 친절하게 응대해주셔서~~ 편안한 밤 되세요~</t>
  </si>
  <si>
    <t>정말 감사 드립니다 자세한 설명과 추가적인 도움에 감사 드려요</t>
  </si>
  <si>
    <t>친절히 잘 대헤주셨어요</t>
  </si>
  <si>
    <t>모르는부분까지 친절히 설명해주셨어요 감사합니다.</t>
  </si>
  <si>
    <t>기사 분이 친절하시고 잘 도와주시네요. 감사합니다.</t>
  </si>
  <si>
    <t>친절하시고 설명잘해주셔요</t>
  </si>
  <si>
    <t>진단 상세 설명 감사합니다.</t>
  </si>
  <si>
    <t>친절히 잘 설명해주셨어요</t>
  </si>
  <si>
    <t>친절이 자세하게 확인 해주셔서 고맙습니다</t>
  </si>
  <si>
    <t>제가 청각장애임에도 불구하고 전화통화보다 컴퓨터 바탕화면에 메모장으로 이야기 나눌수 있어서 친절하고 도움이 많이 되었습니다. 정말 감사합니다 ^^</t>
  </si>
  <si>
    <t>네 너무 만족하고 친절하게 상담해주셔서 감사합니다.</t>
  </si>
  <si>
    <t>친절하게 도와주셔서 좋았습니ㅏㄷ.</t>
  </si>
  <si>
    <t>문제의 해결 방법을 순차적으로 자세히 잘 알려주셨습니다.</t>
  </si>
  <si>
    <t>빠른 해결 감사합니다 수고하세요</t>
  </si>
  <si>
    <t>친절하게 설명 잘 해주셨고 이해하기 쉽게 설명도 잘 해주셨어요 일단 취할 수 있는 조치는 최대한으로 취해주신 거 같아서 좋았습니다. 아주 만족합니다! 다음에 문제 발생시 이 분에게 받고싶네요</t>
  </si>
  <si>
    <t>너무 친절하게 완벽하게 서비스 잘받았습니다 감사합니다 ^^</t>
  </si>
  <si>
    <t>친절하고 확실한 문제해결 이었습니다</t>
  </si>
  <si>
    <t>상담해주신 모든 분들이 친절하셨습니다. 감사합니다. 늘 행복하시길 바라겠습니다.</t>
  </si>
  <si>
    <t>친절하고 좋은 답변이였습니다.</t>
  </si>
  <si>
    <t>친절한 서비스에 대 만족입니다.</t>
  </si>
  <si>
    <t>빠른해결 감사합니다 :)</t>
  </si>
  <si>
    <t>확실히 전문가분이시라 그런지 문제해결 방식이나 속도가 너무 맘에 들었습니다 이번 계기로 엘지유플러스 완전 호감입니다 이런분들이 많아 졌으면 좋겠어요 감사합니다</t>
  </si>
  <si>
    <t>너무 친절하게 상담해주시고 완벽하게 해결해주셔서 정말정말 감사합니다 상담사님 좋은하루되세요</t>
  </si>
  <si>
    <t>서비응대 및 신속한 처리에 감사드립니다.</t>
  </si>
  <si>
    <t>매우 친절 아주 좋았습니다</t>
  </si>
  <si>
    <t>기사님께서 친절하시고 이해가 잘 되도록 설명해주셨습니다.</t>
  </si>
  <si>
    <t>고객이 이해할수 있게 쉬운 설명과 친절한 안내서비스에 감사합니다.</t>
  </si>
  <si>
    <t>굳 이였습니다.</t>
  </si>
  <si>
    <t>친절하고 빠르게 문제 확인 및 해결 해주시려 하셔서 편안하게 진행했습니다 ! 친절하게 응대해주셔서 감사합니다 !</t>
  </si>
  <si>
    <t>꼼꼼하게 점검해주시고 친절하셔서 좋은 진단이였습니다</t>
  </si>
  <si>
    <t>완전만족합니다.</t>
  </si>
  <si>
    <t>친절하게 잘 설명해 주셔서 도움이 되었습니다.</t>
  </si>
  <si>
    <t>친절하시고 확실하게 알려 주셔서 너무 감사 드립니다!</t>
  </si>
  <si>
    <t>친철하고 정확하게 상당해주셨어요</t>
  </si>
  <si>
    <t>빠른확인</t>
  </si>
  <si>
    <t>친절하게 도와 주셔서 매우 감사합니다...</t>
  </si>
  <si>
    <t>장애원인에 대해 상세히 설명해 주셔서 감사드립니다^^ 원인 파악 되었으니 제조사쪽으로 문의해서 메모리 8기가로 변경해야지만 해결 되는지? 제조사쪽으로 문의 해보겠습니다!!</t>
  </si>
  <si>
    <t>친절한 설명 서비스 감사 드려요^^</t>
  </si>
  <si>
    <t>깔끔하고 빠른 일처리가 좋았습니다.</t>
  </si>
  <si>
    <t>설명도 잘해주시고 정말 최고입니다 피곤 하실수도 있으신데 설명도 잘해 주시고 감사 합니다^^</t>
  </si>
  <si>
    <t>친절한 기사님 덕분에 원격으로 최고의 서비스를 받았습니다 좋은 하루 보내세요.</t>
  </si>
  <si>
    <t>친절한상담과 빠른조치 감사드립니다</t>
  </si>
  <si>
    <t>기사님께서 장시간 친절하게 자세한 설명을 해 주어 감사했습니다. 대단히 감사합니다.</t>
  </si>
  <si>
    <t>원격으로 친절하게 하나하나 설명해 주시면서 해결 하시는 게 서비스를 받는 입장에서 좋았습니다.</t>
  </si>
  <si>
    <t>만족하였습니다</t>
  </si>
  <si>
    <t>정말 친절하시고 신속하게 대응해주셨습니다. 감사드립니다.</t>
  </si>
  <si>
    <t>발생한 문제를 친절하고 쉽게 설명해주셔서 도움이 많이 됐습니다 감사합니다</t>
  </si>
  <si>
    <t>빠른 지원 감사 드립니다.</t>
  </si>
  <si>
    <t>굳입니다</t>
  </si>
  <si>
    <t>친절하시고 다 잘해주심</t>
  </si>
  <si>
    <t>정말 최고입니다. 이런 서비스가 있는지도 몰랐는데 1:1 문의 답변으로 알게되어 서비스를 이용받아봤는데 정말 좋습니다. 덕분에 큰 도움 되었습니다. 감사합니다!!</t>
  </si>
  <si>
    <t>진단해주신 기사님 엄청 친절하게 잘 설명해주시고 꼼꼼하게 컴퓨터까지 봐주셔서 정말 감사합니다! 고객센터 상담사님도 친절하게 상담해주셔서 감사합니다!</t>
  </si>
  <si>
    <t>빠른확인 감사합니다</t>
  </si>
  <si>
    <t>상담하시는 분이 친절하게 잘 가르쳐 주셔서 문제 해결이 잘 됐습니다. 감사합니다. 항상 수고해 주셔서 감사해요~</t>
  </si>
  <si>
    <t>친절하고 상세히 해주심</t>
  </si>
  <si>
    <t>만족도 최고입니다</t>
  </si>
  <si>
    <t>우와. 세상 좋아졌네요. 기사님 직접 방문 없이 핸폰 통화로만 소통하면서 외부에서 원격으로 실시간 점검 및 설정변경도 가능하고. 진작 이런 서비스가 있었으면 기사님 방문 시간 맞춰서 휴가 내고 시간 안기다려도 됐을텐데. 이전에 K모사, S모사인터넷 다 사용해보고 LG는 처음인데 이런 서비스는 처음입니다. 원격 지원 사이트에서 신청하자마자 바로 신속하게 대응해주셨고, 중간중간 질문 사항에 대해서도 친절하게 다 설명해주시고 대만족입니다. 공유기 두대 연결한다고 한 3일동안 별 짓 다 해봤는데 이렇게 30분도 안돼서 해결이 되다니. LG유플러스 고객센터, 서비스센터 대응에 정말 감사드립니다. 친절하게 대응해주신 기사님께도 감사드립니다.</t>
  </si>
  <si>
    <t>너무 친절하세요~ 감사합니다~</t>
  </si>
  <si>
    <t>친절하게 상세한 설명을 잘해 주었습니다</t>
  </si>
  <si>
    <t>친절하게 잘 상담 해 주시고 제가 잘 따라 가지 못해도 할 수 있게 기다려 주시고 안내 해 주셔서 잘 해결 할 수 있었습니다. 감사 합니다</t>
  </si>
  <si>
    <t>정말 친절하게 상담 잘해주셨습니다 감사합니다.</t>
  </si>
  <si>
    <t>절차를 제대로 알려주고 친절하심.</t>
  </si>
  <si>
    <t>항상원격으로 점검해주시는 부분에 대해서 감사합니다 앞으로두 더욱 발전되는 LG유플러스 되기를 기원합니다.</t>
  </si>
  <si>
    <t>친절하게 잘해주셨습니다. 감사합니다.</t>
  </si>
  <si>
    <t>원격점검 해주시는 분이 아주 친절하시고, 상냥하게 잘 해결해주셔서 기분 좋게 잘 받았습니다.</t>
  </si>
  <si>
    <t>점검 잘 해주셔서 감사합니다.</t>
  </si>
  <si>
    <t>친절하게 보아주셔서 감사드려요~~</t>
  </si>
  <si>
    <t>친절하고 명확하게 알려주심</t>
  </si>
  <si>
    <t>필요한 궁금증을 풀었습니다 해결책을 제시해주셔서 감사합니다</t>
  </si>
  <si>
    <t>너무 프로페셔널하게 잘 지원해주셔서 감사합니다.</t>
  </si>
  <si>
    <t>장시간 침착하게 일을 진행 하여 주셔서 너무 감사드립니다 최고에 서비스를 받은거 같아 기분이 좋습니다 .</t>
  </si>
  <si>
    <t>친절하게 잘해주셨습니다 감사합니다 ㅎㅎ</t>
  </si>
  <si>
    <t>친절하게 설명 잘 받았습니다.</t>
  </si>
  <si>
    <t>친절하게 잘 응대해 주셨습니다. 감사합니다.</t>
  </si>
  <si>
    <t>잘 해결되었습니다 감사합니다.</t>
  </si>
  <si>
    <t>빠르게 해결해주셨습니다.</t>
  </si>
  <si>
    <t>인더넷연결이 잘안됐는데 원인을 찿아 잘됐습니다 상담기사님 수고하셨습니다. 감사합니다^^</t>
  </si>
  <si>
    <t>빠른진단.... 친절한 상담 감사합니다.</t>
  </si>
  <si>
    <t>상량하고 친절하게 잘 상담받았습니다.</t>
  </si>
  <si>
    <t>랜카드 드라이버 업데이트 해주셔서 감사합니다</t>
  </si>
  <si>
    <t>친절하고 자세하게 잘 설명해주셔서 감사드립니다. 요번에 안되면 노트북을 처분하려고 했었는데 잘 해결해주셔서 너무 기쁘네요~~ 오늘도 좋은하루 보내세요. 다시한번 감사드립니다.</t>
  </si>
  <si>
    <t>친절하고 편하게 서비스받았습니다~</t>
  </si>
  <si>
    <t>컴퓨터 점검 빠르고 정확하게 해주셨고 랜카드 업데이트 서비스도 해주셔서 감사합니다</t>
  </si>
  <si>
    <t>점심시간임에도 불구하고 친절하게 마쳐 주시고 첫인사와 끝인사를 고객인 저에게 기분좋게 끝맺음을 하시네요. 감사합니다.</t>
  </si>
  <si>
    <t>친절하게 설명 잘해주셔서 문제 해결됐습니다. 감사합니다. 기사님~</t>
  </si>
  <si>
    <t>재문의 했음에도 친절하게 답변해주셔서 감사합니다.</t>
  </si>
  <si>
    <t>아주 친절하고 자세히 설명 잘해주십니다</t>
  </si>
  <si>
    <t>원격으로 진단받으니, 편리하고 이해하기 쉽게 설명해주셔서 좋았습니다.</t>
  </si>
  <si>
    <t>친절하고 빠르게 조치 받았습니다.</t>
  </si>
  <si>
    <t>불편 진단후 셋팅및 최적화진행 도와주셨습니다.</t>
  </si>
  <si>
    <t>불편했던 부분 친절하게 설명해주시고 설정해주셔서 감사했습니다.</t>
  </si>
  <si>
    <t>정말 친절하고 자세히 알려주시어 고맙습니다 항상 유플러스를 이용하는 고객이 되도록 하겠습니다 고맙습니다</t>
  </si>
  <si>
    <t>늦은 시간에도 불구하고 매우 빠르고 친절한 대응 감사드립니다.</t>
  </si>
  <si>
    <t>친정하게 설명 잘 해주셨습니다.</t>
  </si>
  <si>
    <t>아주 빠르게 작업 해주시고요 문제점이 뭔지 쉽게 바로 설명해주셔서 너무 좋았어요</t>
  </si>
  <si>
    <t>기술지원 잘 받았습니다. 감사합니다.</t>
  </si>
  <si>
    <t>신속하게 진행 되었고 안내는 무척 친절했습니다. 불편함 없이 서비스 받았습니다. 감사합니다</t>
  </si>
  <si>
    <t>자세하고 친절하게 설명을 잘해 주셨습니다.</t>
  </si>
  <si>
    <t>진짜 너무 감사드립니다 늦은시간에 이리 노력해주시고 덕분에 레노버 태블릿 정상화 됐습니다 ㅠ 와이파이 호환이 이리 있었을줄이야 너무 감사드려요!</t>
  </si>
  <si>
    <t>빠른 검사 및 정확한 진단 예약까지 해주셔서 만점입니다 ~</t>
  </si>
  <si>
    <t>중간에 원격이 끊어졌음에도 불구하고 마치 화면을 같이 보고 있는 것처럼 상세히 설명해주었습니다. 기능이 안되는 부분은 안된다고 말씀주셨고, 기능이 되는 부분은 자세히 확인까지 해주셔서 감사했습니다.</t>
  </si>
  <si>
    <t>하나하나 꼼꼼히 봐주시고 문제점도 해결해주시고 상담도 친절하게 받았습니다!!</t>
  </si>
  <si>
    <t>신속하게 문제의 원인을 찾아주시고 친절하게 해결 방법까지 알려주셔서 잘 해결했습니다. 서비스 최고입니다 !</t>
  </si>
  <si>
    <t>너무 감사 합니다 좋은 하루 되세요</t>
  </si>
  <si>
    <t>친절하고 설명이 좋아요</t>
  </si>
  <si>
    <t>설명감사합니다.</t>
  </si>
  <si>
    <t>상담사 분은 친절하게 잘 도와주시고 어느 부서에 어떻게 문의를 넣어야 하는지 잘 알려주셨습니다. 제 문제는 해결해 주시지 못하였지만 티비 셋탑 박스 방문 기사님 부르고 프린트 문제는 삼성에 연락해 보라고 하셨습니다. 상황을 핸들링 하는 상황에서 사진이 필요했는데 카톡 기능을 활용해서 보면서 사진을 올려보라고 말씀해 주셔서 상황을 이해하는데 더 도움이 됐습니다. 스마트 원격시스템은 좋으나 각 부서별로 따로 컴플레인을 접수해야하는 번거로움이 크고 각 부서별 상황 이해나 지식이 없기 때문에 그러한 점이 답답하게 느껴졌습니다. 엘지유플러스가 더 나은 회사로 발전하기 위해서는 컴플레인 부서를 하나로 통합하여 소비자가 일일이 그 부서에 따로 연락하지 않고 한번에 처리할 수 있는 시스템을 도입 하여야 일하는 직원도 편하고 사용하는 고객도 편할 거라고 믿어 의심치 않습니다. 시스템 개편을 통해 더 발전할 수 있는 엘지 유플러스가 되었으면 합니다. 긴 글 읽어 주셔서 감사합니다.</t>
  </si>
  <si>
    <t>자세히 설명 해 주시고 해결이 안 되서 방문기사 접수까지 잘 도와주셨습니다</t>
  </si>
  <si>
    <t>이번에 인터넷 설치 기사님 방문 서비스 받고 너무 만족해서 후기 남깁니다. 약속 시간보다 조금 일찍 도착하셔서 미리 연락도 주셨고, 방문하셔서도 처음부터 끝까지 정말 친절하게 응대해주셨어요. 설치 과정도 굉장히 꼼꼼했고, 선 정리나 위치 선정 같은 부분도 제가 불편하지 않게 하나하나 설명해주시면서 진행해주셔서 믿음이 갔습니다. 특히 인터넷 속도 체크까지 직접 여러 번 확인해주시고, 와이파이 연결 방법이나 사용하면서 생길 수 있는 문제들도 쉽게 알려주셔서 도움 많이 됐네요. 작업도 빠르게 끝났는데 마무리까지 깔끔해서 더 만족했습니다. 보통 설치 기사님 방문하면 정신없이 끝나는 경우가 많은데, 이번에는 응대부터 작업 퀄리티까지 전체적으로 정말 프로페셔널하다는 느낌을 받았습니다. 덕분에 기분 좋게 설치 잘 마쳤고 다음에도 같은 기사님께 받고 싶을 정도로 만족스러웠습니다.</t>
  </si>
  <si>
    <t>ㅇㅇ</t>
  </si>
  <si>
    <t>친절하게 설명해주시고 감사햇어여 도움 만이됫어요 수고하세요</t>
  </si>
  <si>
    <t>여지껏 여러 서비스를 받으며 지내오고 살아왔지만 오늘처럼 친절하고 자세히 설명을 해주시는 분들은 없었습니다. 핸드폰도 엘지 u+를 거진 20년쯤 사용하고 있는데 오늘같은 친절한 서비스를 받는다면 좋은 나날을 지낼수 있을것 같습니다.</t>
  </si>
  <si>
    <t>친절히 잘 설명해 주셔서 문제 해결했습니다</t>
  </si>
  <si>
    <t>친절하고 빠르게 해결해주셔서 감사합니다. 방문까지는 안되게 잘 해결 됐으면 좋겠네요 ㅠ</t>
  </si>
  <si>
    <t>대단히 친절하고 예의바른 기사님에게 감사드립니다. 인터넷이 느리다고 신고 했는데 결과는 컴퓨터에 잡다한 프로그램이 많고, 시작프로그램에 필요치 않은 프로그램을 삭제까지 해 주셨습니다. 기사님 성함을 잊어버려 죄송합니다. 담엔 기사님들 이름을 꼭 기억하도록 하겠습니다. 기사님 오늘 하루도 복되고 행복한 날이 되기를 기원하며 다시한번 고맙습니다.</t>
  </si>
  <si>
    <t>완전최고입니다</t>
  </si>
  <si>
    <t>작업이 어려운데도 불구하고 친절하게 상담해주어 감사합니다</t>
  </si>
  <si>
    <t>친절하고 자세한 설명 감사합니다. 빠르게 처리해주셨습니다.</t>
  </si>
  <si>
    <t>친절하고 정확한 상담으로 모르고 있던 제컴퓨터에 대한 정보를 알게되었습니다. 감사합니다^^</t>
  </si>
  <si>
    <t>항상 감사드립니다.고생하십시오^^</t>
  </si>
  <si>
    <t>첨 받아보는데 아주 좋아요!~ 꼼꼼하게 봐주시네요!~^^ ㅎㅎㅎ 감사합니다!~^^ 수고하세요</t>
  </si>
  <si>
    <t>원격도움으로도 도움이 지속되지 않아 해지신청 및 요금 감면 요청 드리겠습니다.</t>
  </si>
  <si>
    <t>외부 ip변경 빠르고 정확하게 해주셨어요 엘지는 항상 느끼지만 모두 다 친절하신것같아요 고객센터 전화하는데 기분 좋게 상담받고 해결했습니다</t>
  </si>
  <si>
    <t>너무 오랜시간 친절히 상담해주시고, 해결해 주셔서 너무 고맙습니다. 별 10개도 아깝지 않습니다. 저희 집에 사용하는 기기에 문제랑, LG U+랑 문제점을 알려주시고, 향후 업그레이드 하는 방안도 제시해 주셔서 시원하게 알았습니다. 김태훈 직원같으신분이 승승장구하길 기원합니다.</t>
  </si>
  <si>
    <t>상담사님께서 너무 친철하게 잘 설명해 주셨습니다. 감사합니다.</t>
  </si>
  <si>
    <t>삼당 감사드립니다.</t>
  </si>
  <si>
    <t>친절하시고 좋아요!!!!</t>
  </si>
  <si>
    <t>지원감사합니다</t>
  </si>
  <si>
    <t>신속한 대응에 다시한번 감동하네요.. 급한 업무가 있었는데 빠른조치 감사합니다 잘해결했습니다</t>
  </si>
  <si>
    <t>빠르고 친절하게 원격 및 설명 주셨습니다.</t>
  </si>
  <si>
    <t>친절하고 신속하게 상담 및 처리해주셔서 감사합니다.</t>
  </si>
  <si>
    <t>ㄱㅎ생하셨ㅇ읍니다</t>
  </si>
  <si>
    <t>원격진단은 처음인데 잘 알려주시고 진단해 주셔서 감사합니다.</t>
  </si>
  <si>
    <t>늦은시간에도 친절하게 대응해주셔서 감사합니다.</t>
  </si>
  <si>
    <t>편리합니다</t>
  </si>
  <si>
    <t>차분하게 설명 잘 해주심. 기사님도 바로 예약 잡아주심.</t>
  </si>
  <si>
    <t>알기쉽게 친절한 설명 감사합니다</t>
  </si>
  <si>
    <t>잠시 인터넷이 안되는 상황이였으나 현재는 잘되어 있는것을 확인하여 문제가 해결된것으로 생각됩니다. 안심 할수 있도록 설명 해주셔서 감사합니다.</t>
  </si>
  <si>
    <t>친절하게 응대해 주셔서 감사합니당^^수고하세요</t>
  </si>
  <si>
    <t>친절하고 빠르게 해결해주셨습니다 감사합니다!!</t>
  </si>
  <si>
    <t>친절하십니당</t>
  </si>
  <si>
    <t>너무 친절한 목소리로 자세하게 알려주시고 추후 어떻게 해야하는지 꼼꼼히 알려주셔서 감사드립니다!! 정말 베스트 상담이였습니다.</t>
  </si>
  <si>
    <t>친절한 설명 감사드립니다!!</t>
  </si>
  <si>
    <t>상담사 및 기사분 모두 친절하시고 말씀하시대로 하니까 바로 해결되었습니다 고생하셧습니다</t>
  </si>
  <si>
    <t>천절하시고 업무처리가 빨라서 너무 만족스럽고 좋아요 꼼꼼히 체크해주시고 점검을 잘해주신거같아요 감사합니다.</t>
  </si>
  <si>
    <t>문제가 해결됐습니다. 만족합니다.</t>
  </si>
  <si>
    <t>기사님이 친절하시고 응대 잘해주셔서 기분좋은 서비스였습니다.</t>
  </si>
  <si>
    <t>자세하고 적극적으로 문제 해결해 주셨습니다.</t>
  </si>
  <si>
    <t>전반적인 점검과 문제가 될만한 요인에 대해 친절히 설명해주시고, 추후 문제 발생 시 해결 방법에 대해서도 친절히 답변해주셨습니다.</t>
  </si>
  <si>
    <t>바쁜시간내주시며 친절한 설명과 함께 문제해결에 도움 주셔서 감사합니다</t>
  </si>
  <si>
    <t>서비스 최고 친절하고 처리 잘해 주시네요 감사합니다</t>
  </si>
  <si>
    <t>정확한 문제 진단 후 유선으로 친절하게 문제점 설명해주시고, 곧바로 A/S 일정 잡아주셨습니다. 감사합니다</t>
  </si>
  <si>
    <t>친절하게 정확히 해결해 주셔서 감사합니다</t>
  </si>
  <si>
    <t>친철하게 상담해주시고 불필요한 내용 없이 깔끔하게 잘 설명해 주셨습니다</t>
  </si>
  <si>
    <t>빠른 점검과 친절하게 해결해 주셨습니다. 감사합니다.</t>
  </si>
  <si>
    <t>친절한 응대 갑사합니다.</t>
  </si>
  <si>
    <t>정확하고 친절한 상담.</t>
  </si>
  <si>
    <t>원격지원 잘 받았습니다. 최고의 기술진인것 같습니다. 명쾌하게 진단해 주셨습니다..</t>
  </si>
  <si>
    <t>항상 친절한 상담 감사드립니다</t>
  </si>
  <si>
    <t>아주 만족합니다. 문제가 해결될 때까지 수차례 확인하시고, 여러 번 전화주셔서 해결해주시고 안심하게 해주셨습니다. 별 100개 없나요? 별 100개 드릴게요.</t>
  </si>
  <si>
    <t>친절하게 상담해주시고 다음 일정까지 잡아주셔서 만족했습니다 감사합니다 ^^</t>
  </si>
  <si>
    <t>제가 바쁘고 정신없는 와중에도 친절하게 잘 해주셨어요^^ 감사합니다.</t>
  </si>
  <si>
    <t>친절하게 잘 해주시고 하나하나 꼼꼼하게 잘 봐주시네요 감사합니다.</t>
  </si>
  <si>
    <t>네 감사합니다~</t>
  </si>
  <si>
    <t>친절하게, 알기 쉽게 풀어서 설명해 주셔서 좋습니다. 감사합니다.~^^</t>
  </si>
  <si>
    <t>빠른 시간안에 원하는 거를 해결해 주셔서 감사합니다. 오늘 두분이랑 통화를 했는데 연결 해주시는 상담원분이나 원격으로 해주시는분이나 너무너무 친절하셔서 감사합니다.</t>
  </si>
  <si>
    <t>감사합니다. 잘됩니다.</t>
  </si>
  <si>
    <t>친절하게 잘 응대해 주셨습니다.</t>
  </si>
  <si>
    <t>감사합니다. 덕분에 쉽게 해결했습니다.</t>
  </si>
  <si>
    <t>감사합니다... 만족합니다...</t>
  </si>
  <si>
    <t>신속하게 처리해주셔서 감사합니다</t>
  </si>
  <si>
    <t>친절하고 신속하게 처리 도와주셨습니다. 감사합니다.</t>
  </si>
  <si>
    <t>신속하고 빠른 그리고 친절한 진단 감사합니다</t>
  </si>
  <si>
    <t>너무 친절하고 상세하게 대응해주셔서 감사드립니다! 문제 해결되었습니다!</t>
  </si>
  <si>
    <t>참 친절하게 잘 대응해주셨습니다.</t>
  </si>
  <si>
    <t>빠른 대응 감사드리면 친절에 감사합니다.</t>
  </si>
  <si>
    <t>상담사님도 원격하시는분도 모두 너무 친절하시네요 원인을 빠르게 파악하고 중간과정에서 더 정확하게 문제를 찾아주신점 감사합니다</t>
  </si>
  <si>
    <t>무한 스마트 친절 사원이십니당~~ 컴터 모르는 사람에게도 쉽게 설명해주시고 아픈사람 치유해주는 기분이랄까? ㅎㅎ 감사드립니다. 인터넷 기사님도 친절하시고 제가 LG만 20년 넘게 쓰는 이유입니다. 감사합니다</t>
  </si>
  <si>
    <t>Goooooooooood!</t>
  </si>
  <si>
    <t>문제점을 잘 찾아주셨습니다. 감사합니다.</t>
  </si>
  <si>
    <t>아주 친절하고, 끝내줍니다!!!</t>
  </si>
  <si>
    <t>친절하고 편안한 서비스 감동을 주었습니다</t>
  </si>
  <si>
    <t>아주 편리하고 조습니다 만족합니다</t>
  </si>
  <si>
    <t>꼼꼼한 점검과 상세한 설명 감사합니다.</t>
  </si>
  <si>
    <t>어머니가 상담하셨는데 너무 친절하게 잘 받으셨다고 감사하다고 하시네요 ^^ 친절하게 상담해주셔서 감사합니다.</t>
  </si>
  <si>
    <t>친절하고 설명 잘해주세요</t>
  </si>
  <si>
    <t>엄청 만족합니다. 직접 기사님이 방문해주시길 원했는데, 출장비용이 나올수도 있다고 얘기를 들어서 원격진단을 요청했습니다. 드라이브 업데이트도 해주시고 설명도 자세히 해주셔서 너무 만족합니다. 이후에 다시 문제가 발생할 경우 조치해야될 부분에 대해서도 말씀해주셔서 좋았습니다. 굿굿!</t>
  </si>
  <si>
    <t>친절한 점검과 상담 감사합니다.</t>
  </si>
  <si>
    <t>원격 진단으로 바른 처리가 고장 점수 되어 만족합니다.</t>
  </si>
  <si>
    <t>너무 친절하게 응대해주시고, 제가 잘 몰라서 헤매던 부분도 끝까지 자세히 설명해주셔서 큰 도움이 되었습니다. 포트포워딩 설정 문제로 계속 해결을 못 하고 있었는데, 단순 설정 문제가 아니라 이중 공유기 구조 때문이라는 점까지 정확하게 짚어주시고 직접 해결까지 도와주셔서 정말 감사했습니다. 혼자였다면 계속 헤맸을 것 같은데, 이해하기 쉽게 설명해주시고 하나하나 같이 확인해주셔서 매우 만족스러운 서비스였습니다.</t>
  </si>
  <si>
    <t>수고하셨습니다^^</t>
  </si>
  <si>
    <t>이해하기 쉽도록 모르는 부분도 잘 설명해주시고 빠른 조치를 해주셔서 너무 감사합니다. ^^</t>
  </si>
  <si>
    <t>수고 하셨습니다 친절정확</t>
  </si>
  <si>
    <t>기술지원팀 김태훈 기사님이 매우 친절하게 설명해주시고 제가 해결하지 못한 부분을 끝까지 해결해주셔서 정말 만족합니다. 감사합니다.</t>
  </si>
  <si>
    <t>시원시원하게 설명해주시고 친절하게 안내해주심 굿</t>
  </si>
  <si>
    <t>빠른해결 진단으로 업무처리원활했음.만족합니다</t>
  </si>
  <si>
    <t>친절하고 정확하게 잘 설명받았습니다 감사합니다</t>
  </si>
  <si>
    <t>친절한 상담으로 궁금한 사항에 대해 그림으로 잘 설명해주었습니다.</t>
  </si>
  <si>
    <t>몇년 전에도 동일한 문제를 해결해주셨는데.. 이번에도 인연이 닿아 같은 분이 해결해 주셨습니다. 제가 미안할 정도로 문제를 해결해주시려고 노력해주셔서 너무 감사했고, 다시한번 유플러스 서비스에 만족하게 되었습니다. 감사합니다.</t>
  </si>
  <si>
    <t>친절 합니다!</t>
  </si>
  <si>
    <t>아주 친절하게 해주셔서 도움을 잘받았습니다.</t>
  </si>
  <si>
    <t>빠르게 잘 해결됐어요</t>
  </si>
  <si>
    <t>랜카드설정및 컴퓨터 설정 잘 확인해주시고 조치해주셔서 감사합니다</t>
  </si>
  <si>
    <t>인터넷 끊킴 원인을 알게되어 고맙습니다 서비스도움주신 상담원님도 친절하게 설명해주셔서 원인분석도 꼼꼼하게 설명해주셔서 정말고맙습니다 ...</t>
  </si>
  <si>
    <t>친절 하시네요 수고만으세유</t>
  </si>
  <si>
    <t>원격으로 빠르게 처리해주셨어요 만족합니다</t>
  </si>
  <si>
    <t>실력좋은 기사님덕분에 걱정을 덜었습니다. 오늘 해결해주셔셔 너무 감사해요</t>
  </si>
  <si>
    <t>원격 서비스 해주시는분은 적극적으로 잘 임해주셨지만, 근본 원인까지 해결되지 않아서 아쉽네요. 주로 사용하는 네이버측에 문의하는걸로 종료했습니다.</t>
  </si>
  <si>
    <t>최고입니다~</t>
  </si>
  <si>
    <t>친절하시고 설명도 쉽게 해 주네요</t>
  </si>
  <si>
    <t>친절한 응대해 주셔서 감사합니다</t>
  </si>
  <si>
    <t>친절히 잘받았습니다.</t>
  </si>
  <si>
    <t>컴퓨터 세부 사항은 전혀 체크해보지 못했는데 그 부분 안내 도와주셔서 해결되었습니다!</t>
  </si>
  <si>
    <t>친절한 상담으로 컴퓨터 모르는 저도 잘 따라할수 있었습니다 감사합니다 좋은하루되세요~~~</t>
  </si>
  <si>
    <t>친절하고 신속한 처리 정말 감사합니다.</t>
  </si>
  <si>
    <t>친절한 응대 및 안내 감사합니다. 항상 하시는 일에 행복과 사랑이 가득하시길 바랍니다.</t>
  </si>
  <si>
    <t>빠른 해결과 자세한 안내 감사합니다. 잘 실행되길 바랍니다.</t>
  </si>
  <si>
    <t>친절하고 빠르게 해결</t>
  </si>
  <si>
    <t>알기쉽게 친절하게 잘 설명해 주셨습니다.</t>
  </si>
  <si>
    <t>긴 시간 친절하게 상담해 주시고 문제 해결을 위해 노력해 주셨습니다. 감사합니다.</t>
  </si>
  <si>
    <t>친절합니다 만족</t>
  </si>
  <si>
    <t>잘봐주시고 좋아요\</t>
  </si>
  <si>
    <t>감사합니다. 너무 친절합니다. 행복한 하루 되세요</t>
  </si>
  <si>
    <t>빠르고 정확하게 필요한 부분을 조치해 주셨습니다 감사합니다</t>
  </si>
  <si>
    <t>감사합니다. 늦은 시간에 정말루~최고네여.</t>
  </si>
  <si>
    <t>친철하고 정확한 상담 감사합니다.</t>
  </si>
  <si>
    <t>놀리적인 내용 감사 합니다.</t>
  </si>
  <si>
    <t>질문이 많았는데도 친절하게 잘 설명해 주셨습니다. 감사합니다^^</t>
  </si>
  <si>
    <t>친절하고 자세하게 설명해주셨어요. 편리하고 좋네요.</t>
  </si>
  <si>
    <t>빠른 조치에 감사드립니다 수고하셨습니다</t>
  </si>
  <si>
    <t>설명도 친절하게 해주시고, 이유부터 철저히 설명해주셔서 좋았습니다</t>
  </si>
  <si>
    <t>해결하고싶었던 문제를 친절하게 조치해주셨습니다.</t>
  </si>
  <si>
    <t>진단과 해결 과정 내내 친절하고 상세하게 설명해주셔서 이해하기 쉬웠고 빠르게 문제내용을 해결해주셨습니다.</t>
  </si>
  <si>
    <t>차분하게 불편한점 들어주시고 보완해주셨습니다。 감사합니다</t>
  </si>
  <si>
    <t>빠르고 정확 감싸합니다</t>
  </si>
  <si>
    <t>신속정확서비스에감사드립니다</t>
  </si>
  <si>
    <t>친절하게 문제를 찾아주시고 해결방안을 설명해주셨습니다</t>
  </si>
  <si>
    <t>친절하게 대응해주셔서 편안하게 상담했습니다.</t>
  </si>
  <si>
    <t>문제 해결을 바로 해주셨고 긴 통화임에도 불구하고 친절히 해주셔서 감사합니다.~</t>
  </si>
  <si>
    <t>빠르게 잘 처리해주셨어 감사합니다.</t>
  </si>
  <si>
    <t>자세한 설명 좋아요 친절하네요</t>
  </si>
  <si>
    <t>자세하게 꼼꼼하게 체크해주셨습니다</t>
  </si>
  <si>
    <t>친절하고 빠르게 문제 해결해주셨습니다 최고!</t>
  </si>
  <si>
    <t>친절하고 쉽게 이해할수있게 설명해주셔서 감사드림니다</t>
  </si>
  <si>
    <t>상담사님이 너무 친절하시고 차근차근 설명해주셔서 이해하기 쉬웠어요 감사합니다!</t>
  </si>
  <si>
    <t>너무 친절하고 확실하게 민원처리해주셔서 감사합니다!</t>
  </si>
  <si>
    <t>상세하고 친절하게 잘 받아 기분이 매우 좋습니다.</t>
  </si>
  <si>
    <t>친절하시고 최상의 결과에 만족합니다</t>
  </si>
  <si>
    <t>지난 첫 상담에 이어 두 번째 상담을 받았습니다. 어떤 문제인지 로그를 보고 잘 설명해 주셨고, 즉각 조치 가능한 부분을 추천해 주어 실행해 볼 예정입니다. 친절한 설명과 서비스 감사드립니다. 고맙습니다.</t>
  </si>
  <si>
    <t>친절하고 설명잘해주십니다. 감사합니다.</t>
  </si>
  <si>
    <t>알기 쉽게 설명해주셔서 감사합니다.</t>
  </si>
  <si>
    <t>친절하시고 빠르게 해결해주셨어요</t>
  </si>
  <si>
    <t>너무 친절하게 잘해주셨습니다 최고 빠르게 조치했습니다</t>
  </si>
  <si>
    <t>친절한 설명이었습니다</t>
  </si>
  <si>
    <t>친절하게 응대해 주셔서 감사합니다.</t>
  </si>
  <si>
    <t>원격으로 상태 점검해주셔서 만족합니다 원인을 알고나니 걱정이 덜 하네요 잘 정비 받을 수 있게 기사님에게 상태 메모를 전달 하신다니 감사합니다 기술적인 문제는 설명이 어려운데 감사드립니다.</t>
  </si>
  <si>
    <t>친ㄴ절한 설명 감사합니다</t>
  </si>
  <si>
    <t>너무 친절하셧습니다</t>
  </si>
  <si>
    <t>아주 대만족 입니다 살면서 이런 친절함은 몇번없었는데 정말 감사했습니다 설면도 차분히 잘해주시고 아주 성심성의껏 점검 조치 해주셔서 감사합니다 수고하셨습니다 좋은 하루 되세요 ^^</t>
  </si>
  <si>
    <t>감사합니다,,친절 정학 최고입니다</t>
  </si>
  <si>
    <t>너무친절하셔요</t>
  </si>
  <si>
    <t>QKfmrp gcjflehoTdjdy,./ccccc</t>
  </si>
  <si>
    <t>너무 친절하게 알려주셔서 감사합니다</t>
  </si>
  <si>
    <t>빠르게 조치해주셔서 너무 좋습니다</t>
  </si>
  <si>
    <t>정말고맙습니다 다음에도 서비스 이용할게요</t>
  </si>
  <si>
    <t>친절히 점검봐주셔서 감사합니다~~!</t>
  </si>
  <si>
    <t>친절하고 정확하게 진단해주셔서 감사합니다.</t>
  </si>
  <si>
    <t>친절하게 응대 잘 받았습니다.</t>
  </si>
  <si>
    <t>제가 겪는 문제를 자세히 들어주시고 해결 방안 및 문제점을 그림판등 이해하기 쉽게 알려주셨습니다。</t>
  </si>
  <si>
    <t>상담 감사합니다.</t>
  </si>
  <si>
    <t>친절하게 설명해주셨으며 불편사항을 확실하게 처리해주셨습니다 감사합니다 다음에도 잘부탁드립니다</t>
  </si>
  <si>
    <t>친절한 설명, 빠른 진단 / 조치 감사합니다.</t>
  </si>
  <si>
    <t>친절하고 쉽게 잘 알려주셔서 너무 감사합니다 ~~</t>
  </si>
  <si>
    <t>친절하고 재미있으세요ㅎㅎ</t>
  </si>
  <si>
    <t>친절하게 잘 알려주시고 도와주셨습니다</t>
  </si>
  <si>
    <t>컴팩트하게 필요한 내용 빠르게 조치해주셔서 너무 만족했습니다 기사님께 감사드립니다</t>
  </si>
  <si>
    <t>너무나도 친절하게 설명해주시고 이해 할수있게 해주었습니다 감사합니다</t>
  </si>
  <si>
    <t>원격으로 처리가 되서 편리하고 빠르게 처리되서 좋습니다 실시간으로 처리 하는 모습이 보이고 빠른 시간 내에 처리되서 대기시간이 길지 않다는 점에서 만족스럽습니다 직원분도 필요한 정보나 궁금증을 해결해주셔서 만족스럽습니다~</t>
  </si>
  <si>
    <t>정말친절하시고 너무 잘상담해주셨습니다 감사합니다</t>
  </si>
  <si>
    <t>친절하시고 상담잘받앗습니다 감사합니다</t>
  </si>
  <si>
    <t>서비스 굿!</t>
  </si>
  <si>
    <t>너무 친절하시고 설명도 알아듣기 쉽게 잘해주셨습니다 굉장히 만족했습니다</t>
  </si>
  <si>
    <t>아주 친절하게 상담해주어서 만족합니다.</t>
  </si>
  <si>
    <t>엄청친절하시네요. 도움이 많이 됐습니다. 감사합니다.</t>
  </si>
  <si>
    <t>친절하고 자세한 상담 감사드립니다^^</t>
  </si>
  <si>
    <t>일처리가 빨라서 좋네요</t>
  </si>
  <si>
    <t>이번 기사님은 너무 친절하셨습니다 매번 랜덤으로 배정받지만 다른 분들도 이분처럼 친절했으면 좋겠네요</t>
  </si>
  <si>
    <t>친절하시고 이해좋은 설명으로 바로 해결해주시요</t>
  </si>
  <si>
    <t>사진하나하나 보여주시면서 친절한상담 감사합니다.</t>
  </si>
  <si>
    <t>친절하게 잘 알려주셨습니다. 감사합니다.</t>
  </si>
  <si>
    <t>비록 와이파이는 장비 문제라 못잡았지만 그래도 컴텨가 이상있는 부분을 말씀드리니 바로 해결해주셔서 좋은거 같아요 특히 저녁 10시 까지라는게 너무 매력적인거 같아요 ㅎㅎ 역쉬 엘쥐</t>
  </si>
  <si>
    <t>늦은 시간에 친절한 상담 감사합니다. 잘되네요. 다시 연락 드릴일이 없었으면 좋겠네요. ^.^</t>
  </si>
  <si>
    <t>상담 내내 친절하시고 문제점을 잘 집어주셨어요 :)</t>
  </si>
  <si>
    <t>친절 신속 ^^b</t>
  </si>
  <si>
    <t>친절한 설명과 빠른 대응에 깊은 감사 드립니다.</t>
  </si>
  <si>
    <t>친절하고 이해하기 쉽게 원격 및 설명해주셔서 감사합니다.</t>
  </si>
  <si>
    <t>상담사 분도 친절하시고 제가 토요일에도 상담받았었는데 인터넷창이 바껴서 못해드렸는데 인터넷이 많이 느려져서 상담받았는데 친절하게 설명해주시고 이것저것 알아서 다해주시고 하셔서 괜찮았습니다 문제 생기면 다시 연락드리겠습니다</t>
  </si>
  <si>
    <t>생각보다 친절하시고, 후속 조치 방법을 잘 알려주셨습니다.</t>
  </si>
  <si>
    <t>Thank you for your cooperation.</t>
  </si>
  <si>
    <t>친절하게 잘설명해주셨고 마무리까지 완벽하게 해주셨습니다^^</t>
  </si>
  <si>
    <t>예전에는 인터넷고장되면 직접오고날짜잡고 이렇게한다고 불편한게많앗는데 원격지원이란것자체가 생겨서 너무 편리한것같아요 그리고 상담사분도 진짜 너무 꼼꼼히 설명을 잘해주시고 어려운 말도안쓰시고 그냥 알아서들을수있게 하나하나 설명해주셔서 너무좋고 친절100% 입니다 ! 감사합니다</t>
  </si>
  <si>
    <t>빠르고 친절하게 안내해주시고 고맙습니다.</t>
  </si>
  <si>
    <t>고객의 입장에서 최선을 다해주시는 모습에 서비스 잘받았습니다~</t>
  </si>
  <si>
    <t>신속한 진단과 문제해결 감사합니다.</t>
  </si>
  <si>
    <t>원인 파악과 문제가 해결됐습니다.</t>
  </si>
  <si>
    <t>알아듣기 쉽고 너무 신속하게 처리해주셔서 감사드립니다.!!!</t>
  </si>
  <si>
    <t>생각보다 잘 해주셔서 놀랐습니다 감사합니다</t>
  </si>
  <si>
    <t>정말 상당사분도 엔지니어분도 친절히 해주셔서 제가 더 감사드립니다.</t>
  </si>
  <si>
    <t>친절하고 신속하게 문제 해결 해줬어요!</t>
  </si>
  <si>
    <t>간단 명료한 진행. 증상 예상 문제 찾고. 궁금한거 질문하고 정확한 답변 깔끔하게 줌.</t>
  </si>
  <si>
    <t>너무 설명 잘해주시고 해결도 해주셔서 감사드립니다.</t>
  </si>
  <si>
    <t>친철하고 꼼꼼하게 점검해주셔서 감사합니다</t>
  </si>
  <si>
    <t>컴푸터를 잘 몰라 불편했는데 너무 쉽게 해주셔서 감사합니다. 친절한 서비스팀에 고마움을 글로 남깁니다.</t>
  </si>
  <si>
    <t>모두 다 매우 친절하였습니다</t>
  </si>
  <si>
    <t>빠른조치 감사합니다.</t>
  </si>
  <si>
    <t>아주 친절하게 대처해 주셧어요</t>
  </si>
  <si>
    <t>문제를 잘 해결하셧고 친절합니다</t>
  </si>
  <si>
    <t>친절한 설명과 자세한 내용 알려 주심에 감사드립니다. 고맙습니다.^^</t>
  </si>
  <si>
    <t>아주 만족 합니다.</t>
  </si>
  <si>
    <t>친절하게 자세히 설명 주셔서 알아듣기 쉬웠습니다. 사용해 봐야 알겠지만 ,고장 부분 조취도 잘 해주신것 같구요. 아무튼 전화 상담사분과 인터넷 원격지원 상담사분께 감사 드립니다.수고 하셨구요.</t>
  </si>
  <si>
    <t>상담삼사합니다 100%만족합니다 고객님과 더욱 좋은상담 이루셔요 감사드립니다 꾸벅</t>
  </si>
  <si>
    <t>기사님의 친절한 말투와 세세한 설명으로 불편한 문제가 해소가 되었으며 추후 문제에 대한 걱정도 덜어주셨으며 새로운 질문에도 친절한 대답으로 답을 해주면서 짧은 시간 이였지만 많은 걸 얻은 시간이 엿습니다. 감사합니다</t>
  </si>
  <si>
    <t>친절하고 전문적인 서비스였습니다.</t>
  </si>
  <si>
    <t>신속한 응대 감사드립니다.</t>
  </si>
  <si>
    <t>신속하고 꼼꼼하게 확인해주셨습니다</t>
  </si>
  <si>
    <t>빠르고 친절하게 응대해주셔서 너무 만족했습니다 감사합니다</t>
  </si>
  <si>
    <t>신속하고 정확, 친절하게 대응해 주셨습니다. 감사합니다</t>
  </si>
  <si>
    <t>잘 봐주셔서 감사합니다</t>
  </si>
  <si>
    <t>너무 감사합니다. 연결해주신 101 상담사분과 비번 변경해주신 기사님 모두 너무 친절하고 책임감있게, 전문적으로 잘 도와주셨습니다. 타사에서 받아보지 못한 서비스를 받은 것 같습니다. 너무 감사해요..기계 AI가 대체할 수 없는 귀한 분들입니다. 꼭 계속 일하셔서 많은 사람에게 유용한 도움 주시면 좋겠습니다.</t>
  </si>
  <si>
    <t>너무 친절히 잘 봐주시구 세세하게 봐주셔서 많은 도움 되었습니다. 공부가 많이 되었습니다 덕분에 잘 쓸수 있겠어요 감샇바니다 장재훈 매니저님</t>
  </si>
  <si>
    <t>최고입니다! 만족하고 갑니다~~</t>
  </si>
  <si>
    <t>매우 만족합니다. 감사해요.</t>
  </si>
  <si>
    <t>정말 친절하시고 빠른 속도로 제가 원하는 문제를 정확히 파악하셔서 해결해 주신 점, "대기업은 이런거구나" 느꼈습니다 감동이었고, 대단히 감사합니다</t>
  </si>
  <si>
    <t>친절하시고 알아 듣기 좋게 말씀해주세요! 감사합니다</t>
  </si>
  <si>
    <t>주말에 근무 해주시고 친절한 상담과 해결까지 되어 정말 감사드립니다. 덕분에 문제가 바로 해결되었습니다. 수고하세요</t>
  </si>
  <si>
    <t>상담및 원격 너무 좋았습니다 감사합니다</t>
  </si>
  <si>
    <t>신속하고 친절한 응대와 문제 해결 노력에 감사드립니다.</t>
  </si>
  <si>
    <t>지원 감사드립니다.</t>
  </si>
  <si>
    <t>친절하게 해주셔서 감사합니다. 제가 부탁드린거 해결해주셔서 감사합니다. 좋은 하루 되시고 건강하세요.</t>
  </si>
  <si>
    <t>잘 처리되었습니다. 수고하셨습니다.</t>
  </si>
  <si>
    <t>친절하시고 문제없이 처리해주셔서 감사합니다</t>
  </si>
  <si>
    <t>빠르고 친절한 상담 및 조치 감사드립니다</t>
  </si>
  <si>
    <t>친철하게 서비스 해주셨어요~</t>
  </si>
  <si>
    <t>너무너무 친절하고 답답한곳 잘알려주시고 마무리까지 깔끔하게 서비스 해주시고 가셨습니다. 감사합니다. ^^</t>
  </si>
  <si>
    <t>매우 친절 하게 해주셨어요 !!!</t>
  </si>
  <si>
    <t>정확한 진단과 스케줄 조율 감사합니다 이제야 해결이 될 것 같아서 좋네요 화이팅~</t>
  </si>
  <si>
    <t>친절하게 잘 대응해주셔서 감사합니다!!</t>
  </si>
  <si>
    <t>빠르게 업무를 처리 해주십니다</t>
  </si>
  <si>
    <t>최상의 친절함, 전문지식을 활용한 이해하기 쉬운 설명, 신속한 처리와 더불어 적극적으로 고객을 생각하고 문제를 해결하려는 태도 모두 만족스러웠습니다. 다음에 서비스가 필요할 때 같은 분께 받고 싶을만큼 굉장히 만족합니다. 소비자로서 굉장히 감사드립니다. 고맙습니다.</t>
  </si>
  <si>
    <t>정말 친절하고 세세하게 신경써주시고 자세히 알려주신 덕분에 기분좋게 프린터를 쓸수 있게 되었습니다. 엔지니어분께 진심으로 감사드립니다. 고생 많으셨습니다^^ 건강하세요!!!</t>
  </si>
  <si>
    <t>친절하게 답변해주시고 문제 있는 곳 확인 잘해주셨습니다.</t>
  </si>
  <si>
    <t>수고하셧어요 감사합니다.</t>
  </si>
  <si>
    <t>친절하고 빠르게 해결해주셔서 너무 편했어요 최고의 기사님 ^_^</t>
  </si>
  <si>
    <t>다른기기 연결하는것까지 도와주셨습니다(다른기기 회사에 전화하니 다 듣지도않고 인터넷문제라고 통신사에 연락하라고하더라구요... 인터넷문제아니었는데!!!!!!) 너무너무 감사합니다 ㅠㅠ 오류 원인도 찾아주시고 친절하고 세세하게 알려주셔서 너무 감사합니다 스마트 원격진단으로 직접 연결해주시는 과정까지 보니 더 빠르고 안심됐습니다 전화연결해주신 분, 고쳐주신 분 정말 감사합니다</t>
  </si>
  <si>
    <t>스마트 원격진단 이용하여서 wake on lan 기능 상세하게 진행해주셔서 원활하게 설치 진행되었습니다. 많이 헤맸는데 덕분에 기능 활성화되어서 삶의 질이 향상된거 같습니다. 감사합니다.</t>
  </si>
  <si>
    <t>친절하고 신속하게 상담 받았습니다. 감사합니다.</t>
  </si>
  <si>
    <t>친절한 상담 잘 받았고 문제점 잘 알려주셨습니다.</t>
  </si>
  <si>
    <t>친철하게 상세히 설명해주시고 끝까지 도와주려노력해주셔서 감사합니다</t>
  </si>
  <si>
    <t>최고의 서비스를 받았습니다 100점 만점에 100점입니다 상담사님께 인센티브 많이 주세요 감사합니다</t>
  </si>
  <si>
    <t>편하고 니즈파악을 잘해주셔서 좋았습니다.</t>
  </si>
  <si>
    <t>안녕하세요! 3년정도 쓰면서 이번에 처음으로 불편한게 있어서 고객센터 연락드렸는데, 처음 전화받으신 상담원님 너무 너무 친절하게 응대 해주셨고, 다음 상담원님도 너무 친절하셨고, 해결해주시는 기사님도, 빠르게, 친절하게 해결해주셨습니다. 세 분다 너무 너무 감사합니다!!!</t>
  </si>
  <si>
    <t>친절하게 확인해 주셔서 감사합니다.</t>
  </si>
  <si>
    <t>원인파악과 확실하게 해결이 되어 만족합니다.</t>
  </si>
  <si>
    <t>친절하고 자세한 상담과 빠른 응대 감사합니다.</t>
  </si>
  <si>
    <t>친절하게 상담을 진행해 주시고 해결방안 안내 후 추가적인 상담에 대해서도 안내해 주셔서 너무 좋았습니다</t>
  </si>
  <si>
    <t>빠르게 확인해주셔서 잘 해결했습니다.</t>
  </si>
  <si>
    <t>빠르게 해결해주셔서 감사합ㄴ다~</t>
  </si>
  <si>
    <t>최고입니다. 나이스</t>
  </si>
  <si>
    <t>되게 친절하십니다.</t>
  </si>
  <si>
    <t>이해가 잘되게 도움을 많이 주셔서 금방 해결했습니다 감사합니다. 궁금한점도 해결됬어요</t>
  </si>
  <si>
    <t>기사님이 친절하게 잘 설명해주시고 해결도 되었습니다. 감사합니다!</t>
  </si>
  <si>
    <t>매우 매우 만족하고 너무 감사합니다. 답답햇던 부분이 속시원히 풀려서 너무 고맙습니다. 더욱이 매우 친절하시고 설명을 너무 잘해주셔서 너무 감사합니다.</t>
  </si>
  <si>
    <t>친절한 설명과 응대 감사합니다</t>
  </si>
  <si>
    <t>친절한 상담 최고의 상담 스마트한 상담 감사합니다 제가 질문이 많은 편인데 원인 분석 꼼꼼히 해주셔서 너무 감사했습니다 복 받으세요!</t>
  </si>
  <si>
    <t>꼼꼼하게 정검 잘 받았습니다~</t>
  </si>
  <si>
    <t>도움됨</t>
  </si>
  <si>
    <t>너무 친절하고 정확하게 알려주셔서 정말 감사드립니다!</t>
  </si>
  <si>
    <t>신속하고 정확한 진단으로 속도개선을 바로 해주셔서 좋았구요 또한 친절해서 감사했습니다</t>
  </si>
  <si>
    <t>친절이 대응해주셨습니다</t>
  </si>
  <si>
    <t>문제 있던 것들을 빠르게 파악해주시고 바로 해결해주셔서 감사합니다</t>
  </si>
  <si>
    <t>꼼꼼히 봐주시고 수고하셨습니다.</t>
  </si>
  <si>
    <t>이해가 잘되게 친절히 설명해주시며, 빠른처리로 매우 만족스럽습니다.</t>
  </si>
  <si>
    <t>완전 최고!!</t>
  </si>
  <si>
    <t>친철하고 빠른 대응 감사합니다. 알기쉽게 설명해주셔서 좋았습니다.</t>
  </si>
  <si>
    <t>친절하시고 제가 원하는 부분 설명 잘해주시고 해결해 주셨어 감사합니다</t>
  </si>
  <si>
    <t>일단 너무 친절하고 자세하면서 이해하기 쉽게 알려주셔서 왜그랬는지 너무 잘 알수있었고 일단 사용해보고 또 문제가 생기면 그때는 다른 문제였으니 기사님을 불러야 할것 같네요 원격지원해주신분 성함은 기억 안나지만 너무 친절하고 자세하게 알려주셔서 감사합니다.</t>
  </si>
  <si>
    <t>이해하기 쉽게 설명을 잘 해주셔서 너무 좋았습니다</t>
  </si>
  <si>
    <t>오전 내내 안되서 걱정이었는데 친절하게 전화도 주시고 너무 잘 처리했습니다. 감사합니다.</t>
  </si>
  <si>
    <t>너무 친절하고 자세하게 설명해주셔서 감사합니다~ 다음에도 잘 부탁드릴께요~</t>
  </si>
  <si>
    <t>정말 친절하셨고 이런일이 생겼을때도 다시 한번 스마트원격진단을 통해 문제를 해결하고싶다</t>
  </si>
  <si>
    <t>친절한 대응에 좋은 하루를 시작할 수 있겠네요. 감사합니다.</t>
  </si>
  <si>
    <t>친절하게 잘 알려주셨습니다. 해결 안되는 부분도 직접 접수까지 해주시고 늦은 밤 인대 정말 친절하시네요!</t>
  </si>
  <si>
    <t>친절하시고 알아듣기 편하게 설명해주셨네요~ 빠르게 이해하고 처리했습ㄴㅣ다 감사합니다!!!</t>
  </si>
  <si>
    <t>늦은 시간 상담 직원분과 엔지니어 직원분 모두 친절하고 상세하게 설명하여 주셔서 감사드립니다.</t>
  </si>
  <si>
    <t>친절하시고 문제 원인을 잘 파악해주셨습니다.</t>
  </si>
  <si>
    <t>빠른 대처로 문제점을 찾아 만족스럽게 해결해 주셔서 감사합니다</t>
  </si>
  <si>
    <t>친절하고 자세한 안내가 좋았습니다</t>
  </si>
  <si>
    <t>친절하게 설명 잘 해주시고 해결해주셔서 감사합니다</t>
  </si>
  <si>
    <t>대단히 감사합니다 만족 합니다</t>
  </si>
  <si>
    <t>원격으로 빠르고 정확하게 문제를 해결해 주셔서 감사합니다. 설명도 친절해서 이해하기 쉬었습니다. 전반적으로 만족합니다.</t>
  </si>
  <si>
    <t>인터넷 괜히 바꿨나 생각이 들었는데 서비스 문제해결 아주 빠르고 신속 정확해서 믿음이 가네요</t>
  </si>
  <si>
    <t>정말 친절하시고 하나하나 꼼꼼히 알려주십니다 다음에도 이분으로 부탁드릴게요</t>
  </si>
  <si>
    <t>해결된게 없어요</t>
  </si>
  <si>
    <t>문제하나하나 잘설명해주셔서 쉽게이해되고 오랜시간 밝은목소리로 상담 응대해 매우 만족 매우 감사드립니다</t>
  </si>
  <si>
    <t>친절하고 빠르고 좋았습니다</t>
  </si>
  <si>
    <t>여건상 문제해결은 되지 않았으나 친절하고 좋은 상담서비스였습니다. 추후 조치사항까지 안내받아 좋습니다.</t>
  </si>
  <si>
    <t>친절하고 잘설명해주셔용</t>
  </si>
  <si>
    <t>일단 빠른 대응 감사드립니다. 원격 점검이라 조금 애매했는데 그래도 신속하게 필요한 부분만 체크하고 점검해주셔서 어느정도 해결이 된것 같아요. 10분도 안걸린것 같네요. 침착하고 친절한 대응 감사드립니다. 좀 더 사용해보면서 체크해보도록 하겠습니다. 감사합니다.</t>
  </si>
  <si>
    <t>네 좋았습니다</t>
  </si>
  <si>
    <t>문제 1분안에 해결해주심!!!!!!!!!! 원격해주신분 완즈니 천재인거같아요 감사합니댜</t>
  </si>
  <si>
    <t>너무나 친절하고 자세히 설명해주셨어요.</t>
  </si>
  <si>
    <t>원격으로 점거해주신분 너무 친절하게 안내 잘 받았어요 ~ 봐도 잘 모르는데 하나하나 알아듣기 쉽게 설명해주시고 문제진단후 방문요청까지 잘 도와주셔서 감사합니다.</t>
  </si>
  <si>
    <t>친절하고 발음이 좋았습니다.</t>
  </si>
  <si>
    <t>친절하게 잘말씀해주셔서 도움이되었습니다.</t>
  </si>
  <si>
    <t>빠르고 정확하게 점검하시고, 홈매니저 방문 접수까지 끝내주셨습니다.</t>
  </si>
  <si>
    <t>빠르고 뭐가 문제인지 금방 콕 찝어주셔서 쉽게 해결할 수 있어서 좋은것 같아요</t>
  </si>
  <si>
    <t>친절하고 상세하게 잘알려주심!</t>
  </si>
  <si>
    <t>빠르고 친절해서 좋았습니다!</t>
  </si>
  <si>
    <t>꼼꼼하게 봐주십니다</t>
  </si>
  <si>
    <t>좋아요 친절해요 실력있어요</t>
  </si>
  <si>
    <t>불편했던 부분을 빠르게 처리해주시고, 친절하게 상담해주셨습니다. 추가적으로 질문드린 부분에 대해서도 답변 주셔서 감사합니다.</t>
  </si>
  <si>
    <t>너무 친절 하고 자세히 잘 안내 해주셔서 감사합니다</t>
  </si>
  <si>
    <t>친절하고 신속하게 대응해주셔서 감사합니다. 인터넷은 역시 LGU+</t>
  </si>
  <si>
    <t>친절하게 상담해 주시고 문제 해결해 주셔서 감사합니다.</t>
  </si>
  <si>
    <t>친절하시고 잘 가르쳐주셔서 잘 해결했습니다. 감사합니다.</t>
  </si>
  <si>
    <t>친절하고 상세하게 설명 잘 해주십니다</t>
  </si>
  <si>
    <t>너무 친절하게 잘 설명해주시고 완전 대 만족입니다 모든 궁금증 해결 ㄷㄷ</t>
  </si>
  <si>
    <t>엄청 친절하고 이해하기 쉽게 설명해 주셔서 감사했습니다.</t>
  </si>
  <si>
    <t>만족만족 대만족 입니다. 친절하셔서 너무 좋아요</t>
  </si>
  <si>
    <t>통화종료 후 다시 인터넷이 안됨</t>
  </si>
  <si>
    <t>빠른 문제파악 및 니즈 파악을 통해 원했던 정보를 빠르게 알려주시고 궁금증을 해소해주심</t>
  </si>
  <si>
    <t>질문에 친절하게 답변해주셔서 감사합니다.</t>
  </si>
  <si>
    <t>문제가 있을 것으로 보이는 부분을 명쾌하게 짚어서 설명해주셔서 감사드립니다^^</t>
  </si>
  <si>
    <t>제가 요청드린 것에 대해서 상세하게 설명을 해주셨습니다. 또한, 자세한 설명과 함께 바로 문제 해결을 도와주셔서 문제 없이 잘 처리되었습니다. 마지막까지 추가 설명을 해주시며 친절하게 응대해 주셔서 너무 감사했습니다.</t>
  </si>
  <si>
    <t>연결할때 컴퓨터 문제로 오래 걸렸는데 기다려주셔서 감사합니다. 이해하기 쉽도록 친절하게 설명해주셔서 감사합니다.</t>
  </si>
  <si>
    <t>원격으로 컴퓨터 사용시간을 차단할 수 있는 기능이 있다는걸 오늘 알았습니다 자세하게 잘 안내해주셨습니다</t>
  </si>
  <si>
    <t>너무 친절하시고 하나하나 다 설정도 해주시고, 설명도 쉽게 다 해주셨어용 짱</t>
  </si>
  <si>
    <t>따로 일정을 정하지 않고 집에서 원격진단 받았으니 편하고 좋습니다</t>
  </si>
  <si>
    <t>어떤문제인지 자세히 파악하여 자세한 설명과 함께 문제해결을 도움을 주셨습니다. 요분같은 기사님들만 있으면 너무 너무 좋을거같아요</t>
  </si>
  <si>
    <t>너무 친절하게 문제를 해결해주셨습니다! 감사합니다!!</t>
  </si>
  <si>
    <t>감사합니다 고생많으셨습니다.</t>
  </si>
  <si>
    <t>문제점을 친절하게 잘 설명해주셨습니다! 감사합니다!</t>
  </si>
  <si>
    <t>최고의 설명. 최고의 조치. 한국 사람 특유의 속도감. 제가 무지했습니다. 최고입니다!!!</t>
  </si>
  <si>
    <t>서비스에 만족합니다</t>
  </si>
  <si>
    <t>친절한 설명 잘 듣고 만족합니다</t>
  </si>
  <si>
    <t>친절하고 빠르게 서비스 받았습니다</t>
  </si>
  <si>
    <t>제가 컴퓨터를 싫어하고 두려워하는데 매우 친절히, 하나하나 상세히 가르쳐 주셨습니다. 혹시 다음을 위해 메모까지 하셔서 기록으로 남겨 주셨습니다. 감사합니다!!!</t>
  </si>
  <si>
    <t>상세하고 친절한 설명에 감사합니다. 최고입니다~^^</t>
  </si>
  <si>
    <t>빠르고 친절하심</t>
  </si>
  <si>
    <t>문제가 해결되지는 않았지만 친절한 응대라고 생각합니다. 기사님 방문하여 점검할 필요가 있다는 의견도 덧붙여주셨습니다.</t>
  </si>
  <si>
    <t>친절하고 정확하게 설명해주셔서 어떤 문제점이 있는지 확실히 알수 있었고 차후에 동일증상이 발생하면 어떻게 해결할수 있는지까지 알려주셔서 정말 많이 도움이 되었습니다.</t>
  </si>
  <si>
    <t>빠른 지원과빠른 해경 감사합니다. 복받으실 거예요!!!</t>
  </si>
  <si>
    <t>빠르고 좋았음</t>
  </si>
  <si>
    <t>고객의 정보처리(고객 관련 기술자) 수준에 맞추어 높은 수준의 설명해주시고, 해결방식도 잘 설명함 ( 이전에의 상담에서는 전문가 방문으로 지속적인 유도를 해서 불편했었는데요) 오늘은 매우 만족, 해결방법을 제시해주니까 좋았어요,</t>
  </si>
  <si>
    <t>친절한 서비스에 감사합니다.</t>
  </si>
  <si>
    <t>친절하게 빠르게 진행해 주셨어요~~^^</t>
  </si>
  <si>
    <t>구웃</t>
  </si>
  <si>
    <t>너무 감사 합니다 서비스 최고</t>
  </si>
  <si>
    <t>첨부터 끝까지 너무 친절하고 상세히 설명해주셨습니다. 물론 문제점까지 아주 깔끔하게 해결해주셨어요!!</t>
  </si>
  <si>
    <t>최치원 기사님 사설공유기 관련 엄청나게 문의드렸는데도 친절하고 자세하게 잘 설명해주셨어요~.감사합니다.^^</t>
  </si>
  <si>
    <t>친절하고 꼼꼼하게 봐 주셨음</t>
  </si>
  <si>
    <t>원인을 바로 찾아서 알려주셔서 감사합니다</t>
  </si>
  <si>
    <t>친절하게 잘 설명 해 주셨습니다.</t>
  </si>
  <si>
    <t>알기쉽고친절하게조치해주엇습니다</t>
  </si>
  <si>
    <t>아주 친절하시고 상황에 맞는 적절한 해결방법 아주 마음에 들었습니다 감사합니다</t>
  </si>
  <si>
    <t>101 상담원분께서 친절하셨고, 기술지원팀의 김태훈?? 이 분께서 해주신 조치도 신속했고, 원인에 대해 알기 쉽게 설명 잘 해주셨습니다.</t>
  </si>
  <si>
    <t>너무 친절하십니다.</t>
  </si>
  <si>
    <t>빨리처리해주셔서조았어요</t>
  </si>
  <si>
    <t>너무 친절하게 응해즈셔서 문제 해결했습니다 ^^ 감사합니다</t>
  </si>
  <si>
    <t>친절하시고 잘 처리해주셨습니다</t>
  </si>
  <si>
    <t>만족합니다 매우</t>
  </si>
  <si>
    <t>감사합니다^^</t>
  </si>
  <si>
    <t>친절하고 문제해결을 빠르게 정확하게 해주셨습니다 정말감사합니다.</t>
  </si>
  <si>
    <t>-정확한 설명 -빠른 진행 -적절한 후속 조치</t>
  </si>
  <si>
    <t>아주 스마트하시고 바로 딱 진단해서 고쳐주시네요 굳굳!!!!!</t>
  </si>
  <si>
    <t>친절하게 상황을 깔끔하게 처리해 주셔서 감사합니다 만족 최고입니다 감사합니다</t>
  </si>
  <si>
    <t>잘모르는부분 해결해주셔서 감사합니다</t>
  </si>
  <si>
    <t>랜카드 업데이트 해주셔서 감사합니다</t>
  </si>
  <si>
    <t>엄청 친절하세요 ㅠㅠ 제가 말씀드리지않아도 원격으로 검사후에 다 아시더라고요 능력도 너무좋으신거같고 바로 출장 수리기사님 요청해주셔가지고 제가 할일이 없었어요 넘 감사합니다!!</t>
  </si>
  <si>
    <t>대응도 빠르고 친절하십니다.</t>
  </si>
  <si>
    <t>친절하고 신속하게 처리해 주셨습니다</t>
  </si>
  <si>
    <t>친절하게 잘 설명해주셔서 감사합니다. 문제점 해결을 위해 차근차근 설명해주셔서 이해가 쉬웠습니다. 제가 포상을 줄 수 있다면 포상드리고 싶습니다. 감사합니다.</t>
  </si>
  <si>
    <t>최고입니다. 너무 친절하시고 똑똑합니다</t>
  </si>
  <si>
    <t>감사합니다~~~~</t>
  </si>
  <si>
    <t>서비스 만족합니다. 다만, 통화 음질이 안좋습니다.</t>
  </si>
  <si>
    <t>친절하고 너무 쉽게 이해할수 있게 잘 상담해주셨습니다 직접보고 따라 할수 있을것같네요 정말 좋은 정보도 주시고 감사합니다</t>
  </si>
  <si>
    <t>친절하게 잘 안내해주셔서 이해가 잘 되었어요</t>
  </si>
  <si>
    <t>상담 상당히 감사합니다 100% 10,000%아주 매우 만%이상 최고의 만족의 상담에 아주 우수한 고객을 대하여 너무 좋습니다 다가오는 고객님들에게 더욱 같은 마음으로 즐겁게 대해주셔요 감사드립니다 꾸벅</t>
  </si>
  <si>
    <t>친절하고빠르게대처해주셔서감사합니다</t>
  </si>
  <si>
    <t>친절히 잘 해주셨습니다.</t>
  </si>
  <si>
    <t>매우 감사합니다 쉽고 편하고 친절하게 알려 주시네요 베스트 오브 베스트입니다</t>
  </si>
  <si>
    <t>지원 잘 해주셔서 감사합니다.</t>
  </si>
  <si>
    <t>빠른 시간내에 점건하시고 잘 해결해주셧습니다^^수고하셧습니다.</t>
  </si>
  <si>
    <t>아쉽게도 기사님 와야 해결될거같네요</t>
  </si>
  <si>
    <t>친절하시네요 ㅁ이것저것물어봐도 잘답해주시네요!</t>
  </si>
  <si>
    <t>친절하게 해결해주셔서 감사합니다!</t>
  </si>
  <si>
    <t>랜카드 드라이버 업데이트 문제로 속도가 안나온건데 깔끔하게 처리해 주셔서 정말 감사합니다.</t>
  </si>
  <si>
    <t>아주 친절하고 빠른처리를 해주셔서 감사합니다.</t>
  </si>
  <si>
    <t>꼼꼼하게 체크해주시고 후조치도 적극적으로 하실수있도록 도와주셔셨습니다</t>
  </si>
  <si>
    <t>매우 친절하게 잘 응대해 주셔서 문제를 쉽게 해결 할 수 있었습니다 감사드립니다</t>
  </si>
  <si>
    <t>고객관점에서 생각해주시고 무엇보다 여러가지 질문에 대하여 디테일하고 친절하게 응대해주셔서 감사했습니다. 다음에도 응대받고싶은 서비스네요^^</t>
  </si>
  <si>
    <t>GFF</t>
  </si>
  <si>
    <t>정말 친절한 기사님이 깔끔하게 해결해주셨습니다. 감사합니다.</t>
  </si>
  <si>
    <t>아주 친절하고 좋았습니다!</t>
  </si>
  <si>
    <t>너무 감사합니다 너무 친절하시고 LG 유플러스 너무 잘쓰고 있습니다 우리집 핸드폰도 4대 LG 유플러스고요 원격진단도 너무 좋내요 보기 편하고 간단하고 처음 접해보니 신기하내요 끝으로 한사람의 고객도 헛으로 안보는 LG 유플러스 존경합니다 기업정신을 감사합니다 너무 도움 잘됐어요 몰랐던거 알게 되고요 늘 잘쓰고 있습니다 감사드립니다^^</t>
  </si>
  <si>
    <t>친절히 상담해주셨습니다.</t>
  </si>
  <si>
    <t>너무 친철하게 잘설명해주셔서 감사합니다. 복받으세요.</t>
  </si>
  <si>
    <t>깊이 있고 친절한 설명이 좋았습니다.</t>
  </si>
  <si>
    <t>감사합니다 ~</t>
  </si>
  <si>
    <t>잘 조취를 해주셔서 감사합니다</t>
  </si>
  <si>
    <t>일반인도 이해하기 쉽게 친절하게 설명도 잘해주셨고 조치도 빠르게 해주셔서 감사합니다. 늦은 시간에 고생많으셨습니다. 감사합니다~</t>
  </si>
  <si>
    <t>정말 하나하나 꼼꼼히 살펴봐주시고 오랜시간 너무 고생하셨습니다. 속뻥 뚤렸습니다. 감사합니다~~!!!!!!!!!!!!!!!!!!!!!!!!!!!!!!!!</t>
  </si>
  <si>
    <t>세상 빠르게 확인하고 해결해주셔서 좋았습니다 잘 모르는 부분도 찾아서 설명해주셔서 너무 편하게 점검 받았습니다 감사합니다</t>
  </si>
  <si>
    <t>원격진단은 불만 없습니다.</t>
  </si>
  <si>
    <t>친절하게 모르는부분은 알려주시고 꼼꼼하게 해주셔서 어려운 부분없이 해결할 수 있었어요</t>
  </si>
  <si>
    <t>네, 만족합니다. 상세하게 설명해 주셔서 매우 흡족햇었습니다.</t>
  </si>
  <si>
    <t>상담사분과 원격진단을 도와주신 직원분들이 너무 친절하셔서 쉽고 간편하게 문의드린문제를 잘 해결했습니다 우수 사원으로 추천합니다</t>
  </si>
  <si>
    <t>친절하게 잘살펴주시네요 일정예약도 잘잡아주셨습니다</t>
  </si>
  <si>
    <t>친절히 문제점 확인 및 조치해주셨습니다 감사합니다.</t>
  </si>
  <si>
    <t>너무 친절하고 자세히 안내해 주셔서 완전 만족 합니다 고맙습니다 ^^</t>
  </si>
  <si>
    <t>상담사분이 친절이 설명과 내용을 이해하기 쉽게 친절하게 대응해주셨습니다</t>
  </si>
  <si>
    <t>궁금한 것이 완벽하게 해결되었어요 감사합나다</t>
  </si>
  <si>
    <t>기사님도 친절하시고 해결 방안도 잘 설명해주셔서 as 출장 기사님 분 오셔서 해결해주시기로 하셨어요</t>
  </si>
  <si>
    <t>asdfasf</t>
  </si>
  <si>
    <t>인터넷이 계속 끊기는 문제로 스트레스받는상황인데 엄청 친절하게 응대해주셔 감사힙니다!!</t>
  </si>
  <si>
    <t>친절하고 알기쉽게 설명해주셔서 감사해요.</t>
  </si>
  <si>
    <t>친절하게 잘 답변해주셔서 기분좋은 상담이었습니다. 수고하세요^^</t>
  </si>
  <si>
    <t>증말 똑똑하네요 감사합니다!</t>
  </si>
  <si>
    <t>서비스 칠전하고 설명잘해주고 문제점 빠르게 해결하니 아주 만족합니다. 만족도 만점 드리고 싶어요~</t>
  </si>
  <si>
    <t>오류 해결에 적극 도움을 주셨습니다.</t>
  </si>
  <si>
    <t>네 친절하게 잘 설명해 주ㅆ어요</t>
  </si>
  <si>
    <t>친절하시고 비전문가인 제가 들어도 이해하기 쉽게 잘 설명해주셨고 출장 서비스 예약까지 바로 해주셔서 편하고 시원하게 상담 받았습니다 감사합니다</t>
  </si>
  <si>
    <t>최고의 상담 감사합니다 100% 1, 000%만족 합니다 항상 우슴과함께 행운가득 복 많이 받으시고 더욱 따뜻한 고객 상담 이어가셔요 오늘 만큼만 하시면 항상 유플러스 우슴꽃 가득 하겠네요 감사드립니다 꾸벅</t>
  </si>
  <si>
    <t>방금 통화 하신분 엄청 친절하게 설명 잘해주셔서 상담 잘받았습니다!!</t>
  </si>
  <si>
    <t>너무너무 친절하세요</t>
  </si>
  <si>
    <t>제 상황을 공감해주시고 최대한 신속하고 정확하게 해결해주시려고 노력하셨습니다 그 결과 정말 빠른시간에 해결해주셨고 원인이였던 다운로드 속도 및 인터넷 속도를 정상적으로 복구 해주셨습니다</t>
  </si>
  <si>
    <t>친절하게 알려주시고 어떻게 해야하는지 알려주셨어요. 늦은시간까지 감사합니다 ^^</t>
  </si>
  <si>
    <t>친절하시고 문의주신내용 설명 잘해주셨습니다 수고하세요</t>
  </si>
  <si>
    <t>완전 진짜 시원하게 해결해줬어요~~~</t>
  </si>
  <si>
    <t>너무너무 친절하고 쉽게 설명해 주셔서 , 빠르게 해결이 되었습니다. 우수사원으로 추천드리고 싶을정도네요~!</t>
  </si>
  <si>
    <t>빠르고 정확합니다! 감사합니다!</t>
  </si>
  <si>
    <t>잘 조치해 주셨습니다.</t>
  </si>
  <si>
    <t>공손한 말씀과 정확한 내용설명에 감사드립니다</t>
  </si>
  <si>
    <t>상담이 너무 만족스러웠어요 감사합니다</t>
  </si>
  <si>
    <t>만족스럽습니다.감사드려요</t>
  </si>
  <si>
    <t>친절하고 자상하게 설명해 주셔서 넘 감사드려요 고맙습니다.</t>
  </si>
  <si>
    <t>친절하게 설명하면서 원격진단 봐주셔서 감사합니다~</t>
  </si>
  <si>
    <t>친절한 답변과 신속한 처리 감사합니다.</t>
  </si>
  <si>
    <t>점검 친절하게 감사합니다</t>
  </si>
  <si>
    <t>알기쉽고 친절하게 설명해주셔서 좋았습니다.</t>
  </si>
  <si>
    <t>친절하게 잘 받았습니다. 문제도 해결되었습니다. 감사합니다</t>
  </si>
  <si>
    <t>인터넷 속도 때문에 연락드렸는데 아주빠르고 신속하게 처리 해주시고 친절하게 답변해주셔서 감사합니다.</t>
  </si>
  <si>
    <t>빠르고 정확하게 해결해 주셨습니다</t>
  </si>
  <si>
    <t>친절하게 잘 해결해 주셨습니다.</t>
  </si>
  <si>
    <t>친절하고 자세 하게 설명 해주십니다.. 감사합니다</t>
  </si>
  <si>
    <t>넘 친절히 해주셨습니다. 감사합니다.</t>
  </si>
  <si>
    <t>빠르게 원인 파악 해주시고 기사님 배정 조율 및 접수방법까지 친절하게 알려주셨습니다</t>
  </si>
  <si>
    <t>너무 친절합니다!</t>
  </si>
  <si>
    <t>성심껏 도와주셨습니다</t>
  </si>
  <si>
    <t>친절하게 잘 말씀해주시고 문제해결도 잘 되었습니다! 감사합니다</t>
  </si>
  <si>
    <t>너무 상세하게 설명해주시고 꼼꼼하게 진단해주신것 같아 감사드립니다</t>
  </si>
  <si>
    <t>쉽게 이해할 수 있는 찰떡 비유로 설명 후 이해완료 되었습니다. 친절친절. 이달의 친절사원으로 추천드립니다.</t>
  </si>
  <si>
    <t>매우편하고 친절합니다</t>
  </si>
  <si>
    <t>잘봐주셧스비낟</t>
  </si>
  <si>
    <t>친절하게 응해주셔서 감사합니다</t>
  </si>
  <si>
    <t>설명잘듣고 해결되었습니다 감사합니다</t>
  </si>
  <si>
    <t>신속하게 서비스 잘 받았습니다</t>
  </si>
  <si>
    <t>친절히 상담해 주셨어요</t>
  </si>
  <si>
    <t>컴알못이라 힘들었는데 너무 친절하시고 잘 점검해주셨어요</t>
  </si>
  <si>
    <t>덕분에 잘 해결되어습니다 감사합니다.</t>
  </si>
  <si>
    <t>쉽고 친절하게 설명해주셨습니다. 감사합니다.</t>
  </si>
  <si>
    <t>감사합니다, 너무 친절하시네요.</t>
  </si>
  <si>
    <t>친절하게 잘 알려주셔서 이해가 잘 됐습니다 빠르게 원인 규명을해주셨습니다</t>
  </si>
  <si>
    <t>네, 친절하게 답변 해 주시고, 원격제어에 도움을 받았습니다. 모르는 것도 잘 설명해 주셔서 주소창 주소에 대해서도 알게 되었습니다. 감사합니다.</t>
  </si>
  <si>
    <t>친절하게 상담 해주셨고 그 이후 대처 방법까지 상세하게 상담 해주셨습니다.</t>
  </si>
  <si>
    <t>진단 친절히 잘해주셨습니다.</t>
  </si>
  <si>
    <t>친절하시게 잘 해주셔서 만족합니다</t>
  </si>
  <si>
    <t>친절하게 신속하게 점검해 주셔서 너무도 고맙습니다. 수고하셨습니다.</t>
  </si>
  <si>
    <t>친절한 삼담으로 인해 문제가 잘 해결되었습니다. 감사합니다.</t>
  </si>
  <si>
    <t>친절하고 실력 있으셔서 잘 도와주셨습니다. 아주 대만족입니다. 감사합니다.</t>
  </si>
  <si>
    <t>신속 정확하게 처리되었고, 친절하게 잘 응대하여 주셨습니다.</t>
  </si>
  <si>
    <t>친절하게 응대해주셔서 감사합니다</t>
  </si>
  <si>
    <t>설명해주시는 부분들이 이해가 잘 되었고 친절하게 말씀해주셔서 좋았습니다. 해결책을 여러가지로 알려주셔서 더 감사했습니다.</t>
  </si>
  <si>
    <t>매우 빠르게 문제 원인 파악 후 해결해주셨습니다</t>
  </si>
  <si>
    <t>친절하고 빠르고 설명도 잘 해주셨습니다. 감사합니다</t>
  </si>
  <si>
    <t>친절하고 자세히 잘해주셔서 만족합니다. 감사합니다.</t>
  </si>
  <si>
    <t>친절히 잘 설명해주셔서 감사합니다 덕분에 프린터 설치 잘 되었고 해결했습니다 감사합니다</t>
  </si>
  <si>
    <t>친절하셔서 좋았고 문제해결이 바로 되어서 매우만족 했습니다 감사합니다</t>
  </si>
  <si>
    <t>빠른 확인 친절한 상담 이었습니다 감사합니다</t>
  </si>
  <si>
    <t>일단 대 만족입니다. 컴퓨터에 대해서 잘 모르는 나이인데 안되서 답답했는데 설명도 잘해주시고 너무 친절하게 대해주셔서 정말 감사하고 행복했습니다&gt; 문제처리도 물론 대 만족입니다. 가까이 계시면 따뜻한 커피라도 한잔 대접하고 싶은 심정입니다 대단히 감사합니다. 이런 직원분이 계셔서 엘지유플러스가 더더욱 발전하는게 아닌가 싶습니다, 감사합니다</t>
  </si>
  <si>
    <t>고객이 원하는 내용을 바로 알아내시고 적극적인 대응으로 쉬운 원인 설명과 동시에 큰 소요시간 없이 원하는 문제가 해결되었습니다. 아주 깔끔한 업무처리네요 수고하셨습니다.</t>
  </si>
  <si>
    <t>제 상황에 맞는 방법으로 변경도와주시고 설명도 잘 해주셨습니다. 감사합니다.</t>
  </si>
  <si>
    <t>빠르게 원인 파악해주셔서 문제를 해결해주셨습니다. 빠른 대응과 원인파악 문제 해결 너무 감사합니다</t>
  </si>
  <si>
    <t>김태환 기사님^^ 너무 친절하게 설명도 잘해주시고 컴퓨터도 잘해주시고 너무 감사하게 서비스 잘 받았습니다^^ 이름 기억해서 다음에 또 기사님께 서비스 받고싶네요~~~^^컴퓨터 너무 잘 다루시는 모습에 깊은 감동 받았습니다!! 최고입니다^^</t>
  </si>
  <si>
    <t>안내가 빠르고 상담직원과 연결도 어렵지 않아서 도움이 됬습니다. 콜센터직원분 인터넷직원분 그리고 원격지원으로 도움주신 직원분도 모두 친절하시고 빠르게 도움을 주셔서 감사드립니다.</t>
  </si>
  <si>
    <t>친절하고 빠른 원격 점검 감사합니다.</t>
  </si>
  <si>
    <t>불편한 문제가 잘 해결 되었습니다</t>
  </si>
  <si>
    <t>감사합니다 잘 봐주셨어요~!!</t>
  </si>
  <si>
    <t>어려운 내용을 알기 쉽게 잘 설명해 주셔서 문제 원인을 이해하기 편했습니다.</t>
  </si>
  <si>
    <t>전문적인 상담을 통해 어려운 부분을 해결 할 수 있었습니다. 감사합니다.</t>
  </si>
  <si>
    <t>친절하고 빠른 상담 및 점검으로 매우 만족하였습니다. LG U플러스 최고입니다</t>
  </si>
  <si>
    <t>물어봤던 내용들을 굉장히 친절하게 답변해주셔서 기분좋은 하루가 될수 있을것같습니다 감사합니다</t>
  </si>
  <si>
    <t>지원 잘 받았습니다 감사합니다</t>
  </si>
  <si>
    <t>너무 친절하게 상담 및 처리해주셔서 대단히 만족스럽게 이용했습니다. 모르는 것도 알려주셔서 유익했어요 감사합니다.</t>
  </si>
  <si>
    <t>ip주소를 고정해야해서 문의드렸습니다. 기술적으로 완전 고정은 불가능하고 오랜기간 바뀌지 않게 조치는 가능하다고 하셔서 그렇게 서비스 받았습니다. 밤 늦은 시간인데도 친절히 도와주셔서 감사합니다.</t>
  </si>
  <si>
    <t>친절하고 전문성있게 설명해주셨습니다.</t>
  </si>
  <si>
    <t>오밤중에 이해하기 쉽게 설명해 주셔서 감사합니다.</t>
  </si>
  <si>
    <t>설명 잘 듣고 친절한 대책방안까지 의견 주셨습니다. 감사합니다.</t>
  </si>
  <si>
    <t>아주아주아주 친절하시고 문제 파악과 해결능력 최상입니다!</t>
  </si>
  <si>
    <t>친절한 설명과 빠른 대응에 감사드립니다.</t>
  </si>
  <si>
    <t>빠른 안내 친절함으로 기분좋게 마무리했습니다 늦은시간까지 고생하시네요~ 화이팅 입니다~</t>
  </si>
  <si>
    <t>빠르고 차분하게 문제 진단과 해결방안을 제시해주셨습니다</t>
  </si>
  <si>
    <t>gggggggg</t>
  </si>
  <si>
    <t>원활히 진행되었습니다!</t>
  </si>
  <si>
    <t>너무친절히 잘해주셨습니다!</t>
  </si>
  <si>
    <t>바로 원하는 방향으로 이루어 지진 않았지만 최대한 도움을 주실려고 하셨습니다.</t>
  </si>
  <si>
    <t>친절하게 자세히 설명하셔서 쉽게 점검 받을수 있었어요~</t>
  </si>
  <si>
    <t>너무 친절하게 상담 빋았씁니다 민족도 최상 이;ㅂ니다 감사 합니다</t>
  </si>
  <si>
    <t>바로 해결됐어요 감사합니다</t>
  </si>
  <si>
    <t>말씀하시는게 굉장히 친절하시고 부드럽고 해결도 금방 금방 되는것 같아 좋습니다.</t>
  </si>
  <si>
    <t>빠르고 정확한 진단</t>
  </si>
  <si>
    <t>빠르게 처리해 주셔서 감사합니다 속도 빨라지고 끊김이 없기를 바래 봅니다</t>
  </si>
  <si>
    <t>정말 감사합니다. 인터넷 속도가 안나와서 정말 답답했는데 이렇게 한번에 고쳐주시니 정말 감사합니다. 짱!</t>
  </si>
  <si>
    <t>주말 내내 해결도 못하고 답답했는데 기사님하고 통화후에 바로 무슨말인지 이해도되고 직접 경험해보신 이야기들로 안내해주셔서 공감도 되고 감사했습니다. 인터넷 하나 안되서 왔다가 기분좋게 친구랑 통화한느낌까지 들어서 행복한 시간이었습니다. 기사님 나중에 또 통화연결되었으면 좋겠네요 감사합니다~</t>
  </si>
  <si>
    <t>친절하시고 고객을위해 해주실수있는 조치는 모든걸 해주신거 같습니다 감사합니다~!</t>
  </si>
  <si>
    <t>친절하게 응대해주시고 정검해 주셔서 감사합니다</t>
  </si>
  <si>
    <t>친철하고 너무 좋습니다</t>
  </si>
  <si>
    <t>친절하십니다 짱 !</t>
  </si>
  <si>
    <t>깔끔하고 빠릅니다 진작 연락할걸 그랬어요</t>
  </si>
  <si>
    <t>너무 친절하고 신속하게 처리해주셔 만족합니다. 항상 감사합니다. 좋은하루보내세요!</t>
  </si>
  <si>
    <t>자세히 진단해주시고 추후 조치가지 신경써 주셨습니다</t>
  </si>
  <si>
    <t>너무친절해요</t>
  </si>
  <si>
    <t>해결 되서 김사합니다</t>
  </si>
  <si>
    <t>친철하게 점검 및 안내해주셔서 감사합니다</t>
  </si>
  <si>
    <t>친절하게 설명해주시고 검사해주셨어요</t>
  </si>
  <si>
    <t>친절히 알려주시고 설명도 잘 해주셨습니다 방문 기사님에게도 요청 메모도 해주셨어요</t>
  </si>
  <si>
    <t>신속하고 빠르게 조치해 주셔서 감사합니다!!!</t>
  </si>
  <si>
    <t>인터넷상의 문제로 오인 하고 짜증도 좀 났었는데 안내 여직원의 친절과 배려에 감사하고 원격조정으로 점검 해주신 직원님의 상담과 자세한 설명에 감사 드립니다</t>
  </si>
  <si>
    <t>덕분에 문제 해결 잘 됐습니다 친절한 상담 감사드립니다 :)</t>
  </si>
  <si>
    <t>친절하고 꼼꼼하게 원인을 파악하려고 노력해주셨습니다.</t>
  </si>
  <si>
    <t>기가막힙니다 정말 깔끔하고 신속 정확하게 일 처리 해주시는데 너무 신뢰가고 믿고 맡길수 있는 서비스 네요 감사합니다.</t>
  </si>
  <si>
    <t>진짜 너무 친절하시고 너무 기분 좋게 서비스 받았습니다. 그냥 넘길 수 있는 질문도 잘 답변 해주시고 너무 감사합니다.</t>
  </si>
  <si>
    <t>친절한 상담 너무 감사합니다</t>
  </si>
  <si>
    <t>친절하고 빠르게 끝내주셨습니다.</t>
  </si>
  <si>
    <t>친절하고 정확히 대응해 주셨어요. 감사합니다.</t>
  </si>
  <si>
    <t>너무나좋은 상담과 신뢰감가는 언어 너무 감동적이네요</t>
  </si>
  <si>
    <t>친절하게 잘 안내해 주셔서 어려운 것 하나 없이 깔끔했습니다 감사합니다!</t>
  </si>
  <si>
    <t>엄청 친절하시고, 자세히 상황 설명 해주셨어요. 적절한 조치들은 다 해주셨구요. 최고~!</t>
  </si>
  <si>
    <t>자세한내용 감사합니다.최고입니다.</t>
  </si>
  <si>
    <t>김태환님과 원격지원 받았습니다. 저희 아이 인터넷 차단 때문에 좀 어려운 작업을 해야 하는 너무 힘든 작업이었는데 그 와중에 기존 공유기는 지원이 안되는 상황에서 공유기를 바꿔야 했습니다. 공유기를 두번이나 교체를 해야했고 고객 센터와 계속 똑같은 말을 몇번이나 해야 해서 짜증이 나기도 했지만 김태환 기사님께서 너무 친절하게 가르쳐주시고 배려해 주셔서 그 짜증이 가라앉게 되었습니다. 결국 기사님께서 제가 이해할 수 있도록 하나하나 자세히 가르쳐 주셔서 제가 잘 알게 되었습니다. 너무 감사드리고 수고 많으셨습니다.</t>
  </si>
  <si>
    <t>친절하고 꼼꼼하게 봐주셨습니다 감사합니다</t>
  </si>
  <si>
    <t>친절하게 잘 점검해 주셨습니다</t>
  </si>
  <si>
    <t>설명을 구체적이고 이해하기 쉽게 해주셨습니다 통화 시간이 길게 하셨지만 너무 좋은 에너지로 대화해서 인터넷 고민 되었던 부분이 많이 해소 되었습니다. 다음에 궁금한 사항이 있다면 꼭 상담해주신분과 통화하고 싶습니다. 업무 능력과 대처 방법 , 대화 풀어가는 방식이 너무 최고였습니다 상담해주시는분에게 월급 많이 주셨으면 좋겠습니다.</t>
  </si>
  <si>
    <t>점검 잘해주셔셔 감사합니다, 다시한번 해보겠습니다,</t>
  </si>
  <si>
    <t>친절하게 잘 대응해 주셔서 감사합니다.</t>
  </si>
  <si>
    <t>빠르고 친절하십니다</t>
  </si>
  <si>
    <t>친절하게 설명하고 궁금한 점들은 최대한 이해를 할 수 있게 도움을 주셨습니다.</t>
  </si>
  <si>
    <t>친절하시고 이해안하는것도 설명 잘해주셔서 나중에 후속 조치도 해주셨슴</t>
  </si>
  <si>
    <t>대단히 만족합니다.</t>
  </si>
  <si>
    <t>친절히 공유기 오류를 해결해 주려고 노력해 주셔서 감사합니다. 2일 후에도 같은 증상이 있으면 재연락 드리겠습니다.</t>
  </si>
  <si>
    <t>너무 친절하고 신속하게 잘해주셨습니다. 감사합니다</t>
  </si>
  <si>
    <t>시설점검 원격으로 해 주셔서 감사드립니다 방문 기사님도 연결하여 날짜를 정해 주셔서 감사합니다</t>
  </si>
  <si>
    <t>속도느림증상 잘 해결해 주셨습니다.</t>
  </si>
  <si>
    <t>친절한 상담 감사합니다. 좋은 하루 되세요~</t>
  </si>
  <si>
    <t>친절하게 내용설명 상담 잘 들었읍니다</t>
  </si>
  <si>
    <t>너무 친절하시고 알기 쉽게 말씀해 주셔서 100% 만족입니다</t>
  </si>
  <si>
    <t>정말 친절하시고 잘 알려주세요 문제 해결해주셔서 너무 감사합니다</t>
  </si>
  <si>
    <t>컴퓨터가 너무 오래되서 로딩시간이 길었는데 기다려주시고 너무 감사했어요ㅠㅠ 그리고 너무 친절하세요~~~! 아이맥도 원격 지원됐으면 좋겠어요ㅜㅜ</t>
  </si>
  <si>
    <t>친절하고 신속한응대 감사합니다</t>
  </si>
  <si>
    <t>넘 상세하고 친철하세용</t>
  </si>
  <si>
    <t>친절하게 잘 안내받았습니다</t>
  </si>
  <si>
    <t>문제도 잘 해결해주셨고. 이후에 문제가 생겼을 경우에 대응하는 방법까지 오랜 시간 걸리지 않고 친절하게 알려주셨어요. 구체적이면서 깔끔한 설명까지 크게 도움이 되었습니다. 고맙습니다.</t>
  </si>
  <si>
    <t>오휴 ~~~ 감사합니다 예제까지 들어 가면서 설명해주시고 고생 많이 하셨습니다 감사합니다</t>
  </si>
  <si>
    <t>친절하셨ㅅ브니다</t>
  </si>
  <si>
    <t>그냥 기가막히고 코가막히는 기술자분이시네요 최고입니다 ! 친절하신건 덤이고용</t>
  </si>
  <si>
    <t>엄청 친절하시고 이해하기 쉽게 설명해주셔서 감사합니다</t>
  </si>
  <si>
    <t>인터넷 엔지니어 선생님 상당히 친절하셨고 기존 상담 선생님도 굉장히 친절하게 설명해주셔서 불편함 없이 잘 진행되었습니다 감사합니다</t>
  </si>
  <si>
    <t>빠르고 정확한 처리 감사드립니다 !!</t>
  </si>
  <si>
    <t>친절하게 잘 설명해주셔서 이해하기 쉬웠습니다. 감사합니다</t>
  </si>
  <si>
    <t>친절하게 잘 설명해 주셔서 쉽게 따라할 수 있었습니다!!</t>
  </si>
  <si>
    <t>인터넷이 잘안되서 속상한 마음이 있었는데 원격지원상담해주신 선생님께서 다 찾아봐주시고 직접 접수해주셔서 감사했습니다. 기사님도 오늘 방문해주신다고하셔서 마음이 놓이네요. 감사합니다.</t>
  </si>
  <si>
    <t>와이파이 비번 변경 쉬고 빠르고 친절하게 잘 해 주셔서 감사합니다.</t>
  </si>
  <si>
    <t>신속하고 정확하게..그야말로 기가 막히게 잘 하시네요..만점!</t>
  </si>
  <si>
    <t>매우 친절하시고 빠르게 원격점검을 해주셨습니다..다음에 또 컴퓨터에 문제가 생기면 원격점검 서비스를 또 받겠습니다..감사합니다..수고하셨습니다..</t>
  </si>
  <si>
    <t>기술적으로 설명도 잘 해주시고 친절하게 응대해주십니다. 사용방법 안내 및 문제해결에 많은 도움이 되었습니다.</t>
  </si>
  <si>
    <t>친절히 상담해주시고 문제해결방안을 주셨습니다.</t>
  </si>
  <si>
    <t>문제점을 상세히 파악하시려고 노력해주시고 해결도 잘해주셨습니다</t>
  </si>
  <si>
    <t>고맙습니다!</t>
  </si>
  <si>
    <t>친절하고 정확해요</t>
  </si>
  <si>
    <t>고생 많으셨고 감사합니다.</t>
  </si>
  <si>
    <t>유플쪽 문제가 아님에도 친절하게 응대 해주셨습니다 역시 유플러스</t>
  </si>
  <si>
    <t>친절하게 안내해주시고 점검해주셨습니다.</t>
  </si>
  <si>
    <t>기사님의 친절한 안내에 따라 문제가 해결되었고 몰랐던 부분을 알게되서 너무 고맙고 감사합니다~!~!^^고맙습니다~!</t>
  </si>
  <si>
    <t>어제 인터넷 연결이 되지 않아 LG측 동영상 보내준것 보고 순서대로 처리하니 원상복구 되었으며, 좀더 세밀하게 점검하기위해 원격으로 직원분이 내 PC에 연결하여 원인분석을 해주었습니다. 궁금한 사항도 모두 물어 볼수 있고, 답답하던 궁금증을 통화를 하다 보니 문제해결에 진심으로 최선을 다해주는 직원분들에게 고맙고, 감사한 마음을 전합니다. 고객의 입장에서 감동을 받았습니다.</t>
  </si>
  <si>
    <t>스마트 원격진단은 처음 해보는데 쉽고 빠르게 안내되어서 좋았던것 같습니다.</t>
  </si>
  <si>
    <t>매우 잘 받아습니다. 고맙습니다</t>
  </si>
  <si>
    <t>잘 처리해 주셨습니다</t>
  </si>
  <si>
    <t>원하던 답과 설명을 친절히 잘해주셨습니다</t>
  </si>
  <si>
    <t>친절하게 설명해주셔서 일단 필요한 조치를 받았습니다 감사합니다.</t>
  </si>
  <si>
    <t>친절하세요~</t>
  </si>
  <si>
    <t>잘합니다 친절하고 좋습니다 굳굳</t>
  </si>
  <si>
    <t>친절하게 응대해 주시고 상세하게 설명해 주셔서 이해하기 쉬웠고 문제를 빠르게 해결해 주셔서 감사합니다</t>
  </si>
  <si>
    <t>친절하게 잘 도와줫어요</t>
  </si>
  <si>
    <t>빠르고 정확하고 친절하게 진행됐습니다 감사합니다</t>
  </si>
  <si>
    <t>친절하게 바로 처리해주셨습니다</t>
  </si>
  <si>
    <t>너무 친절한 상담 감사합니다...!!!</t>
  </si>
  <si>
    <t>인터넷 속도는 문제가 없어서 pc를 점검해보라는데 pc 어디를 점검하라는 건지는 잘 모른다고... 통화음도 잘 들리지 않고 아무 도움도 안되서 시간 낭비 한거 같네요</t>
  </si>
  <si>
    <t>빠르게 원인 파악하여 조치해주셧습니다 감사합니다.</t>
  </si>
  <si>
    <t>빠르게 문제 처리 잘 해주셨고 문제 설명도 쉽게 설명해주셨습니다 후속조치도 어떻게 해야하는지 잘 알려주시네요</t>
  </si>
  <si>
    <t>친절하고 자세하게 알려주셔서 감사했습니다</t>
  </si>
  <si>
    <t>친절하게 자세한 설명 감사합니다.</t>
  </si>
  <si>
    <t>인터넷 속도관련해서 이해하기 쉽게 설명을 해주시고 조치를 해주셔서 감사드립니다.</t>
  </si>
  <si>
    <t>원격 연결을 통해 문제가 무엇인지 빠르게 파악하고 해결해 주셔서 정말 만족스럽습니다. 설명도 이해하기 쉽게 친근하게 잘 해주셔서 안심하고 서비스를 받을 수 있었고, 상담사분이 매우 친절하시고 전문적으로 처리해 주셔서 기분 좋게 점검을 마쳤습니다. 제가 미처 몰랐던 부분까지 꼼꼼하게 체크해 주시는 모습이 좋았습니다.</t>
  </si>
  <si>
    <t>감</t>
  </si>
  <si>
    <t>친절하게 잘해주셨어요 감사합니다!!^^</t>
  </si>
  <si>
    <t>친절하게 원인 살펴봐주시고, 혹시나 우려되는 부분까지 고려해서 말씀해주셔서 문제 해결에 큰 도움 받았습니다. 감사합니다.</t>
  </si>
  <si>
    <t>문제점을 잘지적해주셔서 원인을 파악 했습니다.</t>
  </si>
  <si>
    <t>친절하게 원인을 알 수 있게 설명 잘 해주셔서 이해가 잘 되었습니다</t>
  </si>
  <si>
    <t>전문가가 아니어도 쉽게 이해 할 수 있게 설명해주셔서 당장 증상은 없지만 증상 발생시 원인을 찾는데 큰 도움이 되었습니다. 최고입니다!</t>
  </si>
  <si>
    <t>친절하게 도와주셔서 감사합니다. 인터넷 문제가 아닌 부분도 어느정도 확인이 되어 다른부분으로 찾아 봐야겠네요 무더운 날씨가 시작되는데 감기 조심하세요 ㅎ</t>
  </si>
  <si>
    <t>친절하고 전문적으로 잘 고쳐주시고 눈높이에 맞게 쉽게 설명도 잘해주셔서 감사했습니다.</t>
  </si>
  <si>
    <t>원격으로 편리하고 친절하게 설명을 잘해주셔서 감사합니다. 엘지유플러스 신뢰가 갑니다.</t>
  </si>
  <si>
    <t>친절하게 발 설며명해주셨습니다</t>
  </si>
  <si>
    <t>최고 ㅎㅎ ㅎ ㅎㅎㅎㅎㅎ</t>
  </si>
  <si>
    <t>설명 잘해주신에요 ㅊ친절합니다</t>
  </si>
  <si>
    <t>빠른 대응해주셔서 감사합니다.</t>
  </si>
  <si>
    <t>원격으로 신속하게 문제 찾으셔서 해결해 주셨어요 추후 반복적으로 같은 문제 밸생시 대처방법도 알려주셔서 너무 감사합니다</t>
  </si>
  <si>
    <t>너무 친절하시구요 제가 나이가 있는데 알아듣게 말도조목조목 잘해주시구요 너무너무 친절하고 넘감사했읍니다 항상수고하시거 항상건강챙기시구요 좋은하루보내세요 ㅎㅎ</t>
  </si>
  <si>
    <t>기사님이 친절하시네요</t>
  </si>
  <si>
    <t>원격으로 확인하는 과정은 만족합니다. 그런데 물리적 조치가 필요하다. 기사님이 방문하셔야 할 것 같다. 그러면 기사님 신청까지 마무리 해줘야 하지 않을까요 기사님 신청한다고 고객센터 연락해 연결도 어려웠고, 상황설명 다 해야 하고 매우 번거로웠습니다.</t>
  </si>
  <si>
    <t>알기 쉽고 자세한 설명 감사합니다.</t>
  </si>
  <si>
    <t>빠르고 쉽게 점검 해주셨어요</t>
  </si>
  <si>
    <t>친절하고 정확하게 신속히 점검받았습니다</t>
  </si>
  <si>
    <t>원격으로 점검해주셔서 이용자도 편합니다. 설정 잘 해주셨으리라 생각하고 잘 사용해보겠습니다. 감사합니다.</t>
  </si>
  <si>
    <t>신속하게 처리하시네요</t>
  </si>
  <si>
    <t>아주상세하고'친절하게'대해주셔서'감사합니다</t>
  </si>
  <si>
    <t>친절하고 차분한 말로 잘 이해시켜주셨어요 고맙습니다. 덕분에 궁금한것이 한방에 풀렸습니다.</t>
  </si>
  <si>
    <t>문제점을 잘 해결해주셨고 친절하게 내용 설명을 잘 해주셨습니다! 감사합니다!</t>
  </si>
  <si>
    <t>친절하게 자세히 애기해 주셔서 감사합니다</t>
  </si>
  <si>
    <t>친절하고 빠른해결해줘서 고맙습니다</t>
  </si>
  <si>
    <t>신속한 응대</t>
  </si>
  <si>
    <t>친절하고 정확하게 설명해 주셔서 고맙습니다.</t>
  </si>
  <si>
    <t>빨리 고쳐주셔서 좋아요 굿</t>
  </si>
  <si>
    <t>친절하게 잘 설명해주셨고 문제도 잘 해결해 주셨습니다. 감사합니다.</t>
  </si>
  <si>
    <t>빠르게 도와주셔서 감사합니다</t>
  </si>
  <si>
    <t>친절한 상담 감사합니다 ^^ 수고하세요!!</t>
  </si>
  <si>
    <t>애매한 문제라 해결은 힘들지만 자세히 안내해 주셨습니다.</t>
  </si>
  <si>
    <t>스마트하게 잘빠르게 처리해주셨습니다.</t>
  </si>
  <si>
    <t>확인 잘했씁니다</t>
  </si>
  <si>
    <t>진단 너무 잘받았습니다</t>
  </si>
  <si>
    <t>친절하게 설명해주면서 문제 해결해줬습니다. 감사합니다.</t>
  </si>
  <si>
    <t>친절 안내 감사합니다</t>
  </si>
  <si>
    <t>친절하게 상담해주셨습니다. 감사합니다.</t>
  </si>
  <si>
    <t>전문적 기술을 가진 상담사 분께서 빠른 시간에 문제를 해결주셨습니다. 늦은 시간임에도 불구하고 친절하게 대응해주셔서 너무 감사드립니다.</t>
  </si>
  <si>
    <t>감사합니다. 친절했어요</t>
  </si>
  <si>
    <t>친절하시고 감사하게 안내해 주셨습니다. 감사합니다.</t>
  </si>
  <si>
    <t>감사합니다! 내일도 잘부탁드립니다!</t>
  </si>
  <si>
    <t>넘 친절하게 해주셔서 감사합니다 차이슬 상담사님 목소리 넘 이뻐요 상담 도와주셔서 감사합니다 기술기원팀 기사님 감사해요 많이요~</t>
  </si>
  <si>
    <t>너무 잘 설명해주셔서 감사합니다</t>
  </si>
  <si>
    <t>매우 친절하시고, 어떻게든 해결하려고 해주셔서 정말 좋았습니다. 문제는 잘 해결했습니다!</t>
  </si>
  <si>
    <t>친절하게 설명해주셔서 쉽게 해결했습니다</t>
  </si>
  <si>
    <t>친절하고 자세한 설명 및 상담 감사합니다.</t>
  </si>
  <si>
    <t>현 상태에 대한 자세한 설명이 좋았습니다. 치상의 만족도 인 것 같습니다 감사합니다^^</t>
  </si>
  <si>
    <t>친절하시고 설명 잘해주셔서 감사합니다.</t>
  </si>
  <si>
    <t>간결하고 쉽게 통화까지 받으며 직접 원격으로 지원해 주셔서 보는 앞에서 이상 없는걸 확인했어요.</t>
  </si>
  <si>
    <t>너무 친절하게 잘 설명해주시고 문제해결도 잘 되었습니다. 감사합니다.</t>
  </si>
  <si>
    <t>기사님께서 친절하고 알아듣기 쉽게 설명해 주시고 문제를 해결해 주셨습니다.</t>
  </si>
  <si>
    <t>와이파이 사용시 버퍼링이 수시로 발생하는 문제에 대해서 진단을 받았어요. 다양한 가능성을 두고 고민해주셨고 원격으로 체크해보실 수 있는 부분들은 모두 해 주셨어요. 하지만 물리적으로 기사님의 방문이 필요하시다고 판단하셨고 세부적으로 체크 받아봐야 할 내용을 적어서 본사에 올려주시기로 하셨습니다. 사실 몇 년동안 계속된 문제여서 화가 많이 나 있었는데 기사님의 자세한 설명에 화가 가라앉을 수 있었어요. 아직 문제가 해결된 것은 아니지만 기사님의 고객의 입장에서 생각해주시는 부분이 정말 엄지척이었습니다. 만족도 최고입니다. 기사님 감사합니다.</t>
  </si>
  <si>
    <t>너무 친절하게 자세히 설명 잘해주시네요. 감사합니다 ^^</t>
  </si>
  <si>
    <t>직원분이 전용단어도 일반인이 알아듣기 쉽게 설명주시고 친절하게 말씀주셨습니다.</t>
  </si>
  <si>
    <t>정한 시간에 연락주신다고 했는데 정확하게 전화주시고 잘 해결됐읍니다 친절한 여자 상담자님 남자 상담자님 두분 모두 감사합니다^^(성함을 기억을 못하네요ㅠㅠ)</t>
  </si>
  <si>
    <t>너무너무 친절하게 답변주시고 해결해주어 감사드림니다.</t>
  </si>
  <si>
    <t>고친 후에 써봐야 알겠지만 친절하게 설명 안내해주셔서 좋았습니다.</t>
  </si>
  <si>
    <t>아주 빠른 시간에 정확하게 진단해 주시고 문제를 모두 해결해 주셔서 감사합니다.</t>
  </si>
  <si>
    <t>인터넷 속도 저하로 연락드렸는데 친절하게 상담부터 해결까지 해주셨습니다. 감사합니다~</t>
  </si>
  <si>
    <t>상담사님께서 정말 친절하게 응대해주셨습니다 감사합니다.</t>
  </si>
  <si>
    <t>적극적인 의지로 써비스를 해 줄려고 한 점이 좋았음.</t>
  </si>
  <si>
    <t>컴퓨터 사용이 안되어 불편했는데 빠르게 처리해주시고 다음에 어떻게 해야 하는지 친절하게 설명까지 꼼꼼하게 마무리해줘서 아주 만족스러웠습니다</t>
  </si>
  <si>
    <t>기사님이 너무 친절하셔서 기분까지 좋아지는 하루가 될 것 같습니다. 기사님 항상 건강하시고 행복하세요!</t>
  </si>
  <si>
    <t>친절하고 신속하게, 문제점까지 잘 파악하시어 조치 해 주셨어요. 문제가 해결되고 사용에 개선이 되었기를 바랍니다. 감사합니다.</t>
  </si>
  <si>
    <t>친절하신 안내와 빠른 조취로 원하던 부분에 대한 문제점을 고칠 수 있었습니다! 감사합니다:)</t>
  </si>
  <si>
    <t>매우상세하고 친절하게 상탑해주셔서 감사합니다.</t>
  </si>
  <si>
    <t>친절하게 상담해주시고 설명해주셔서 문제가 해결되었습니다 감사합니다</t>
  </si>
  <si>
    <t>좋아요.~</t>
  </si>
  <si>
    <t>도움주셔서 감사드립니다</t>
  </si>
  <si>
    <t>쉽게설명해주시고 친절합니다</t>
  </si>
  <si>
    <t>친절하고 상세하게 알려주시고 공유기 세팅과 주의점등도 알려 주셔서 너무나 감사했습니다. 다시한번 감사 인사 드립니다.</t>
  </si>
  <si>
    <t>네아주친절하게 원격서비스잘받았읍니다~~ 감사합니다~~</t>
  </si>
  <si>
    <t>응대해주신분들께서 친절히 잘 설명해주셨고 문의사항에 대해 정확히 이해하시고 해결해주셨습니다.</t>
  </si>
  <si>
    <t>잘 도와 주셔서 감사 합니다.~</t>
  </si>
  <si>
    <t>빠르고 좋은 태도로 신속하게 처리하는 방법을 알려 주었습니다.</t>
  </si>
  <si>
    <t>서비스 좋아요</t>
  </si>
  <si>
    <t>친절하고 빠른 조치 감사 합니다</t>
  </si>
  <si>
    <t>네 2분다 매우친절하게 잘해주엇습니다 U+ 최고네요</t>
  </si>
  <si>
    <t>빠른 대처와 친절한 상담 감사합니다.</t>
  </si>
  <si>
    <t>고생많았어요</t>
  </si>
  <si>
    <t>상담원들이 다들 안내는 잘해주십니다.</t>
  </si>
  <si>
    <t>친절하고 자세하게 문제 상황을 잘 해결해 줌.</t>
  </si>
  <si>
    <t>되게 친절하시고 자세하게 설명해주셔서 이해하기 쉬웠습니다 감사합니다</t>
  </si>
  <si>
    <t>아주 신속하고 빠르게 처리해 주셨습니다. 감사합니다.</t>
  </si>
  <si>
    <t>고맙습니다 매우매우 친절 함에 감사 합니다</t>
  </si>
  <si>
    <t>저번에 상담해주셨던 분이랑은 너무 차이가 보이게 좋은신분이라서 이해 하기도 쉽고 너무 친절하게 상담해주셔서 이해가 빨랐습니다 감사합니다 원격 기사님 덕분에 오늘 하루 힘이 났습니다 !!! 꼭 좋은 평가 받으시고 높은곳까지 올라 가셨으면 하는분 입니다!! 감사합니다!!!!</t>
  </si>
  <si>
    <t>친절하게 잘 지원해 주시네요.</t>
  </si>
  <si>
    <t>매우 친절하시고 빠르게 문제 해결 해주셔서 좋았습니다 감사합니다 ㅎㅎ</t>
  </si>
  <si>
    <t>네 고맙습니다~~ 참친절하시고 알기쉽게 설명을 해주셔서 감사합니다 ~~ 스마트 원격진단팀 화이팅 입니다,</t>
  </si>
  <si>
    <t>2.4G 와 5G 주파수 영역대를 알게 되었습니다. 상담하는 시간이 많이 지체 되었는데도, 친절히 리셋까지 해 주셔서 감사했습니다. 만족합니다. 칭찬합니다.</t>
  </si>
  <si>
    <t>친절하게 잘 응대해주시고 손봐주셔서 감사합니다^^</t>
  </si>
  <si>
    <t>빠르게 진단해주셨습니다</t>
  </si>
  <si>
    <t>친절하게 상황 설명과 해결방안을 찾아 주셨습니다.</t>
  </si>
  <si>
    <t>친절하시고 이해 하기 쉽게 설명해주십니다</t>
  </si>
  <si>
    <t>신경써주셔서 감사합니다</t>
  </si>
  <si>
    <t>2번의 문의를 드렸는데도 아주 친절하게 잘 대응해주셨습니다.</t>
  </si>
  <si>
    <t>친절히 잘 알려주셨습니다.!</t>
  </si>
  <si>
    <t>매우 유용한 서비스 친철하게 변경 잘했내요</t>
  </si>
  <si>
    <t>몇 일동안 해결 못했던 것을 원격진단으로 잘 해결 해 주셔서 너무 감사드립니다. 담당자분께 고맙다는 말씀드립니다. 행복하세요~^^</t>
  </si>
  <si>
    <t>친절한 답변관 수고에 정말 감사드립니다</t>
  </si>
  <si>
    <t>아주 명쾌하게 해결해 주셨네요 까다로울수 있는 문제였는데... 내공이 묻어나는 서비스였습니다.</t>
  </si>
  <si>
    <t>너무 감사함니다</t>
  </si>
  <si>
    <t>친절하시고 정확했습니다. 감사합니다.</t>
  </si>
  <si>
    <t>응대도 친절하게 잘 해주셨으며 또한 빠른 조치를 해주셔서 진심으로 감사했습니다.</t>
  </si>
  <si>
    <t>전문적인 응대로 빠르게 문제를 해결할 수 있었습니다. 문제도 해결해주셔서 매우매우매우 감사합니다</t>
  </si>
  <si>
    <t>사소한 부분이었는데 잘 봐주셔서 정말 감사합니다ㅠㅠ</t>
  </si>
  <si>
    <t>긴시간 상세한 설명 감사합니다</t>
  </si>
  <si>
    <t>친절하게 잘해주시네요</t>
  </si>
  <si>
    <t>오래된 노트북의 와이파이가 안잡혀서 폐기할려고 했는데, 원격진단으로 문제의 원인을 바로잡아주시고, 해결해주셨어요. 정말 감사합니다.</t>
  </si>
  <si>
    <t>친절하시네요. 대단히 감사합니다.</t>
  </si>
  <si>
    <t>문제 해결됐습니다</t>
  </si>
  <si>
    <t>친절하고 자세하고 설명해 주셔서 좋았어요</t>
  </si>
  <si>
    <t>차분하게 설명해주시고 빠른 응답으로 답답함 줄여주심 다음에도 도움받고 싶은 기사님이시네요</t>
  </si>
  <si>
    <t>제가 기계를 잘몰라서 기사님이 많이 답답했을건데도 친절하게 안내해주셨어 너무 너무 감사해요 정말 정말 수고하셨습니다</t>
  </si>
  <si>
    <t>부드러운 상담 감사했습니다 오늘 하루도 고생하시고 행복하세요</t>
  </si>
  <si>
    <t>세심하게 잘 봐주셔서 잘 해결되었습니다.</t>
  </si>
  <si>
    <t>친절해요 빠른처리 감사합니다 최고!!</t>
  </si>
  <si>
    <t>신속하고 친절한 응대 만족합니다.</t>
  </si>
  <si>
    <t>감사합나디</t>
  </si>
  <si>
    <t>감사합니다.!!</t>
  </si>
  <si>
    <t>친절하게 설명해주시고 이후 솔루션까지 제공해주셨어요</t>
  </si>
  <si>
    <t>기사님 아우라로 해결 되었네요. 감사합니다.</t>
  </si>
  <si>
    <t>꼼꼼하게 진단해주셔서 정말 감사했습니다.</t>
  </si>
  <si>
    <t>불편한 점 넘 빠르게 진단, 해결해주셔서 감사합니다.</t>
  </si>
  <si>
    <t>너무 친절히 알려주시구 너무 잘 봐주셔서 너무 만족합니다</t>
  </si>
  <si>
    <t>상담한거 잘알려주셔서 감사합니다</t>
  </si>
  <si>
    <t>친절 신속 정확 했습니다.</t>
  </si>
  <si>
    <t>친절하고 자세히 설명 해주셨습니다~</t>
  </si>
  <si>
    <t>매우친절하시고 만족스러웠습니다 수고많으셨습니다 감사합니다.</t>
  </si>
  <si>
    <t>친절하시고 안내도 잘 해주셨어요</t>
  </si>
  <si>
    <t>친절하고 알아듣기 쉽게 문제해결 해주셨어요. 최곱니다.!!</t>
  </si>
  <si>
    <t>만족스러운 진단이였습니다</t>
  </si>
  <si>
    <t>최고에요 ㅎㅎ</t>
  </si>
  <si>
    <t>친절하신 기사님을 만나 뵙게 되어 신속하고 정확하게 서비스 잘 받았습니다. 감사합니다.</t>
  </si>
  <si>
    <t>77세인</t>
  </si>
  <si>
    <t>문제해결을 위해 최선을다해 설명해주시고 해결할 방법 및 방문 서비스까지 한번에 해결해 주셔서 감사합니다.</t>
  </si>
  <si>
    <t>친절하고 잘 응대해주셔서 감사합니다!</t>
  </si>
  <si>
    <t>매우 만족합니다,</t>
  </si>
  <si>
    <t>너무 친절하고 명확하게 안내해주십니다~</t>
  </si>
  <si>
    <t>완전한 해결은 아직 안되었지만 친절하고 빠르게 안내받았습니다.</t>
  </si>
  <si>
    <t>너무 친절하시고 빠르게 원인도 잘 해결해 주셨습니다 감사합니다.</t>
  </si>
  <si>
    <t>친절하고 정확신속하게 서비스 잘받았습니다</t>
  </si>
  <si>
    <t>꼼꼼하시고 친절하세요</t>
  </si>
  <si>
    <t>완전만족합니다. 아주 스마트하면서 친절함까지 갖추어진 인재를 채용한 LG u+는 행운이신거 같아요 친절함에 기다려주시면서 천천히 하나하나 알려주셔서 너무 감사해요 이런분은 칭찬사원으로 상주셔야 할것 같아요 진심입니다 저도 별10개 드립니다</t>
  </si>
  <si>
    <t>친절히 잘 설명해주셨습니당</t>
  </si>
  <si>
    <t>오래걸리신다고 하셨는데 친절하게 응하시며 해결해주셨습니다. 너무 감사합니다.</t>
  </si>
  <si>
    <t>친절하게 잘 설명해주시고 처리해주셨습니다. 감사합니다.</t>
  </si>
  <si>
    <t>굿굿</t>
  </si>
  <si>
    <t>원격이라는게 너무좋네요 친절하시고 복받으실겁니다</t>
  </si>
  <si>
    <t>잼마니이 보고 잘 모르는 지식에 관해 여쭤봤는데, 제 니즈가 뭔지 콕 집어 내주시고 차분하게 잘 설명해 주셨어요. 그리고 제가 첨에 물어본 업무 외 질문도 설명하기 쉽지 않은 상황이었을텐데 설명 잘 해주셔서 너무 감사했습니다. 보지 않고 소통한다는게 오해도 쌓이고 힘든 부분이 많은데 곧 퇴근 시간인데도 친절하게 말씀해주셔서 오늘 하루 마무리가 잘 된 것 같아 기분이 좋네요. :) 항상 건강하시고 부자되세요 기사님!</t>
  </si>
  <si>
    <t>친절하게 설명 잘 해주셨습니다. 최고입니다.</t>
  </si>
  <si>
    <t>문제 및 설명 잘 해주셔서 감사합니다~~~</t>
  </si>
  <si>
    <t>너무 친절하고 빠르게 처리해주셨습니다. 정말 감사합니다</t>
  </si>
  <si>
    <t>바로 고쳐주셔서 감사합니다.</t>
  </si>
  <si>
    <t>친절하고 신속한 응대였습니다.</t>
  </si>
  <si>
    <t>친절하게 잘해주셔서 감사합니다, 인터넷이 핑도구렇고 끊김이잇었는데 일단 테스트전이라 뭐라 말은 못하겟지만 기사님은 친절하게 잘해주셨습니다!!</t>
  </si>
  <si>
    <t>빠르고 정확하게 해결해주셨습니다.</t>
  </si>
  <si>
    <t>친절한 안내 및 신속한 처리 감사합니다.</t>
  </si>
  <si>
    <t>친절하시고 빠르게 점검해주셔서 감사합니다</t>
  </si>
  <si>
    <t>신속하고 정확한 지원 감사드립니다.</t>
  </si>
  <si>
    <t>여러방향으로 확인을 해주셔서 감사합니다. 서비스가 너무 좋아요!</t>
  </si>
  <si>
    <t>세상에서 제일 똑똑하고 친절한 사람. 이런 사람 돈 많이 벌게 해주세요.</t>
  </si>
  <si>
    <t>최고! 예요!</t>
  </si>
  <si>
    <t>덕분에 답답한 인터넷을 고쳤어요</t>
  </si>
  <si>
    <t>친절하게 설명해 주셔서 이해가 잘 되었습니다</t>
  </si>
  <si>
    <t>상담사분이 너무 친절하시고 끊김 원인이 무엇인지 자세히 알려줘서 너무 감사합니다.</t>
  </si>
  <si>
    <t>통신선 문제일 것으로 기사님 방문예약 진단 받았음</t>
  </si>
  <si>
    <t>친절하게 대응해주셨고, 여러가지 방법으로 해결해주시려고 노력해주시는게 느껴져서 좋았습니다.</t>
  </si>
  <si>
    <t>이것 저것 잘 알려주시고 해결도 빠르게 해주셔서 좋습니다^^</t>
  </si>
  <si>
    <t>네 만족합니다 빠른진단!!</t>
  </si>
  <si>
    <t>신속하게 자세하게 설명도 해주시고 처라 방안에도 도움 주셔서 감사합니다</t>
  </si>
  <si>
    <t>친절하게 서비스 잘받았습니다.</t>
  </si>
  <si>
    <t>문제발생 후 신속하게 처리해주셨고 상담 내내 잘 해결해 주셨습니다. 유플러스 최고</t>
  </si>
  <si>
    <t>너무 친절하시고 자세히 알려주셔서 감사합니다!</t>
  </si>
  <si>
    <t>인터넷 속도에 대해서 문의 전화를 하고, 상담을 받는 동안에 정말 친절하게 하나하나 이해하기 쉽게 설명해주시고 자세하게 말씀해주셔서 감사했습니다</t>
  </si>
  <si>
    <t>빠른 확인으로 처리 잘받았습니다 설명도잘해주시고 친절하시내요 사용해바야 알겠지만 우선 서비스는 만족합니다</t>
  </si>
  <si>
    <t>빠르고 친절한 대처 감사드립니다</t>
  </si>
  <si>
    <t>설명,친절, 모두 만족합니다</t>
  </si>
  <si>
    <t>친절하게 도움주셔서 감사합니다</t>
  </si>
  <si>
    <t>친정하게 서비스 잘 받았습니다. 감사합니다.</t>
  </si>
  <si>
    <t>신속하게 문제를 해결해 주셔서 너무 만족합니다</t>
  </si>
  <si>
    <t>신속하고 정확하게 해주셧어요 너무감사합니다!</t>
  </si>
  <si>
    <t>친절하게 작업 잘 해주셨습니다. 수고 많으셨습니다. 문제가 생긴다면 또 연락하라고 친절하게 안내해주셨습니다. 감사합니다.</t>
  </si>
  <si>
    <t>알기쉽게 설명을 너무 잘해주십니다. 유플러스 서비스는 언제나 최상입니다. 감사합니다.</t>
  </si>
  <si>
    <t>너무 친절하게 설명도 잘해주시고 조치도 잘해주셨습니다. 감사합니다^^!</t>
  </si>
  <si>
    <t>완전만족대만족이용</t>
  </si>
  <si>
    <t>친절하고 빠르게 문제가 해결되었습나다</t>
  </si>
  <si>
    <t>너무너무 감사합니다 수고했어요</t>
  </si>
  <si>
    <t>설명 잘해주셔서 감사합니다.</t>
  </si>
  <si>
    <t>친절하고 쉽게 설명해 주셨습니다.</t>
  </si>
  <si>
    <t>친절하시고 성실히 잘 봐주시고 대체하는 방법까지 알려주셔서 너무 감사했습니다</t>
  </si>
  <si>
    <t>감사합니다. 정말 친절하시네요.... 항상 수고가 많으시네요.. 최고!!!!!!!</t>
  </si>
  <si>
    <t>빠르고 친절하세요</t>
  </si>
  <si>
    <t>아주 친절하게 고객이 원하는 내용을 잘설명해주네요 감사합니다</t>
  </si>
  <si>
    <t>빠르고 쉽게 인터넷 불량 고쳐주셨습니다</t>
  </si>
  <si>
    <t>너무 친절하고 자세하게 설명해주시고 도와주셔서 감사합니다. 원하던 내용 잘 알수 있게 가르켜 주서셔 감사합니다.</t>
  </si>
  <si>
    <t>정말 친절한 상담이였슴다</t>
  </si>
  <si>
    <t>아주빠른 조치를 해주셔서 감사합니다</t>
  </si>
  <si>
    <t>친절하고 상담과 처리 정말 감사합니다. 역시 서비스는 엘지가 최고입니다.</t>
  </si>
  <si>
    <t>친절하고 쉽게 알려주셔서 이해하기 편했어요. 감사합니다</t>
  </si>
  <si>
    <t>급하게 연락드렸는데 바로 원격해주셨어요. 친절하신 설명과 차후 as예약까지 감사드립니다</t>
  </si>
  <si>
    <t>넘 깔끔하고 빠르게 잘 처리해주셨습니다. 감사합니다.^^</t>
  </si>
  <si>
    <t>친절하고 깔끔하게 잘 설명해주셧습니다</t>
  </si>
  <si>
    <t>친절하게잘해주셨습니다</t>
  </si>
  <si>
    <t>자세한설명감사합니다</t>
  </si>
  <si>
    <t>너무 감합니다 수고하세요</t>
  </si>
  <si>
    <t>친절하고 상세한 설명감사드립니다 충분하게 이해할수 있게 쉬운 용어와 사용방법을 알려주셨습니다. 역시 U+이네요 감사합니다.</t>
  </si>
  <si>
    <t>궁금한점 여쭤봤을때 전부 친절하게 답변해시 원격지원도 도움 되었습니다.</t>
  </si>
  <si>
    <t>신속히 잘 해주십니다</t>
  </si>
  <si>
    <t>친절한 상담과 충분히 이해할수있는 설명 감사드립니다</t>
  </si>
  <si>
    <t>짧은 시간에 문제점을 알아듣고, 신속히 해결해 주었습니다 좋은 시간 되세요</t>
  </si>
  <si>
    <t>완벽한 스마트원격진단을 내려주셔서 감사합니다 제가 불편한점을 바로 알아차리시고 적극적인 대응을 해주셔서 원만히 해결을 할 수 있었습니다</t>
  </si>
  <si>
    <t>친절한 대처 정말 감사합니다.</t>
  </si>
  <si>
    <t>친절하고 빠르게 상담 해주셔서 감사합니다</t>
  </si>
  <si>
    <t>일단 점검은 친절하게 해주셨구여^^ 이렇게 좀 사용해보라고 하니 추후 필요시 연락 드리겠습니다.</t>
  </si>
  <si>
    <t>열심히 잘설명해주셔서 감사합니다</t>
  </si>
  <si>
    <t>친절히 잘 알아듣기 쉽게 설명 해주셨습니다</t>
  </si>
  <si>
    <t>친절하게 서비스 잘 받았습니다. 감사합니다.</t>
  </si>
  <si>
    <t>너무 친절히 설명해주셨음</t>
  </si>
  <si>
    <t>신속하게 문제될만한 부분들 파악해서 처리해주시고 혹시라도 추후 문제 발생히 어떻게 해야하는지 친절히 다 알려주셔서 만족스러웠어요.</t>
  </si>
  <si>
    <t>만족합니다.^^</t>
  </si>
  <si>
    <t>친절하고 빠르게 문제점을 체크해주시고 해결방안 알려주셔서 감사합니다~!</t>
  </si>
  <si>
    <t>설명 잘해주시고 다 ㄷ잘됬습니다 이후에 문제 생기면 후속 조치 다시 해주신다고 하셨구요 감사합니다</t>
  </si>
  <si>
    <t>빠르고 정확한 조치 감사합니다.</t>
  </si>
  <si>
    <t>친절하게 응대해주신 기사님께 감사드려요 역시 엘지네요^^^</t>
  </si>
  <si>
    <t>good!!!!</t>
  </si>
  <si>
    <t>친절하게 잘 해결해 주시고 궁금한 것에 대해서 차분하고 이해할 수 있도록 쉽게 얘기해주셔서 좋은 원격진단이였습니다. 문제 해결도 받아서 기분이 좋습니다. 앞으로는 와이파이가 끊기지 않았으면 좋겠네요. 항상 고생이 많으십니다 ! 감사합니다 ~</t>
  </si>
  <si>
    <t>매우 매우 만족합니다 몇일을 골머리를 앓고 있었는데 스마트 원격 해주신 직원분이 대처 방안을 잘 파악하고 알려주셔서 빠르게 해결되어 몇일간 고민한게 황당할 지경이네요 감사합니다</t>
  </si>
  <si>
    <t>상담원분 엄청 똑똑하게 속시원하게 설명주셨어요 최고!</t>
  </si>
  <si>
    <t>자세한 설명 감사드리고 pc점검 또는 다른 사항 점검후에 확인작업이 필요한것 같네요 가르쳐주신대로 확인해 보겠습니다 감사드려요</t>
  </si>
  <si>
    <t>친절하게 오류에 대해 설명해 주셔서 감사합니다. 오늘도 즐겁고 행복한 하루 되세요.</t>
  </si>
  <si>
    <t>친절한 설명 감사합니다 :)</t>
  </si>
  <si>
    <t>친절하고 정확하게 업무 처리해주셨어요</t>
  </si>
  <si>
    <t>즈말에 고생 많으시네요 감사합니다~</t>
  </si>
  <si>
    <t>세밀하게 점검하시고 방문접수 까지 확인 도와주셨습니다.</t>
  </si>
  <si>
    <t>친절하게 설명해주시고 처리 신속하게 해주셨스빈다 감사합니다</t>
  </si>
  <si>
    <t>일단 처리가 아주 빨라서 좋았고 기사분께서 설명도 알기 쉽게 잘 해주셔서 아주 만족스러웠습니다</t>
  </si>
  <si>
    <t>최고의 상담과 조치내역에 대한 전문적인 지식과 쉬운 설명 감사합니다.</t>
  </si>
  <si>
    <t>일주일동안 정말 힘들었는데... 이렇게 친절하고 간단하게 해결해주셔서 너무 감사합니다.. 드디어 인터넷을 맘 편히 쓸 수 있어요!!! 정말 감사합니다..!!!!</t>
  </si>
  <si>
    <t>good!!!!!!!!!</t>
  </si>
  <si>
    <t>항상 친절하시고 얼굴은 뵙지 못했지만 늘 밝은 목소리로 착착 해결해 주셔서 감사드립니다. 최고!!</t>
  </si>
  <si>
    <t>친절히 잘 응대해주셨습니다</t>
  </si>
  <si>
    <t>친절하게 끝까지 잘 도와주셔서 감사했습니다</t>
  </si>
  <si>
    <t>설명도 잘 해주시고 부드럽게 말씀해주셔서 감사합니다. 우선 최대한의 대처를 해주셔서 감사합니다</t>
  </si>
  <si>
    <t>매우 만족합니다. 친절합니다.</t>
  </si>
  <si>
    <t>신속하고 정확하게 점검 해주셨습니다 매우 감사합니다 수고하세요!~</t>
  </si>
  <si>
    <t>정말 친절하시고 하나하나 잘해주심</t>
  </si>
  <si>
    <t>자세히 안내해 주셔서 감사합니다.</t>
  </si>
  <si>
    <t>친절한 설명 훌륭한 서비스</t>
  </si>
  <si>
    <t>궁금한 것도 잘 알려주시고 해결 빠르게 해주셔서 좋았습니다</t>
  </si>
  <si>
    <t>친절하게 잘 받았읍니다</t>
  </si>
  <si>
    <t>너무 수고가 많으셨습니다 감사합니다 행복하세요</t>
  </si>
  <si>
    <t>기술팀 기사님이 너무 친절하게 잘 봐주셔서 최고입니다.</t>
  </si>
  <si>
    <t>정말 빠르고 정확한 서비스 500% 만족합니다 감사합니다</t>
  </si>
  <si>
    <t>친절한서비스</t>
  </si>
  <si>
    <t>친절하게 상담해주셔서 너무 감사했습니다! 어려운 용어도 쉽게 풀어서 설명 해주셔서 이해가 잘 됐어요 추가로 속도를 원활하게 하는 팁까지 말씀해주셔서 유용했어요 감사합니다.</t>
  </si>
  <si>
    <t>진절 했습니다. 감사 합니다.</t>
  </si>
  <si>
    <t>너무 친절하십니다 감사합니다</t>
  </si>
  <si>
    <t>잘 해결해주셔서 도움 많이 됐습니다 . 감사합니다.</t>
  </si>
  <si>
    <t>두번째 원격점검 서비스를 받았습니다..기사님께서 매우 친절하시고 상세하게 상담을 해주셨습니다..고맙습니다..감사합니다..수고하셨습니다..</t>
  </si>
  <si>
    <t>친절하고 자세히 잘 설명해주셨습니다 감사합니다^ㅁ^</t>
  </si>
  <si>
    <t>설명 너무 깔끔하게 친절하게 해주셔서 감사드리구요. 완벽하게 처리되어서 만족합니다. 선생님 복 많이 받으세요 ^^</t>
  </si>
  <si>
    <t>스마트 원격진단 시스템 너무너무 맘에 들어요 늘 감사드립니다.</t>
  </si>
  <si>
    <t>pc가 총 3대임에도 불구하고 싫은소리하시지 않고 밝게 잘 조치해주셔서 감사합니다. 스마트 원격진단 시스템 최고입니다.</t>
  </si>
  <si>
    <t>선생님께서 설명도 자세히 해주시고 너무나 친절 하셔서 기분도 좋았습니다 감사합니다</t>
  </si>
  <si>
    <t>친절한설명 답변 고맙습니다.</t>
  </si>
  <si>
    <t>빠른 조치 감사드립니다。</t>
  </si>
  <si>
    <t>친절하게 응대해주셔서 좋았습니다. 원인 요인이 될 수 있는 부분을 하나하나 짚어가면서 봐주셔서 더 좋았습니다.</t>
  </si>
  <si>
    <t>솔직히 제가 엘지유플을 쓰는이유 기능면에서도 만족도 좋지만 정말 친절하시고 문제시 대처해주시는게 엄청 신속정확 합니다 너무 만족하고있습니다 원격은 오늘 첨 해봤는데 너무도 친절하고 속시원하게 해결해주셔서 너무 감사합니다!</t>
  </si>
  <si>
    <t>정확하게 진단해서 정상속도로 나오게 해주셨습니다.</t>
  </si>
  <si>
    <t>좋은 서비스 감사합니다</t>
  </si>
  <si>
    <t>친절하시게 상담 잘 진행해주셨읍니다.</t>
  </si>
  <si>
    <t>30분가까이 꼼꼼히 체크해주시고 봐주셔서 정말 감사했습니다. 용어를 잘 몰라서 여러번 여쭤봤는데 찬찬히 설명해주셔서 어르신들도 불편하실때 이분께 원격받으면 도움 많이 받으실것 같아요 ^^</t>
  </si>
  <si>
    <t>너무 감사합니다 ㅠㅠ 정말최고에요</t>
  </si>
  <si>
    <t>친절하고 빠르게 안내받았습니다</t>
  </si>
  <si>
    <t>자세한 설명 감사합니다. 편안하고 행복한 저녁 시간 되세요.</t>
  </si>
  <si>
    <t>친절하게 하나하나 세세한 설명을 해주셔서 이해하기 편했고 빠른 대처 감사합니다 .</t>
  </si>
  <si>
    <t>원인을 빠르게 찾아서 알려주셨습니다.</t>
  </si>
  <si>
    <t>이해하기 쉽고 친절하게 설명해주셔서 감사합니다</t>
  </si>
  <si>
    <t>친절하고 자세한 안내를 해주셔서 한번에 알아들을수 있엇습니다</t>
  </si>
  <si>
    <t>문제가 제대로 해결되었습니다,</t>
  </si>
  <si>
    <t>꼼꼼하고 확실하게 해주셔서 만족합니다</t>
  </si>
  <si>
    <t>엄청 빠르게 잘 해결해 주셨습니다.</t>
  </si>
  <si>
    <t>친절하게 잘 응답해 주시고, 조급하지 않도록 부담없이 기다려주셔 편하게 서비스 받을 수 있었습니다!.</t>
  </si>
  <si>
    <t>자세한 설명과 진단 큰 도움을 받았습니다 감사합니다</t>
  </si>
  <si>
    <t>꼼꼼한 점검 감사합니다</t>
  </si>
  <si>
    <t>친절히 잘 안내해줌</t>
  </si>
  <si>
    <t>친절하게 상담해주셨습니다. 증상확인이되었어요.</t>
  </si>
  <si>
    <t>상담내용 대단히 만족 합니다 궁금하고 개선 하고자 했던 내용들 친절히 알려 주셔셔 감사 드립니다</t>
  </si>
  <si>
    <t>친철하게 잘 해주셨어요!</t>
  </si>
  <si>
    <t>원격 기사님이 똑같은 질문에도 친절하게 여러번 설명해주셔서 이해가 잘 됐어요!! 그리고 어디가 문제인지, 어떻게 해결했는지 꼼꼼하게 봐주시구 추가질문도 답변 잘 해주셔서 너무 기분좋게 잘 해결했습니다! :)</t>
  </si>
  <si>
    <t>친절하고 자세히 상담받았습니다.</t>
  </si>
  <si>
    <t>정말로 간단하게 진단및 컴퓨터를 봐주신게 고맙습니다.</t>
  </si>
  <si>
    <t>문제점이 무엇인지 알려주시고 어떻게 처리하면 좋은지 바로 처리해주셔서 좋았어요</t>
  </si>
  <si>
    <t>아주 상세하게 안려주셔서 조치하는데 편했습니다. 감사합니다. 즐거운 시간 되십시오 꾸벅^^~~~~~~~</t>
  </si>
  <si>
    <t>상세하게 설명해주시고, 수치화 하셔서 불안하지 않게, 정말 깔끔하게 문제 불편함에 대한 해결을 해 주셨어요. 오늘 스마트원격진단 맡아주신 전문가님이시라면 불편해도 언젠간 해결될 거라는 믿음이 생기네요. 감사합니다.</t>
  </si>
  <si>
    <t>굳 친절한 응대 쉬운 설명</t>
  </si>
  <si>
    <t>문제가 있엇는데 신속하고 친절하게 해결해주셨고, 후속 조치까지 완벽하게 해주셨습니다. 혹시나 제 말투에 기분이 상하셨다면 죄송합니다. 역시 LG입니다. 감사합니다.</t>
  </si>
  <si>
    <t>친철하게 만족스럽게 해결</t>
  </si>
  <si>
    <t>감사합니당~</t>
  </si>
  <si>
    <t>너무 감사했습니다 다 해결해주시네요&gt;</t>
  </si>
  <si>
    <t>해주시는 분이 너무 착하시고 빠르게 문제 해결 해주셨습니다</t>
  </si>
  <si>
    <t>빠른 진단 및 조치 고맙습니다.</t>
  </si>
  <si>
    <t>신속하게 문제를 확인하여 자세히 설명해 주셨습니다</t>
  </si>
  <si>
    <t>친절하고 설명도잘해주십니다. 좋아요 해결됬어요</t>
  </si>
  <si>
    <t>신속하게 잘 살펴봐 주셔서 감사합니다!</t>
  </si>
  <si>
    <t>친절하게 빠른 시간 안에 해결해 주셨습니다.</t>
  </si>
  <si>
    <t>좋은 서비스로 안내 잘해 주셔서 감사드립니다</t>
  </si>
  <si>
    <t>친절한 상담과 빠른 해결을 해주셔서 정말로 좋았습니다</t>
  </si>
  <si>
    <t>차분하게 잘 설명해 주셔서 수월하게 진행이 되었습니다.</t>
  </si>
  <si>
    <t>친절하게 설명 잘 해주셔서 감사합니다</t>
  </si>
  <si>
    <t>원격 진단 잘 받았습니다. 고맙습니다.</t>
  </si>
  <si>
    <t>금방 해결해 주셔서 좋았습니다</t>
  </si>
  <si>
    <t>친절 하셨고 자세하게 설명해주셨습니다.</t>
  </si>
  <si>
    <t>서비스 점검 잘해주시고 고객입장에세 잘 성명해서 주셔서 감사합니다.</t>
  </si>
  <si>
    <t>신속하게 응대해주시고, 정확하게 설명해주셔서 감사합니다. 친절에 감사합니다.</t>
  </si>
  <si>
    <t>인터넷 속도도 빨라지고 전보다 쾌적하게 잘 만들어 주셔서 감사합니다. 컴퓨터 사용하는데에 있어서 꿀팁도 많이 주시고 매우 친절하시네요</t>
  </si>
  <si>
    <t>빠르게 다른 조치 해주실 수 있도록 진단 해주셧습니다</t>
  </si>
  <si>
    <t>빠르게 처리해주셔서 감사합니다!</t>
  </si>
  <si>
    <t>자료정리 못하니 답답하여, LG에 스마트 안전진단 서비스 도움 요청하여 PC 원격 진단 의롸하여 담당 기사님의 전화를 받아 pc전반의 해킹 프로그램 및 불필요 요소를 살뜰이 점검하여 주시고 문제점도 알려 주셔서 답답하고 불편함을 해결해주셔서 진심으로 감사의 말씀드립니다. 컴맹에게도 찬찬히 설명도 좋았습니다. 감사합니다.</t>
  </si>
  <si>
    <t>신속하게 후속조치 잘해주셔서 감사합니다!</t>
  </si>
  <si>
    <t>너무 친절하시고 전문적으로 빠르게 처리해주셔서 좋습니다!</t>
  </si>
  <si>
    <t>친절하고 자세히 설명해주셔서 이해가 쉽고 빠르게 AS기사님 연결해주셨습니다</t>
  </si>
  <si>
    <t>비록 문제가 해결되지 않아 AS 기사 출동으로 연결되었지만 친절하게 대응해주셨고 원격으로 충실히 진단과 해결을 위해 노력해 주셨습니다.</t>
  </si>
  <si>
    <t>빠른 점검과 문제점을 찾아 알려주셨어요</t>
  </si>
  <si>
    <t>친절하게 답변해주셔서 감사합니다. 오해로 인해 LG에 신뢰를 잃어버릴뻔했네요</t>
  </si>
  <si>
    <t>아주 친절하게 상세히 설명 해주셔셔 감동입니다..제가 글주변이 없다보니 제 기준 최고 상담시간 이였습니다.감사 합니다~</t>
  </si>
  <si>
    <t>너무 친절하고 정확하게 진단해 주셔서 감사합니다</t>
  </si>
  <si>
    <t>너무 친절하시고 설명도 잘해주세요 감사합니다 화이팅입니다 더운 날씨에 건강유의 해주세요^^</t>
  </si>
  <si>
    <t>정말 친절하고 자세하게 잘 알려주시고 다른 작은 문제도 먼저 말씀해주시고 고쳐주셔서 너무 좋았습니다 정말 감사합니다!!</t>
  </si>
  <si>
    <t>잘해주셨어요^^</t>
  </si>
  <si>
    <t>기사님과 상담원분이 너무 친절하게 잘 처리해주셨습니다!</t>
  </si>
  <si>
    <t>칠절합니다 최고~~!!</t>
  </si>
  <si>
    <t>늦은 시간 수고 많이 하셨습니다。 도움에 감사드립니다</t>
  </si>
  <si>
    <t>1. 이렇게나 친절한 명랑한 서비스 종결은 10년내 처음 2. 세상의 모든 서비스가 이렇게 할 수 있다면 세상만사형통 3. 이것을 이렇게나 탁월하게 해결해주신 서비스맨 복많이 받으시고 항상 행복 가득 4. 남자도 이렇게 친절할 수 있구나 - 감동 감탄 5. 엘지유플러스 역시 인간중심 최고 최상 모든일을 감사드립니다.</t>
  </si>
  <si>
    <t>빠르게 해결됬어요</t>
  </si>
  <si>
    <t>친절하게 궁금한 사항 상세히 잘 설명해주셨고 wifi 문제를 잘 해결해주셔서 감사합니다.</t>
  </si>
  <si>
    <t>너무 감사합니다. 수고하세요~</t>
  </si>
  <si>
    <t>전문적인 지식과 빠른일처리 무엇보다 친절함이 너무 감동이였습니다.! 감사합니다!</t>
  </si>
  <si>
    <t>친절하시고 자세히 알려주셔서 감사합니다.</t>
  </si>
  <si>
    <t>신속하게 처리해주시고 설명도 친절히 설명해주셔서 너무 감사했습니다!</t>
  </si>
  <si>
    <t>친절하고 빨랐어요</t>
  </si>
  <si>
    <t>빠른 업무처리</t>
  </si>
  <si>
    <t>상담 처음부터 마지막까지 연결된 모든 분들이 친절하고 신속하게 처리해 주셔서 너무 감사드립니다.</t>
  </si>
  <si>
    <t>친절하시고 아주 감사드립니다.</t>
  </si>
  <si>
    <t>쵝 오</t>
  </si>
  <si>
    <t>정확한 문제 진단 및 해결 해주셨습니다.</t>
  </si>
  <si>
    <t>문제 진단 빠르고 확실하게 해주시고, 왜 안되는지 설명도 친절하게 해주시고, 마지막으로 해결책까지 완벽하게 지원해 주셨어요. 너무 감사드립니다.</t>
  </si>
  <si>
    <t>차분하게 설명을 잘 해주시고, 빠른 해결 해주셨어요. 최고예요~</t>
  </si>
  <si>
    <t>쵝오</t>
  </si>
  <si>
    <t>너무 친절하신거 같아요!! LG U+로 통신이전 한건데 친절은 기본 옵션이고 제가 5를 물어봤으면 혹시나 하시는 마음에 10까지 봐주셔서 서비스 받는데 신뢰가 갔어요!!] 고객 입장에서 사내 교욱이 잘 되있구나 싶었습니다 고객센터 전화접수 응대부터 원격 서비스까지 처음부터 끝까지 대만족이요!</t>
  </si>
  <si>
    <t>너무 친절하시고 잘 설명해주셔서 감사합니다^^</t>
  </si>
  <si>
    <t>친절하게 응대해주셔서 감사합니다~!</t>
  </si>
  <si>
    <t>친절하게 응대해주셔ㅑ씁니다.</t>
  </si>
  <si>
    <t>빠른대응과 친절한 상담, 원격으로 안되는 부분 기사출동 접수까지 매우 만족합니다. 그리고 상세한 안내도 감사드립니다.</t>
  </si>
  <si>
    <t>친절하고 문제의 내용을 잘알려주셔서 고맙습니다.</t>
  </si>
  <si>
    <t>친절하게 설명해주심</t>
  </si>
  <si>
    <t>반드시 필요 인력이네요 간단히 해결 너무 감사합니다.</t>
  </si>
  <si>
    <t>친절하게 설명해주십니다. 눈높이에 맞게 쉽게 설명해주신 점이 너무 좋았습니다</t>
  </si>
  <si>
    <t>친절하고 빠르고 대응해주셔서 빠른 시간내에 인터넷 사용할수 있게 되어서 너무 좋았습니다.</t>
  </si>
  <si>
    <t>친절하고 신속한 서비스감사합니다</t>
  </si>
  <si>
    <t>고맙고 감사드립니다.</t>
  </si>
  <si>
    <t>짜증도많이났는데 친절하게 상담해주셔서 감사합니다. 따로 접수도 도와주신다고해서 맘이편했어요~감사합니다.</t>
  </si>
  <si>
    <t>친절하고 빠르게 상담 도와주셔서 너무 감사햇습니다</t>
  </si>
  <si>
    <t>친절하시게 너무 잘해주셨습니다~ 해결도 빠르시고 믿음이 갑니다~</t>
  </si>
  <si>
    <t>엄청 친절하시고 문제점을 정확히 파악해서 해결해 주십니다. 감사합니다. 좋을하루 되세요!! ㅎㅎ</t>
  </si>
  <si>
    <t>친절하게 잘 설명해주셔서 빠르게 해결되었습니다.</t>
  </si>
  <si>
    <t>친절, 정확, 신속, 간단 하게 잘해주셔서 너무 감사드립니다.</t>
  </si>
  <si>
    <t>전화보다 더 빠르게 해결해주시고 못알아들으면 알아들을수있게 다시 설명해주셔서 너무 감사합니다 전화보다 더 좋았어요~~</t>
  </si>
  <si>
    <t>원격으로 점검해 주시니 빠르게 원인을 파악해서 처리할 수 있는 방법을 제시해주셔서 편하네요. 감사합니다.</t>
  </si>
  <si>
    <t>친절하게 상담해줘서 감사합니다</t>
  </si>
  <si>
    <t>친절한 서비스 잘 받았습니다. 만족합니다.^^</t>
  </si>
  <si>
    <t>자세히 친절하게 잘 말씀해주셔서 원격진단도 잘받앗습니다</t>
  </si>
  <si>
    <t>ㅁ감사합니다</t>
  </si>
  <si>
    <t>친절하고 자세하게 알려주셔서 좋았습니다</t>
  </si>
  <si>
    <t>친절하게 증상에 대한 설명을 해주시고, 해결방법을 찾아 주시려고 계속 노력을 해주신 점에 깊은 감사의 말씀을 드립니다.</t>
  </si>
  <si>
    <t>빠르고 친절하게 상담해주셔서 감사했어요.</t>
  </si>
  <si>
    <t>친절하게 잘 처리해주셨습니다. 감사합니다</t>
  </si>
  <si>
    <t>항상 친절한상담 감사합니다. 바로바로 해결되는 부분 너무 만족합니다</t>
  </si>
  <si>
    <t>몰랐던 부분을 시원하게 해결해주셔서 감사합니다.</t>
  </si>
  <si>
    <t>제가 말씀드린 부분과 관련되어있지않은 인터넷 문제도 전부 고쳐주시고 해결방안도 제시해주셔서 정말 좋았습니다</t>
  </si>
  <si>
    <t>친절하시면서 컴퓨터 문제를 잘 알려주시네요 감사합니다</t>
  </si>
  <si>
    <t>친절한 상담 감사합니다 덕분에 잘해결됏습니다 감사합니다</t>
  </si>
  <si>
    <t>너무 좋았습니다. 상담사가 정확히 이해하고 솔루션도 제공해주셨습니다. 이 사람 보너스좀 주세요</t>
  </si>
  <si>
    <t>오오 기사님이 너무 스마트하시게 잘 해주셨어요 천재신듯 친절하시기도하고 감동먹음</t>
  </si>
  <si>
    <t>서비스 최고예요</t>
  </si>
  <si>
    <t>쉽게 설명을 잘 해주시고 해결해주셔서 감사합니다~</t>
  </si>
  <si>
    <t>조항요</t>
  </si>
  <si>
    <t>쉽고 자세한 설명으로 간단하게 문제 해결 했습니다. 감사합니다</t>
  </si>
  <si>
    <t>친절하시고 모른거까지 차근차근 가르처주셔셔 감사합니다 최고입니다~!!!!</t>
  </si>
  <si>
    <t>노트북 상태를 잘 점검해주셔서 앞으로 어떻게 할지 알게 되었어요</t>
  </si>
  <si>
    <t>상담 친절하게 잘해주셨습니다 감사합니다</t>
  </si>
  <si>
    <t>기술적인 문제점을 해결할 수 있어서 매우 만족 합니다.</t>
  </si>
  <si>
    <t>너무친절하세요. 감사합니다</t>
  </si>
  <si>
    <t>친절히 상담해주셨습니다. 감사합니다.</t>
  </si>
  <si>
    <t>원격 진단으로 업데이트도 잘 해주시고 궁금증 생겨 여쭤보니 답변도 친절하고 알기 쉽게 해주셔서 좋았습니다. 추후 문제 생길 경우 조치법도 알려주셔서 더더욱 좋았네요. 몹시 만족했습니다.</t>
  </si>
  <si>
    <t>너무 친절하시고 해당 상황뿐만 아니라 다른 부분까지 먼저 봐주시고 정말 방금 A/S담당자 분에게 1:1 의뢰 맡기고 싶을 정도입니다. 다음에도 A/S받게되면 해당분에게 꼭 받고싶습니다. 정말 감사합니다.</t>
  </si>
  <si>
    <t>아주 친절하게 알려주셔서 감사합니다. 나잇대가 비슷해서 그런지 게임 과 아이피 관련도 알아 듣기 편하게 말씀해주시고 . 굿입니다.</t>
  </si>
  <si>
    <t>원격조정받아서 티비유튜브보는데 화면버퍼링없어지고 선명합니다</t>
  </si>
  <si>
    <t>친절한 설명과 후속 조치 감사합니다</t>
  </si>
  <si>
    <t>친절하게 문제 해결을 위해 도움을 주셨습니다. 감사합니다.</t>
  </si>
  <si>
    <t>친절하셨어요.</t>
  </si>
  <si>
    <t>문제점에대해 너무 친절하게 잘 해결해 주셨습니다.덕분에 빠르게 잘 해결되었습니다^^</t>
  </si>
  <si>
    <t>빠른 응대와 친절했습니다</t>
  </si>
  <si>
    <t>너무 친절하게 자해주셔서 감사합니다</t>
  </si>
  <si>
    <t>전화상담 친절하게 잘해주셨고요. 이번이 4번이상 반복적이고 비슷한 증상으로 불편을 겪어서 이번엔 부디 근본적인 원인 해결이 되길 바라는 바입니다.</t>
  </si>
  <si>
    <t>꼼꼼하게 확인해주셔서 감사합니다. 나름 확인이 필요한 부분도 자세히 설명해주셔고요. 문제 해결하는데 많은 도움이 되었습니다.</t>
  </si>
  <si>
    <t>정확하고 친절한 상담해주셔서 감사합니다. 대만족입니다.</t>
  </si>
  <si>
    <t>원인을 정확하게 알려주셨고, 문제 해결하면 재발생은 거의 없을꺼라는 말씀에 믿음이 갔습니다. 빠른처리 감사합니다!수고하세요</t>
  </si>
  <si>
    <t>친절하게 잘 해 주셨습니다. 속도가 개선되었습니다. 감사합니다.</t>
  </si>
  <si>
    <t>기사님 방문없이 실시간으로 문제가 해결되어 매우 만족합니다. 다만, 아예 문제가 생기지 않는 것이 더 베스트이니 더 좋은 관리 부탁드립니다.</t>
  </si>
  <si>
    <t>원격 상담해주신 분께서 너무 친절하시고, 설명도 잘해주셔서 완전 만족합니다. 주말에 감사합니다. 행복한 하루 보냇헤요.</t>
  </si>
  <si>
    <t>한방에 해결해주시고 친절하십니다.</t>
  </si>
  <si>
    <t>충분한 설명 감사합니다.</t>
  </si>
  <si>
    <t>spsp</t>
  </si>
  <si>
    <t>막힌가슴 뻥 뚫리는 기분입니다. 접수하신 상담원, 원격수리 기사님의 친절한 대응까지 모두 만족합니다. 전혀 생각지 못한 친절에... 토요일 모두 쉬는 날에 짜증 날 법도 한데... 도움 주셔서 감사합니다. 날 더워지는데 항상 건강 조심하라고 권합니다. 좋은 주말되세요...</t>
  </si>
  <si>
    <t>친절하게 대응 해주심</t>
  </si>
  <si>
    <t>신속한 문제해결 감사합니다 수고하셨습니다</t>
  </si>
  <si>
    <t>친절하고 부드러운 상담이었읍니다</t>
  </si>
  <si>
    <t>너무 답답하고 화가 났었는데 친절하게 설명도 잘해주시고 문제를 해결해주셔서 감사합니다.</t>
  </si>
  <si>
    <t>친절하신 기사님 덕분에 컴퓨터 관련 고민이 해결 되었어요. 진행 중에 와이파이가 자꾸 끊기는 탓에 차질이 생겼는데 감사하게도 끝까지 책임지시고 진행 해주시더라고요. 매우 만족합니다! 감사합니다. :)</t>
  </si>
  <si>
    <t>정말 편하게 원격진단으로 원인이 무엇인지 알 수 있었습니다.</t>
  </si>
  <si>
    <t>주말임에도 친절하게 살펴 봐주시고 안내해주셔서 감사했습니다!</t>
  </si>
  <si>
    <t>친절하게 점검 해주셨습니다</t>
  </si>
  <si>
    <t>전문적 대응과 친절한 응대에 감사드립니다.</t>
  </si>
  <si>
    <t>친절하게 아주 알아듣기쉽게 설명해주고 진단까지 잘해주셨습니다</t>
  </si>
  <si>
    <t>친절하게 안내 주셔서 해결했습니다. 감사합니다.</t>
  </si>
  <si>
    <t>예 자세히는 모르겠으나 대강은 알겠습니다</t>
  </si>
  <si>
    <t>친절하게 다해주셨어요!</t>
  </si>
  <si>
    <t>친절하시고 기존에 문의드렸던거 외에도 친절하게 답변을 해주셔서 감사했습니다.</t>
  </si>
  <si>
    <t>모르는 부분에 대해서 잘 설명해주셔서 많은 도움이 되었습니다. 앞으로도 잘 부탁드립니다.</t>
  </si>
  <si>
    <t>친절하게 도움이 되는 상담해주셔서 감사드립니다.</t>
  </si>
  <si>
    <t>너무 친절히 잘 알려주셔서 너무 감사합니다!</t>
  </si>
  <si>
    <t>이것저것 제가 모르는 부분 알아서 다 세세하게 찾아주십니다 앞으로 어떻게 해야하는지도 자세히 알려주셔서 좋아요</t>
  </si>
  <si>
    <t>자세히 친절히 응답해주셨습니다. 감사합니다</t>
  </si>
  <si>
    <t>설명을 잘해주셔서 잘이해했습니다. 감사합니다.</t>
  </si>
  <si>
    <t>네 상담 상세하게 잘 받았습니다. 감사합니다.</t>
  </si>
  <si>
    <t>너무 답답했는데 친절하고 빠르게 대처해 주셨습니다^^</t>
  </si>
  <si>
    <t>친절하시고 문제가 금방 해결됫어요 감사합니다 ~!!</t>
  </si>
  <si>
    <t>빠른 상담이 좋았습니다.</t>
  </si>
  <si>
    <t>모르는 부분을 잘 설명해주셔서 감사합니다.</t>
  </si>
  <si>
    <t>친절하셔서 좋았습니다</t>
  </si>
  <si>
    <t>상세한 설명을 해주셔서 이해가 잘 되었습니다. 궁금증이 해결되었습니다. 감사합니다.</t>
  </si>
  <si>
    <t>녀무너무 고생이 많으 셨스비다</t>
  </si>
  <si>
    <t>친절하게 문제점 집어주시고 감사했습니다</t>
  </si>
  <si>
    <t>빠른해결감사합니다</t>
  </si>
  <si>
    <t>시원하게 문제를 찾아주시고 해결해주셨어요!</t>
  </si>
  <si>
    <t>친절한상담 감사합니다 첨단을 겨엄한듯 합니다 최고입니다</t>
  </si>
  <si>
    <t>아주 좋은 서비스 감사합니다. 직접적으로 전달받으면서 서비스를 받게 되니 너무 좋았습니다. 서비스에 백프로 만족을 합니다. 더운 날씨에 수고하세요~</t>
  </si>
  <si>
    <t>아주 친절하고 자세하게 설명해주시고, 꼼꼼하게 봐주셔서 매우 만족합니다.</t>
  </si>
  <si>
    <t>친절하고 자세한 설명이 좋았습니다.</t>
  </si>
  <si>
    <t>너무 친절하고 자세히설명 감사합니다</t>
  </si>
  <si>
    <t>궁금한 사항 모두 확인되었습니다. 감사합니다.</t>
  </si>
  <si>
    <t>너무너무 감사합니다! 사소한거에도 신경써주셔서 정말 감사합니다!</t>
  </si>
  <si>
    <t>빠른 서비스 감사합니다.</t>
  </si>
  <si>
    <t>아주 친절하게 진단해 주셨습니다. 오래도록 혼자 고민하고 있던 내용을 바로 해결해 주셨어요 노트북에 설치된 프린터가 예전 kt인터넷 사용할때 설치되었던 거라 노트북에서 프린터 드라이버 삭제하고 재 설치하여 재설정해 주시니까 오랜 숙원이었던 노트북에서 프린팅이 성공적으로 이뤄졌습니다. 역시 전문가 진단서비스 너무 좋네요 감사드립니다.</t>
  </si>
  <si>
    <t>너무 자세한 설명과 도움 주셔서 감사합니다!</t>
  </si>
  <si>
    <t>친절하게 설명 잘 해주셨습니다. 수고하세요</t>
  </si>
  <si>
    <t>아주 만족스럽습니다 짧은 시간에 효율적이고 상세하게 안내해주셔서 Wi--Fi비밀번호 변경에 어려움이 없었으며 친절하게 같은 Wi-Fi 를 사용하는 가족들에게 예상되는 문제점까지 설명해 주셔서 충분히 사전에 대비할 수 있을 것 같습니다 대단히 감사합니다</t>
  </si>
  <si>
    <t>전문성과 함께 친절 하셔서 서비스 받는데 참 좋았습니다</t>
  </si>
  <si>
    <t>바로 빠르게 원인 찻아서 해결 해주셔서 감사 함니다</t>
  </si>
  <si>
    <t>자세하게 봐주시고 설명을 쉽게해주시네요</t>
  </si>
  <si>
    <t>LG 상담사분이랑 원격지원분들 다 왤케 친절해요? 대박</t>
  </si>
  <si>
    <t>기사님 방문하시고 하면 번거로운데 친절하게 잘 알려주셨습니다</t>
  </si>
  <si>
    <t>서비스 만족했습니다</t>
  </si>
  <si>
    <t>적절하고 빠르게 조치 해주셔서 잘 해결했습니다 감사합니다</t>
  </si>
  <si>
    <t>알기쉬운 친절한 설명 감사합니다...</t>
  </si>
  <si>
    <t>아주 만족할만한 서비스를 받았습니다 상담원도 원격지원해 주신분도 친철하고 이해하기 쉬운 말로 설명을 잘해주셨내요 그동안 좀답답했던 서비스보다 좋은것 같습니다</t>
  </si>
  <si>
    <t>친절하게 잘해주셔서 해결햇어요</t>
  </si>
  <si>
    <t>친절하고 빠르셨습니다. 감사합니다.</t>
  </si>
  <si>
    <t>설명 너무 자세히 잘해주셔서 불안함 없이 원격상담 및 케어 잘받았습니다 너무너무 만족스럽습니다 감사합니다!</t>
  </si>
  <si>
    <t>친절하셨습니다!</t>
  </si>
  <si>
    <t>정말 친절하게 봐주시고 궁금한 점도 잘 알려주셨습니다</t>
  </si>
  <si>
    <t>친절히 대응해주셔서 감사합니다</t>
  </si>
  <si>
    <t>만족합니다 감사합니다 수고하솄요</t>
  </si>
  <si>
    <t>최대한 친절한 설명 감사합니다 덕분에 많은 도움이 되었습니다</t>
  </si>
  <si>
    <t>감사합니다. 원인 잘 파악해주셔서 잘 이해했습니다.</t>
  </si>
  <si>
    <t>친절하고 알아듣기 쉽게 설명해주셨어요. 감사합니다.</t>
  </si>
  <si>
    <t>친절하게 설명해주셔서 만족스러운 서비스였습니다.</t>
  </si>
  <si>
    <t>상담시 제 의견을 잘 들어주시고 친절하게 잘 응대해주셔서 감사합니다.</t>
  </si>
  <si>
    <t>친절하게 잘 알려주셔서 감사합니다~!</t>
  </si>
  <si>
    <t>친절하게 문제해결 해주셔서 너무 감사드립니다~!!</t>
  </si>
  <si>
    <t>친절하게 잘 상담해주세용</t>
  </si>
  <si>
    <t>원격진단 친절하게 잘 받았습니다 좋은 서비스 감사해요</t>
  </si>
  <si>
    <t>친절하게 세심하게 알려주시고 진단해주시고 설정해주셔서 불편함없이 사용하고 있습니다</t>
  </si>
  <si>
    <t>친절한 상담 감사합니다!!</t>
  </si>
  <si>
    <t>너무 친절하게 잘 설명해주셔서 감사합니다.</t>
  </si>
  <si>
    <t>친절하게 잘해 주셨습니다</t>
  </si>
  <si>
    <t>늦은시간에 아주 친절하게 도와 주셨습니다. 나이스~~ 서비스</t>
  </si>
  <si>
    <t>빠른처리 좋아요</t>
  </si>
  <si>
    <t>정확한 진단조치 감사드립니다.</t>
  </si>
  <si>
    <t>빠른진단 후속대응 좋습니다</t>
  </si>
  <si>
    <t>친절 하고 좋내요</t>
  </si>
  <si>
    <t>너무 친절하게 상담해주셨습니다 감사합니다</t>
  </si>
  <si>
    <t>신속하게 처리해주셨어요 자세한 설명과 함께 이해하기 쉬웠어요 . 처리해주셔서 감사합니다.</t>
  </si>
  <si>
    <t>친절하게 잘 안내해주시고 적절한 빠른 조치 감사합니다.</t>
  </si>
  <si>
    <t>문제해결은 안 됐지만, 최대한 많은 도움 주셨습니다.</t>
  </si>
  <si>
    <t>한번에 성공하지는 못해 아쉽네요 그래도 두번째에 해결 되어서 다행 고생하셨습니다.</t>
  </si>
  <si>
    <t>친절 상담 감사 합니다 `</t>
  </si>
  <si>
    <t>친절한 상담 감사합니다 !</t>
  </si>
  <si>
    <t>친절하고 상세하게 잘 안내해주셨습니다.</t>
  </si>
  <si>
    <t>친절하고 알기쉽게 설명 해주셨습니다. 다만 원격으로는 수정이 안되는 부분이라 방문 서비스를 받게 되었는데 자세하게 설명해 주셔서 고맙습니다.</t>
  </si>
  <si>
    <t>매우 친절하시고 빠른진행 감사합니다 ^_^</t>
  </si>
  <si>
    <t>친절하게 잘 봐주셔서 감사합니다!</t>
  </si>
  <si>
    <t>나자신을 믿고...5시간을 쩔쩔매다가.. 도저히안돼 진단평가해달라 했는데 10분만에 해결이되네요... 감사합니다...역시 안되면 사람불러라는 옛말이 틀린게 아니었네요</t>
  </si>
  <si>
    <t>원격 기사님 설명 쏙쏙 들게 잘 해주셔서 이해가 바로 됐습니다. 원인 파악 및 조치도 바로 해주셔서 재택 근무 시 피해가 너무 심해서 해지할뻐했는데 원격 기사님 도움덕에 해결됐어요, 친절하시고 능력도 최고세요~</t>
  </si>
  <si>
    <t>짧은시간 이었지만 꼼꼼하게 잘 봐주셨어요</t>
  </si>
  <si>
    <t>빠른 이슈 대응 및 친절하게 구체적으로 상황 진단 및 방안을 안내해주셔서 감사했습니다</t>
  </si>
  <si>
    <t>이유도 모르고 우연히 연결되도 해결은 해결입니다. 감사합니다</t>
  </si>
  <si>
    <t>친절하고 자세히 설명해주셨어요.</t>
  </si>
  <si>
    <t>공유기 확인까지 잘 도와주셨어요!!</t>
  </si>
  <si>
    <t>저에게 너무나 도움이 되는 안내였습니다. 빠르고 정확하고 직관적인 안내로 지금 발생한 문제를 해결할 수 있는 최선의 솔루션을 제공해주셨습니다. 감사합니다.</t>
  </si>
  <si>
    <t>친절하게 상담해주셔서 좋았습니다.</t>
  </si>
  <si>
    <t>친절하셨습니다. 감사합니다 : ) 좋은하루 보내세여</t>
  </si>
  <si>
    <t>정말 만족합니다</t>
  </si>
  <si>
    <t>문제를 잘 인지해주시고, 좋은 서비스와 성격덕에 편하게 받았습니다. 감사합니다.</t>
  </si>
  <si>
    <t>이런것에 익숙하지 않는데 친절히 도와주셔서 감사합니다.</t>
  </si>
  <si>
    <t>너무 친절히 잘해주세요</t>
  </si>
  <si>
    <t>친절하게 설명해주십니다</t>
  </si>
  <si>
    <t>처음 이용해보는데 원격 진단 편하네요!</t>
  </si>
  <si>
    <t>빠른 점검 도와주셔서 정말 감사합니다. 문제점도 정확하게 찾아주시고 최대한 도움 주려고 하신 부분이 더욱 만족도가 높았습니다!</t>
  </si>
  <si>
    <t>친절하게 잘알려주셨어요~</t>
  </si>
  <si>
    <t>상담원분이 완전 친절하세요!</t>
  </si>
  <si>
    <t>너무 친철하고 알아듣기 쉽게 설명을 잘 해주셔서 감사했습니다! 잘 고쳐진 것 같아 기분이 좋습니다 감사합니다</t>
  </si>
  <si>
    <t>빠른상담과 처리 감사합니다.</t>
  </si>
  <si>
    <t>친절하게 점검 잘받았습니다 고맙습니다</t>
  </si>
  <si>
    <t>친절하고 정확하게 처리해 주셨어요~</t>
  </si>
  <si>
    <t>매우 만족 했어요.</t>
  </si>
  <si>
    <t>상담시 친절하게 안내주셨고 끝까지 최선을 다해 주셨습니다. 정말 감사드립니다.</t>
  </si>
  <si>
    <t>꼼꼼하게 친절히 잘봐주시네요 감사합니다</t>
  </si>
  <si>
    <t>친절하게 상담해주시고 후속 방법도 잘 알려주셔서 좋았습니다.</t>
  </si>
  <si>
    <t>친절하게잘알려주셔서 쾌적하게 할수잇엇습니다.</t>
  </si>
  <si>
    <t>신속하고 설명 잘해주시고 해결해주셨어요</t>
  </si>
  <si>
    <t>신속하게 빠르게 원인을 파악하고 해결해 해주셔서 너무 좋았습니다 수고하세요^^</t>
  </si>
  <si>
    <t>원격 진단 하는 내내 친절하게 응대해주신 김태환 상담사분께 깊은 감사의 말씀 드리고 싶습니다. 불편한 점이 많았어서 짜증이 많이 난 상태로 상담을 신청했음에도, 밝은 목소리와 빠르고 정확한 일처리 덕분에 기분이 좋아진 상태로 상담을 마쳤습니다.</t>
  </si>
  <si>
    <t>친절하고 빠른 서비스에 감동 받았습니다. 수동으로 하려니 조금 힘든 부분이 있었는데 너무나도 친절히 응대해 주셔서 진심으로 감사드려요~~</t>
  </si>
  <si>
    <t>자세히 설명해주셔서 좋았습니다</t>
  </si>
  <si>
    <t>김태환 기사님 최고입니다 상좀주세요~</t>
  </si>
  <si>
    <t>원격써비스로 인터넷 속도 친절하게 해결 하여 감사드리고 다른것 도 점검 받을수 있어 감사했습니다 점검에 참여해주신 기사님께 진심으로 감사드리며 다음에 오늘 점검하여 주신 기사님과 다시만날수 있으면 감사하겠습니다 수고 하세요</t>
  </si>
  <si>
    <t>자세히 설명해주시고 친절하셨어요</t>
  </si>
  <si>
    <t>친절하고 적극적인 상담 만족합니다.</t>
  </si>
  <si>
    <t>인터넷 연결에 자꾸 오류가 생겨서 연락드렸는데 상담사분과 원격으로 체크해주시는 분이 너무 잘 체크해주셔서 감사드립니다.</t>
  </si>
  <si>
    <t>너무 세부적이고 상세한 설명 및 지원 감사합니다. 최고!!!</t>
  </si>
  <si>
    <t>원격진단을 통한 진단에 대한 자세한 안내를 받아서 많은 도움이 되었습니다.</t>
  </si>
  <si>
    <t>잘 처리 해주셨습니다. 감사합니다.</t>
  </si>
  <si>
    <t>상세한 설명 잘 해주셨어요!</t>
  </si>
  <si>
    <t>친절하고 정확한 안내 감사합니다 매우 만족합니다</t>
  </si>
  <si>
    <t>좋은 서비스 잘 받았습니다 수고 하세요</t>
  </si>
  <si>
    <t>기사님 덕분에 한방에 해결됐습니다 친절한 설명 감사드립니다 ^^</t>
  </si>
  <si>
    <t>친절하게 설명해주셔서 도움이 됐습니다.</t>
  </si>
  <si>
    <t>잘 받았습니다 수고하세요</t>
  </si>
  <si>
    <t>기사님이 아주~ 꼼꼼하고 친절하게 설명 해주시고 전혀 몰랐던 부분까지 지적해주시면서 문제를 완벽히 해결 해주셨습니다. 너무 감사합니다.</t>
  </si>
  <si>
    <t>하나부터 열까지 세세하게 점검해주시고 해결해주셔서 감사드립니다</t>
  </si>
  <si>
    <t>친절하시고 상세히 알려주셨어요! 발생하는 문제점에대해서도 잘알려주셨습니다.</t>
  </si>
  <si>
    <t>원격으로 잘 안내해주셔서 감사합니다.</t>
  </si>
  <si>
    <t>최대한 아는 범위에 대해서 알려주심.</t>
  </si>
  <si>
    <t>빠른 대처 친절한 설명</t>
  </si>
  <si>
    <t>이한욱 기사님의 친절하고도 빠르고 전문적인 조치로, 만족한 서비스를 받아 칭찬에 한 표하고 싶습니다.</t>
  </si>
  <si>
    <t>친절하고 빠른 문제 진단 감사합니다</t>
  </si>
  <si>
    <t>빠르고 친절하셔서 만족해요</t>
  </si>
  <si>
    <t>차근차근 이해하기 쉽고 편안하게 잘 안내해 주셨습니다. 반복질문에도 쉽고 빠르게 응대해 주시고 후속조치 필요 절차도 안내를 잘 해주셨습니다. 이런 것은 AI가 절대 응대가 불가능하고, 같은 말을 반복하는 경우도 많아서 불편한데 상담해 주시는 분들 줄이지 않았으면 좋겠습니다. lg가 이런 응대가 잘 되서 늘 lg만 이용하려고 합니다.</t>
  </si>
  <si>
    <t>친절하게 설명을 잘 해주셨습니다</t>
  </si>
  <si>
    <t>진단 잘 받았어요 친절하시고 말씀 잘 해주셔서 좋았습니다</t>
  </si>
  <si>
    <t>매우만족합니다 친절상담 최고</t>
  </si>
  <si>
    <t>네 친절하셨고 인터넷이 느려서 문의 드렸는데요 다른 문제점도 꼼꼼히 확인해주시고 기분 안좋았었는데 풀렸어요 좋은 직원분이신거같아요</t>
  </si>
  <si>
    <t>친절하고 자세히 설명해주시며 AS예약까지 해주셔서 만족합니다</t>
  </si>
  <si>
    <t>컴퓨터는 사용 밖에 몰라서 여러가지로 궁금한거를 물어봤는데 다 자세히 쉽고 친절하게 말씀해주셨습니다. 감사합니다.</t>
  </si>
  <si>
    <t>친절하게 상담도와주셨고 빠르게 와주셨습니다!!</t>
  </si>
  <si>
    <t>친절하고 속도감있게 일처리 해주셨습니다. 감사합니다.</t>
  </si>
  <si>
    <t>친절하게응대해주셧어요~</t>
  </si>
  <si>
    <t>원격지원 감사합니다.</t>
  </si>
  <si>
    <t>좋은 정보와 서비스 갑사합니다.</t>
  </si>
  <si>
    <t>상세히설명해주셔서감사합니다</t>
  </si>
  <si>
    <t>친절하시고 설명을 잘해주셔서 믿음이 갑니다.</t>
  </si>
  <si>
    <t>이런 서비스 있는 줄도 몰랐는데. 가만 생각해보니까 실상 유용한 서비스 기능이 거였어요. 예전에 이런 유형의 as를 받으려면 전화 통화로 지시 받으면서 어려웠는데. 좋은 아이디어 라고 생각 합니다. 그리고 담당 하신 기사님도 능숙하시고 친절하게 잘 상담 해주시내요. 만족 하는 서비스 였습니다.</t>
  </si>
  <si>
    <t>아주 친절하고 자세하게 설명해주셔서 너무 감사했습니다. 다음에 문제가 있으면 오늘 상담 해 주신분께 또 받고 싶습니다. 감사합니다</t>
  </si>
  <si>
    <t>너무 잘 상담진행해 주시고 증상도 있던게 사라져서 너무 좋습니다 컴퓨터 사고난 뒤로 속도 이정도 찍히는거 처음봅니다 감사합니다!!</t>
  </si>
  <si>
    <t>친절하게 최선을 다하는 태도로 임해주셔서 편안한 마음으로 서비스를 받았습니다. 긴 시간 애써주셔서 감사합니다. 원활하지 않은 인터넷으로 불편? 했던 마음이 좀 나아졌습니다. 수고많으셨습니다.</t>
  </si>
  <si>
    <t>여러가지 질문했는데 귀찮아 하시지 않고 친절하게 말씀하셔서 너무나 감사드립니다. LGU 고객대응이 너무나 좋아요</t>
  </si>
  <si>
    <t>서비스 시간이 지났는데도 조치해 주셔서 감사합니다 빠른 조치도 감사합니다</t>
  </si>
  <si>
    <t>그저 좋았다 말투나 톤이 조금 공격적이라는 얘기를 들었는데도 불구하고 친절하게 설명해주셨다 하나하나 시간걸리는것과 불필요한것도 해주셨기에 그저 추천 한다</t>
  </si>
  <si>
    <t>친절하게 잘 상담해주셔서 감사합니다. 좋은 하루 되세요~~~^^</t>
  </si>
  <si>
    <t>깔끔하고 좋습니다.</t>
  </si>
  <si>
    <t>원격점검을 하면서 상세히 설명을 해줘서 충분히 이해를 잘 했구요 아직 문제점이 완전히 개선 되였는지 여부는 어느정도 이용을 해 봐야 알 수 있는 사안인데 , 그런 경우에 대해서도 자상한 안내 서비스에 만족하고 감사드립니다 수고 많으셨어요</t>
  </si>
  <si>
    <t>원격으로 점검 해주셧는데 친절하게 잘안내해주셔서 감사합니다. 무리한 요구를 했는데도 불구하고 친절했습니다.</t>
  </si>
  <si>
    <t>너무 친절하게 하나하나 다 봐주셔서 너무 기분 좋게 해결한거 같아 좋습니다 감사합니다</t>
  </si>
  <si>
    <t>한방에 시원하게 잘 해결해 주셔서 고맙습니다. 수고하세요~~</t>
  </si>
  <si>
    <t>친절하고 자세히 알려주셔서 원격진단으로 편하게 받을 수 있는 점이 좋았습니다</t>
  </si>
  <si>
    <t>빠른조치 친절한 상담 감사합니다. 수고하세요</t>
  </si>
  <si>
    <t>빠른문제해결, 정확한 기술력, 친절한 말투로 진행해주셔서 너무 감사합니다. 최고입니다.</t>
  </si>
  <si>
    <t>상세한 설명과 함께 많은 도움을 주셨습니다. 감사합니다.</t>
  </si>
  <si>
    <t>안녕 하세요 감사 합니다 친절한내용 으루 설명 해주셔서 감사 드림니다 ^^</t>
  </si>
  <si>
    <t>삼성 고객센터에서 못했던거 한방에 해결 해주셔서 감사합니다</t>
  </si>
  <si>
    <t>설명도 친절하고 쉽게 설명해 주셔서 잘 이해했습니다</t>
  </si>
  <si>
    <t>정확한 정보와 친절한 상담이었습니다. 문제해결에 매우 큰 도움이 되었습니다. 감사합니다</t>
  </si>
  <si>
    <t>친절하게 자세히 살펴주셨습니다</t>
  </si>
  <si>
    <t>꼼꼼한 점검..감사합니다..</t>
  </si>
  <si>
    <t>친절하게 안내해주셔서 금방 해결했습니다 ~ 감사합니다</t>
  </si>
  <si>
    <t>제가 질문이 많아도 끝까지 책임지시며 정보를 알려주시고 너무 친절하세요</t>
  </si>
  <si>
    <t>너무 친절 하시고, 제 궁금증을 다 해결해 주셨습니다. 감사합니다. 건강한 날들 되세요~~</t>
  </si>
  <si>
    <t>접수 상담부터 원격진단 마무리까지 너무너무 친절하였습니다 이러니 lg유플러스죠!! 너무 감사합니다^^</t>
  </si>
  <si>
    <t>정확한 진단과 설명이 만족스러웠습니다</t>
  </si>
  <si>
    <t>처음에는 인터넷이 속도가 느려져서 걱정이 되었는데, 상담사분과 통화 후 빠르게 원격을 알려주셔서 원격으로 문제점을 점검 받고, 원격 서비스해주신 담당자님이 문제점 알려주시고, 빠르게 고쳐주셔서 너무나 감사합니다.</t>
  </si>
  <si>
    <t>친걸하게 설명해주셔셔 감사합니다.</t>
  </si>
  <si>
    <t>아주 친천하고 잘 도와주셔서 만족합니다.</t>
  </si>
  <si>
    <t>해당 서비스 업무 이외에도 어떻게든 해결해주실려고 하는 부분 넘 감사합니다^^</t>
  </si>
  <si>
    <t>친절하게 원인이뭔지 알려주시고 빠르게 고쳐주셨어요 만약 안되면 해결방법까지 알려주셔서 너무 좋았습니다 감사합니다!</t>
  </si>
  <si>
    <t>친절한 응대</t>
  </si>
  <si>
    <t>친절 하셨어요</t>
  </si>
  <si>
    <t>빠르고 친절하게 안내해주셨습니다.</t>
  </si>
  <si>
    <t>친절하시고 자세하게 문제점에대해 설명해주셔서 편리했습니다</t>
  </si>
  <si>
    <t>일단 놀랍게도 전화가 빠르게 연결 되었습니다. 연결된 이후 문제해결도 빠르게 이루어졌습니다. 항상 전화연결까지가 어려운거 같고 전화 연결이후에는 모든게 빠르게 진행되는 것 같습니다. 빠르게 처리해주신 상담사님과 기사님에게 감사의 말씀 전하겠습니다.</t>
  </si>
  <si>
    <t>정말 편하게 원격진단을 잘 받았습니다. 상담해주시는 선생님들께서 정말 친절하게 봐주셔서 정말 고맙구요. 덕분에 잘 해결했습니다 ^^ 감사합니다.</t>
  </si>
  <si>
    <t>문제를 빠르게 파악하여 신속하게 해결하는 방식이 굉장히 만족했습니다 해결하는 도중에도 관리자 분이 친절하게 설명해주시고 막히더라도 바로바로 우회해서 설명을 해주셔서 편했습니다</t>
  </si>
  <si>
    <t>친절히 잘 설명해주셨어요 감사합니다.</t>
  </si>
  <si>
    <t>끝까지 해결해주시려했던 상담사님에게 박수를</t>
  </si>
  <si>
    <t>기사님이 너무친절하셨고, 안내도 눈높이에 맞게 친절하게 해주셨습니다! 전문성이 느껴졌습니다!</t>
  </si>
  <si>
    <t>꼼꼼히 점검 해 주었습니다. 원인 파악이 되어 향후 조치 할 예정입니다.</t>
  </si>
  <si>
    <t>친절하시고 정확하게 진단해 주셔서 감사합니다 좋은 하루 보내시고 행복하세요^^</t>
  </si>
  <si>
    <t>친절하게 알려주시고 조치 해 주셨습니다</t>
  </si>
  <si>
    <t>친절하게 알기 쉽게 설명 해 주시면서 원격진단 해주셔서 만족스러웠습니다.</t>
  </si>
  <si>
    <t>감사합니다~ㅎㅎ</t>
  </si>
  <si>
    <t>친절하게 문제를 해결해 주신 점에 대해 감사드립니다.</t>
  </si>
  <si>
    <t>기술이최고입니다. 다른분들이못하는기술을가지셨네요 감사드림니다.</t>
  </si>
  <si>
    <t>이해할수 있도록 자세히 설명해줌</t>
  </si>
  <si>
    <t>이해하기 쉽게 설명을 잘해주셔서 어느문제가 있었는지 빠르게 알수있었습니다. 친절한 설명 감사합니다.</t>
  </si>
  <si>
    <t>김태훈 기술 상담원님 오랫동안 문제 해결해주시려고 시간 써주셔서 감사합니다. 사후 추가 문의도 말씀 주셨고 친절하게 도와주셨습니다</t>
  </si>
  <si>
    <t>네 너무너무 친절하게 상세히 안내해주셔서 감사합니다</t>
  </si>
  <si>
    <t>인터넷 문제에 대해 친절하시고 이해하기 쉽게 설명해주셔서 좋았습니다.</t>
  </si>
  <si>
    <t>너무친절하고 빠른조치 감사드립니다 만족도 최고입니다</t>
  </si>
  <si>
    <t>친절한 서비스 안내에 감사드립니다. 궁금한 점이 해결된것 같아 매우 만족합니다. 건강하시고 앞으로도 모르는 궁금한 점이 있으면 연락 드리겠습니다. 감사 드립니다.</t>
  </si>
  <si>
    <t>와이파이 속도 지연 문제가 있었는데, 예상되는 문제점을 바로 발견해주셨습니다. 조치할 수 있는 대안들을 말씀해주시고, 기사님 출장 등 후속 조치까지 깔끔하게 처리해주셨습니다. 매우 만족합니다.</t>
  </si>
  <si>
    <t>친절하게 상담을 들어주셔서 감사합니다.해결방법도 알려주셔서 감사했어요!</t>
  </si>
  <si>
    <t>친절하고 빠르게 불편한점 점검할수 있어서 좋아요 상담사님도 이해쉽게 설명해주셔서 좋았습니다</t>
  </si>
  <si>
    <t>너무 친절하십니다. 설명도 기가막히고 문제점을 바로 찾아주시고 감사합니다</t>
  </si>
  <si>
    <t>잘알아듣게해주셔서 감사합니다.</t>
  </si>
  <si>
    <t>친절하고 자세히 잘 설명해주시고 문제도 해결되어 만족합니다</t>
  </si>
  <si>
    <t>친절하게 잘 설명해주셔서 만족합니다</t>
  </si>
  <si>
    <t>설명도 깔끔하고 차분히 처리해주셔서 금방 잘 처리 되었습니다. 감사합니다!</t>
  </si>
  <si>
    <t>듣고 이해하기 쉬운 상황 설명과 조치방법 및 해결법을 친절하게 제시해주셔서 원인과 해결방법을 쉽게 이해했습니다. 고맙습니다~</t>
  </si>
  <si>
    <t>친절하고 정확한 진단을 진행해주셨습니다.</t>
  </si>
  <si>
    <t>친절하게 잘 진행해주셨어요! 문제 바로 해결 됐습니다 ㅎㅎ</t>
  </si>
  <si>
    <t>상담원 엄청 차분히 설명해주시고 무지 친절하십니다. 원격상담도 빠르고 친절히 진단해주셔서 감사합니다</t>
  </si>
  <si>
    <t>아~~ 감사합니다 사랑합니다 ㅠㅠ 감사합니다 lg 좋아졌네요 전문가분들도 계시고~~</t>
  </si>
  <si>
    <t>친절하고 쉽게 이해잘되게 상담해주셔서 감사합니다.</t>
  </si>
  <si>
    <t>자세하고 설명해주시고 응대해주셔서 좋았습니다</t>
  </si>
  <si>
    <t>문제 해결을 위해 최선을 다 해주셨고 친절히 알려주셨습니다. 감사합니다</t>
  </si>
  <si>
    <t>문제점 잘 해결되었습니다</t>
  </si>
  <si>
    <t>친절한 서비스 감사 합니다</t>
  </si>
  <si>
    <t>적극적으로 업무를 해주시고 출장 기사분 요청도 해주신다고 해서 감사했습니다.</t>
  </si>
  <si>
    <t>아주 자세하게 설명을 해주시고 전혀 모르는것도 다시 새롭게 알게 되어서 감사했다</t>
  </si>
  <si>
    <t>친절하게 잘 설명해 주시고 감사합니다.</t>
  </si>
  <si>
    <t>너무 친절하시고 문제해결도 잘됨</t>
  </si>
  <si>
    <t>친절하게 설명 잘해주셔서 감사합니다. 빠른 조취 또한 10점 / 10점 드립니다.</t>
  </si>
  <si>
    <t>궁금했던 점을 쉽게 이해할수있도록 잘 도와주셨습니다. 감사합니다.</t>
  </si>
  <si>
    <t>친절하시고 정확하게 해 주셔서 너무 감사드립니다 덕분에 모든 궁금증 풀렸습니다 원격 너무좋네요 친절하신 덕분에 만족합니다 감사합니다 만족도100점입니다</t>
  </si>
  <si>
    <t>친절하게 설명을 잘 해주셨습니다. 감사합니다.</t>
  </si>
  <si>
    <t>기사님 최고 따봉!</t>
  </si>
  <si>
    <t>친절하게 서비스 잘 받았습니다 만족합니다</t>
  </si>
  <si>
    <t>빠르고 편하게 잘 진단받고 해결되었습니다.</t>
  </si>
  <si>
    <t>자세하고 친절하게 안내해주셨습니다</t>
  </si>
  <si>
    <t>로그보시더니 한번에 해결하시네요 며칠 애먹었던게 싹 풀리는 원격점검이였습니다.</t>
  </si>
  <si>
    <t>기다림없이 좋은서비스입니다.</t>
  </si>
  <si>
    <t>친절하게상담해주셔서 감사합니다.</t>
  </si>
  <si>
    <t>자세하게 설명해주셔서 이해하기 쉬웠습니다.</t>
  </si>
  <si>
    <t>감사합니다,,,,,^^</t>
  </si>
  <si>
    <t>현재 발생된 문제를 신속하게 해결해주시고 추가로 발생될 수 있는 문제까지 해결책을 알려주시는 부분에 전문성과 친절함이 느껴졌습니다. pc의 문제점을 해결하기 위해 예전에는 단순하게 고객센터 상담원과 상담을 통해 해결하려고 했었다면 현재는 스마트원격진단을 통해 원격으로 직접 기사님이 해주시니 시간도 절약되고 문제해결이 빨라 좋은 것 같습니다.</t>
  </si>
  <si>
    <t>처음부터 고객을 위하는 마음이 느껴져서 좋았습니다. 그리고 생소한 단어도 친절하게 설명해주시고, 말 재주도 좋으셔서 이해가 잘 됐습니다.</t>
  </si>
  <si>
    <t>친절하게 너무 잘해주시네요... 이런 서비스 너무 좋아요...</t>
  </si>
  <si>
    <t>ㅅㅅㅅㅅㅅㅅ</t>
  </si>
  <si>
    <t>친절하고 자세한 설명 감사드립니다~~~~~~~~~~~~~~~~</t>
  </si>
  <si>
    <t>친절한 상담과 정확한 정보를 주어 많은 도움이 되었습니다.</t>
  </si>
  <si>
    <t>너무 친절하고 만족 합니다 뭐 봐도잘 모르지만 알기쉽게 설명해주셧고 믿음이 갑니다 감사합니다</t>
  </si>
  <si>
    <t>친절하고 신속하게 안내 받았습니다.</t>
  </si>
  <si>
    <t>아주 친절하고 상세히 설명 잘 들었습니다. 고맙습니다.</t>
  </si>
  <si>
    <t>친절한 상담과 문제해결에 도움 되었습니다.</t>
  </si>
  <si>
    <t>상담사분들이 다들 친절하게 잘 응대 해주셔서 좋았습니다. 문제해결 안내도 해주셔서 좋아요~</t>
  </si>
  <si>
    <t>원격으로 빠르고 편리하게 관리해주셔서 아주 만족스럽습니다. 컴퓨터 문제는 아니라서 문제가 바로 해결되진 않았지만 이후 문제 해결 과정도 매끄럽게 처리해주셔서 너무 좋았습니다.</t>
  </si>
  <si>
    <t>빠르게 진단해주시고 조치해주셔서 감사합니다.</t>
  </si>
  <si>
    <t>친절하고 정확한 안내가 많은 도움 되었습니다. 감사합니다.</t>
  </si>
  <si>
    <t>상세한 설명 너무 감사합니다.</t>
  </si>
  <si>
    <t>친절하게 상담도 해주시고 감사합니다 이런 스마트원격진단이 있는줄도 몰랐는데 단시간에 편하게 문제 해 해결에 도움을 주셔서 감사합니다 수고하세요^^</t>
  </si>
  <si>
    <t>친절하게 문제에 대해서 설명도 해주시고 컴퓨터에 이상이 없는지도 같이 봐주셨어요 감사합니다</t>
  </si>
  <si>
    <t>해결됬습니다</t>
  </si>
  <si>
    <t>친절하게 알려주셨어요~ 제가 잘 몰라서 망설이고 힘들어 했는데 차분한 목소리로 자세하게 알려주셔서 불편함이 없었습니다. 감사합니다.</t>
  </si>
  <si>
    <t>해결되어서 진심으로 감사드립니다.이해가 충분히 되었습니다.</t>
  </si>
  <si>
    <t>원인을 빠르게 발견해주셔서 매우 만족합니다 . 감사합니다</t>
  </si>
  <si>
    <t>안녕하세요~ 원격점검잘받았습니다. 인터넷이 끊김이있어서 불편을했었는데~ 접수후 빠른 진행을 해주시고 빠른답변도 주셔서 고맙습니다~ 이렇게 원격으로 불편이있는점을 사용할수있게 해주셔서 감사드립니다. ^^</t>
  </si>
  <si>
    <t>너무 친절하게 최선을 다해주셔서 감사합니다 !! 확실한 진단까지 내리진 못했지만 해결을 위한 몇가지 단서를 얻을 수 있었습니다 감사합니다 !!</t>
  </si>
  <si>
    <t>빠르고 친절하게 해결해주셨어요~</t>
  </si>
  <si>
    <t>차분하게 설명 잘해주시고 문제점도 잘 알려주셔서 감사합니다~~^^</t>
  </si>
  <si>
    <t>금방 해결 해주셨습니다 감사합니다</t>
  </si>
  <si>
    <t>아주 친절하시고 너무완벽하게 설명도 잘 해주셨습니다. 문제 해결도 너무 완벽하게 처리되었어요!</t>
  </si>
  <si>
    <t>친절히 잘 설명해주셧어여</t>
  </si>
  <si>
    <t>친절한 상담 감사합니다 ^^</t>
  </si>
  <si>
    <t>고생하셨습니다. 감사합니다.</t>
  </si>
  <si>
    <t>하나하나 꼼꼼히 봐주셔서 너무좋습니다 집에서 간편하게 할수있고 체크도 잘해주셔서 좋습니다</t>
  </si>
  <si>
    <t>친절한 상담 감사합니다. 도움이 되었습니다.</t>
  </si>
  <si>
    <t>서비스가 좋습니다</t>
  </si>
  <si>
    <t>전문적인 지식으로 정말 빠르게 해결해 주셨습니다.</t>
  </si>
  <si>
    <t>이해가 잘되게 자세하게 알려주셔서 이해가 확실히 되었습니다.</t>
  </si>
  <si>
    <t>친절하게 원인 및 문제해결 안내해주셨습니다. 감사합니다.</t>
  </si>
  <si>
    <t>빠르게 대처 해주셔서 좋아요</t>
  </si>
  <si>
    <t>친절안내 감사합니다</t>
  </si>
  <si>
    <t>친절하시고 매우만족 합니다 수고 하셧습니다</t>
  </si>
  <si>
    <t>친절하고 자세하게 설명해줌니다. 해결완료</t>
  </si>
  <si>
    <t>친절하시고 잘 알려주세요~~</t>
  </si>
  <si>
    <t>고객의 알고싶어하는것 하고자 하는것을 너무 잘 알아주시고 친절하게 응대해주셨습니다</t>
  </si>
  <si>
    <t>친절한답변감사합니다.</t>
  </si>
  <si>
    <t>원격점검시 이해하기 쉽게 알려주시고 문제점을 잘 해결할수있게 도와주셨습니다</t>
  </si>
  <si>
    <t>일단 처리는 내일로 미루어야겠군요. 기사님께서 방문을 하셔야하겠네요...</t>
  </si>
  <si>
    <t>원격진단이란것이 있는것이 신기 했습니다. 편리한 진단 방법이 있어 좋았습니다. 감사합니다.</t>
  </si>
  <si>
    <t>매우만족합니다.감사합니다--</t>
  </si>
  <si>
    <t>처음 원격지원 상담 받아봤는데 좋네요 감사합니다.</t>
  </si>
  <si>
    <t>아이피 문제로 평일 늦은시간에 연락드렸습니다. 초기 대응부터 마지막까지 문제 없이 해결해주셨습니다. 감사합니다.</t>
  </si>
  <si>
    <t>감사합니다 잘 설명해 주셨어요</t>
  </si>
  <si>
    <t>네 아주 심플하게 설정이 되었습니다. 감사합니다. 컴퓨터 재 부팅 후 실행 해 보도록 하겠습니다.</t>
  </si>
  <si>
    <t>친절하고 신속하게 불편한점 처리해 주셔서 감사합니다</t>
  </si>
  <si>
    <t>친절하시고 금방 조치가 취해졋습니당</t>
  </si>
  <si>
    <t>빠른 진단과 설정 감사합니다</t>
  </si>
  <si>
    <t>일단 점검은 잘 받았습니다. 그러나 점검 받기 까지 ARS 들어 가는 루트가 너무 많습니다. 상담원 연결 - 고장 이면 즉시 연결되었으면 합니다. 쓸데없는 요금 관련 루트가 3번이나 나오는건 문제가 있는거 같습니다.</t>
  </si>
  <si>
    <t>빠른 문제해결과 친절한 상담. 둘 모두 완벽했습니다.</t>
  </si>
  <si>
    <t>감사합니다 덕분에 잘해결됐습니다.</t>
  </si>
  <si>
    <t>친절한 안내와 점검 아주 만족합니다. 감사합니다.</t>
  </si>
  <si>
    <t>조치 만족도 최상입니다 감사합니다</t>
  </si>
  <si>
    <t>친절하게 잘 설명해주시고 후속조치 까지 도와주셨습니다.</t>
  </si>
  <si>
    <t>친절한 설명과 꼼꼼한점검 감사드립니다.</t>
  </si>
  <si>
    <t>친절하고 정확한 상담 잘 받았습니다</t>
  </si>
  <si>
    <t>친절상담 감사드려요~~~^^</t>
  </si>
  <si>
    <t>문제점을 꼼꼼하게 확인해주시고, 궁금한 사항을 질문 드렸는데 친절하게 잘 설명해주셔서 감사합니다. 덕분에 많이 정보를 얻었습니다. 다시 한번 감사드립니다.</t>
  </si>
  <si>
    <t>잘 설명해주시고 친절해요</t>
  </si>
  <si>
    <t>반복되는 설명 요청해도 친절하게 응대해 주셔서 감사합니다.</t>
  </si>
  <si>
    <t>문의한 내용에 대한 답변과 처리 과정이 차분하고 이해하기 쉽게 설명해 주셔서 좋았습니다.</t>
  </si>
  <si>
    <t>친철하고 꼼꼼하게 해주셔서 감사합니다~</t>
  </si>
  <si>
    <t>감사합니다 최고의 친절이었습니다</t>
  </si>
  <si>
    <t>친절또친절합니다</t>
  </si>
  <si>
    <t>너무 친절한 답변에 감사드립니다 . 알려주신대로 다시 설정해보겠습니다. 다시 한번 감사드립니다. 좋은 하루 보내시구요</t>
  </si>
  <si>
    <t>친절하게잘알려주셨습니다</t>
  </si>
  <si>
    <t>진철하시고 상세하게 설명 잘 들었습니다. 고생하세요!!</t>
  </si>
  <si>
    <t>감사합니다 친절하십니다</t>
  </si>
  <si>
    <t>많은시간 소요하면서 고생하셨습니다.감사합니다.</t>
  </si>
  <si>
    <t>컴퓨터에 서툴러서 시간이 많이 걸렸는데 기사님이 친절하게 기다려주시고 잘 설명 해주시고 잘 처리해주셔서 감사합니다</t>
  </si>
  <si>
    <t>설명이 이해가 쉬웠습니다</t>
  </si>
  <si>
    <t>바쁘신데 감사하였습니다.</t>
  </si>
  <si>
    <t>친절하게 잘 받았습니다 감사합니다</t>
  </si>
  <si>
    <t>너무너무 감사하게 잘 해결햇읍니다~~감사합니다</t>
  </si>
  <si>
    <t>원격으로도 이렇게 좋게 처리가되니 편리하고 친절들하시고 다 좋았습니다.</t>
  </si>
  <si>
    <t>깔끔합니다.</t>
  </si>
  <si>
    <t>친절하고 꼼꼼하게 봐주셔서 좋았어요</t>
  </si>
  <si>
    <t>친절하게 알려주셔서 감사합니다~!</t>
  </si>
  <si>
    <t>설명을 친절하게해주셔서 너무감사합니다1</t>
  </si>
  <si>
    <t>공유기 교체후 연결이 안되서 당황했지만 오류부분을 방문하지않고 원격으로 해결하니 너무편하고 좋은것같습니다 감사합니다</t>
  </si>
  <si>
    <t>컴퓨터 상태를 알기 쉽게 잘 설명해주시고 대처방법까지 알려주셔서 정말 감사드려요.</t>
  </si>
  <si>
    <t>빠르고 신속하게 잘 점검해 주셨습니다.</t>
  </si>
  <si>
    <t>너무 친절하고 상세하게 진단을 해주셔서 많은 도움이 되었습니다. 감사합니다.</t>
  </si>
  <si>
    <t>설명을 잘해주시고 친절하시고 좋습니다</t>
  </si>
  <si>
    <t>친절하고 상세하게 문제점을 짚어주시고 같은 일을 두번할뻔했는데 기사님 선에서 해결해주셔서 편하게 상담받을 수 있었습니다. 문제점도 발견해주셔서 해결할 수 있을거같아요!</t>
  </si>
  <si>
    <t>정말 알아듣기 쉽게 설명해주시고 여러가지 해결방안까지 미리미리 아시고 상담해주셔서 최고 평점 드리고 싶습니다.</t>
  </si>
  <si>
    <t>대기시간이 너무많이 기다렸습니다 수고하셨습니다</t>
  </si>
  <si>
    <t>상담해 주신 담당자분들이 친절하게 안내해 주셔서 편하게 원격진단 받을 수 있었습니다.</t>
  </si>
  <si>
    <t>친절한 상담과 상세한 설명이 좋았습니다.</t>
  </si>
  <si>
    <t>설명을 친절하게 잘 설명해 주셨습니다.</t>
  </si>
  <si>
    <t>고객센터 직원분, 원격직단 해주신 직원분 모두 친절하십니다^^</t>
  </si>
  <si>
    <t>몇 주간 문제였던 부분을 신속하고 정확하게 해결해주셨습니다.. 감사합니다</t>
  </si>
  <si>
    <t>친절하시고 빠른 해결해주셔서 감사합니다.</t>
  </si>
  <si>
    <t>친철하게 원인 파악해서 해결해주심. 실력이 최고, 친절도도 최고!</t>
  </si>
  <si>
    <t>친절하게 잘 처리 해주어서 감사합니다</t>
  </si>
  <si>
    <t>빠른 대응과 서비스 정말 감사합니다 원하는바를 정리하여 매우 좋았습니다.</t>
  </si>
  <si>
    <t>친절하고 신속하게 처리해주셨어요~ 설명도 자세히 잘 해주셨습니다.</t>
  </si>
  <si>
    <t>wdf</t>
  </si>
  <si>
    <t>스마트 원격진단 서비스를 이용했는데 상담해주 주신 담당자분들 너무 친절하고 이해하기 쉽게 설명해 주셔서 감사했습니다. 전반적으로 전문성과 친절함이 만족스러웠던 서비스였습니다:)</t>
  </si>
  <si>
    <t>문제를 해결해주시고 대안도 제시해주셔서 감사합니다 친절하게 설명해주셔서 고마웠어요</t>
  </si>
  <si>
    <t>인터넷 관련 문제로 인해 정확하게 안내해 주시고 해결해 주셨어요~</t>
  </si>
  <si>
    <t>상담하시는 기사님이 너무 친절하시고 이해하기 편하게 설명해 주셨어요 매우 만족합니다.</t>
  </si>
  <si>
    <t>상담이 명회하게 잘해주심니다</t>
  </si>
  <si>
    <t>고생 많으셧습니다 추가문의 답변 및 세팅 감사합니다</t>
  </si>
  <si>
    <t>친절하게 아주 빠르게 처리 해주셨습니다. 최고입니다.</t>
  </si>
  <si>
    <t>늦은 시간에도 충분한 설명과 친절히 설명해주셔서, 뭐가 문제인지 어느정도 인지했습니다. 문제점이 확실하진 않지만 기사님을 따로 보내주신다고 하니 안심되네요. 감사합니다.</t>
  </si>
  <si>
    <t>친절하게 이해하기 쉽게 설명 잘해주셨어요</t>
  </si>
  <si>
    <t>자세한 설명으로 이해하기 쉽게 알려주셔서 감사합니다.</t>
  </si>
  <si>
    <t>빠른 시간 내에 원격으로 진단해주시고 점검을 도와주셔서 불편함 없이 진단을 할 수 있었습니다. 서비스 속도도 체크해 주시고 직접 확인할 수 있어서 더 좋았습니다.</t>
  </si>
  <si>
    <t>친절하게 상담해주시네요</t>
  </si>
  <si>
    <t>깔끔하게 일을 잘하시네요</t>
  </si>
  <si>
    <t>일단 기본적인 상담 잘 받았습니다.</t>
  </si>
  <si>
    <t>친절하고, 잘 알려주셨습니다. 감사합니다.</t>
  </si>
  <si>
    <t>원격으로 실시간 상담을 받으며 피드백을 받으니 너무 좋고 편안합니다 그리고 무엇보다 원격 서비스 해주시는 기사님의 친절함과 상냥함에 감동을 받으며 글을 적습니다 감사합니다</t>
  </si>
  <si>
    <t>기사님 너무너무 친절하시고 컴맹인 저한테도 알아듣기 쉽게 설명해주셔서 너무 감동받았습니다!! 기사님같이 친절한 분들만 계시면 고객센터에 전화하는게 하나도 부담되지 않을 것 같아요. 꼭 전달해주세요 기사님 감사합니다 ㅎㅎ</t>
  </si>
  <si>
    <t>서비스 잘 받았습니다</t>
  </si>
  <si>
    <t>전문성 있게, 빠르게 문제 해결이 되었습니다.</t>
  </si>
  <si>
    <t>원격으로 진단을 수행하여 괭장히 편리하였고~ 증상 내용을 바로 체크해주셔서 좋았습니다.</t>
  </si>
  <si>
    <t>아주 상세한 설명과 꼼꼼한 점검이었습니다 매우 만족합니다</t>
  </si>
  <si>
    <t>직원분께서 너무 친절하게 설명해주셨고 문제를 해결해 주셨습니다. 너무 감사드립니다.</t>
  </si>
  <si>
    <t>친절하게 잘 안내해주셨어요</t>
  </si>
  <si>
    <t>빠른 초치 감사 합니다</t>
  </si>
  <si>
    <t>전화 상담사 이충렬님 너무나도 친절히 상담해주시고(역대급으로 최고의 상담사 입니다^^) 그리고 원격점검 서비스 해주신 기사님도 디테일하게 완벽하게 점검 해주셔서 너무나도 감사합니다 두분 덕분에 기분좋은 하루 보냅니다 고맙습니다^^~^^</t>
  </si>
  <si>
    <t>친절하게 설명도 잘 주시고 처리도 잘해 주셨습니다. 수고하시요.</t>
  </si>
  <si>
    <t>좋은 팁과 친절한 상담받았습니다. 만족했습니다</t>
  </si>
  <si>
    <t>녜 친절하게 서비스 잘 받았습니다</t>
  </si>
  <si>
    <t>빨리 해결됐습니다. 전문가시네요.</t>
  </si>
  <si>
    <t>친절한 설명 잘 들었습니다</t>
  </si>
  <si>
    <t>빠르게 우선 조치해주셨습니다.</t>
  </si>
  <si>
    <t>너무 친절해서 ~ 감동했어요~ 감사합니다^^</t>
  </si>
  <si>
    <t>친절하시고 빠른해결,, 너무 감사드립니다 직접 보지도 않으시고 어떻게 바로 맞추시는지 최고예요!!! 너무 빨리 해결돼서 머쓱했는데 친절하게 대해주셔서 감사했습니다~</t>
  </si>
  <si>
    <t>만족이요.문제점에 대한 진단부터 해결책 제시까지 만족스러웠습니다.</t>
  </si>
  <si>
    <t>신속하게 일처리해주셔서 감사합니다.</t>
  </si>
  <si>
    <t>uyh</t>
  </si>
  <si>
    <t>친절하게 끝까지 도와주셔서 감사합니다</t>
  </si>
  <si>
    <t>친절하고 아주 만족스러운 서비스입니다</t>
  </si>
  <si>
    <t>빠른 서비스 감사합니다</t>
  </si>
  <si>
    <t>서비스 친절하게 잘 받았습니다...</t>
  </si>
  <si>
    <t>상세한설명 감사합니다.큰도움됐습니다.</t>
  </si>
  <si>
    <t>문제가 있던걸 쉽고 빠르게 증상을 고쳐주셔서 감사합니다.</t>
  </si>
  <si>
    <t>친절히 서비스 잘받았습니다 수고하세요</t>
  </si>
  <si>
    <t>너무 친절하게 잘 해주셨어요! 감사합니다.</t>
  </si>
  <si>
    <t>실질적인 도움이 되지 못함 원격으로 조치 할 수 없어서 방문 접수를 통해 확인을 해야 된다고 하는데 왜 비용이 나올 수 있다는 안내를 하는지 납득이 안감 어차피 원격으로 할수 없다면 처음부터 휴대폰으로 인터넷 측정 결과 토대로 방문 접수를 바로 하면 되지 왜 두번 일을 하는지도 알지 못 하겠음 고객은 납득하지 못 하는데 평가는 좋게 해 달라는 점이 더욱 실망스러움 업무에 피로도가 있겠지만 전혀 친절하다는 느낌도 받을 수 없으며 고객의 니즈에 대한 해결책은 전혀 제시받지 못해 답답함만 남음 이럴거면 원격점검 서비스는 필요 없다는 생각이 듭니다.</t>
  </si>
  <si>
    <t>길은상선생님과 원격지원하신 선생님의 친절에 만족합니다 앞으로 많은 발전빌겠습니다.</t>
  </si>
  <si>
    <t>친절한 AS 감사합니다.</t>
  </si>
  <si>
    <t>친절하게 잘 설명해주시고 해결해주셨습니다. 감사합니다.^^</t>
  </si>
  <si>
    <t>신기방기 합니다^^ 신속하게 해결되었습니다.,</t>
  </si>
  <si>
    <t>언제나 도움주셔서 감사합니다</t>
  </si>
  <si>
    <t>친절하고 상세히 자세히 차근차근 이해하기 쉽게 설명을 잘 해주셨습니다.</t>
  </si>
  <si>
    <t>친절하게 질문에 답변 주시고, 추가로 확인 방법도 알려주셔서 좋았습니다.</t>
  </si>
  <si>
    <t>친절하게 설명해 주시고 바로 조취 해주셨습니다. 빠른 대응 감사합니다.</t>
  </si>
  <si>
    <t>원격 점검 서비스 해주시는 기사분이 친절하게 설명 잘해주셔서 이해하기 쉬웠네요. 이상이 생긴 부분도 찾아서 처리해 주셔서 편했습니다.</t>
  </si>
  <si>
    <t>정말 친절하게, 완벽하게 처리해주셨습니다.</t>
  </si>
  <si>
    <t>친절상담 해주셨어요!</t>
  </si>
  <si>
    <t>친절하시고 잘 모르는 사람도 잘 알아들을 수 있게 쉽게 설명해주셨습니다.</t>
  </si>
  <si>
    <t>너무 친절하고 빠르게 봐주셔서 불편함없이 문제 해결해주셨습니다. 다음번에 또 진단을 받을일이 생긴다면 해당 직원님과 또 만났으면 좋겠어요!!!</t>
  </si>
  <si>
    <t>매우 만족합니다 빠르고 정확한 해결 감사드립니다</t>
  </si>
  <si>
    <t>매우 자세하고 정확하게 알려주셨습니다</t>
  </si>
  <si>
    <t>친절하시고 편안하십니다 최고최고</t>
  </si>
  <si>
    <t>상담잘해주시고꼼꼼히 봐주셨어요. 감사합니다^^</t>
  </si>
  <si>
    <t>빠르고 친절하게 처리해 주셔서 감사합니다. 말씀 주신대로 이용 해보고 , 안되면 연락 또 드릴께요 ~</t>
  </si>
  <si>
    <t>상세하게잘안내받았습니다.</t>
  </si>
  <si>
    <t>빠르고 친절하게 잘받았습니다.</t>
  </si>
  <si>
    <t>친절하고 빠르게 해결해주셨습니다. 감사합니다.</t>
  </si>
  <si>
    <t>완전 최고입니다 친절하게 너무 자세하게 기사분이 잘해결해 주셨어요</t>
  </si>
  <si>
    <t>친절하게 설명해주시고 빠른조치해주셔서 너무 감사합니다</t>
  </si>
  <si>
    <t>빠른처리</t>
  </si>
  <si>
    <t>친절하고 이해하기 쉽게 차근차근 설명해주셔서 너무 만족합니다. 다음에도 원격으로 도움받고 싶다는 생각이 들었어요 도움주신 기사님에게 다시 한번 감사드립니다.</t>
  </si>
  <si>
    <t>편하고 자상하개 해주셔서 감사합니다 다만 근본적인 햬결에는 미비한점이 lg인터넷에 아쉬운 부분이라 하겠읍니다 한방향인터넷에 동축 캐이블이라는 문재는 소비자가 부담할 내용은 아닌거 같읍니다</t>
  </si>
  <si>
    <t>친절히 상담해주시고. 제가 요청한 작업을 빠르게 진행해주셨어요</t>
  </si>
  <si>
    <t>친절하게 안내도와주셔서 감사합니다.</t>
  </si>
  <si>
    <t>자세하고 쉽게 알려주셔서 감사합니다~!</t>
  </si>
  <si>
    <t>친절하게 문제점을 잘 해결해주셨고 기술적으로 궁금한 부분에 대해서도 쉽게 설명해 주셔서 만족스러운 상담이었습니다.</t>
  </si>
  <si>
    <t>친절하고 정확한 상담이셨습니다.</t>
  </si>
  <si>
    <t>모든 문제를 친절하고 깔끔하게 처리해주셨어요 감사합니다!!!!</t>
  </si>
  <si>
    <t>첫번째 미흡했던 부분을 모두 처리해주어 감사합니다.</t>
  </si>
  <si>
    <t>자세한 설명과 친절한 대응 너무 감사합니다</t>
  </si>
  <si>
    <t>너무 친절하시고 빠른 조치 해 주셨어요 감사합니다 !@!!</t>
  </si>
  <si>
    <t>충분히 만족 하였습니다.</t>
  </si>
  <si>
    <t>ARS부터 상담사님과 기술 부서까지 전화 연결과 안내 모두 신속하고 매끄럽게 잘 연결되었고 빠르게 진단 후 조치해 주셨습니다. ARS 무한 뺑뺑이 돌거나 연결이 안되면 어쩌나 솔직히 걱정 많이 했는데 당초 생각보다 정말 빠르게 잘 조치돼서 매우 좋았습니다.</t>
  </si>
  <si>
    <t>친절하게 상담해주셔서 고마워습니다. 감사합니다 컴퓨터 잘 사용할께요,,</t>
  </si>
  <si>
    <t>꼼꼼하게 잘 해주십니다.</t>
  </si>
  <si>
    <t>친절하게 잘 안내해주셨습니다. 어제 주위에 인터넷 망 장애가 발생했다고 해서 그 영향으로 인해 연결 장애가 있을 수도 있다고 해서 일단 대리 방문 접수 해주셨습니다. 만족합니다.</t>
  </si>
  <si>
    <t>빠른 증상 해결과 상담 감사합니다!!</t>
  </si>
  <si>
    <t>매우 친절하고 도움이 되었습니다</t>
  </si>
  <si>
    <t>만족합니다. 굳입니다</t>
  </si>
  <si>
    <t>상담자 님 께서 너무 친절하고 고객 눈높이에 맞춰서 잘 응대해 주셔서 잘 되었습니다. 너무 고맙습니다. 좋은 오후 되시고 점심 식사 맛있게 드세요</t>
  </si>
  <si>
    <t>너무 친절하게 잘 처리해 주셨습니다!!</t>
  </si>
  <si>
    <t>빠르고 친절하게 설명해주셔서 좋았습니다.</t>
  </si>
  <si>
    <t>빠르고 정확하게 처리해주셨어요 감사합니다</t>
  </si>
  <si>
    <t>친절하게 점검해주시고 추후 방안까지 알려주셨습니다</t>
  </si>
  <si>
    <t>업데이트 까지 해주시고 점검 잘해주셔서 감사합니다. 잘쓰겠습니다. 수고하세요.</t>
  </si>
  <si>
    <t>유익했습니다</t>
  </si>
  <si>
    <t>상세하게 잘말해주셨습니다.</t>
  </si>
  <si>
    <t>아죽 친절하게 안되는것도 가르쳐주시고 쉽세 이해가 되어 감사합니다.</t>
  </si>
  <si>
    <t>매우 친절하며 원인과 복구 상황에 대해서 상세하게 아주 자세하고 신속하게 알려주시면서 조치를 해주셨습니다. 엘지유플러스의 다른 직원분들도 이분처럼 해주셨으면 좋겠습니다 . 감사합니다.</t>
  </si>
  <si>
    <t>지금까지 겪었던 as기사분들 중에서 가장 친절했어요 최고입니다</t>
  </si>
  <si>
    <t>빠르고 친절하고 좋아요!</t>
  </si>
  <si>
    <t>친절하시고 더 해주시려고 하는 마음이 좋았습니다 감사합니다</t>
  </si>
  <si>
    <t>너무 깔끔하게 해주셔서 빠르게 서비스 받았습니다. 감사합니다~</t>
  </si>
  <si>
    <t>너무 친절하시고, 상세하게 말씀해주셔서 감사했어요! ㅎㅎㅎㅎ</t>
  </si>
  <si>
    <t>기사님 친절하게 서비스 잘 받았습니다.</t>
  </si>
  <si>
    <t>친절하게 잘 설명해주십니다.</t>
  </si>
  <si>
    <t>친절하게 잘 진행해주어서 해볼 수 잇는 것은 다 해본것 같습니다 해결은 되지 않았지만 만족스러운 서비스입니다</t>
  </si>
  <si>
    <t>친절하고 꼼꼼하게 잘 봐주셔서 감사합니다.</t>
  </si>
  <si>
    <t>질문같은것도 많이했는데 이것저것 너무 친절하게 답해주시고 말하는게 너무편해서 좋았습니다 다음에도 이런분에게 서비스받으면 좋겠네요 감사합니다~</t>
  </si>
  <si>
    <t>LG 유플러스는 고객센터도 그렇고 정말 친절한 것 같아요. 서비스에 만족합니다.</t>
  </si>
  <si>
    <t>설명을 잘 해주시고 빠르고 깔끔합니다</t>
  </si>
  <si>
    <t>다소 오래 참고 접수한 건이라 기분이 좋지 않았는데, 끝까지 말 들어주시고 어떤 문제점인지 차분히 판단해주시려는 모습이 너무 감사했습니다. 인터넷해지접수까지 고민했는데 상담사분 소통하니 문제만해결되면 계속써도 무관할것 같네요.</t>
  </si>
  <si>
    <t>친절하게 차분히 설명해주셔서 해결했습니다. 감사합니다</t>
  </si>
  <si>
    <t>친절하게 대응해주셨어요~!</t>
  </si>
  <si>
    <t>원격으로 어떤 부분이 문제인지 점검이 가능해서 편했습니다. 그동안 답답했던 부분의 원인을 알 수 있어서 만족스럽습니다.</t>
  </si>
  <si>
    <t>확실한처리 감사드립니다.</t>
  </si>
  <si>
    <t>친절하게 설명하고 문제를 바로 해결해 주셔서 감사합니다.</t>
  </si>
  <si>
    <t>설면도 자세히 해 주시고 너무 친절하게 해주셨습니다 너무 감사합니다</t>
  </si>
  <si>
    <t>설명잘해주시고 친절했어요</t>
  </si>
  <si>
    <t>복잡한 작업인데도 친절하게 완벽히 해결해주셨습니다, 감사드립니다</t>
  </si>
  <si>
    <t>이게 해결될 줄은 몰랐어요! 빠르게 해결해주셔서 압도적 감사 드립니다!!</t>
  </si>
  <si>
    <t>친절상담 감사합니다</t>
  </si>
  <si>
    <t>감사합니다. 오늘도 수고하세요.</t>
  </si>
  <si>
    <t>만족도 는 최고고요 글 재주가 없어서 모라 쓸줄모르겠네요 제가 원하는 답볍은 받았구요 함 실행 해봐야죠 만족도 는 많히 감사합니다 수고하세요</t>
  </si>
  <si>
    <t>친절하고 빠르게 잘처리해 주셧습니다</t>
  </si>
  <si>
    <t>네 성실히 잘 점검해주셨습니다. 만족합니다.</t>
  </si>
  <si>
    <t>친절하게 설명해주시고 해결이댔습니다</t>
  </si>
  <si>
    <t>엄청 친절하심 오늘도 수고하세요</t>
  </si>
  <si>
    <t>너무 감사합니다.. 점검후 정상 사용 가능 하세요 너무 감사합니다.</t>
  </si>
  <si>
    <t>친절하고 꼼꼼히 잘 확인해 주셨습니다^^</t>
  </si>
  <si>
    <t>친절하고 신속하게 처리해주셨습니다. 전화상담원, 원격처리기사님 모두 감사합니다.</t>
  </si>
  <si>
    <t>원격지원 잘 해주셔서 감사해요</t>
  </si>
  <si>
    <t>복잡하고 시간약속 잡을 일 없이 집에서 편하게 점검받을 수 있어서 좋았습니다. 친절한 점검 감사드립니다.</t>
  </si>
  <si>
    <t>너무 친절히 설명 해주시고 궁금한점까지 풀어주셨어요</t>
  </si>
  <si>
    <t>좋습니다 간편하고</t>
  </si>
  <si>
    <t>전문적인 상담과 해결책 제시 에프터케어 서비스 확실 원격특성을 잘 이해하고있기에 현재 로그상으로는 표시가 안되는 문제가 있을수있어 방문점검을 추천해주는 확실한 케어가 맘에 들었습니다. 물리적인 해결책 제시 = 리얼텍 pci 기가비트 유선 랜카드 제품 추천 현재 제 컴퓨터에있는 랜카드의 이슈를 알려주시고 증상을 해결할려는 모습이 보기좋았으며 좋은제품으로 추천을 주신점 감사합니다.</t>
  </si>
  <si>
    <t>정말 친절하게 상담잘해주셔서 편하게 상담받았습니다. 감사합니다~</t>
  </si>
  <si>
    <t>친절하게 증상을 확인해주셨습니다</t>
  </si>
  <si>
    <t>실력있게 단번에 문제점을 알아내고 처리해 주셨고, 친절하게 처리해주셔서 감사합니다</t>
  </si>
  <si>
    <t>이해쉽게 친절하게 불편사항을 해결해주셨습니다 감사합니다</t>
  </si>
  <si>
    <t>빠른 대응으로 만족합니다</t>
  </si>
  <si>
    <t>문제점에대해서 확실하게 알려주셔서 좋았습니다</t>
  </si>
  <si>
    <t>설명이 정확하고 빠르게 안내되었습니다</t>
  </si>
  <si>
    <t>친절하고 상세하게 안내해 주셨어요. ^^</t>
  </si>
  <si>
    <t>친절하게 조치 내용 확인부터 추후에 개인적으로 할 수 있는 해결방법까지 안내해주셨습니다. 빠른 시간내에 조치해주셔서 감사합니다.</t>
  </si>
  <si>
    <t>수고많으셨습니다</t>
  </si>
  <si>
    <t>컴퓨터 원격 처리를 받은 결과 computer 문제가 아니라고 하시고 물리적으로 단락, 연결되는 현상이 발생되고 있으며 추후 다시 발생시 AS 신천하여 랜선 점검 및 내부 망을 볼수 있도록 요청이 있었습니다. 원격으로 기사님이 들어와 전반적으로 점검 및 살뜰히 살펴주어 대단히 감사하며, 만족합니다. 고맙고, 감사 합니다.</t>
  </si>
  <si>
    <t>원격진단으로 이렇게 케어 받으니까 편하고 상세하고 친절하게 설명을 해주셔 가지고 되게 만족 했습니다</t>
  </si>
  <si>
    <t>친절하고 빠르게 문제해결해주셨습니다.감사합니다.</t>
  </si>
  <si>
    <t>궁금한점 해결됐습니다 감사합니다 !</t>
  </si>
  <si>
    <t>꼼꼼히 확인하고 자세히 설명 주셔서 좋았습니다</t>
  </si>
  <si>
    <t>친절하고 빠른 해결 주신 상담 감사합니다</t>
  </si>
  <si>
    <t>친절한 설명과 가능한 조치를 해주셨습니다.</t>
  </si>
  <si>
    <t>너무감사합니다</t>
  </si>
  <si>
    <t>상담사분이 친절해서 좋았습니다</t>
  </si>
  <si>
    <t>자세한안내 감사합니다.</t>
  </si>
  <si>
    <t>친절하시고 설명도 잘해주세요!!</t>
  </si>
  <si>
    <t>너무 만족하게 서비스 해주셨읍니다 감사합니다</t>
  </si>
  <si>
    <t>질문에도 답변잘해주셔서 좋앗습니다</t>
  </si>
  <si>
    <t>친정하게 설명을 잘해주셨습니다</t>
  </si>
  <si>
    <t>친절하게 해주셨어요^^</t>
  </si>
  <si>
    <t>진단 잘받았음.</t>
  </si>
  <si>
    <t>처음 스마트원격진단을 받아보았는데 친절하게 하나하나 설명해주시고 무슨 프로그램이 문제인지 자세히 말씀해주셔서 좋았습니다. 감사합니다</t>
  </si>
  <si>
    <t>갑작스럽게 인터넥 화이파이 끝김이 자주있어서 A/S 받다가 컴퓨터 기사님이 설정정도 한번 보자하셔서 잡자기 연결해서 이용하게 되었는데요 연결이 잘되어서 친히 와이파이 설정까지 봐주시고 너무 편하고 편하고 좋았어요 감사합니다.^^</t>
  </si>
  <si>
    <t>설명도 잘해주시고 편리합니다</t>
  </si>
  <si>
    <t>너무 친절하게 신속하게 대응해주셔셔 감사합니다</t>
  </si>
  <si>
    <t>최고~</t>
  </si>
  <si>
    <t>친절하게 너무 잘알려주셔서 감사합니다</t>
  </si>
  <si>
    <t>직장인인데 집에 없는 경우가 많아 기사님과 따로 연락받고 스케줄 잡는게 어려웠는데 원격으로 먼저 진단해주니까 기사님 방문 기다리는 부담감이 많이 줄어들어요. 원격으로 하니까 집을 더 신경쓸 필요도 없어서 편리한것 같습니다^^ 감사합니다.</t>
  </si>
  <si>
    <t>친절히 원격진단 잘 받아서 해결했습니다.</t>
  </si>
  <si>
    <t>친절한 상담에 감사드립니다.</t>
  </si>
  <si>
    <t>너무나 친절하게 잘설명해주셔서 혼자서도 할수있게끔 해주셨습니다 감사합니다</t>
  </si>
  <si>
    <t>심플하고 스마트하게 진단하게 해주셔서 감사합니다. 고생하셨어요 최고~!!!</t>
  </si>
  <si>
    <t>친절하게 안내해주셔서 좋았고 문제점에 대해서 물어봐도 잘 안내해주셨습니다.</t>
  </si>
  <si>
    <t>갑자기 핸드폰 와이파이가 왔다갔다해서 곤란했는데 친절히 해결해 주셨습니다. 감사합니다</t>
  </si>
  <si>
    <t>친정상담 감사합니다</t>
  </si>
  <si>
    <t>정말 친절하게 알려주시네요~ 감사합니다 ^^</t>
  </si>
  <si>
    <t>친절하고 전문적이게 잘 해주셨어요</t>
  </si>
  <si>
    <t>잘 되던 프린터가 되질 않아 걱정을 했는데 방금 원격으로 도움을 주시어 정상인쇄가 가능해 져 감사합니다 도움을 주신 기사님은 상량한 목소리로 매우 친절하게 잘 해주어 더욱 감사드립니다.</t>
  </si>
  <si>
    <t>네 안내잘받아보았고 친절히상담 잘받았습니다~</t>
  </si>
  <si>
    <t>당황스러웠는데 친절하게 잘 도와주셔서 너무 감사드립니다.</t>
  </si>
  <si>
    <t>부족한사항,애로사항 잘 설명해주셔서 만족합니다.</t>
  </si>
  <si>
    <t>친절하게 잘 해주셨습니다!감사합니다!</t>
  </si>
  <si>
    <t>인터넷에 문제가 생겨서 답답했던 마음이 상담원님의 친절한 응대 덕분에 눈 녹듯 싹 풀렸습니다! '스마트원격진단'이라는 과정이 조금 낯설었는데, 처음부터 끝까지 제 눈높이에 맞춰 이해하기 쉽게 설명해 주시고 꼼꼼하게 점검해 주셔서 정말 든든했습니다. 고객의 불편함을 자기 일처럼 공감해 주시고 끝까지 적극적으로 해결해 주시려는 프로페셔널한 모습에 큰 감동을 받았습니다. 오늘 대응해주신 덕분에 통신사에 대한 신뢰도까지 훌쩍 올라갔네요. 진심으로 감사드립니다. 수고하세요.</t>
  </si>
  <si>
    <t>윤찬효 기사님 주말인데도 친절한 상담 감사합니다 너무 답답했는데 속도가 복구되어 너무좋습니다 감사합니다 행복한 하루되세요!</t>
  </si>
  <si>
    <t>친절하게 잘 도와주십니다.</t>
  </si>
  <si>
    <t>연락하고 바로 문제해결되었습니다 감사합니다!</t>
  </si>
  <si>
    <t>친절하게 설명을 잘해 주시네요.. 굿 입니다요~~!!</t>
  </si>
  <si>
    <t>원인을 빠르게 찾아 친절하게 안내해주셨습니다</t>
  </si>
  <si>
    <t>친절하게 안내사항 꼼꼼하게 알려주심</t>
  </si>
  <si>
    <t>추가단말접속서비스 가입안내 창에 대하여 자세히 설명 들었음</t>
  </si>
  <si>
    <t>빠르고 친절하시고 좋네요</t>
  </si>
  <si>
    <t>너무나도 적절한 조치와 빠른 서비스에 감사드립니다. 다음번에도 또 서비스를 받고싶을만큼 친절하게 해주셔 감사드리고요.... 만족도 점수 최고로 주고 싶어요....^^</t>
  </si>
  <si>
    <t>세세하게 설명해주시고 동일 증상이 발생했을 경우에도 문제를 해결할 수 것들도 알려주셨습니다</t>
  </si>
  <si>
    <t>친절하게 상담해 주셨구요. 문제 있나 꼼꼼히 체크해 주셨어요. 회선상 문제여서 방문AS접수 잘해주셨습니다. 감사합니다.</t>
  </si>
  <si>
    <t>신속, 정확, 친절합니다</t>
  </si>
  <si>
    <t>상담사분도 기사분도 다 친절하게 응대하주셨습니다. 두분 다 고생하셨어요.</t>
  </si>
  <si>
    <t>친절하게 이해할수있도록 설명해주셔 너무 감사했어요 수고하셨습니다</t>
  </si>
  <si>
    <t>정말 친절하십니다 감사합니다!</t>
  </si>
  <si>
    <t>친절하시고 고객에 대한 이해와 충분한 설명을 들었습니다 감사드립니다</t>
  </si>
  <si>
    <t>엄청 친절하게 설명해주시고 문제점도 빠르게 해결해주셨어요. 감사합니다.</t>
  </si>
  <si>
    <t>전문가의 상담을 상세히 받을수 있어서 너무 좋았습니다. 모르는걸 그림까지 그려가며 잘 설명해주셨어요.</t>
  </si>
  <si>
    <t>원격으로 신속하세 만족할만한 도움주시어 감사 드립니다.</t>
  </si>
  <si>
    <t>친절한 상담 감사드립니ㅏㄷ.</t>
  </si>
  <si>
    <t>친절하세요~~!</t>
  </si>
  <si>
    <t>실시간으로 소통하며 친절하게 설명해 주셨습니다.</t>
  </si>
  <si>
    <t>제가 동의하지 않은 사항에 대하여 동의를 체크한 후 진행됨</t>
  </si>
  <si>
    <t>빨리 해결해주셔서 감사했어요</t>
  </si>
  <si>
    <t>친절히 잘알려주셔서 감사합니다</t>
  </si>
  <si>
    <t>친절하고 이해도가 빠르셔서 좋았습니다.</t>
  </si>
  <si>
    <t>어려운 내용들을 쉽고 친절하게 잘 설명 해주셨습니다.</t>
  </si>
  <si>
    <t>상세하게 잘 설명해 주셔서 감사합니다.</t>
  </si>
  <si>
    <t>빠른진단감사합니다</t>
  </si>
  <si>
    <t>빠른 대응과' 친절한 상담과 고객에 불편함을 빠르게 해결해주십니다 감사합니다</t>
  </si>
  <si>
    <t>궁금증 해결 속이 후련합니다. 감사합니다,.</t>
  </si>
  <si>
    <t>다들 친절</t>
  </si>
  <si>
    <t>친절하게 안내잘 받았습니다. 빠른조치 감사합니다</t>
  </si>
  <si>
    <t>친절하고 편하게 해주셨습니다</t>
  </si>
  <si>
    <t>기사님 너무 친절하게 잘 설명해주셔서 감사했습니다 ㅜ.ㅜ</t>
  </si>
  <si>
    <t>아주 친절하시게 상담해주시고 원인 파악부터 어떻게 해야하는지 알려주셔서 편안했습니다</t>
  </si>
  <si>
    <t>원격진단해주시면서 문제점이랑 개선점 잘 말씀해주시고 직관적이고 빠르게 해주셔서 매우 편안하게 원격진단 받았습니다. 만족도는 최고 이상이 없어서 아쉽네요 그 이상입니다.</t>
  </si>
  <si>
    <t>친절하게 설명 잘해주셔서 잘이해하고 따라할 수 있었습니다.</t>
  </si>
  <si>
    <t>설명 잘 들었습니다</t>
  </si>
  <si>
    <t>꼼꼼하게 상담 해주시고 문제 해결 했습니다~</t>
  </si>
  <si>
    <t>늦은 시간까지 너무 친절하게 꼼꼼히 잘 설명해주시고 너무 친절하셔서 감동받았습니다.</t>
  </si>
  <si>
    <t>최고입니다!!!!!</t>
  </si>
  <si>
    <t>친절하게 설명 잘 해주시고 후속조치를 어떻게 해야할 지 안내까지 해주셔서 좋았습니다</t>
  </si>
  <si>
    <t>상담사분께서 확인 후 Loded Latency 관련 추가 조치사항에 관하여 따로 기사님 방문요청 후 일정 조정을 해주셔서 조치해주신다고 하여 매우 만족하였습니다! 감사합니다!</t>
  </si>
  <si>
    <t>빠르게 해결되어서 정말 좋았어요</t>
  </si>
  <si>
    <t>정확한 문제진단 빠른 대처에 너무 감사함을 표합니다</t>
  </si>
  <si>
    <t>빠르게 조치해주셨습니다.</t>
  </si>
  <si>
    <t>빠르고 친절하게 문제해결해주셨습니다</t>
  </si>
  <si>
    <t>상담원분들이 너무나도 친절하시고 문제가 뭐인지 바로바로 인지해 말해주셔서 너무나도 편했습니다</t>
  </si>
  <si>
    <t>친절하게 상담해 주시네요..</t>
  </si>
  <si>
    <t>너무 친절하게 설명을 자세히 해주십니다. 다음에도 같으신 상담사님을 만났으면 좋겟습니다. 정말 설명도 잘해주시고 너무 좋았습니다 굿굿굿</t>
  </si>
  <si>
    <t>너무나 친절하고 고장내용을 잘설명해줌</t>
  </si>
  <si>
    <t>고맙습니다^^</t>
  </si>
  <si>
    <t>궁금했던 부분들을 알기 쉽게 설명을 해주셔서 쉽게 이할수있어 좋았습니다. 친절하게 설명해주셔서 많은 도움이 됐습니다.</t>
  </si>
  <si>
    <t>정확하고 사후 처리 방법까지 확실한 정말좋아요~~~</t>
  </si>
  <si>
    <t>원인별, 케이스별 원격진단을 상세하게 마무리</t>
  </si>
  <si>
    <t>친절한 서비스 확실한 마무리 까지 완벽 그 자체입니다. 사용해보고 알려드리겠습니다. 감사합니다</t>
  </si>
  <si>
    <t>컴퓨터 잘봣주셨습니다</t>
  </si>
  <si>
    <t>신속 정확에 감사드립니다.</t>
  </si>
  <si>
    <t>제가 컴맹이라 두서없는 설명에도 친절하게 그리고 원인을 밝히기 위해 많은 노력을 기울어주셔서 감사합니다.</t>
  </si>
  <si>
    <t>크롬 창이 안 열려서 넘 황당 했는데 해결해 주셔서 넘넘 감사합니다 만족도 최고 예요 감사합니다</t>
  </si>
  <si>
    <t>너무 너무 친절하게 자세히 가르쳐 주셔서 대단히 감사드립니다. 잘 해결되었습니다.</t>
  </si>
  <si>
    <t>친저ㄹ하고 정확한 지원이었습니다</t>
  </si>
  <si>
    <t>좋아여!!</t>
  </si>
  <si>
    <t>친절하게 상담잘받았습니다</t>
  </si>
  <si>
    <t>친절하고 상세하게 도움주셔서 너무 감사드립니다.</t>
  </si>
  <si>
    <t>친절하고 자세하게 잘 설명해주셔서 칭찬드립니다</t>
  </si>
  <si>
    <t>친절하게 잘해주셨습니다 너무 감사합니다 ^^</t>
  </si>
  <si>
    <t>친절한 설명 및 이해하기 쉽게 설명해주신 부분이 너무나도 인상깊었고 문제점에 대한 해결과 개인이 조치했던 부분에 대한 위험성과 이유를 너무나도 잘 설명해주셔서 고맙습니다. 문제 해결도 신속하게 되어서 만족도가 너무나도 높습니다. lg만 10년 넘게 사용하면서 이번에 재약정 기간때 고민을 했었었는데 3년 추가 약정을 하기를 참 잘한거 같습니다. 1차 상담해주셨던 콜센터 직원분과 기술팀의 원격으로 조치해주셨던 담당자분 두분 모두 너무나도 감사합니다.</t>
  </si>
  <si>
    <t>친절한 상담 고맙습니다.</t>
  </si>
  <si>
    <t>신속한 처리, 바로 문제가 해결 됬는지는 파악 할 수 없지만 , 동일 증상 발생 시 해결방안 제시까지 좋았습니다.</t>
  </si>
  <si>
    <t>빠르고 정확한 안내에 감사드립니다..전문가가 도와주시니 든든합니다.</t>
  </si>
  <si>
    <t>빠르게 처리해주셔서 좋은거같습니다</t>
  </si>
  <si>
    <t>상담 잘해주셨습니다 감사합니다</t>
  </si>
  <si>
    <t>너무 친절하고 자세하게 설명을 잘해주셔서 이해하기가 쉬웠습니다 너무 감사합니다</t>
  </si>
  <si>
    <t>자세한 설명 감사합니다~</t>
  </si>
  <si>
    <t>대응을 너무 잘 해주셨습니다. 감사합니다.</t>
  </si>
  <si>
    <t>네! 친절하게 상담해주셔서 이름 변경할 수 있었습니다. 감사합니다.</t>
  </si>
  <si>
    <t>신속하게 점검해 주셔서 인터넷 연결 속도가 개선되었습니다. 감사드립니다.</t>
  </si>
  <si>
    <t>친절하십니다!!!</t>
  </si>
  <si>
    <t>친절하게 설명받고 상담 원격진단 종료하였습니다</t>
  </si>
  <si>
    <t>친절하세요.문제해결도 금방 해주셨습니다 감사합니다.</t>
  </si>
  <si>
    <t>빠르고 신속한 요청을 들어주시고 알기 쉽게 설명해주셔서 감사합니다</t>
  </si>
  <si>
    <t>매우 빠른 조치 감사합니다</t>
  </si>
  <si>
    <t>친절한 상담과 신속한처리로 문졔를 해결해 주었습니다....</t>
  </si>
  <si>
    <t>친절히 잘 해 주셨고 많은 도움 감사합니다. 수고하셨습니다.</t>
  </si>
  <si>
    <t>자세한 설명해 주시고 해결되었습니다</t>
  </si>
  <si>
    <t>간편하고 좋네요</t>
  </si>
  <si>
    <t>친절한 대응 감사합니다</t>
  </si>
  <si>
    <t>해결 방법 제시해 주셔서 감사합니다</t>
  </si>
  <si>
    <t>친절하고 상냥하게 상담해주시고 안내해 주셔서 넘넘 감사드립니다. 덕분에 좀 더 편리하게 사용할 수 있게 되었어요. 감사합니다~</t>
  </si>
  <si>
    <t>친절하고 전문적입</t>
  </si>
  <si>
    <t>친절한 상담과 신속히 문제해결해 주셔서 감사합니다. 수고하세요.</t>
  </si>
  <si>
    <t>되게 친절하십니당 짱짱</t>
  </si>
  <si>
    <t>친절하시고 전문적으로 빠르게 잘 처리해주셨어요~ 정말 감사합니다^^</t>
  </si>
  <si>
    <t>친절하고 빠르고 쉽고 자세한 상담이었어요</t>
  </si>
  <si>
    <t>빠른 접속 및 조치가 이루어져 매우 만족합니다.</t>
  </si>
  <si>
    <t>친절하게 잘 설명해주십니다 많은 도움 되었어요.</t>
  </si>
  <si>
    <t>자세히 친절하고 쉽게 설명해주시고 해결방한 후 예상되는 이슈까지 쉽게 설명해주셔서 너무 좋았습니다 감사합니다</t>
  </si>
  <si>
    <t>아주~친절하고 상세하게 안내를 잘 받았습니다.</t>
  </si>
  <si>
    <t>친절한 상담 감사합니다 sk 사용하다가 유플 로 넘어와서 여러가지 불편한것들이 많아 사용하면서도 만족도가 많이 떨어졌었는데 그나마 오늘은 원격지원으로 해소 되었습니다 감사합니다</t>
  </si>
  <si>
    <t>엄청 빠르고 시원 시원하게 설명잘해주셨고, 해결 되었습니다. 감사합니다.</t>
  </si>
  <si>
    <t>너무 친절하게 설명해주시고 빠르게 조치해주셨습니다. 또 추후에 발생할수있는 문제까지 설명해주셔서 너무 좋았습니다. 감사합니다!</t>
  </si>
  <si>
    <t>네 아주 빠르고 정확하게 진단해 주셔서 빠르고 말끔하게 처리 되었습니다. 감사드립니다.</t>
  </si>
  <si>
    <t>신속한 처리 감사합니다.</t>
  </si>
  <si>
    <t>엄청 친절하게 알려주셨습니다 많음 도움됐습니다</t>
  </si>
  <si>
    <t>친절하게 응대해 주시고 문제 해결해 주셔서 넘 감사합니다.</t>
  </si>
  <si>
    <t>자세한 설명 좋았습니다</t>
  </si>
  <si>
    <t>친철하게 잘 상담해주시고 그 외적으로 또 안내와 피드백이 좋았습니다.</t>
  </si>
  <si>
    <t>친절하게 잘 해주시고 이해가 쉽게 알려주세요</t>
  </si>
  <si>
    <t>친절하게 잘 설명해주셔서 잘 처리 했습니다 감사합니다.</t>
  </si>
  <si>
    <t>원하는 대답 잘들었습니다 친절히 알려주셔서 감사힙니다</t>
  </si>
  <si>
    <t>친절하게 문제진단 해주셔서 서비스에 만족합니다.</t>
  </si>
  <si>
    <t>상세하고 친절하게 상담해주셔서 감사 합니다</t>
  </si>
  <si>
    <t>문제되는 부분의 원인을 찿아서 해결을 시도해 주시고 다른 문제가 보여서 출장을 연결해 주셔서 감사합니다.</t>
  </si>
  <si>
    <t>김태환 기사님이 친절하고 자세하게 설명해주셔서 이해도 잘 되고 너무 감사했습니다.</t>
  </si>
  <si>
    <t>컴퓨터를 사용할때 불편했던 점을 밤 늦은시간까지 도와주어서 감사! 감사! 건강하세요!</t>
  </si>
  <si>
    <t>친절하게 응대해주시고 편하게 안내받을수있었습니다 다음에또 문제 발생시 어떻게 해야하는지도 알려주셨습니다 감사합니다.</t>
  </si>
  <si>
    <t>최근 불미러운 일로 인해 스트레스를 받는 중이였는데 친절하게 답 해주셔서 감사 드립니다.</t>
  </si>
  <si>
    <t>자세한 설명 및 증상 요인 확인 등 매우 친철하고, 빠르게 확인해주셨습니다. 매우 만족하고, 수고 많으셨습니다.</t>
  </si>
  <si>
    <t>친절하게 상담 해주셔서 너무 감사합니다.^^</t>
  </si>
  <si>
    <t>정말 친절하셧어요</t>
  </si>
  <si>
    <t>성실하게 답변주셔서 감사합니다.</t>
  </si>
  <si>
    <t>빠르고친절하게 조치해주셨습니다</t>
  </si>
  <si>
    <t>잘설명</t>
  </si>
  <si>
    <t>상담사분이 친절하고 이해하기 쉽게 설명해주셔서 큰 도움이 되었습니다 문제도 빠르게 해결되어 매우 만족합니다</t>
  </si>
  <si>
    <t>처음 연결되었던 상담사분도 친절하시고 전화상으로 문제점을 잘 파악해주시고 공감해주시며 다음 단계로 부드럽게 넘어갔고, 원격점검사분도 잘 진단해주시고 친절하게 설명해주시고 문제점이 무엇인지 파악해주셔서 문제 해결할 수 있었습니다. 감사합니다</t>
  </si>
  <si>
    <t>서비스 친절하여 만족합니다</t>
  </si>
  <si>
    <t>친절하게 잘 처리해주셨습니다 감사합니다^^*</t>
  </si>
  <si>
    <t>인터텟 속도가 느려져 무슨 문제인가 걱정되었는데 기사님이 친절히 설명해 주시고 드라이브 업데이트 시켜주셔서 간단히 해결되었습니다. 비 전문가가 몇시간 끙끙 거릴일을 전문가 한분이 단 몇분만에 해결해 주시니 너무 속시원하고 감사한 마음입니다. 정말 고맙습니다.</t>
  </si>
  <si>
    <t>친절하게 잘해주셔서 좋았습니다.</t>
  </si>
  <si>
    <t>상세하게 해주셔서 감사합니다,</t>
  </si>
  <si>
    <t>빠른 대처 감사합니다 친절합니다</t>
  </si>
  <si>
    <t>신속정확했습니다</t>
  </si>
  <si>
    <t>친절하게 자세히 설명해주시고 문제 해결해주셔서 감사합니다.</t>
  </si>
  <si>
    <t>매우 세밀하고 친절하셨어요...... 감사합니다...^^ 늘 화이팅 하세요............</t>
  </si>
  <si>
    <t>친절하게 상담잘 받았습니다 감사합니다 조은 하루되시길...</t>
  </si>
  <si>
    <t>빠른 문제해결 감사합니다</t>
  </si>
  <si>
    <t>감사합니다 덕분에 편하게 됐습니다</t>
  </si>
  <si>
    <t>너무 친절하고 설명을 잘해주셔서 빠르게 진행할수있었습니다</t>
  </si>
  <si>
    <t>신속하고 친절해요 좋습니다</t>
  </si>
  <si>
    <t>고맙습니다 최고!</t>
  </si>
  <si>
    <t>신속하고 친절한 원격서비스감사합니다</t>
  </si>
  <si>
    <t>친절하신 설명과 신속하게 처리해주셔서 감사합니다. 도움이 되어서 감동입니다.</t>
  </si>
  <si>
    <t>빠르게 친절하게 해주셔서 감사합니다. 인터넷 바꿔야 하나 고민했는데 빠르게 문제 파악 해주셔서 계속 써보려구요 감사합니다.</t>
  </si>
  <si>
    <t>진절하게 잘 진행해주셔서 감사합니다</t>
  </si>
  <si>
    <t>알아듣기 쉽게 또박또박 말씀 해 주셔서 편하게 대처 할 수 있었습니다. 친절함도 함께 감사드립니다.</t>
  </si>
  <si>
    <t>전문적인 서비스 감사합니다.</t>
  </si>
  <si>
    <t>신속하게 너무 친절히 모든걸 체크하고 업데아트 해주시네요 너무 감사합니다</t>
  </si>
  <si>
    <t>친절하게 자세하게 점검 및 상담 해주셔서 만족스럽습니다.</t>
  </si>
  <si>
    <t>쉬운설명과 빠른대응 및 친절함이 좋았습니다. 감사합니다</t>
  </si>
  <si>
    <t>서비스가 아주 굿! 입니다 친절해서 웃으면서 잘받았어요~</t>
  </si>
  <si>
    <t>너무 친절하게 메모장에 알고싶은것을 원격으로 적어주셔서 알기쉽고 궁굼증이 해결됬습니다. 너무 감사드립니다.</t>
  </si>
  <si>
    <t>친절하게 안내 받았습니다.</t>
  </si>
  <si>
    <t>신속 친절</t>
  </si>
  <si>
    <t>아주 친절하고 속 시원하게 문제를 해결해 주셨습니다. 감사합니다.</t>
  </si>
  <si>
    <t>친절하시고 말씀 잘해주십니다</t>
  </si>
  <si>
    <t>너무 친절하게 쉽게 설명해주셔서 잘 도움 받을 수 있었습니다 너무 너무 감사합니다</t>
  </si>
  <si>
    <t>친절하시고 잘해주셔서 좋습니다</t>
  </si>
  <si>
    <t>친절하게 안내 주셨습니다 감사합니다</t>
  </si>
  <si>
    <t>굉장합니다. 정말 놀랐습니다. 내일 방문 오실 분을 기다립니다. 감사합니다.</t>
  </si>
  <si>
    <t>서비스 최고 입니다~ :-)</t>
  </si>
  <si>
    <t>친절 하시고 상세하게 잘 설명 해주셨어요.감사 합니다</t>
  </si>
  <si>
    <t>아주 좋았습니다!</t>
  </si>
  <si>
    <t>너무 친절하시고 차근차근 설명해 주셔서 너무 감사했습니다!</t>
  </si>
  <si>
    <t>친절했음</t>
  </si>
  <si>
    <t>친절하게 잘 안내해주셨고 문제도 해결되었습니다.</t>
  </si>
  <si>
    <t>멀티상담1팀</t>
  </si>
  <si>
    <t>멀티상담2팀</t>
  </si>
  <si>
    <t>최고의 서비스였습니다</t>
  </si>
  <si>
    <t>친절하게 상담해주셔서 감사합니다!</t>
  </si>
  <si>
    <t>주말에 원격으로 문제점을 파악해 주셔서 감사합니다. 급하게 작업할 문서가 있었는데, 갑자기 인터넷이 안돼서 당황 했습니다. 담당 기사님께서 친절하게 응대해주시고 어떤 문제점이 있는지 설명도 잘해주셔서 감사합니다.</t>
  </si>
  <si>
    <t>정말 친절하세 상세히 설명 잘해주시고 해결해 주셔서 감사합니다</t>
  </si>
  <si>
    <t>결국 컴퍼문제인데도 물구하고 친절한 설명 감사드립니다.</t>
  </si>
  <si>
    <t>전화응대 최고입니다. 역시 LG+입니다. 친절하고 자세한 안내 감사합니다. 또 신속한 조치도 감사합니다.</t>
  </si>
  <si>
    <t>해결해주셔서 감사합니다</t>
  </si>
  <si>
    <t>너무 친절하셔서 감동이 였어요! 감사합니다.</t>
  </si>
  <si>
    <t>ㅋㅋㅋㅋ 감사합니다 마지막에 잠을못주신거같네요 하픔이 ㅋㅋ 편이쉬세요</t>
  </si>
  <si>
    <t>최고에 서비스였습니다 감사합니다</t>
  </si>
  <si>
    <t>휴일인데 친절한 응대 감사드립니다.</t>
  </si>
  <si>
    <t>친절한 기사님 감사합니다</t>
  </si>
  <si>
    <t>아주 친절하게 정확하게 제대로 알려주셔서 감사합니다 아주 만족 스러운 서비스 입니다!!</t>
  </si>
  <si>
    <t>도움이 되었습니다.</t>
  </si>
  <si>
    <t>무선 프린트 연결을 하고싶어서 문의 했는데 왜 안되는지 친절히 안내해 주셔서 감사드립니다^^ 고생하세요~~!!!!</t>
  </si>
  <si>
    <t>상담사님부터 원격기사님 전부 친절하셨고 진단 및 해결이 만족스럽습니다.</t>
  </si>
  <si>
    <t>컴퓨터를 처음 켤 때 바로 즉시 화면이 안 나와서 LGU+에 도움을 청했는데, 전화 상담원부터 마지막 컴퓨터 원격 진단팀까지 모두 관심을 가지시고 적극적으로 도와주셔서 감사합니다. 특히 원격으로 제 컴퓨터를 상세히 점검하셔서 오랫동안 업데이트가 안 되어 있던 프로그램을 최신의 프로그램으로 업데이트 해 주시고, 혹시 차후 발생할 수도 있을 문제점에 대한 상세한 설명에 감사합니다. 시간을 들여서 자기 일처럼 세세하게 점검해 주시고 문제를 해결해 주셔서 감사합니다.</t>
  </si>
  <si>
    <t>바쁘신 와중에도 친절하게 상담해주셔서 감사합니다.</t>
  </si>
  <si>
    <t>친절하게 잘 점검해주셨습니다</t>
  </si>
  <si>
    <t>친절하시고 상냥하셔서 너무 좋았어요 !!</t>
  </si>
  <si>
    <t>친절따봉 설명따봉 최고입니다</t>
  </si>
  <si>
    <t>친절한 응대와 정확한 상담에 만족했습니다.</t>
  </si>
  <si>
    <t>친절하게 설명을 잘해주셨습니다</t>
  </si>
  <si>
    <t>차근차근 이해할 수 있는 표현으로 설명해주셔서 인터넷 끊기는 현상이 왜 이러나는지 등등 이해하기 쉬웠습니다</t>
  </si>
  <si>
    <t>감사합니다 수고하셨습니다</t>
  </si>
  <si>
    <t>친절하고 자세하게 설명 잘 해주셔서 이해 가게끔 조치 해주셨습니다.</t>
  </si>
  <si>
    <t>빠른 조취 감사합니다.</t>
  </si>
  <si>
    <t>친절하게 잘 설명해줌</t>
  </si>
  <si>
    <t>인터넷 연결에 문제가 있었고 빠르게 잘 도와주셨어요.</t>
  </si>
  <si>
    <t>와이파이 문제가 있어서 전화를 드려보니 너무너무 친절하게 안내해주시고 와이파도 고쳐줬습니다.</t>
  </si>
  <si>
    <t>문제없네요</t>
  </si>
  <si>
    <t>사소한것 하나하나 꼼꼼하게 확인해주시며 친절한 안내에 감동입니다!</t>
  </si>
  <si>
    <t>문제있는점을 듣고 바로 찾아서 해주는모습이 너무 든든하고 좋았어요 그리고 정말 친절했습니다 ㅠㅠ 최고 감사합니다!!!!!!</t>
  </si>
  <si>
    <t>아주 친절하고 유익한 지식 정보도 제공받은것 같아 만족합니다. 최고의 별점을 드리고 싶습니다.</t>
  </si>
  <si>
    <t>수고하셧습니다 감사드리고요</t>
  </si>
  <si>
    <t>친절하게 잘 알려주셔서 기분이좋았습니다. 감사합니다</t>
  </si>
  <si>
    <t>신속하고 친절하게 봐주셔서 감사합니다</t>
  </si>
  <si>
    <t>전문적이고 세부적으로 꼼꼼히 체크해주셔 너무 감사해요 최고!!!</t>
  </si>
  <si>
    <t>아주 친절하시고 빠른 진단을 해주셔서 감사합니다.</t>
  </si>
  <si>
    <t>궁금한점이 잘해결되었습니다.</t>
  </si>
  <si>
    <t>궁금한점 잘알려주셔서 감사합니다</t>
  </si>
  <si>
    <t>설명감사함니다 상담 잘받았습니다</t>
  </si>
  <si>
    <t>친절한안내 감사합니다</t>
  </si>
  <si>
    <t>진짜 빠르고 상냥하시고 깔끔하게 해결해 주셔서 엄청 만족합니다 이렇게 상담하고 해결해주시는 분들이 있다면 정말 앞으로도 잘 이용할수있을거같습니다 감사합니다</t>
  </si>
  <si>
    <t>상담을 친절하게 잘 해주셨고, 예상되는 문제점에 따라 후속조치까지 잘 진행해주셔서 좋았습니다.</t>
  </si>
  <si>
    <t>친절하고 신속하게 잘 상담해주셨습니다.</t>
  </si>
  <si>
    <t>역시엘지 유플러스 기술지원팀 최고입니다. . . 원격진단으로 불편사항을 넘어 제 마음까지 시원하게 고쳐주셔서 감사합니다...친절하게 하나하나 설명도 잘해주시고 웃으면서 잘 대해주셔서 감사합니다...</t>
  </si>
  <si>
    <t>친절한 서비스에 감사드립니다</t>
  </si>
  <si>
    <t>최고입니다 너무 친절 하셨어요</t>
  </si>
  <si>
    <t>원격지원 잘받았습니다. 감사합니다.</t>
  </si>
  <si>
    <t>친절하시게 잘 진단 받았습니다.</t>
  </si>
  <si>
    <t>친절한 상담 감사합니다。 좋은 하루 되세요¡</t>
  </si>
  <si>
    <t>천천히 알기쉽게 설명해주셔서 고맙습니다. 문의사항 있으면 이 번호로 연락하면 된다는 말에 안심됩니다. 아니면 고객센터로 연락하면 된다는 말도 안심됩니다. 감사합니다.</t>
  </si>
  <si>
    <t>친절히 원인 및 내용 알기 쉽게 전달해주셨어요 감사합니다.</t>
  </si>
  <si>
    <t>친절한 응대에 너무나 만족합니다. 감사합니다.</t>
  </si>
  <si>
    <t>친절하고 쉽게 설명해주셨습니다. 만족합니다.^^</t>
  </si>
  <si>
    <t>찬절한 상담 감사합니다.</t>
  </si>
  <si>
    <t>친절한 상당 감사합니다.</t>
  </si>
  <si>
    <t>차근차근 자세하게 설명해주셔서 감사합니다</t>
  </si>
  <si>
    <t>없음</t>
  </si>
  <si>
    <t>해결 되지는 않았지만 후속 조치와 상세한 설명 감사드립니다!!</t>
  </si>
  <si>
    <t>친절히 잘 설명해주셔서 좋았습니다.</t>
  </si>
  <si>
    <t>최고입니다 !, 잘 도와주셔서 감사합니다. 설명도 깊이있게 해주셔서 좋았습니다 !</t>
  </si>
  <si>
    <t>친절하고 빠르게 잘 상담해주셨습니다.</t>
  </si>
  <si>
    <t>접수하고 나서 빠르게 봐주셨고 컴퓨터 옵션이나 기타 불필요한 부분도 확인 잘해 주셔서 고객님께 안내를 잘 할수 있었습니다. 수고많으셨어요~</t>
  </si>
  <si>
    <t>너무 친절하시고 기술력도 대단하시고 만점 드립니다.</t>
  </si>
  <si>
    <t>빠르고, 친절하고, 정확하게 응대해주셔서 감사드립니다.</t>
  </si>
  <si>
    <t>제가 컴퓨터 및 기계에 대해 잘 몰라요 천천히 친절하게 설명을 해주시고 생각보다 빠르게 처리되어 너무 좋았습니다. 고맙습니다.</t>
  </si>
  <si>
    <t>너무 친절하게 잘해주시고 어떤 문제가 있는지 알려주시면서 추후에도 똑같은 문제가 발생하면 어떻게 대처 해야하는지도 너무 잘 알려주십니다.</t>
  </si>
  <si>
    <t>자세하고 빠른설명 매우 만족합니다</t>
  </si>
  <si>
    <t>잘 안내해주셨습니다.</t>
  </si>
  <si>
    <t>친절하시고 자세히 설명해주심</t>
  </si>
  <si>
    <t>친절하게 안내해주셔서 좋았습니다.</t>
  </si>
  <si>
    <t>친절한 상담 좋았습니다!!!</t>
  </si>
  <si>
    <t>만족 스러운 상담으로 업무 진행에 도움이 되었습니다 감사합니다</t>
  </si>
  <si>
    <t>친절하고 좋아여</t>
  </si>
  <si>
    <t>빠른 진단 및 처리해주셨습니다. 감사합니다.</t>
  </si>
  <si>
    <t>인터넷 속도 저하에 관련하여 친절하게 설명해주시고 다른 궁금한 사항도 잘 봐주셔서 도움이 많이 되었습니다 감사합니다</t>
  </si>
  <si>
    <t>친절하고 이해하기 쉽게 설명해 주셔서 잘 알아들을 수 있었습니다.</t>
  </si>
  <si>
    <t>잘몰라서 많이 헤맸는데 상세하게 설명해주시고 기다려주셔서 감사합니다. 덕분에 깔금하게 일이 마무리 잘 되었습니다. 감사합니다~~~~</t>
  </si>
  <si>
    <t>컴퓨터에 대해서 잘 몰라서 업체에 따지지도 못하고 할 수 있는 인터넷이라도 점검이라도 해봤던건데 점검해주시면서 인터넷 문제 외에도 컴퓨터 오류나 업체에 요청해야할 부분들을 쉽게 설명해주시고 메모까지 해주셨어요!! 주변지인들한테 LG스마트원격진단 서비스 적극 추천할 거 같고 상담사분 너무 친절하고 큰 돈 주고 컴퓨터 사서 사용을 제대로 못하고 있었는데 너무 감사합니다</t>
  </si>
  <si>
    <t>빠른 시간내에 문제점을 파악하셔서 해결해주셨습니다.</t>
  </si>
  <si>
    <t>설명도 정말 잘해주시고 너무 친절하십니다. 소비자들이 알아듣게 쉽게 설명을 너무나 잘해주시네요</t>
  </si>
  <si>
    <t>미스테리한 사건을 추적하는 데 큰 도움이 되었습니다 ㅎㅎㅎ 기사님 최고</t>
  </si>
  <si>
    <t>이런거 잘안남기는데.. 원격 기사하는 남자 통화 상담사 통화 자세가 좀 별로네요.. 저는 내컴퓨터 문제가 아니라 인터넷 문제라는걸 이야기 하고싶은데 제가 억지를 부리기에는 인터넷 로그기록봐도 끊키는게 명확하게 보이는데 자기는 상관관계 모르겠다고 일단 기사 불러봐라 이런식으로 나오네요 일단 그런거에 앞서 제가 인터넷 문제가 아니냐? 라는질문에 이런문제가 생겨서 유감이고 공감이 우선이 첫번째 아닌지? 일단 내가 전화한 이유가 인터넷문제가 생겨서 전화한건데 말이죠?? 일단 도돌이표 같은 질문 되풀이하지말고 약간 짜증내는 말투로 그냥 기사 불러라 라는말?만 되풀이하네요 내말에 공감하는게 그렇게 어려운건지? 내가 때를 쓰기에는 이미 인터넷 로그기록 끊긴게 누가봐도 보이는데 이 기사때문이라도 문제생기면 LG인터넷 다른곳으로 갈아타려고 생각합니다...</t>
  </si>
  <si>
    <t>너무친절하시고 서비스대응도 빠르세여 감사합니다</t>
  </si>
  <si>
    <t>친절하시고 진단 잘받아보았습니다. 고맙습니다</t>
  </si>
  <si>
    <t>원격 진단 잘 받았어요.</t>
  </si>
  <si>
    <t>빠른 대응과 친절한 조치에 감사드립니다 역시 유플러스! 상담과 점검 모두 매우 만족합니다!!</t>
  </si>
  <si>
    <t>한방에 해결이군요 역시 전문가~!! 최고~!!</t>
  </si>
  <si>
    <t>빠르고 정확한 진단 감사합니다!</t>
  </si>
  <si>
    <t>너무 너무 감사합니다. 바쁘신데도 너무너무 친절하셨어요!</t>
  </si>
  <si>
    <t>친절하게 잘해주심</t>
  </si>
  <si>
    <t>친절하게 전화 해주셔서 감사합니다!</t>
  </si>
  <si>
    <t>빠르고 친절하게 진단 봐주셔서 감사했습니다.</t>
  </si>
  <si>
    <t>잘 해결된 것 같아서 다행입니다 재발하더라도 어떻게 대처하는지 봐서 좋았습니다</t>
  </si>
  <si>
    <t>정확하고 신속한 상담 너무 감사했습니다~</t>
  </si>
  <si>
    <t>친절하시고 바로 해결해주시네요</t>
  </si>
  <si>
    <t>너무 친절하고 자세히 설명해 주셔서 감사합니다 컴퓨터 전혀 알지 못하는 사람으로 충분히 이해되는 설명이었습니다.</t>
  </si>
  <si>
    <t>전화 연결부터 .. 전반적인 내용 A/S 안내 만족합니다.</t>
  </si>
  <si>
    <t>상담원 아져씨가 친절해요</t>
  </si>
  <si>
    <t>친절한안내 도움되었 습니다。 감사합니다。</t>
  </si>
  <si>
    <t>친절하고 빠르게 안내해 주셨어요</t>
  </si>
  <si>
    <t>잘 봐주셔서 감사합니다~</t>
  </si>
  <si>
    <t>친절하세요 ㅎ</t>
  </si>
  <si>
    <t>인터넷쪽은 지식이 없는대 이해하기 쉽게 설명해주셨고 믿음이 갑니다. 매우 만족합니다.</t>
  </si>
  <si>
    <t>상담원님부터 원격으로 진행해주신 기사님까지 모두들 친절하시고 빠르게 응대를 해주셔서 좋았습니다. 아직 문제가 완벽히 해결되진 않았지만 서비스 만족도는 최상이었습니다. 감사합니다!</t>
  </si>
  <si>
    <t>친절하시고, 빠르게 문제해결을 잘 해주셨습니다.</t>
  </si>
  <si>
    <t>매우 만족합니다. 궁금한 점도 진철 하게 도움 주셨어 감사해요^^</t>
  </si>
  <si>
    <t>참으로 친절하고, 자세한 안내와 해결 감사합니다! 우수사원 포상해 주세요!</t>
  </si>
  <si>
    <t>친절하고,상세하게 응대해주셔서 감사합니다 너무 큰 힘이 되었습니다 감사합니다</t>
  </si>
  <si>
    <t>최고입니다,</t>
  </si>
  <si>
    <t>감사합니다 친절한 설명 감사합니다</t>
  </si>
  <si>
    <t>화면으로 알아보기 편하게~~ 바로 전화주셔서~~ 알아듣기 편하게 설명을 너무 잘 해주셨습니다... 바로 이해하고 궁금한것도 해결 잘 되어서 기분이 너무 좋았습니다 수고하셨습니다.</t>
  </si>
  <si>
    <t>빠르게 인터넷 속도 고쳐주셔서 만족합니다</t>
  </si>
  <si>
    <t>친절하게 도와주셨습니다 감사합니다.</t>
  </si>
  <si>
    <t>노력 해 주셔서 감사합니다.</t>
  </si>
  <si>
    <t>정말 친절하게 잘 설명해주셨습니다 감사합니다</t>
  </si>
  <si>
    <t>제가 잘 몰라서 여러가지 질문했는데 굉장히 자세하고 친절하게 설명해주시고 도움이 많이 되었습니다 감사합니다 정말</t>
  </si>
  <si>
    <t>너무 친절하게 잘대응해 주셔서 기분 좋았습니다 감사합니다</t>
  </si>
  <si>
    <t>설명도 쉽게 해주시고 너무 너무 친절 하셨어요.. 문제도 빨리 해결 해주시고 상담사님 고생 하셨습니다.</t>
  </si>
  <si>
    <t>재택근무로 인터넷 속도가 매우 중요한데 분명히 인터넷 속도는 1기가를 사용하고있는데 점점 인터넷 속도가 느려서 짜증이 많이 났던 상황이었어요 근데 배정받아서 원격해주신 담당자님께서 엄청 빠르게 해결해주셔서 당황스러우면서 너무 감사했습니다 ~~! 날이 많이 더운데 더위조심하시고 행복한 하루되세요 ~~</t>
  </si>
  <si>
    <t>기사님이랑 원격기사 님이 친철하게 설명 잘해주셨습니다 /</t>
  </si>
  <si>
    <t>원격 속도 테스트와 친절한 점검에 진심으로 감사드립니다! 최근 인터넷 속도가 조금 답답해서 유플러스에 문의드렸는데, 상담사분께서 원격으로 신속하게 속도 테스트와 매끄러운 점검을 진행해 주셨습니다. 단순히 수치만 확인하는 게 아니라, 현재 제 네트워크 상태를 눈높이에 맞춰 친절하고 꼼꼼하게 설명해 주셔서 정말 감동받았습니다. 원격 조치 이후에 인터넷 환경이 훨씬 쾌적해진 게 체감되네요. 고객의 불편함을 내 일처럼 빠르고 다정하게 해결해 주신 상담사님을 적극 칭찬하고 싶습니다. 역시 믿고 쓰는 엘지 유플러스입니다. 정말 감사합니다!</t>
  </si>
  <si>
    <t>친절하게 서비스해주셨습니다.</t>
  </si>
  <si>
    <t>친절 감사합니다</t>
  </si>
  <si>
    <t>문제되는 내용을 잘 찾아주셔서 빨리 해결할 수 있어요.</t>
  </si>
  <si>
    <t>빠르고 정확하게 문제를 해결해 주셨습니다~</t>
  </si>
  <si>
    <t>친절한설명 ㄱㅁ사합니다</t>
  </si>
  <si>
    <t>친절한 상담 대단히 잘 받았습니다. 문제도 잘 해결 되어 정말 만족스럽습니다. 상담해 주신 분들도 친절하게 설명해 주셔서 감사합니다. 수고 많으셨습니다.</t>
  </si>
  <si>
    <t>친절하게 잘 설명받았습니다.</t>
  </si>
  <si>
    <t>너무 친절하게 도움 받았습니다.</t>
  </si>
  <si>
    <t>친절하게 잘알려주셔서 감사합니다.</t>
  </si>
  <si>
    <t>감사합니다 고생하셧어요</t>
  </si>
  <si>
    <t>친절하게 잘 설명해주셔서 잘 점검 할수 있었습니다 감사합니다</t>
  </si>
  <si>
    <t>컴퓨터에 익숙하지 않은 저에게 천천히 설명을 너무 잘해주었어요 최고입니다</t>
  </si>
  <si>
    <t>설명 잘 들었습니다. 많은 도움이 되었습니다.</t>
  </si>
  <si>
    <t>빠르고 친절하게 안내 해주셔서 편하게 진단 받을 수 있었습니다.</t>
  </si>
  <si>
    <t>엄청 친절하게 잘 설명해주셔서 감사합니다</t>
  </si>
  <si>
    <t>편리하고 좋습니다</t>
  </si>
  <si>
    <t>빠르게 진단해주시고, 해결방법까지 알려주셨어요. 감사합니다.</t>
  </si>
  <si>
    <t>문제점 잘 해결하고 궁금한점도 잘 알려주셨습니다.</t>
  </si>
  <si>
    <t>너무 친절하게 응대 해주셔서 감사합니다</t>
  </si>
  <si>
    <t>기존에 '고용24' 사이트에 접속이 안돼서 서비스 요청 문의 드렸는데, 원격으로 진단하고 IP주소 변경해 주셔서 원활히 접속이 되었습니다. 친절하고 상세하게 서비스해주셔서 감사합니다. 수고하세요.</t>
  </si>
  <si>
    <t>친절하고 빠르게 점검하시고 요구사항을 잘 해결해주셔서 감사합니다. 말씀해주신 부분을 고려해서 잘 사용해보도록 하겠습니다.</t>
  </si>
  <si>
    <t>근본적으로 해결은 안되었지만 추가로 문제가 발생할시 연락 드리겠습니다. 친절하게 도와주셔서 감사합니다</t>
  </si>
  <si>
    <t>기사님이 어렵지 않게 설명 해주시면서 궁금한 점을 다 쉽게 설명해 주셔서 좋았습니다.</t>
  </si>
  <si>
    <t>우선 문제점을 제대로 파악한 이후 설정 문제 등을 꼼꼼히 봐주시고 소프트웨어 외에 물리적인 문제까지 가능성을 보고 기사님까지 예약해주셨습니다. 신경 써주셔서 감사합니다.</t>
  </si>
  <si>
    <t>아주 만족스럽게 세심히 체크해주셔서 좋았습니다~ 확인해보니 usb를 잘못 꼽아서 인터넷속도가 저하된거였어요 ㅎㅎ 감사합니다~</t>
  </si>
  <si>
    <t>친절하시고 설명을 잘해주시네요</t>
  </si>
  <si>
    <t>친절하고 잘고쳐주셨어요</t>
  </si>
  <si>
    <t>빠른 원인확인과 조치 그리고 친절한 안내 감사합니다 : )</t>
  </si>
  <si>
    <t>친절하게 설명해주셨어요 써보고 문제가 지속적으로 발생하면 다시 연락드리겠습니다.</t>
  </si>
  <si>
    <t>오랜시간동안 꼼꼼하게 진단해주시고 자문해 주셔서 감사합니다.</t>
  </si>
  <si>
    <t>친절하고 빠르게 도와주셔서 좋았습니다 감사합니다</t>
  </si>
  <si>
    <t>빠른안내 이해하기 쉬운 설명 친절 굿</t>
  </si>
  <si>
    <t>기사님이 정말 친절하고 자세하게 설명해주셨어요! 인터넷 때문에 기분이 썩 좋지 않았었는데 기사님이 너무 친절하게 말씀해 주셔서 모두 해소가 되었습니다. 감사합니다~</t>
  </si>
  <si>
    <t>꼼꼼한 점검 감사합니다~</t>
  </si>
  <si>
    <t>이해하기 쉽게 설명 해주시고 친절하게 응대 해주셨습니다.</t>
  </si>
  <si>
    <t>빠르게 처리해주시고 친절한 설명 감사드립니다</t>
  </si>
  <si>
    <t>신속하고 친절하게 대응해주셔서 감사합니다.</t>
  </si>
  <si>
    <t>빠르게 상담 도와주시고 원격까지 해주셔서 인터넷 속도가 최대로 개선되었습니다</t>
  </si>
  <si>
    <t>친절하게 설명해주셧습니다.</t>
  </si>
  <si>
    <t>편리하고 빠르게 처리할수있어서 좋았습니다. 기사님과 약속해서 방문하여 처리하기전에 먼저 할수있는 방법이 있으니 편리하네요 . 친절하게 상담해주셔서 감사합니다 ~ 잘 알지 못하는 분야이지만 쉽게 설명해주셔서 잘 이해할수있었습니다.</t>
  </si>
  <si>
    <t>처음 원격 서비스 받았는데 아주 만족합니다 상담사 분도 너무 친철하고 엔지니어 분도 아주 빠르게 잘해주셨습니다 늦은시간인데도 해결해 주셔서 감사합니다^^</t>
  </si>
  <si>
    <t>꼼꼼이 설명해주셔서 감사합니다.</t>
  </si>
  <si>
    <t>친절한점검 감사합니다.</t>
  </si>
  <si>
    <t>똑똑한 아이 덕분에 또 새로운 지식을 플러스 하고 직원분 친절한 설명으로 또 다른 방법을 찾았네요. 뛰는 부모보다 로켓처럼 빠른 청소년들 변경된 비밀번호 눈 아이콘으로도 볼수 없게 만들어 주실분 있길 바랍니다 오늘 너무 친절한 설명 및 방법 감사합니다.</t>
  </si>
  <si>
    <t>빠르게 문제확인해주셨습니다</t>
  </si>
  <si>
    <t>원격이 잘 되었는지 써봐야 알겠지만 친절하게 응대해주시며 원격진단해주셔서 감사합니다</t>
  </si>
  <si>
    <t>너무 친절하시고 설명을 상세하게 꼼꼼히 잘 알려주셨다. 많은 도움이 되었다. 감사합니다.</t>
  </si>
  <si>
    <t>상세하게 안내해주어 보다 빠르게 점검을 받아볼 수 있었습니다。 감사합니다。</t>
  </si>
  <si>
    <t>너무 감사합니다~!</t>
  </si>
  <si>
    <t>인터넷 속도문제때문에 화가나있는데 고객선터나 담당기사가아닌 원격부서때문에 화가 줄어들고 차분해지네요 친절하게 잘 상담해주셔서 감사합니다</t>
  </si>
  <si>
    <t>신속한처리 감사합니다</t>
  </si>
  <si>
    <t>친절한 상당과 어떤부분이 문제가 있는지 원인을 잘 알려줘서 너무 좋았습니다</t>
  </si>
  <si>
    <t>와이파이의 문제가 아님을 확인했고 다른 원인의 가능성을 안내해 주셔서 문제 원인 파악에 도움이 많이 됐습니다. 고생하셨습니다!</t>
  </si>
  <si>
    <t>101번 상담사도 친절하셨는데, 원격으로 자세히 알려주신 기사님은 전문적인 설명으로 너무 친절하게 자세히 알려주셔서 바로 해결했습니다. 난감했는데 빠르게 도와주신 분들께 너무 감사드립니다</t>
  </si>
  <si>
    <t>이해되기 쉽게 상황 설명해주시고 해결 방법도 잘 설명해주셔서 좋았습니다.</t>
  </si>
  <si>
    <t>상담너무감사합니다. 친절하게 답변주셔서 감사합니다.</t>
  </si>
  <si>
    <t>아침부터 인터넷 느려져서 너무 화가 났는데 침착하게 잘 대응ㄹ해주셔서 감사했습니다.</t>
  </si>
  <si>
    <t>일 처리 속도가 정말 빠르고 친절했어요. 높은 기술력으로 문제점을 즉시 파악하고 신속하게 처리해 주셔서 정말 감사합니다</t>
  </si>
  <si>
    <t>퇴근시간 즈음인데도 굉장히 차분하게 한번씩 시도해주셔서 마음이 놓였습니다.</t>
  </si>
  <si>
    <t>기사님이 원인 진단부터 처리까지 신속하고 친절하게 잘 해결해 주셧어요 감사합니다</t>
  </si>
  <si>
    <t>친절하게 자세히 설명해주시고, 좋은 기분으로 점검 마무리 했습니다.</t>
  </si>
  <si>
    <t>인터넷을 모르는 저의 귀에 쏙쏙 박히게 설명도 잘해주시고 너무 친절하게 잘 알려주셨어요 조치도 빠르게 잘해주시고 책임감 넘치게 해주셨습니다 너무 감사합니다 덕분에 즐겁게 인터넷 할수있겠네요</t>
  </si>
  <si>
    <t>아주 신속하게 문제를 샤샤샥 해결해주셨습니다~</t>
  </si>
  <si>
    <t>친절하게상담해주시고뭐가문제인지알기쉽게설명해주셔서좋았습니다</t>
  </si>
  <si>
    <t>너무 친절하고 자세하게 상담해 주셔서 감사드립니다 덕분에 궁금했던게 많이 해결 되었습니다 좋은 하루 보내세요! 상담사님 , 귀인 이십니다!</t>
  </si>
  <si>
    <t>친절하게 잘 안내해 주셨습니다. 비록 해결은 안됐지만 해결할 수 있는 방법도 잘 설명해 주셨습니다.</t>
  </si>
  <si>
    <t>빠르게 점검해주시고 설명도 잘해주셧습니다</t>
  </si>
  <si>
    <t>상담직원고 소통이 덜 되어 연락주신 부분은 있으나 친절하고 빠른확인과 처리가 되어 만족합니다</t>
  </si>
  <si>
    <t>친절하게 잘 설명해주셔서 너무 좋았습니다.</t>
  </si>
  <si>
    <t>문제해결 및 친절한 상담 감사합니다</t>
  </si>
  <si>
    <t>처음부터 끝까지 성의껏 도움주셔서 감사합니다.</t>
  </si>
  <si>
    <t>친절하시고 상세하게 설명해주셨어요~</t>
  </si>
  <si>
    <t>매우 친절하십니다</t>
  </si>
  <si>
    <t>친절하게 잘 안내해 주셨습니다.</t>
  </si>
  <si>
    <t>친절하게 잘 설명해주시고, 방문 예약까지 잡아주셔서 매우 편안하게 상담받았습니다</t>
  </si>
  <si>
    <t>너무너무 친절하게 진단 봐주셔서 너무 감사합니다 이런 기계는 전혀 모르는데 설명도 이해하기 쉽게 잘해주셨어요 그리고 무엇보다 고객센터랑 통화할때도 어색해서 불편함을 느끼는데 편한한 느낌을 받을 수 있었어요 감사합니다!</t>
  </si>
  <si>
    <t>상담사 분이 친절하시고 뭐가 문제인지 명확하게 말씀주셔서 감사했습니다.</t>
  </si>
  <si>
    <t>원격지원 친절하게 잘 해주셨습니다.</t>
  </si>
  <si>
    <t>친철하셨습니다</t>
  </si>
  <si>
    <t>빠르게 해주셔서 감사합니다</t>
  </si>
  <si>
    <t>설명 잘해 주시네요</t>
  </si>
  <si>
    <t>이해하기 쉽고 친절하게 설명듣고 안내받았습니다. 감사합니다.</t>
  </si>
  <si>
    <t>상담하는동안 친절하시고 바로 봐주셔서 빠르게 문제 해결했습니다</t>
  </si>
  <si>
    <t>친절하시고 해결해주셔서 감사합니다 오늘도 대박나는 웃는하루되세요^^</t>
  </si>
  <si>
    <t>친절하고 상세하게 설명해주시고 조치를 해주셔서 매우 만족합니다</t>
  </si>
  <si>
    <t>갑자기 인터넷 속도가 느려져서 답답했는데 원인을 알수있어서 문제 해결을 할수있을것같습니다</t>
  </si>
  <si>
    <t>원격으로 바로 조치해주시고 모르는부분 설명 잘해주셔서 좋았습니다.</t>
  </si>
  <si>
    <t>뭔지는 잘 모르겠지만 잘 해주셨을꺼라 믿고 사용해보겠습니다 감사합니다 (__)</t>
  </si>
  <si>
    <t>제가 궁금한 점이나 부탁드리는 부분에서 모두 친절하게 알려주시고 도와주셨습니다</t>
  </si>
  <si>
    <t>친절하고 자세하게 안내를 잘 해주셔서 편안하게 상담을 했습니다. 문제해결 해주셔서 감사드립니다.</t>
  </si>
  <si>
    <t>매우 친절하게 조치해 주셧습니다</t>
  </si>
  <si>
    <t>통화도 친절하게 해주셨습니다.</t>
  </si>
  <si>
    <t>휴대폰, 태블릿 인터넷 속도 에러 문제로 연락했는데 고객센터에서 이상하게 원격진단을 해야 속도 정확하게 측정 가능하다고 했는데 원격진단 기사도 자기가 왜 이렇게 연락 되었는지 모르겠다고 하네요. 서비스가 별로이네요.</t>
  </si>
  <si>
    <t>고장 원인 진단 및 조치에 대해 친절히 설명 해주십니다</t>
  </si>
  <si>
    <t>친절하고 빠른 대응 감사합니다.</t>
  </si>
  <si>
    <t>적극적인 답변하고 문제해결 감사합니다.</t>
  </si>
  <si>
    <t>친절하게 잘 설명 해주셨습니다!</t>
  </si>
  <si>
    <t>친절하게 잘 설명해주시고 이해하기 쉽게 얘기해주셔서 잘 이해했습니다</t>
  </si>
  <si>
    <t>빠르게 대응해주셔서 감사합니다.</t>
  </si>
  <si>
    <t>친절하고안전하게 서비스 받았습니다 유플러스 만세</t>
  </si>
  <si>
    <t>너무 친절해서 감사합니다!! 다음에도 잘 봐주십시오!!</t>
  </si>
  <si>
    <t>빠르고 친절한 설명이 좋았습니다.</t>
  </si>
  <si>
    <t>너무 친절하게 진행해 주셔서 감사합니다!</t>
  </si>
  <si>
    <t>덕분에 느린 문제 해결했습니다 감사합니다!!</t>
  </si>
  <si>
    <t>굉장히 친절하십니다~!!</t>
  </si>
  <si>
    <t>최고!이런서비스가있었다니 ㅎㅎㅎㅎ 완전 대박입니다</t>
  </si>
  <si>
    <t>너무 친절하게 설명해결해주셔서감사합니다</t>
  </si>
  <si>
    <t>너무나도 친절하게 설명해주셔서 문제 해결했습니다.</t>
  </si>
  <si>
    <t>목소리도 좋으시고 친절하셔서 점검 받는동안 너무 만족스러웠습니다~ 고맙습니다.</t>
  </si>
  <si>
    <t>설명 친절하게 잘해주시고 이게 왜그런건지 어디서부터 원인이 있던건지, 하나하나 알려주셔서 감사했습니다. 그리고 무엇보다 해결도 엄청빨라서 좋았습니다.</t>
  </si>
  <si>
    <t>자세한 설명 및 빠른 조치에 감사합니다 대단히 만족합니다</t>
  </si>
  <si>
    <t>빠른 지원에 감사합니다. 역시 LGu+ 고객지원센터 입니다. 감사합니다.</t>
  </si>
  <si>
    <t>대 만족 합니다!!</t>
  </si>
  <si>
    <t>빠른 지원에 감사합니다.</t>
  </si>
  <si>
    <t>너무 친절하시고 빠른 일처리 최고입니다!</t>
  </si>
  <si>
    <t>빠르고 친절하게 응대해주셔서 너무 감사합니다!</t>
  </si>
  <si>
    <t>컴퓨터 시스템에 대하여 모르는 사람을 위해서 친절하게 설명해 주시고, 문제점에 대한 정리 및 해결책 까지 모든 부분에서 친절하고, 정확하게 분석/설명해 주셨습니다. 감사합니다/</t>
  </si>
  <si>
    <t>친절하게 잘대해줌 설명 요약 잘해줌</t>
  </si>
  <si>
    <t>기사님 덕분에 몰랐던것도 알게되고 다시 잘 설치해 주셔서 너무 감사했어요ㅜㅜ 친절하게 잘 셋팅해주시고 이해하기 쉽게 설명까지 해주셔서 너무 감사했습니다.^^ 다음에도 혹 문제가 생기면 기사님과 인연이 되면 좋겠습니다.^^</t>
  </si>
  <si>
    <t>기사님 목소리도 좋고 친절하셔요! 문제가 잘 해결되어 기쁩니다!</t>
  </si>
  <si>
    <t>너무 친절하세요 모두 문의 사항 정리 되었습니다.</t>
  </si>
  <si>
    <t>너무 친절하셔서 감동 받았어요</t>
  </si>
  <si>
    <t>신속 정확하게 해결해주셨어요 ㅎㅎ 빠르게 해결해주셔서 외출시간에도 늦지 않게 나가 난처함도 덜했습니다. 알아듣게 용어를 설명 해주셔서 너무 감사해요 많이많이 칭찬합니다 일잘하시는 분들에게는 보너스를 많이 드려야해요!!!!!</t>
  </si>
  <si>
    <t>세심하게 진단해 주신 후 간단 명료하고 이해 하기 쉽게 물음에 답 해주셔서 감사합니다</t>
  </si>
  <si>
    <t>친철하시고 납득할 수 있게 설명해주셔서 좋았습니다</t>
  </si>
  <si>
    <t>너무 친절하고 ㅠㅠㅠ 완전 이해하기 쉽게 설명해주시고 더 고쳐주시고 최고에요 엘쥐 최고 서비스는 역쉬 엘쥐 사랑해요 이래서 내가 엘쥐 10년넘게 쓰고 있음 원격해주신 슨생님 너무 감사해요 사랑해요</t>
  </si>
  <si>
    <t>인터넷 속도 뿐 아니라 부모님 사용하시는 컴퓨터 드라이버 성능 등 자세히 살펴봐 주시고 도움주셔서 너무 감사합니다. 그동안 많이 불편했던 부모님께 상황 설명도 할 수 있어서 많은 도움 되었습니다. 감사합니다. 좋은 하루 보내세요</t>
  </si>
  <si>
    <t>친절하게 상담해주시고 조치 잘 해주셨습니다</t>
  </si>
  <si>
    <t>전화도 끊기고 답답한 잘안되는상황에서 잘알려주셔서 감사합니다! 인터넷관련해서 전문지식도 뛰어나셔서 저같이 잘모르는 사람도 쉽게 할수있었습니다.</t>
  </si>
  <si>
    <t>친절하게 잘 설명해주셨어요.</t>
  </si>
  <si>
    <t>정말 꼼꼼하게 잘 알아봐 주셔서 감사합니다. 결국 일일 사용량 초과였네요. 감사합니다.</t>
  </si>
  <si>
    <t>5분만에 한방에 해결햇습니다. 너무 감사합니다!!</t>
  </si>
  <si>
    <t>현재 발생하는 엘지유플러스 인터넷망에 오류가 있음을 단시간내에 정확하게 파악하셔서 너무 좋았습니다. 상위부서에서 해결책을 꼭 마련해주셔서 해당 사이트에 접근이 타사 인터넷공급사망처럼 원활하게 접근이 가능했으면 좋겠습니다. 추후 답변 기다리겠습니다. 감사합니다.</t>
  </si>
  <si>
    <t>10점 만점드립니다.</t>
  </si>
  <si>
    <t>친절하게 잘 설명해주셧습니다.</t>
  </si>
  <si>
    <t>친절한 상담 너무너무 감사합니다</t>
  </si>
  <si>
    <t>친절,신속^^</t>
  </si>
  <si>
    <t>친절하고 알기 쉽게 잘 설명해주심.</t>
  </si>
  <si>
    <t>문제 원인을 빠르게 찾아 해결해주셨습니다</t>
  </si>
  <si>
    <t>시작부터 끝까지 잘 해주십니다 감사합니다~</t>
  </si>
  <si>
    <t>인터넷 속도 관련해서 문의 드렸는데 직원분 들 모두 친절하시고 자세하게 설명 해주셨어요(솔직하게 말하면 설명해주신 문제점 뭐가 뭔지는 모르지만 ) 너무 친절하게 설명 및 방문 해주신다고 하니 기분 좋아요 ^^</t>
  </si>
  <si>
    <t>너무너무 만족 합니다~ @^^@</t>
  </si>
  <si>
    <t>친절하게 응대해주셔서 고맙습니다.</t>
  </si>
  <si>
    <t>네 친절하게 잘받았습니다</t>
  </si>
  <si>
    <t>인터넷 문제로 어려움이 많았는데 상세한 설명 감사드립니다.</t>
  </si>
  <si>
    <t>군더더기 없는 상담이였습니다. 추가 문의에도 친절히 응대해 주셔서 감사합니다.</t>
  </si>
  <si>
    <t>상담사 분들 모두 너무 친절하게 설명해주셨고, 헷갈리거나 하는 부분 없이 좋은 설명이였어요</t>
  </si>
  <si>
    <t>담당 기사분이 친절하게 잘 설명해주셨습니다~~</t>
  </si>
  <si>
    <t>감사합니다 최고입니다.</t>
  </si>
  <si>
    <t>담당자분 너무 친절하시고 알아듣기 쉽게 설명을 너무 잘해주시네요. 제가 궁금한점을 계속 물어보는대도 친절하게 답변을 해주셔서 너무 감사햇습니다.</t>
  </si>
  <si>
    <t>수고많으셨습니다.</t>
  </si>
  <si>
    <t>빠른속도및 처리가 좋앗습니다 정말 감사합니다 앞으로도 믿고 쓰는 엘지 유플러스!! 친절한 상담 빠른 일처리 정말 최고입니다 정말 감사합니다</t>
  </si>
  <si>
    <t>오랜 시간 친절하게 상담해주시고 문제 해결까지 감사드립니다</t>
  </si>
  <si>
    <t>친절하게 안내 및 진단해주셔서 감사합니다!</t>
  </si>
  <si>
    <t>전문적이고 기술능력이 뛰어나며 탁월합니다. 너무 너무 만족해요~~</t>
  </si>
  <si>
    <t>아이를 위해 인터넷사용제한을 걸려고 공유기 사용제한을 했습니다. 너무 친절하시고 자세한 설명 감사합니다.</t>
  </si>
  <si>
    <t>친절하게 잘 알려주셔서 잘 따라할 수 있었어요 문제는 해결되지 않았지만 해결을 위해 힘써주시는 모습이 아주 친절해서 좋았어요. 감사합니다.</t>
  </si>
  <si>
    <t>글쎄요 , 모르겠음</t>
  </si>
  <si>
    <t>문제 해결을 빠르게 해주시고 자세하고 쉽게 설명해주셔서 좋았습니다.</t>
  </si>
  <si>
    <t>신속하고 빠르게 작업해주셔서 정말 만족스럽습니다 감사합니다~!</t>
  </si>
  <si>
    <t>네 만족합니다 최고입니다</t>
  </si>
  <si>
    <t>오랜시간동안 해결이 안되어서 고생을 했는데 , 원격점검 서비스로 단번에 짧은 시간에 해결되어서 아주 만족스럽습니다. 진작 전화를 할걸 하는 아쉬움이 생기네요. 감사합니다</t>
  </si>
  <si>
    <t>친절히 잘 서비스 를 제공 받았습니다. 기사님 친절 하시네요.</t>
  </si>
  <si>
    <t>간편하고 빠르게 문의 받았습니다</t>
  </si>
  <si>
    <t>정말 친절하셨습니다 설명도 자세히 해 주셨습니다</t>
  </si>
  <si>
    <t>세세하게 잘 알려주셨습니다</t>
  </si>
  <si>
    <t>너무 친정 하시고 설명도 잘 해주시고 감사 합니다</t>
  </si>
  <si>
    <t>편리하고 친절하고 너무 만족합니다</t>
  </si>
  <si>
    <t>기사님 덕분에 원활히 해결했고 원인도 친절히 설명해주셨습니다. 감사해요</t>
  </si>
  <si>
    <t>빠르게해결함</t>
  </si>
  <si>
    <t>너무 좋았습니다</t>
  </si>
  <si>
    <t>친절하신 기사님 설명으로 쉽게 와이파이 비번 변경했어요!!</t>
  </si>
  <si>
    <t>너무 친절한 점검 잘 받았습니다</t>
  </si>
  <si>
    <t>너무 친절하게 잘 처리해주셔서 감사합니다.</t>
  </si>
  <si>
    <t>컴퓨터에 대해서 잘 모르는데 알기 쉽게 잘 설명하시면서 친절하고 빠르게 대처해주셨어요 감사합니다.</t>
  </si>
  <si>
    <t>담당자님이 너무 친절하시고 자세히 활용법을 알려줘서 너무 감사 합니다 친절한 상담 감사 합니다 *^* 좋은 하루 되세요</t>
  </si>
  <si>
    <t>친절하게 상담 해주셨습니다.</t>
  </si>
  <si>
    <t>빠르게 처리해주셔서 너무 감사했고 문제를 다 해결해 주셨어요 대박</t>
  </si>
  <si>
    <t>상담이 친절하고 원인분석도 깔금하여 만족하는 서비스를 받았습니다. 일단 인터넷 문제가 아닌것을 알게되었고 다른 원인을 찾아볼수 있어 좋았습니다</t>
  </si>
  <si>
    <t>너무 친절하시네요 감사합니다</t>
  </si>
  <si>
    <t>친절하고 자세한안내 감사합니다</t>
  </si>
  <si>
    <t>컴퓨터를 잘 모르지만 침착하고 차분하게 잘 설명주셨습니다.</t>
  </si>
  <si>
    <t>친절하시고 정확한 진단 감사합니다. 문제가 해결되었어요</t>
  </si>
  <si>
    <t>빠른 진단과 처리에 매우 만족합니다. 최고!!</t>
  </si>
  <si>
    <t>추가 문제까지 해결해줘서 좋았습니다.</t>
  </si>
  <si>
    <t>100%만족합니다 감사합니다 좋은하루 돼셔요 꾸벅</t>
  </si>
  <si>
    <t>너무 친절하고 요구하는거 다 들어주셨어요~ 감사합니다~</t>
  </si>
  <si>
    <t>친절히 응대해 주셔서 감사드립니다 기분 좋게 응대해 주셨어요 다음에도 응대 받고 싶어요</t>
  </si>
  <si>
    <t>친절하게 응대해주셨습니다~</t>
  </si>
  <si>
    <t>친절하게 안내 및 설명해주시고 원인을 꼼꼼히 찾아주셨습니다.</t>
  </si>
  <si>
    <t>이해하기쉽게 친절하게 설명해주셨다고합니다</t>
  </si>
  <si>
    <t>이번에 인터넷 IP 변경 관련으로 문의드렸는데, 최종적으로는 변경이 완료되지 않았습니다. 하지만 상담해 주신 고객지원 담당자분께서 처음부터 끝까지 매우 친절하게 응대해 주셨고, 가능한 방법들을 하나하나 확인하며 해결을 위해 끝까지 노력해 주시는 모습이 인상적이었습니다. 결과적으로 원하는 변경은 이루어지지 않았지만, 단순히 안 된다고 끝내는 것이 아니라 여러 가능성을 검토하고 이해하기 쉽게 설명해 주셔서 큰 도움이 되었습니다. 고객 입장에서 궁금한 점도 성의 있게 답변해 주시고, 불편함을 최소화하려는 진심이 느껴졌습니다. 원하는 결과는 얻지 못했지만 상담 과정 자체는 매우 만족스러웠으며, 이런 친절하고 책임감 있는 고객지원 덕분에 좋은 인상을 받았습니다. 도움 주셔서 진심으로 감사드립니다.</t>
  </si>
  <si>
    <t>친절하게 잘 설명해주셨습니다!</t>
  </si>
  <si>
    <t>매우 친절하고 적극적인 조치를 취해 주셨습니다.</t>
  </si>
  <si>
    <t>상담사분이 엄청 친절하시고 빠르게 잘봐주셨어요 감사합니다~!</t>
  </si>
  <si>
    <t>너무 친절하시고 자세하게 설명해주셔서 감사합니다</t>
  </si>
  <si>
    <t>꼼꼼이 잘 봐주십니다.</t>
  </si>
  <si>
    <t>아주 친절하고 설명을 쉽게 해주십니다</t>
  </si>
  <si>
    <t>친절하고 꼼꼼하게 잘 봐주심</t>
  </si>
  <si>
    <t>진짜 감사 합니다 너무 잘처리 되서 제 고민이 해결 됐어요</t>
  </si>
  <si>
    <t>기사님 너무너무 감사합니다. 너무 친절하시고 설명을 잘해 주셨어요. 원격으로 진단 받을 수 있어서 좋은 것 같아요. 엘지 유플러스 앞으로도 계속 이용할게요. 감사합니다!!!!</t>
  </si>
  <si>
    <t>친절하게 잘 알려주시고 가르쳐 주셨습니다</t>
  </si>
  <si>
    <t>친절하고 기술적인 설명도 같이 해 주셔서, 매우 만족스럽게 문제가 해결되었습니다. 칭찬합니다.</t>
  </si>
  <si>
    <t>친절하시고 천천히 안내해주셔서 좋았습니다~</t>
  </si>
  <si>
    <t>엄청 친절하게 상담해주시고, 해결이 안됐는데도 끝까지 해결해주시려고 해주시는모습이 너무 감사했습니다. 최고의 상담이었습니다. 감사합니다.</t>
  </si>
  <si>
    <t>상담직원분과 원격제어파트에 계신 기술직원 두분 모두 친절하시고 고장원인에 대해서 자세하게 설명해주셨습니다. 빠른처리로 너무 감사합니다.</t>
  </si>
  <si>
    <t>친절하고 응대 잘해주셨습니다. 감사합니다.</t>
  </si>
  <si>
    <t>친절하게 컴퓨터 정검까지 다 해주시고 너무 잘 받았습니다 ^^</t>
  </si>
  <si>
    <t>기사님께서 친절하게 기술적인 포인트까지 확인해 주시면서 하드웨어 원격 조치해 주셨습니다. 감사합니다.</t>
  </si>
  <si>
    <t>친절하시고 잘 도와주셔서 감사합니다.</t>
  </si>
  <si>
    <t>친절히 너무 잘 알려주셔서 감사했어요.만점만점이이예요</t>
  </si>
  <si>
    <t>친절한 설명과 문제 해결</t>
  </si>
  <si>
    <t>처리 너무나 잘해주셔서 정말 감사 합니다 꾸벅 복 많이 받으셔요 100% 만% 그이상 최고로 만족하오며 항상 우수한 상담 감사 드립니다 꾸벅 항상 다가오는 맞이하는 많은 고객님과 많은 만족스런 오늘과 같은 상담 함께 하시기를 기원 합니다 복 많이 받으셔요 행운가득 우슴가득 돈 만땅 버셔요 ㅎㅎ</t>
  </si>
  <si>
    <t>신속하고 친절하게 조치해주셔서 감사합니다. 좋은하루 되십시요~</t>
  </si>
  <si>
    <t>완전 친절히 잘 설명해주셨습니다. 최고입니다.</t>
  </si>
  <si>
    <t>늦은시간에 친절히 응대해 주셔서 감사합니다</t>
  </si>
  <si>
    <t>최고입니다 감사하고 고맙슴니다</t>
  </si>
  <si>
    <t>감사합니다. 며칠 전부터 카카오톡으로 파일 전송이 안되어서 엄청 답답했는데 그래도 이것저것 다른 방법으로 많이 봐주셔서 큰 도움이 됐습니다.</t>
  </si>
  <si>
    <t>오류가 바로 해결되서 너무 좋아요</t>
  </si>
  <si>
    <t>친절하고 빠르게 조치를 해주시고 설명도 이해하기 쉽게 잘해주십니다~~</t>
  </si>
  <si>
    <t>너무 친절히 신속히 응대해 주셔서 감사합니다.</t>
  </si>
  <si>
    <t>안되던 부분 완전히 해결됐습니다. 감사합니다</t>
  </si>
  <si>
    <t>항상 문제해결 노력에 감사합니다.</t>
  </si>
  <si>
    <t>저번에 안된다고 전화연결했을땐 이정도까지는 아니었는데 이번에는 제대로 받은거 같아서 기분이 매우 좋습니다 상담사님 기술지원팀 선생님께 감사의 인사 드립니다.</t>
  </si>
  <si>
    <t>원격지원 상담사가 친절히 도움을 주셔서 문제를 완벽히 해결하였습니다 훌륭하고 능력있는 직원을 만나서 어려움이 없었습니다. 김태완 상담사 진급을 추천합니다. 강추!!!!!</t>
  </si>
  <si>
    <t>빠르고 좋았습니다. 좋은 하루 되시길 바랍니다.</t>
  </si>
  <si>
    <t>빠르고 친절하게 문제 해결해 주셔서 감사합니다</t>
  </si>
  <si>
    <t>원격으로 간편하고 신속하게 처리해주셨습니다 편리한것같아요</t>
  </si>
  <si>
    <t>감사합니다 상담사님, 기술사원님 두분 다 늦은시간에도 친절하고 신속하게 해주셨습니다 수고하세요</t>
  </si>
  <si>
    <t>친절하고 안내 잘 해주셨습니다</t>
  </si>
  <si>
    <t>네 너무 깔끔하게 잘 봐주셨습니다</t>
  </si>
  <si>
    <t>바로 문제해결이 되진 않았으나 서비스는 만족함</t>
  </si>
  <si>
    <t>상담하시는 분이 너무 친절하셨습니다. 감사합니다</t>
  </si>
  <si>
    <t>차근차근 문제 파악하시고 바로 해결해주셨고, 어떤 문제인지도 친절하게 설명해주셨어요. 원격 시스템 정말 좋은 시스템인 것 같아요. 정말 빠르게 해결해주셔서 감사드립니다.</t>
  </si>
  <si>
    <t>친절하시고 적절한 대응을 잘해주셨어요</t>
  </si>
  <si>
    <t>친절하시고, 바로 해결이 됐습니다. 감사합니다!</t>
  </si>
  <si>
    <t>친절하고 최고입니다.</t>
  </si>
  <si>
    <t>친절하게 상담 잘해주시고 문제 해결이 안된부분에서 대리접수 까지 진행해 주셨습니다.</t>
  </si>
  <si>
    <t>드라이버 업데이트 까지 잘봐주셧습니다</t>
  </si>
  <si>
    <t>너무 친절하시고 설명 잘해주시네요</t>
  </si>
  <si>
    <t>원격으로 진단을 하고 랜카드 문제로 추정을 해서 고객에게 구매해서 사용해봐야할것같다고 추천함, 하지만 원인은 랜카드문제가아니였음 . 랜카드 구매하고 사용했을 때 랜카드 문제가 아니였으면 유플러스에서 비용지원을 해주는건지? 정확한 원인을 파악하지 못하는게 아쉬웠음</t>
  </si>
  <si>
    <t>친절히 진단해 주시고 안내해주셔서 만족합니다</t>
  </si>
  <si>
    <t>AS원격 기사님이 친절하시고 신속하게 문제 해결에 도움을 주셨습니다 평소 인터넷 속도의 10분의 1 밖에 나오지 않아 자가진단 (u+앱)을 통해서 리셋을 해보았으나 해결이 되지 않았는데 기사님이 도와주셔서 속도가 이제 평소처럼 나오네요, 도움 감사드리며 좋은 하루 되시길 바랍니다 10점 만점의 10점 최고의 기사 분이십니다 추천 땅땅!</t>
  </si>
  <si>
    <t>항상도움 감사합니다 꾸벅 만족 최고의 100% 10,000%만족합니다 하상 다가오는 고객님께 우수한 상담 만족도 무수히 많이 안고 행복만땅 하셔요^*^</t>
  </si>
  <si>
    <t>2026. 7. 10</t>
  </si>
  <si>
    <t>친절 신속 하세요 요청사항 해결도히어서 좋아요</t>
  </si>
  <si>
    <t>친절하게 응대해주시고 빠른 처리 해주셨습니다</t>
  </si>
  <si>
    <t>친절하게대해주셨습니다.</t>
  </si>
  <si>
    <t>친절하게 잘 진행해 주셨습니다.</t>
  </si>
  <si>
    <t>알기 쉽게 설명도 자세히 잘 해주시고 너무 친절하세요:-) 빠르게 문제 해결 해주셔서 너무 감사합니다~</t>
  </si>
  <si>
    <t>게임하는데 좋게 설정해주셨습니다</t>
  </si>
  <si>
    <t>친철하시고 자세하게 상담해주셔서 좋아요~</t>
  </si>
  <si>
    <t>정말 잘 설명해주시고 해결해 주셔서 좋았습니다.</t>
  </si>
  <si>
    <t>친절히 잘 해주셨고 문제 해결 완벽히 되었습니다. 감사합니다.</t>
  </si>
  <si>
    <t>빠른 일 처리 너무 마음에 듭니다</t>
  </si>
  <si>
    <t>빠르게 원격서비스를 받게 되고 서비스 해주시는 기사님과 소통되어 만족 합니다 감사 합니다</t>
  </si>
  <si>
    <t>전반적인 설명부터 해결까지 만족스러웠습니다. 감사합니다.</t>
  </si>
  <si>
    <t>네 잘 받았습니다.</t>
  </si>
  <si>
    <t>고장 내용을 신속하게 인지하시고 적극적으로 써비스에 임해주셔서 감사합니다.</t>
  </si>
  <si>
    <t>상담사 상담에 100% 1,000% 10,000%만족합니다 상담 매우감사합니다 꾸벅 행운가득 상쾌한 심야상담 돼셔요</t>
  </si>
  <si>
    <t>편하게 잘 서비스 받았습니다.</t>
  </si>
  <si>
    <t>말씀도 잘알아듣게 말씀해주시고 친절해주셔서 전혀 불편함없이 진단받은거같습니다.좋은 서비스 감사합니다 수고하세요~</t>
  </si>
  <si>
    <t>검사 잘 받았습니다 친절하셔서 좋았어요</t>
  </si>
  <si>
    <t>LG 서비스 센터 직원분들 모두 다 상담하는데 친절하시고 설명도 잘해주셔서 너무 좋았습니다 따봉이요</t>
  </si>
  <si>
    <t>친절할게 잘 알려주셔서 감사합니다</t>
  </si>
  <si>
    <t>최고입니다..!!!!</t>
  </si>
  <si>
    <t>친절한 설명 좋습니다</t>
  </si>
  <si>
    <t>친절하게 설명 잘해주시고 기사님 일정도 빠르게 잡아주시려 노력하시는거같습니다 칭찬합니다</t>
  </si>
  <si>
    <t>친절하고 상세하고 정밀하게 진단 만족 함니다</t>
  </si>
  <si>
    <t>너무잘설명해주셨고 후속조치도 잘해주셨습니다 감사합니다</t>
  </si>
  <si>
    <t>만족햇습니다. 수고하셨습니다.</t>
  </si>
  <si>
    <t>빠르고 친절한 상담 감사드립니다.</t>
  </si>
  <si>
    <t>속도가 느린 원인을 자세히 설명해 주어 감사합니다</t>
  </si>
  <si>
    <t>잘 설명해주셨어요</t>
  </si>
  <si>
    <t>긴 시간 확인해주시고 친절하게 해주셨습니다.</t>
  </si>
  <si>
    <t>좋게 설명해주셔서 만족했습니다</t>
  </si>
  <si>
    <t>친절하고 신속하게 잘 처리해주셨습니다. 너무 너무 만족합니다~</t>
  </si>
  <si>
    <t>기사님이 친절했고 신속하게 문제를 해결해 주셔서 매우 만족합니다. 감사합니다.</t>
  </si>
  <si>
    <t>너무 친절하고 이쁘게 말해주셔서 좋았습니다.</t>
  </si>
  <si>
    <t>친절하게 잘 대응해주셔서 감사합니다</t>
  </si>
  <si>
    <t>수고 하셨읍니다</t>
  </si>
  <si>
    <t>궁금했던점을 바로 해결해주셨습니다.</t>
  </si>
  <si>
    <t>신속 처리 감사^ 최고입니다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</si>
</sst>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1" formatCode="_-* #,##0_-;\-* #,##0_-;_-* &quot;-&quot;_-;_-@_-"/>
    <numFmt numFmtId="176" formatCode="0.00000%"/>
    <numFmt numFmtId="177" formatCode="0.0%"/>
    <numFmt numFmtId="178" formatCode="#,##0_);[Red]\(#,##0\)"/>
    <numFmt numFmtId="179" formatCode="#,##0_ ;[Red]\-#,##0\ "/>
    <numFmt numFmtId="180" formatCode="d"/>
    <numFmt numFmtId="181" formatCode="General&quot;주&quot;&quot;차&quot;"/>
    <numFmt numFmtId="182" formatCode="General&quot;일&quot;"/>
    <numFmt numFmtId="183" formatCode="General\ &quot;건&quot;"/>
    <numFmt numFmtId="184" formatCode="h:mm:ss;@"/>
    <numFmt numFmtId="185" formatCode="m&quot;/&quot;d"/>
    <numFmt numFmtId="186" formatCode="[$-409]h:mm:ss\ AM/PM;@"/>
  </numFmts>
  <fonts count="45">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5"/>
      <color theme="1"/>
      <name val="맑은 고딕"/>
      <family val="2"/>
      <charset val="129"/>
      <scheme val="minor"/>
    </font>
    <font>
      <sz val="10"/>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
      <b/>
      <sz val="12"/>
      <color theme="1"/>
      <name val="맑은 고딕"/>
      <family val="3"/>
      <charset val="129"/>
      <scheme val="minor"/>
    </font>
    <font>
      <b/>
      <sz val="11"/>
      <color theme="1"/>
      <name val="맑은 고딕"/>
      <family val="3"/>
      <charset val="129"/>
      <scheme val="minor"/>
    </font>
    <font>
      <b/>
      <sz val="9"/>
      <color theme="1"/>
      <name val="맑은 고딕"/>
      <family val="3"/>
      <charset val="129"/>
      <scheme val="minor"/>
    </font>
    <font>
      <sz val="9"/>
      <color theme="1"/>
      <name val="맑은 고딕"/>
      <family val="3"/>
      <charset val="129"/>
      <scheme val="minor"/>
    </font>
    <font>
      <b/>
      <sz val="10"/>
      <name val="맑은 고딕"/>
      <family val="3"/>
      <charset val="129"/>
      <scheme val="minor"/>
    </font>
    <font>
      <b/>
      <sz val="9"/>
      <color theme="1"/>
      <name val="맑은 고딕"/>
      <family val="2"/>
      <charset val="129"/>
      <scheme val="minor"/>
    </font>
    <font>
      <sz val="9"/>
      <color theme="1"/>
      <name val="맑은 고딕"/>
      <family val="2"/>
      <charset val="129"/>
      <scheme val="minor"/>
    </font>
    <font>
      <b/>
      <sz val="9"/>
      <name val="맑은 고딕"/>
      <family val="3"/>
      <charset val="129"/>
      <scheme val="minor"/>
    </font>
    <font>
      <sz val="11"/>
      <color theme="0"/>
      <name val="맑은 고딕"/>
      <family val="2"/>
      <charset val="129"/>
      <scheme val="minor"/>
    </font>
    <font>
      <sz val="11"/>
      <name val="맑은 고딕"/>
      <family val="3"/>
      <charset val="129"/>
      <scheme val="minor"/>
    </font>
    <font>
      <b/>
      <sz val="11"/>
      <name val="맑은 고딕"/>
      <family val="3"/>
      <charset val="129"/>
      <scheme val="minor"/>
    </font>
    <font>
      <sz val="9"/>
      <name val="맑은 고딕"/>
      <family val="3"/>
      <charset val="129"/>
      <scheme val="minor"/>
    </font>
    <font>
      <b/>
      <sz val="10"/>
      <color theme="1"/>
      <name val="맑은 고딕"/>
      <family val="2"/>
      <charset val="129"/>
      <scheme val="minor"/>
    </font>
    <font>
      <b/>
      <sz val="9"/>
      <color rgb="FFFF0000"/>
      <name val="맑은 고딕"/>
      <family val="3"/>
      <charset val="129"/>
      <scheme val="minor"/>
    </font>
    <font>
      <b/>
      <sz val="9"/>
      <color theme="8"/>
      <name val="맑은 고딕"/>
      <family val="3"/>
      <charset val="129"/>
      <scheme val="minor"/>
    </font>
    <font>
      <b/>
      <sz val="8"/>
      <color theme="1"/>
      <name val="맑은 고딕"/>
      <family val="3"/>
      <charset val="129"/>
      <scheme val="minor"/>
    </font>
    <font>
      <b/>
      <sz val="9"/>
      <color theme="0"/>
      <name val="맑은 고딕"/>
      <family val="3"/>
      <charset val="129"/>
      <scheme val="minor"/>
    </font>
    <font>
      <b/>
      <sz val="10"/>
      <color theme="0"/>
      <name val="맑은 고딕"/>
      <family val="3"/>
      <charset val="129"/>
      <scheme val="minor"/>
    </font>
    <font>
      <b/>
      <sz val="8"/>
      <color theme="0"/>
      <name val="맑은 고딕"/>
      <family val="3"/>
      <charset val="129"/>
      <scheme val="minor"/>
    </font>
    <font>
      <sz val="8"/>
      <color theme="1"/>
      <name val="맑은 고딕"/>
      <family val="3"/>
      <charset val="129"/>
      <scheme val="minor"/>
    </font>
    <font>
      <sz val="6"/>
      <color theme="1"/>
      <name val="맑은 고딕"/>
      <family val="2"/>
      <charset val="129"/>
      <scheme val="minor"/>
    </font>
    <font>
      <sz val="10"/>
      <color theme="0"/>
      <name val="맑은 고딕"/>
      <family val="3"/>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0"/>
      <color theme="1"/>
      <name val="Arial"/>
      <family val="2"/>
    </font>
  </fonts>
  <fills count="3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theme="8"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0" tint="-0.34998626667073579"/>
      </top>
      <bottom style="thin">
        <color theme="0" tint="-0.34998626667073579"/>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A6A6A6"/>
      </top>
      <bottom style="medium">
        <color rgb="FFCCCCCC"/>
      </bottom>
      <diagonal/>
    </border>
  </borders>
  <cellStyleXfs count="47">
    <xf numFmtId="0" fontId="0"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31" applyNumberFormat="0" applyFill="0" applyAlignment="0" applyProtection="0">
      <alignment vertical="center"/>
    </xf>
    <xf numFmtId="0" fontId="31" fillId="0" borderId="32" applyNumberFormat="0" applyFill="0" applyAlignment="0" applyProtection="0">
      <alignment vertical="center"/>
    </xf>
    <xf numFmtId="0" fontId="32" fillId="0" borderId="33" applyNumberFormat="0" applyFill="0" applyAlignment="0" applyProtection="0">
      <alignment vertical="center"/>
    </xf>
    <xf numFmtId="0" fontId="32" fillId="0" borderId="0" applyNumberFormat="0" applyFill="0" applyBorder="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34" applyNumberFormat="0" applyAlignment="0" applyProtection="0">
      <alignment vertical="center"/>
    </xf>
    <xf numFmtId="0" fontId="37" fillId="11" borderId="35" applyNumberFormat="0" applyAlignment="0" applyProtection="0">
      <alignment vertical="center"/>
    </xf>
    <xf numFmtId="0" fontId="38" fillId="11" borderId="34" applyNumberFormat="0" applyAlignment="0" applyProtection="0">
      <alignment vertical="center"/>
    </xf>
    <xf numFmtId="0" fontId="39" fillId="0" borderId="36" applyNumberFormat="0" applyFill="0" applyAlignment="0" applyProtection="0">
      <alignment vertical="center"/>
    </xf>
    <xf numFmtId="0" fontId="40" fillId="12" borderId="37" applyNumberFormat="0" applyAlignment="0" applyProtection="0">
      <alignment vertical="center"/>
    </xf>
    <xf numFmtId="0" fontId="41" fillId="0" borderId="0" applyNumberFormat="0" applyFill="0" applyBorder="0" applyAlignment="0" applyProtection="0">
      <alignment vertical="center"/>
    </xf>
    <xf numFmtId="0" fontId="2" fillId="13" borderId="38" applyNumberFormat="0" applyFont="0" applyAlignment="0" applyProtection="0">
      <alignment vertical="center"/>
    </xf>
    <xf numFmtId="0" fontId="42" fillId="0" borderId="0" applyNumberFormat="0" applyFill="0" applyBorder="0" applyAlignment="0" applyProtection="0">
      <alignment vertical="center"/>
    </xf>
    <xf numFmtId="0" fontId="43" fillId="0" borderId="39" applyNumberFormat="0" applyFill="0" applyAlignment="0" applyProtection="0">
      <alignment vertical="center"/>
    </xf>
    <xf numFmtId="0" fontId="15"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15" fillId="17" borderId="0" applyNumberFormat="0" applyBorder="0" applyAlignment="0" applyProtection="0">
      <alignment vertical="center"/>
    </xf>
    <xf numFmtId="0" fontId="1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15" fillId="21" borderId="0" applyNumberFormat="0" applyBorder="0" applyAlignment="0" applyProtection="0">
      <alignment vertical="center"/>
    </xf>
    <xf numFmtId="0" fontId="15" fillId="22"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15" fillId="25" borderId="0" applyNumberFormat="0" applyBorder="0" applyAlignment="0" applyProtection="0">
      <alignment vertical="center"/>
    </xf>
    <xf numFmtId="0" fontId="15" fillId="26"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15" fillId="29" borderId="0" applyNumberFormat="0" applyBorder="0" applyAlignment="0" applyProtection="0">
      <alignment vertical="center"/>
    </xf>
    <xf numFmtId="0" fontId="15" fillId="30"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2" fillId="35" borderId="0" applyNumberFormat="0" applyBorder="0" applyAlignment="0" applyProtection="0">
      <alignment vertical="center"/>
    </xf>
    <xf numFmtId="0" fontId="2" fillId="36" borderId="0" applyNumberFormat="0" applyBorder="0" applyAlignment="0" applyProtection="0">
      <alignment vertical="center"/>
    </xf>
    <xf numFmtId="0" fontId="15" fillId="37" borderId="0" applyNumberFormat="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cellStyleXfs>
  <cellXfs count="290">
    <xf numFmtId="0" fontId="0" fillId="0" borderId="0" xfId="0">
      <alignment vertical="center"/>
    </xf>
    <xf numFmtId="14" fontId="0" fillId="0" borderId="0" xfId="0" applyNumberFormat="1">
      <alignment vertical="center"/>
    </xf>
    <xf numFmtId="0" fontId="3" fillId="0" borderId="0" xfId="0" applyFont="1">
      <alignment vertical="center"/>
    </xf>
    <xf numFmtId="0" fontId="5" fillId="2" borderId="1" xfId="0" applyFont="1" applyFill="1" applyBorder="1" applyAlignment="1">
      <alignment horizontal="center" vertical="center"/>
    </xf>
    <xf numFmtId="14" fontId="5" fillId="0" borderId="4" xfId="0" applyNumberFormat="1" applyFont="1" applyBorder="1" applyAlignment="1">
      <alignment horizontal="center" vertical="center"/>
    </xf>
    <xf numFmtId="41" fontId="6" fillId="2" borderId="1" xfId="0" applyNumberFormat="1" applyFont="1" applyFill="1" applyBorder="1">
      <alignment vertical="center"/>
    </xf>
    <xf numFmtId="0" fontId="4" fillId="0" borderId="0" xfId="0" applyFont="1">
      <alignment vertical="center"/>
    </xf>
    <xf numFmtId="0" fontId="5" fillId="0" borderId="1" xfId="0" applyFont="1" applyBorder="1">
      <alignment vertical="center"/>
    </xf>
    <xf numFmtId="0" fontId="6" fillId="2" borderId="1" xfId="0" applyFont="1" applyFill="1" applyBorder="1">
      <alignment vertical="center"/>
    </xf>
    <xf numFmtId="0" fontId="3" fillId="0" borderId="1" xfId="0" applyFont="1" applyBorder="1">
      <alignment vertical="center"/>
    </xf>
    <xf numFmtId="0" fontId="4" fillId="0" borderId="1" xfId="0" applyFont="1" applyBorder="1">
      <alignment vertical="center"/>
    </xf>
    <xf numFmtId="41" fontId="4" fillId="0" borderId="2" xfId="1" applyFont="1" applyBorder="1">
      <alignment vertical="center"/>
    </xf>
    <xf numFmtId="41" fontId="4" fillId="0" borderId="3" xfId="1" applyFont="1" applyBorder="1">
      <alignment vertical="center"/>
    </xf>
    <xf numFmtId="41" fontId="4" fillId="0" borderId="5" xfId="1" applyFont="1" applyBorder="1">
      <alignment vertical="center"/>
    </xf>
    <xf numFmtId="0" fontId="6" fillId="0" borderId="1" xfId="0" applyFont="1" applyBorder="1">
      <alignment vertical="center"/>
    </xf>
    <xf numFmtId="41" fontId="6" fillId="3" borderId="2" xfId="0" applyNumberFormat="1" applyFont="1" applyFill="1" applyBorder="1">
      <alignment vertical="center"/>
    </xf>
    <xf numFmtId="41" fontId="5" fillId="0" borderId="3" xfId="0" applyNumberFormat="1" applyFont="1" applyBorder="1">
      <alignment vertical="center"/>
    </xf>
    <xf numFmtId="41" fontId="5" fillId="0" borderId="5" xfId="0" applyNumberFormat="1" applyFont="1" applyBorder="1">
      <alignment vertical="center"/>
    </xf>
    <xf numFmtId="0" fontId="8" fillId="0" borderId="0" xfId="0" applyFont="1">
      <alignment vertical="center"/>
    </xf>
    <xf numFmtId="41" fontId="6" fillId="0" borderId="1" xfId="0" applyNumberFormat="1" applyFont="1" applyBorder="1">
      <alignment vertical="center"/>
    </xf>
    <xf numFmtId="0" fontId="5" fillId="0" borderId="0" xfId="0" applyFont="1" applyAlignment="1">
      <alignment horizontal="center" vertical="center"/>
    </xf>
    <xf numFmtId="0" fontId="5" fillId="0" borderId="0" xfId="0" applyFont="1">
      <alignment vertical="center"/>
    </xf>
    <xf numFmtId="41" fontId="6" fillId="0" borderId="0" xfId="0" applyNumberFormat="1" applyFont="1">
      <alignment vertical="center"/>
    </xf>
    <xf numFmtId="41" fontId="4" fillId="0" borderId="0" xfId="1" applyFont="1" applyBorder="1">
      <alignment vertical="center"/>
    </xf>
    <xf numFmtId="0" fontId="4" fillId="2" borderId="1" xfId="0" applyFont="1" applyFill="1" applyBorder="1">
      <alignment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0" fillId="0" borderId="0" xfId="0" applyAlignment="1">
      <alignment horizontal="center" vertical="center"/>
    </xf>
    <xf numFmtId="41" fontId="6" fillId="2" borderId="1" xfId="1" applyFont="1" applyFill="1" applyBorder="1">
      <alignment vertical="center"/>
    </xf>
    <xf numFmtId="41" fontId="8" fillId="0" borderId="0" xfId="1" applyFont="1">
      <alignment vertical="center"/>
    </xf>
    <xf numFmtId="176" fontId="0" fillId="0" borderId="0" xfId="2" applyNumberFormat="1" applyFont="1">
      <alignment vertical="center"/>
    </xf>
    <xf numFmtId="0" fontId="5" fillId="2" borderId="1" xfId="0" applyFont="1" applyFill="1" applyBorder="1" applyAlignment="1">
      <alignment horizontal="left" vertical="center"/>
    </xf>
    <xf numFmtId="14" fontId="5" fillId="0" borderId="4" xfId="0" applyNumberFormat="1" applyFont="1" applyBorder="1" applyAlignment="1">
      <alignment horizontal="left" vertical="center"/>
    </xf>
    <xf numFmtId="41" fontId="6" fillId="3" borderId="2" xfId="0" applyNumberFormat="1" applyFont="1" applyFill="1" applyBorder="1" applyAlignment="1">
      <alignment horizontal="left" vertical="center"/>
    </xf>
    <xf numFmtId="41" fontId="5" fillId="0" borderId="3" xfId="0" applyNumberFormat="1" applyFont="1" applyBorder="1" applyAlignment="1">
      <alignment horizontal="left" vertical="center"/>
    </xf>
    <xf numFmtId="41" fontId="5" fillId="0" borderId="5" xfId="0" applyNumberFormat="1" applyFont="1" applyBorder="1" applyAlignment="1">
      <alignment horizontal="left" vertical="center"/>
    </xf>
    <xf numFmtId="0" fontId="0" fillId="0" borderId="0" xfId="0" applyAlignment="1">
      <alignment horizontal="left" vertical="center"/>
    </xf>
    <xf numFmtId="0" fontId="6" fillId="0" borderId="1" xfId="0" applyFont="1" applyBorder="1" applyAlignment="1">
      <alignment horizontal="left" vertical="center"/>
    </xf>
    <xf numFmtId="0" fontId="5" fillId="4" borderId="1" xfId="0" applyFont="1" applyFill="1" applyBorder="1">
      <alignment vertical="center"/>
    </xf>
    <xf numFmtId="14" fontId="5" fillId="4" borderId="4" xfId="0" applyNumberFormat="1" applyFont="1" applyFill="1" applyBorder="1" applyAlignment="1">
      <alignment horizontal="center" vertical="center"/>
    </xf>
    <xf numFmtId="41" fontId="6" fillId="4" borderId="1" xfId="1" applyFont="1" applyFill="1" applyBorder="1">
      <alignment vertical="center"/>
    </xf>
    <xf numFmtId="41" fontId="6" fillId="4" borderId="2" xfId="0" applyNumberFormat="1" applyFont="1" applyFill="1" applyBorder="1">
      <alignment vertical="center"/>
    </xf>
    <xf numFmtId="41" fontId="5" fillId="4" borderId="3" xfId="0" applyNumberFormat="1" applyFont="1" applyFill="1" applyBorder="1">
      <alignment vertical="center"/>
    </xf>
    <xf numFmtId="41" fontId="5" fillId="4" borderId="5" xfId="0" applyNumberFormat="1" applyFont="1" applyFill="1" applyBorder="1">
      <alignment vertical="center"/>
    </xf>
    <xf numFmtId="0" fontId="0" fillId="4" borderId="0" xfId="0" applyFill="1" applyAlignment="1">
      <alignment horizontal="center" vertical="center"/>
    </xf>
    <xf numFmtId="0" fontId="5" fillId="4" borderId="0" xfId="0" applyFont="1" applyFill="1" applyAlignment="1">
      <alignment horizontal="center" vertical="center"/>
    </xf>
    <xf numFmtId="41" fontId="6" fillId="4" borderId="0" xfId="0" applyNumberFormat="1" applyFont="1" applyFill="1">
      <alignment vertical="center"/>
    </xf>
    <xf numFmtId="41" fontId="4" fillId="4" borderId="0" xfId="1" applyFont="1" applyFill="1" applyBorder="1">
      <alignment vertical="center"/>
    </xf>
    <xf numFmtId="0" fontId="6" fillId="4" borderId="0" xfId="0" applyFont="1" applyFill="1">
      <alignment vertical="center"/>
    </xf>
    <xf numFmtId="41" fontId="4" fillId="4" borderId="1" xfId="1" applyFont="1" applyFill="1" applyBorder="1">
      <alignment vertical="center"/>
    </xf>
    <xf numFmtId="0" fontId="6" fillId="4" borderId="0" xfId="0" applyFont="1" applyFill="1" applyAlignment="1">
      <alignment horizontal="center" vertical="center"/>
    </xf>
    <xf numFmtId="0" fontId="9" fillId="4" borderId="6" xfId="0" applyFont="1" applyFill="1" applyBorder="1" applyAlignment="1">
      <alignment horizontal="left"/>
    </xf>
    <xf numFmtId="178" fontId="9" fillId="4" borderId="4" xfId="0" applyNumberFormat="1" applyFont="1" applyFill="1" applyBorder="1" applyAlignment="1">
      <alignment horizontal="left" vertical="center"/>
    </xf>
    <xf numFmtId="0" fontId="9" fillId="4" borderId="4" xfId="0" applyFont="1" applyFill="1" applyBorder="1" applyAlignment="1">
      <alignment horizontal="left" vertical="center"/>
    </xf>
    <xf numFmtId="178" fontId="9" fillId="4" borderId="17" xfId="0" applyNumberFormat="1" applyFont="1" applyFill="1" applyBorder="1" applyAlignment="1">
      <alignment horizontal="left" vertical="center"/>
    </xf>
    <xf numFmtId="0" fontId="9" fillId="4" borderId="15" xfId="0" applyFont="1" applyFill="1" applyBorder="1" applyAlignment="1">
      <alignment horizontal="left" vertical="center"/>
    </xf>
    <xf numFmtId="179" fontId="9" fillId="2" borderId="14" xfId="0" applyNumberFormat="1" applyFont="1" applyFill="1" applyBorder="1" applyAlignment="1">
      <alignment horizontal="right" vertical="center"/>
    </xf>
    <xf numFmtId="179" fontId="9" fillId="2" borderId="15" xfId="2" applyNumberFormat="1" applyFont="1" applyFill="1" applyBorder="1" applyAlignment="1">
      <alignment horizontal="right" vertical="center"/>
    </xf>
    <xf numFmtId="179" fontId="10" fillId="4" borderId="15" xfId="2" applyNumberFormat="1" applyFont="1" applyFill="1" applyBorder="1" applyAlignment="1">
      <alignment horizontal="right" vertical="center"/>
    </xf>
    <xf numFmtId="179" fontId="9" fillId="4" borderId="16" xfId="0" applyNumberFormat="1" applyFont="1" applyFill="1" applyBorder="1" applyAlignment="1">
      <alignment horizontal="right" vertical="center"/>
    </xf>
    <xf numFmtId="179" fontId="10" fillId="4" borderId="16" xfId="0" applyNumberFormat="1" applyFont="1" applyFill="1" applyBorder="1" applyAlignment="1">
      <alignment horizontal="right" vertical="center"/>
    </xf>
    <xf numFmtId="179" fontId="9" fillId="2" borderId="4" xfId="2" applyNumberFormat="1" applyFont="1" applyFill="1" applyBorder="1" applyAlignment="1">
      <alignment horizontal="right" vertical="center"/>
    </xf>
    <xf numFmtId="0" fontId="0" fillId="4" borderId="0" xfId="0" applyFill="1">
      <alignment vertical="center"/>
    </xf>
    <xf numFmtId="178" fontId="9" fillId="4" borderId="15" xfId="0" applyNumberFormat="1" applyFont="1" applyFill="1" applyBorder="1" applyAlignment="1">
      <alignment horizontal="left" vertical="center"/>
    </xf>
    <xf numFmtId="179" fontId="9" fillId="2" borderId="4" xfId="0" applyNumberFormat="1" applyFont="1" applyFill="1" applyBorder="1" applyAlignment="1">
      <alignment horizontal="right" vertical="center"/>
    </xf>
    <xf numFmtId="179" fontId="9" fillId="4" borderId="0" xfId="0" applyNumberFormat="1" applyFont="1" applyFill="1" applyAlignment="1">
      <alignment horizontal="right" vertical="center"/>
    </xf>
    <xf numFmtId="179" fontId="9" fillId="2" borderId="8" xfId="0" applyNumberFormat="1" applyFont="1" applyFill="1" applyBorder="1" applyAlignment="1">
      <alignment horizontal="right" vertical="center"/>
    </xf>
    <xf numFmtId="179" fontId="9" fillId="2" borderId="18" xfId="2" applyNumberFormat="1" applyFont="1" applyFill="1" applyBorder="1" applyAlignment="1">
      <alignment horizontal="right" vertical="center"/>
    </xf>
    <xf numFmtId="0" fontId="9" fillId="4" borderId="0" xfId="0" applyFont="1" applyFill="1" applyAlignment="1">
      <alignment horizontal="center" vertical="center"/>
    </xf>
    <xf numFmtId="179" fontId="9" fillId="4" borderId="0" xfId="2" applyNumberFormat="1" applyFont="1" applyFill="1" applyBorder="1" applyAlignment="1">
      <alignment horizontal="right" vertical="center"/>
    </xf>
    <xf numFmtId="178" fontId="9" fillId="4" borderId="0" xfId="0" applyNumberFormat="1" applyFont="1" applyFill="1">
      <alignment vertical="center"/>
    </xf>
    <xf numFmtId="178" fontId="9" fillId="4" borderId="13" xfId="0" applyNumberFormat="1" applyFont="1" applyFill="1" applyBorder="1">
      <alignment vertical="center"/>
    </xf>
    <xf numFmtId="179" fontId="10" fillId="4" borderId="4" xfId="2" applyNumberFormat="1" applyFont="1" applyFill="1" applyBorder="1" applyAlignment="1">
      <alignment horizontal="right" vertical="center"/>
    </xf>
    <xf numFmtId="0" fontId="10" fillId="4" borderId="0" xfId="0" applyFont="1" applyFill="1">
      <alignment vertical="center"/>
    </xf>
    <xf numFmtId="179" fontId="10" fillId="2" borderId="1" xfId="0" applyNumberFormat="1" applyFont="1" applyFill="1" applyBorder="1" applyAlignment="1">
      <alignment horizontal="right" vertical="center"/>
    </xf>
    <xf numFmtId="0" fontId="10" fillId="2" borderId="1" xfId="0" applyFont="1" applyFill="1" applyBorder="1">
      <alignment vertical="center"/>
    </xf>
    <xf numFmtId="0" fontId="4" fillId="4" borderId="0" xfId="0" applyFont="1" applyFill="1">
      <alignment vertical="center"/>
    </xf>
    <xf numFmtId="0" fontId="6" fillId="4" borderId="1" xfId="0" applyFont="1" applyFill="1" applyBorder="1" applyAlignment="1">
      <alignment horizontal="right" vertical="center"/>
    </xf>
    <xf numFmtId="0" fontId="8" fillId="4" borderId="0" xfId="0" applyFont="1" applyFill="1">
      <alignment vertical="center"/>
    </xf>
    <xf numFmtId="0" fontId="11" fillId="2" borderId="1" xfId="0" applyFont="1" applyFill="1" applyBorder="1" applyAlignment="1">
      <alignment horizontal="center" vertical="center"/>
    </xf>
    <xf numFmtId="0" fontId="13" fillId="4" borderId="0" xfId="0" applyFont="1" applyFill="1">
      <alignment vertical="center"/>
    </xf>
    <xf numFmtId="0" fontId="10" fillId="4" borderId="16" xfId="0" applyFont="1" applyFill="1" applyBorder="1">
      <alignment vertical="center"/>
    </xf>
    <xf numFmtId="178" fontId="9" fillId="4" borderId="11" xfId="0" applyNumberFormat="1" applyFont="1" applyFill="1" applyBorder="1" applyAlignment="1">
      <alignment horizontal="left" vertical="center"/>
    </xf>
    <xf numFmtId="178" fontId="9" fillId="4" borderId="12" xfId="0" applyNumberFormat="1" applyFont="1" applyFill="1" applyBorder="1" applyAlignment="1">
      <alignment horizontal="center" vertical="center"/>
    </xf>
    <xf numFmtId="178" fontId="9" fillId="4" borderId="12" xfId="0" applyNumberFormat="1" applyFont="1" applyFill="1" applyBorder="1" applyAlignment="1">
      <alignment horizontal="left" vertical="center"/>
    </xf>
    <xf numFmtId="179" fontId="9" fillId="2" borderId="15" xfId="0" applyNumberFormat="1" applyFont="1" applyFill="1" applyBorder="1" applyAlignment="1">
      <alignment horizontal="right" vertical="center"/>
    </xf>
    <xf numFmtId="9" fontId="9" fillId="2" borderId="4" xfId="2" applyFont="1" applyFill="1" applyBorder="1" applyAlignment="1">
      <alignment horizontal="right" vertical="center"/>
    </xf>
    <xf numFmtId="0" fontId="10" fillId="4" borderId="14" xfId="0" applyFont="1" applyFill="1" applyBorder="1">
      <alignment vertical="center"/>
    </xf>
    <xf numFmtId="9" fontId="9" fillId="4" borderId="4" xfId="2" applyFont="1" applyFill="1" applyBorder="1" applyAlignment="1">
      <alignment horizontal="right" vertical="center"/>
    </xf>
    <xf numFmtId="179" fontId="9" fillId="4" borderId="15" xfId="0" applyNumberFormat="1" applyFont="1" applyFill="1" applyBorder="1" applyAlignment="1">
      <alignment horizontal="right" vertical="center"/>
    </xf>
    <xf numFmtId="179" fontId="9" fillId="3" borderId="4" xfId="2" applyNumberFormat="1" applyFont="1" applyFill="1" applyBorder="1" applyAlignment="1">
      <alignment horizontal="right" vertical="center"/>
    </xf>
    <xf numFmtId="179" fontId="9" fillId="3" borderId="15" xfId="2" applyNumberFormat="1" applyFont="1" applyFill="1" applyBorder="1" applyAlignment="1">
      <alignment horizontal="right" vertical="center"/>
    </xf>
    <xf numFmtId="177" fontId="10" fillId="4" borderId="4" xfId="2" applyNumberFormat="1" applyFont="1" applyFill="1" applyBorder="1">
      <alignment vertical="center"/>
    </xf>
    <xf numFmtId="179" fontId="10" fillId="4" borderId="14" xfId="0" applyNumberFormat="1" applyFont="1" applyFill="1" applyBorder="1">
      <alignment vertical="center"/>
    </xf>
    <xf numFmtId="41" fontId="6" fillId="4" borderId="1" xfId="1" applyFont="1" applyFill="1" applyBorder="1" applyAlignment="1">
      <alignment horizontal="right" vertical="center"/>
    </xf>
    <xf numFmtId="41" fontId="6" fillId="4" borderId="1" xfId="0" applyNumberFormat="1" applyFont="1" applyFill="1" applyBorder="1">
      <alignment vertical="center"/>
    </xf>
    <xf numFmtId="179" fontId="10" fillId="4" borderId="14" xfId="0" applyNumberFormat="1" applyFont="1" applyFill="1" applyBorder="1" applyAlignment="1">
      <alignment horizontal="right" vertical="center"/>
    </xf>
    <xf numFmtId="179" fontId="10" fillId="4" borderId="15" xfId="0" applyNumberFormat="1" applyFont="1" applyFill="1" applyBorder="1" applyAlignment="1">
      <alignment horizontal="right" vertical="center"/>
    </xf>
    <xf numFmtId="0" fontId="9" fillId="2" borderId="1" xfId="0" applyFont="1" applyFill="1" applyBorder="1" applyAlignment="1">
      <alignment horizontal="center" vertical="center"/>
    </xf>
    <xf numFmtId="179" fontId="9" fillId="3" borderId="14" xfId="0" applyNumberFormat="1" applyFont="1" applyFill="1" applyBorder="1" applyAlignment="1">
      <alignment horizontal="right" vertical="center"/>
    </xf>
    <xf numFmtId="0" fontId="10" fillId="2" borderId="1" xfId="0" applyFont="1" applyFill="1" applyBorder="1" applyAlignment="1">
      <alignment horizontal="center" vertical="center"/>
    </xf>
    <xf numFmtId="9" fontId="10" fillId="4" borderId="1" xfId="2" applyFont="1" applyFill="1" applyBorder="1">
      <alignment vertical="center"/>
    </xf>
    <xf numFmtId="179" fontId="10" fillId="4" borderId="17" xfId="2" applyNumberFormat="1" applyFont="1" applyFill="1" applyBorder="1" applyAlignment="1">
      <alignment horizontal="right" vertical="center"/>
    </xf>
    <xf numFmtId="179" fontId="10" fillId="4" borderId="0" xfId="2" applyNumberFormat="1" applyFont="1" applyFill="1" applyBorder="1" applyAlignment="1">
      <alignment horizontal="right" vertical="center"/>
    </xf>
    <xf numFmtId="0" fontId="10" fillId="4" borderId="1" xfId="0" applyFont="1" applyFill="1" applyBorder="1">
      <alignment vertical="center"/>
    </xf>
    <xf numFmtId="0" fontId="0" fillId="4" borderId="17" xfId="0" applyFill="1" applyBorder="1">
      <alignment vertical="center"/>
    </xf>
    <xf numFmtId="180" fontId="11" fillId="2" borderId="1" xfId="0" applyNumberFormat="1" applyFont="1" applyFill="1" applyBorder="1" applyAlignment="1">
      <alignment horizontal="center" vertical="center"/>
    </xf>
    <xf numFmtId="14" fontId="14" fillId="4" borderId="1" xfId="0" applyNumberFormat="1" applyFont="1" applyFill="1" applyBorder="1" applyAlignment="1">
      <alignment horizontal="center" vertical="center"/>
    </xf>
    <xf numFmtId="0" fontId="15" fillId="4" borderId="0" xfId="0" applyFont="1" applyFill="1">
      <alignment vertical="center"/>
    </xf>
    <xf numFmtId="0" fontId="0" fillId="4" borderId="4" xfId="0" applyFill="1" applyBorder="1">
      <alignment vertical="center"/>
    </xf>
    <xf numFmtId="0" fontId="16" fillId="4" borderId="0" xfId="0" applyFont="1" applyFill="1">
      <alignment vertical="center"/>
    </xf>
    <xf numFmtId="0" fontId="14" fillId="4" borderId="1" xfId="0" applyFont="1" applyFill="1" applyBorder="1" applyAlignment="1">
      <alignment horizontal="center" vertical="center"/>
    </xf>
    <xf numFmtId="179" fontId="14" fillId="3" borderId="14" xfId="0" applyNumberFormat="1" applyFont="1" applyFill="1" applyBorder="1" applyAlignment="1">
      <alignment horizontal="right" vertical="center"/>
    </xf>
    <xf numFmtId="0" fontId="17" fillId="4" borderId="0" xfId="0" applyFont="1" applyFill="1">
      <alignment vertical="center"/>
    </xf>
    <xf numFmtId="179" fontId="14" fillId="3" borderId="4" xfId="2" applyNumberFormat="1" applyFont="1" applyFill="1" applyBorder="1" applyAlignment="1">
      <alignment horizontal="right" vertical="center"/>
    </xf>
    <xf numFmtId="179" fontId="14" fillId="3" borderId="18" xfId="2" applyNumberFormat="1" applyFont="1" applyFill="1" applyBorder="1" applyAlignment="1">
      <alignment horizontal="right" vertical="center"/>
    </xf>
    <xf numFmtId="179" fontId="14" fillId="3" borderId="15" xfId="2" applyNumberFormat="1" applyFont="1" applyFill="1" applyBorder="1" applyAlignment="1">
      <alignment horizontal="right" vertical="center"/>
    </xf>
    <xf numFmtId="179" fontId="18" fillId="4" borderId="14" xfId="0" applyNumberFormat="1" applyFont="1" applyFill="1" applyBorder="1" applyAlignment="1">
      <alignment horizontal="right" vertical="center"/>
    </xf>
    <xf numFmtId="179" fontId="18" fillId="4" borderId="4" xfId="2" applyNumberFormat="1" applyFont="1" applyFill="1" applyBorder="1" applyAlignment="1">
      <alignment horizontal="right" vertical="center"/>
    </xf>
    <xf numFmtId="179" fontId="18" fillId="4" borderId="18" xfId="2" applyNumberFormat="1" applyFont="1" applyFill="1" applyBorder="1" applyAlignment="1">
      <alignment horizontal="right" vertical="center"/>
    </xf>
    <xf numFmtId="179" fontId="18" fillId="4" borderId="15" xfId="2" applyNumberFormat="1" applyFont="1" applyFill="1" applyBorder="1" applyAlignment="1">
      <alignment horizontal="right" vertical="center"/>
    </xf>
    <xf numFmtId="0" fontId="18" fillId="4" borderId="0" xfId="0" applyFont="1" applyFill="1">
      <alignment vertical="center"/>
    </xf>
    <xf numFmtId="0" fontId="18" fillId="4" borderId="1" xfId="0" applyFont="1" applyFill="1" applyBorder="1">
      <alignment vertical="center"/>
    </xf>
    <xf numFmtId="9" fontId="18" fillId="4" borderId="4" xfId="2" applyFont="1" applyFill="1" applyBorder="1">
      <alignment vertical="center"/>
    </xf>
    <xf numFmtId="177" fontId="18" fillId="4" borderId="4" xfId="2" applyNumberFormat="1" applyFont="1" applyFill="1" applyBorder="1">
      <alignment vertical="center"/>
    </xf>
    <xf numFmtId="9" fontId="18" fillId="4" borderId="1" xfId="2" applyFont="1" applyFill="1" applyBorder="1">
      <alignment vertical="center"/>
    </xf>
    <xf numFmtId="1" fontId="18" fillId="4" borderId="15" xfId="0" applyNumberFormat="1" applyFont="1" applyFill="1" applyBorder="1">
      <alignment vertical="center"/>
    </xf>
    <xf numFmtId="0" fontId="18" fillId="4" borderId="6" xfId="0" applyFont="1" applyFill="1" applyBorder="1">
      <alignment vertical="center"/>
    </xf>
    <xf numFmtId="179" fontId="14" fillId="4" borderId="14" xfId="0" applyNumberFormat="1" applyFont="1" applyFill="1" applyBorder="1">
      <alignment vertical="center"/>
    </xf>
    <xf numFmtId="179" fontId="14" fillId="4" borderId="4" xfId="0" applyNumberFormat="1" applyFont="1" applyFill="1" applyBorder="1">
      <alignment vertical="center"/>
    </xf>
    <xf numFmtId="179" fontId="14" fillId="4" borderId="15" xfId="0" applyNumberFormat="1" applyFont="1" applyFill="1" applyBorder="1">
      <alignment vertical="center"/>
    </xf>
    <xf numFmtId="178" fontId="9" fillId="4" borderId="8" xfId="0" applyNumberFormat="1" applyFont="1" applyFill="1" applyBorder="1" applyAlignment="1">
      <alignment horizontal="center" vertical="center"/>
    </xf>
    <xf numFmtId="178" fontId="9" fillId="4" borderId="18" xfId="0" applyNumberFormat="1" applyFont="1" applyFill="1" applyBorder="1" applyAlignment="1">
      <alignment horizontal="center" vertical="center"/>
    </xf>
    <xf numFmtId="178" fontId="9" fillId="4" borderId="10" xfId="0" applyNumberFormat="1" applyFont="1" applyFill="1" applyBorder="1" applyAlignment="1">
      <alignment horizontal="center" vertical="center"/>
    </xf>
    <xf numFmtId="0" fontId="9" fillId="4" borderId="14"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15" xfId="0" applyFont="1" applyFill="1" applyBorder="1" applyAlignment="1">
      <alignment horizontal="center" vertical="center"/>
    </xf>
    <xf numFmtId="0" fontId="19" fillId="4" borderId="0" xfId="0" applyFont="1" applyFill="1">
      <alignment vertical="center"/>
    </xf>
    <xf numFmtId="0" fontId="5" fillId="4" borderId="17" xfId="0" applyFont="1" applyFill="1" applyBorder="1">
      <alignment vertical="center"/>
    </xf>
    <xf numFmtId="0" fontId="5" fillId="4" borderId="0" xfId="0" applyFont="1" applyFill="1">
      <alignment vertical="center"/>
    </xf>
    <xf numFmtId="41" fontId="5" fillId="4" borderId="0" xfId="0" applyNumberFormat="1" applyFont="1" applyFill="1">
      <alignment vertical="center"/>
    </xf>
    <xf numFmtId="177" fontId="5" fillId="4" borderId="0" xfId="2" applyNumberFormat="1" applyFont="1" applyFill="1">
      <alignment vertical="center"/>
    </xf>
    <xf numFmtId="41" fontId="6" fillId="4" borderId="0" xfId="1" applyFont="1" applyFill="1">
      <alignment vertical="center"/>
    </xf>
    <xf numFmtId="176" fontId="5" fillId="4" borderId="0" xfId="2" applyNumberFormat="1" applyFont="1" applyFill="1">
      <alignment vertical="center"/>
    </xf>
    <xf numFmtId="0" fontId="4" fillId="2" borderId="1" xfId="0" applyFont="1" applyFill="1" applyBorder="1" applyAlignment="1">
      <alignment horizontal="center" vertical="center"/>
    </xf>
    <xf numFmtId="14" fontId="20" fillId="4" borderId="1" xfId="0" applyNumberFormat="1" applyFont="1" applyFill="1" applyBorder="1" applyAlignment="1">
      <alignment horizontal="center" vertical="center"/>
    </xf>
    <xf numFmtId="9" fontId="10" fillId="4" borderId="4" xfId="2" applyFont="1" applyFill="1" applyBorder="1">
      <alignment vertical="center"/>
    </xf>
    <xf numFmtId="1" fontId="10" fillId="4" borderId="15" xfId="0" applyNumberFormat="1" applyFont="1" applyFill="1" applyBorder="1">
      <alignment vertical="center"/>
    </xf>
    <xf numFmtId="14" fontId="9" fillId="4" borderId="1" xfId="0" applyNumberFormat="1" applyFont="1" applyFill="1" applyBorder="1" applyAlignment="1">
      <alignment horizontal="center" vertical="center"/>
    </xf>
    <xf numFmtId="0" fontId="14" fillId="2" borderId="1" xfId="0" applyFont="1" applyFill="1" applyBorder="1" applyAlignment="1">
      <alignment horizontal="center" vertical="center"/>
    </xf>
    <xf numFmtId="14" fontId="21" fillId="4" borderId="1" xfId="0" applyNumberFormat="1" applyFont="1" applyFill="1" applyBorder="1" applyAlignment="1">
      <alignment horizontal="center" vertical="center"/>
    </xf>
    <xf numFmtId="0" fontId="6" fillId="0" borderId="0" xfId="0" applyFont="1" applyAlignment="1">
      <alignment horizontal="left" vertical="center"/>
    </xf>
    <xf numFmtId="0" fontId="22" fillId="0" borderId="0" xfId="0" applyFont="1" applyAlignment="1">
      <alignment horizontal="left" vertical="center"/>
    </xf>
    <xf numFmtId="0" fontId="24" fillId="5" borderId="22" xfId="0" applyFont="1" applyFill="1" applyBorder="1" applyAlignment="1">
      <alignment horizontal="center" vertical="center"/>
    </xf>
    <xf numFmtId="0" fontId="26" fillId="2" borderId="22" xfId="0" applyFont="1" applyFill="1" applyBorder="1" applyAlignment="1">
      <alignment horizontal="center" vertical="center"/>
    </xf>
    <xf numFmtId="0" fontId="5" fillId="0" borderId="22" xfId="0" applyFont="1" applyBorder="1" applyAlignment="1">
      <alignment horizontal="center" vertical="center"/>
    </xf>
    <xf numFmtId="183" fontId="26" fillId="0" borderId="27" xfId="0" applyNumberFormat="1" applyFont="1" applyBorder="1" applyAlignment="1">
      <alignment horizontal="center" vertical="center"/>
    </xf>
    <xf numFmtId="0" fontId="5" fillId="6" borderId="22" xfId="0" applyFont="1" applyFill="1" applyBorder="1" applyAlignment="1">
      <alignment horizontal="center" vertical="center"/>
    </xf>
    <xf numFmtId="183" fontId="26" fillId="6" borderId="27" xfId="0" applyNumberFormat="1" applyFont="1" applyFill="1" applyBorder="1" applyAlignment="1">
      <alignment horizontal="center" vertical="center"/>
    </xf>
    <xf numFmtId="0" fontId="4" fillId="0" borderId="22" xfId="0" applyFont="1" applyBorder="1" applyAlignment="1">
      <alignment horizontal="center" vertical="center"/>
    </xf>
    <xf numFmtId="0" fontId="4" fillId="6" borderId="22" xfId="0" applyFont="1" applyFill="1" applyBorder="1" applyAlignment="1">
      <alignment horizontal="center" vertical="center"/>
    </xf>
    <xf numFmtId="14" fontId="24" fillId="5" borderId="22" xfId="0" applyNumberFormat="1" applyFont="1" applyFill="1" applyBorder="1" applyAlignment="1">
      <alignment horizontal="center" vertical="center"/>
    </xf>
    <xf numFmtId="184" fontId="24" fillId="5" borderId="22" xfId="0" applyNumberFormat="1" applyFont="1" applyFill="1" applyBorder="1" applyAlignment="1">
      <alignment horizontal="center" vertical="center"/>
    </xf>
    <xf numFmtId="14" fontId="5" fillId="0" borderId="22" xfId="0" applyNumberFormat="1" applyFont="1" applyBorder="1" applyAlignment="1">
      <alignment horizontal="center" vertical="center"/>
    </xf>
    <xf numFmtId="184" fontId="5" fillId="0" borderId="22" xfId="0" applyNumberFormat="1" applyFont="1" applyBorder="1" applyAlignment="1">
      <alignment horizontal="center" vertical="center"/>
    </xf>
    <xf numFmtId="0" fontId="24" fillId="5" borderId="22" xfId="0" applyFont="1" applyFill="1" applyBorder="1" applyAlignment="1">
      <alignment horizontal="center" vertical="center" wrapText="1"/>
    </xf>
    <xf numFmtId="0" fontId="4" fillId="0" borderId="22" xfId="0" applyFont="1" applyBorder="1" applyAlignment="1">
      <alignment vertical="center" wrapText="1"/>
    </xf>
    <xf numFmtId="185" fontId="27" fillId="0" borderId="0" xfId="0" applyNumberFormat="1" applyFont="1" applyAlignment="1">
      <alignment horizontal="center" vertical="center"/>
    </xf>
    <xf numFmtId="0" fontId="4" fillId="0" borderId="25" xfId="0" applyFont="1" applyBorder="1" applyAlignment="1">
      <alignment horizontal="center" vertical="center"/>
    </xf>
    <xf numFmtId="185" fontId="27" fillId="0" borderId="25" xfId="0" applyNumberFormat="1" applyFont="1" applyBorder="1" applyAlignment="1">
      <alignment horizontal="center" vertical="center"/>
    </xf>
    <xf numFmtId="9" fontId="4" fillId="6" borderId="22" xfId="2" applyFont="1" applyFill="1" applyBorder="1" applyAlignment="1">
      <alignment horizontal="center" vertical="center"/>
    </xf>
    <xf numFmtId="0" fontId="5" fillId="0" borderId="28" xfId="0" applyFont="1" applyBorder="1" applyAlignment="1">
      <alignment horizontal="center" vertical="center"/>
    </xf>
    <xf numFmtId="0" fontId="28" fillId="0" borderId="29" xfId="0" applyFont="1" applyBorder="1" applyAlignment="1">
      <alignment horizontal="center" vertical="center"/>
    </xf>
    <xf numFmtId="0" fontId="28" fillId="0" borderId="30" xfId="0" applyFont="1" applyBorder="1" applyAlignment="1">
      <alignment horizontal="center" vertical="center"/>
    </xf>
    <xf numFmtId="0" fontId="4" fillId="0" borderId="22" xfId="0" applyFont="1" applyBorder="1" applyAlignment="1">
      <alignment horizontal="center" vertical="center"/>
    </xf>
    <xf numFmtId="183" fontId="26" fillId="6" borderId="22" xfId="0" applyNumberFormat="1" applyFont="1" applyFill="1" applyBorder="1" applyAlignment="1">
      <alignment horizontal="center" vertical="center"/>
    </xf>
    <xf numFmtId="0" fontId="4" fillId="0" borderId="0" xfId="0" applyFont="1" applyAlignment="1">
      <alignment horizontal="center" vertical="center"/>
    </xf>
    <xf numFmtId="0" fontId="10" fillId="2" borderId="22" xfId="0" applyFont="1" applyFill="1" applyBorder="1" applyAlignment="1">
      <alignment horizontal="center" vertical="center"/>
    </xf>
    <xf numFmtId="0" fontId="10" fillId="0" borderId="22" xfId="0" applyFont="1" applyBorder="1" applyAlignment="1">
      <alignment horizontal="center" vertical="center"/>
    </xf>
    <xf numFmtId="182" fontId="25" fillId="5" borderId="22" xfId="0" applyNumberFormat="1" applyFont="1" applyFill="1" applyBorder="1" applyAlignment="1">
      <alignment horizontal="center" vertical="center"/>
    </xf>
    <xf numFmtId="0" fontId="26" fillId="6" borderId="22" xfId="0" applyFont="1" applyFill="1" applyBorder="1" applyAlignment="1">
      <alignment horizontal="center" vertical="center"/>
    </xf>
    <xf numFmtId="0" fontId="26" fillId="0" borderId="22" xfId="0" applyFont="1" applyBorder="1" applyAlignment="1">
      <alignment horizontal="center" vertical="center"/>
    </xf>
    <xf numFmtId="181" fontId="23" fillId="5" borderId="22" xfId="0" applyNumberFormat="1" applyFont="1" applyFill="1" applyBorder="1" applyAlignment="1">
      <alignment horizontal="center" vertical="center"/>
    </xf>
    <xf numFmtId="9" fontId="10" fillId="6" borderId="22" xfId="2" applyFont="1" applyFill="1" applyBorder="1" applyAlignment="1">
      <alignment horizontal="center" vertical="center"/>
    </xf>
    <xf numFmtId="9" fontId="10" fillId="0" borderId="22" xfId="2" applyFont="1" applyBorder="1" applyAlignment="1">
      <alignment horizontal="center" vertical="center"/>
    </xf>
    <xf numFmtId="183" fontId="10" fillId="6" borderId="22" xfId="0" applyNumberFormat="1" applyFont="1" applyFill="1" applyBorder="1" applyAlignment="1">
      <alignment horizontal="center" vertical="center"/>
    </xf>
    <xf numFmtId="9" fontId="10" fillId="6" borderId="22" xfId="0" quotePrefix="1" applyNumberFormat="1" applyFont="1" applyFill="1" applyBorder="1" applyAlignment="1">
      <alignment horizontal="center" vertical="center"/>
    </xf>
    <xf numFmtId="183" fontId="26" fillId="0" borderId="22" xfId="0" applyNumberFormat="1" applyFont="1" applyBorder="1" applyAlignment="1">
      <alignment horizontal="center" vertical="center"/>
    </xf>
    <xf numFmtId="21" fontId="5" fillId="0" borderId="22" xfId="0" applyNumberFormat="1" applyFont="1" applyBorder="1" applyAlignment="1">
      <alignment horizontal="center" vertical="center"/>
    </xf>
    <xf numFmtId="0" fontId="4" fillId="0" borderId="28" xfId="0" applyFont="1" applyBorder="1" applyAlignment="1">
      <alignment horizontal="center" vertical="center"/>
    </xf>
    <xf numFmtId="0" fontId="4" fillId="0" borderId="28" xfId="0" applyFont="1" applyBorder="1" applyAlignment="1">
      <alignment vertical="center" wrapText="1"/>
    </xf>
    <xf numFmtId="0" fontId="4" fillId="0" borderId="30" xfId="0" applyFont="1" applyBorder="1" applyAlignment="1">
      <alignment horizontal="center" vertical="center"/>
    </xf>
    <xf numFmtId="0" fontId="4" fillId="0" borderId="30" xfId="0" applyFont="1" applyBorder="1" applyAlignment="1">
      <alignment vertical="center" wrapText="1"/>
    </xf>
    <xf numFmtId="0" fontId="4" fillId="0" borderId="22" xfId="0" applyFont="1" applyBorder="1" applyAlignment="1">
      <alignment horizontal="center" vertical="center" wrapText="1"/>
    </xf>
    <xf numFmtId="186" fontId="5" fillId="0" borderId="22" xfId="0" applyNumberFormat="1" applyFont="1" applyBorder="1" applyAlignment="1">
      <alignment horizontal="center" vertical="center"/>
    </xf>
    <xf numFmtId="186" fontId="5" fillId="0" borderId="26" xfId="0" applyNumberFormat="1" applyFont="1" applyBorder="1" applyAlignment="1">
      <alignment horizontal="center" vertical="center"/>
    </xf>
    <xf numFmtId="0" fontId="23" fillId="5" borderId="22" xfId="0" applyFont="1" applyFill="1" applyBorder="1" applyAlignment="1">
      <alignment horizontal="center" vertical="center"/>
    </xf>
    <xf numFmtId="0" fontId="10" fillId="6" borderId="22" xfId="0" applyFont="1" applyFill="1" applyBorder="1" applyAlignment="1">
      <alignment horizontal="center" vertical="center"/>
    </xf>
    <xf numFmtId="0" fontId="10" fillId="6" borderId="26" xfId="0" applyFont="1" applyFill="1" applyBorder="1" applyAlignment="1">
      <alignment horizontal="center" vertical="center"/>
    </xf>
    <xf numFmtId="0" fontId="10" fillId="6" borderId="27" xfId="0" applyFont="1" applyFill="1" applyBorder="1" applyAlignment="1">
      <alignment horizontal="center" vertical="center"/>
    </xf>
    <xf numFmtId="0" fontId="10" fillId="2" borderId="25" xfId="0" applyFont="1" applyFill="1" applyBorder="1" applyAlignment="1">
      <alignment horizontal="center" vertical="center"/>
    </xf>
    <xf numFmtId="0" fontId="10" fillId="2" borderId="24" xfId="0" applyFont="1" applyFill="1" applyBorder="1" applyAlignment="1">
      <alignment horizontal="center" vertical="center"/>
    </xf>
    <xf numFmtId="0" fontId="10" fillId="2" borderId="26" xfId="0" applyFont="1" applyFill="1" applyBorder="1" applyAlignment="1">
      <alignment horizontal="center" vertical="center"/>
    </xf>
    <xf numFmtId="0" fontId="10" fillId="2" borderId="27" xfId="0" applyFont="1" applyFill="1" applyBorder="1" applyAlignment="1">
      <alignment horizontal="center" vertical="center"/>
    </xf>
    <xf numFmtId="0" fontId="23" fillId="5" borderId="26" xfId="0" applyFont="1" applyFill="1" applyBorder="1" applyAlignment="1">
      <alignment horizontal="center" vertical="center"/>
    </xf>
    <xf numFmtId="0" fontId="23" fillId="5" borderId="27" xfId="0" applyFont="1" applyFill="1" applyBorder="1" applyAlignment="1">
      <alignment horizontal="center" vertical="center"/>
    </xf>
    <xf numFmtId="0" fontId="23" fillId="5" borderId="23" xfId="0" applyFont="1" applyFill="1" applyBorder="1" applyAlignment="1">
      <alignment horizontal="center" vertical="center"/>
    </xf>
    <xf numFmtId="0" fontId="10" fillId="6" borderId="28" xfId="0" applyFont="1" applyFill="1" applyBorder="1" applyAlignment="1">
      <alignment horizontal="center" vertical="center" wrapText="1"/>
    </xf>
    <xf numFmtId="0" fontId="10" fillId="6" borderId="29" xfId="0" applyFont="1" applyFill="1" applyBorder="1" applyAlignment="1">
      <alignment horizontal="center" vertical="center" wrapText="1"/>
    </xf>
    <xf numFmtId="0" fontId="10" fillId="6" borderId="30" xfId="0" applyFont="1" applyFill="1" applyBorder="1" applyAlignment="1">
      <alignment horizontal="center" vertical="center" wrapText="1"/>
    </xf>
    <xf numFmtId="9" fontId="10" fillId="6" borderId="26" xfId="0" quotePrefix="1" applyNumberFormat="1" applyFont="1" applyFill="1" applyBorder="1" applyAlignment="1">
      <alignment horizontal="center" vertical="center"/>
    </xf>
    <xf numFmtId="9" fontId="10" fillId="6" borderId="27" xfId="0" quotePrefix="1" applyNumberFormat="1" applyFont="1" applyFill="1" applyBorder="1" applyAlignment="1">
      <alignment horizontal="center" vertical="center"/>
    </xf>
    <xf numFmtId="0" fontId="24" fillId="5" borderId="26" xfId="0" applyFont="1" applyFill="1" applyBorder="1" applyAlignment="1">
      <alignment horizontal="center" vertical="center"/>
    </xf>
    <xf numFmtId="0" fontId="24" fillId="5" borderId="40" xfId="0" applyFont="1" applyFill="1" applyBorder="1" applyAlignment="1">
      <alignment horizontal="center" vertical="center"/>
    </xf>
    <xf numFmtId="0" fontId="24" fillId="5" borderId="27" xfId="0" applyFont="1" applyFill="1" applyBorder="1" applyAlignment="1">
      <alignment horizontal="center" vertical="center"/>
    </xf>
    <xf numFmtId="0" fontId="23" fillId="5" borderId="0" xfId="0" applyFont="1" applyFill="1" applyAlignment="1">
      <alignment horizontal="center" vertical="center"/>
    </xf>
    <xf numFmtId="0" fontId="23" fillId="5" borderId="19" xfId="0" applyFont="1" applyFill="1" applyBorder="1" applyAlignment="1">
      <alignment horizontal="center" vertical="center"/>
    </xf>
    <xf numFmtId="0" fontId="23" fillId="5" borderId="20" xfId="0" applyFont="1" applyFill="1" applyBorder="1" applyAlignment="1">
      <alignment horizontal="center" vertical="center"/>
    </xf>
    <xf numFmtId="0" fontId="23" fillId="5" borderId="21" xfId="0" applyFont="1" applyFill="1" applyBorder="1" applyAlignment="1">
      <alignment horizontal="center" vertical="center"/>
    </xf>
    <xf numFmtId="0" fontId="23" fillId="5" borderId="24" xfId="0" applyFont="1" applyFill="1" applyBorder="1" applyAlignment="1">
      <alignment horizontal="center" vertical="center"/>
    </xf>
    <xf numFmtId="0" fontId="23" fillId="5" borderId="40" xfId="0" applyFont="1" applyFill="1" applyBorder="1" applyAlignment="1">
      <alignment horizontal="center" vertical="center"/>
    </xf>
    <xf numFmtId="14" fontId="44" fillId="0" borderId="42" xfId="0" applyNumberFormat="1" applyFont="1" applyBorder="1" applyAlignment="1">
      <alignment horizontal="right" wrapText="1"/>
    </xf>
    <xf numFmtId="21" fontId="44" fillId="0" borderId="42" xfId="0" applyNumberFormat="1" applyFont="1" applyBorder="1" applyAlignment="1">
      <alignment horizontal="right" wrapText="1"/>
    </xf>
    <xf numFmtId="0" fontId="44" fillId="0" borderId="42" xfId="0" applyFont="1" applyBorder="1" applyAlignment="1">
      <alignment horizontal="right" wrapText="1"/>
    </xf>
    <xf numFmtId="0" fontId="44" fillId="0" borderId="42" xfId="0" applyFont="1" applyBorder="1" applyAlignment="1">
      <alignment wrapText="1"/>
    </xf>
    <xf numFmtId="0" fontId="44" fillId="0" borderId="41" xfId="0" applyFont="1" applyBorder="1" applyAlignment="1">
      <alignment wrapText="1"/>
    </xf>
    <xf numFmtId="14" fontId="44" fillId="0" borderId="41" xfId="0" applyNumberFormat="1" applyFont="1" applyBorder="1" applyAlignment="1">
      <alignment horizontal="right" wrapText="1"/>
    </xf>
    <xf numFmtId="21" fontId="44" fillId="0" borderId="41" xfId="0" applyNumberFormat="1" applyFont="1" applyBorder="1" applyAlignment="1">
      <alignment horizontal="right" wrapText="1"/>
    </xf>
    <xf numFmtId="0" fontId="44" fillId="0" borderId="41" xfId="0" applyFont="1" applyBorder="1" applyAlignment="1">
      <alignment horizontal="right" wrapText="1"/>
    </xf>
    <xf numFmtId="179" fontId="14" fillId="3" borderId="14" xfId="0" applyNumberFormat="1" applyFont="1" applyFill="1" applyBorder="1" applyAlignment="1">
      <alignment horizontal="center" vertical="center"/>
    </xf>
    <xf numFmtId="179" fontId="14" fillId="3" borderId="4" xfId="0" applyNumberFormat="1" applyFont="1" applyFill="1" applyBorder="1" applyAlignment="1">
      <alignment horizontal="center" vertical="center"/>
    </xf>
    <xf numFmtId="179" fontId="14" fillId="3" borderId="15" xfId="0" applyNumberFormat="1" applyFont="1" applyFill="1" applyBorder="1" applyAlignment="1">
      <alignment horizontal="center" vertical="center"/>
    </xf>
    <xf numFmtId="179" fontId="18" fillId="4" borderId="14" xfId="0" applyNumberFormat="1" applyFont="1" applyFill="1" applyBorder="1" applyAlignment="1">
      <alignment horizontal="center" vertical="center"/>
    </xf>
    <xf numFmtId="179" fontId="18" fillId="4" borderId="4" xfId="0" applyNumberFormat="1" applyFont="1" applyFill="1" applyBorder="1" applyAlignment="1">
      <alignment horizontal="center" vertical="center"/>
    </xf>
    <xf numFmtId="179" fontId="18" fillId="4" borderId="15" xfId="0" applyNumberFormat="1" applyFont="1" applyFill="1" applyBorder="1" applyAlignment="1">
      <alignment horizontal="center" vertical="center"/>
    </xf>
    <xf numFmtId="179" fontId="18" fillId="4" borderId="14" xfId="0" applyNumberFormat="1" applyFont="1" applyFill="1" applyBorder="1" applyAlignment="1">
      <alignment horizontal="right" vertical="center"/>
    </xf>
    <xf numFmtId="179" fontId="18" fillId="4" borderId="4" xfId="0" applyNumberFormat="1" applyFont="1" applyFill="1" applyBorder="1" applyAlignment="1">
      <alignment horizontal="right" vertical="center"/>
    </xf>
    <xf numFmtId="179" fontId="18" fillId="4" borderId="15" xfId="0" applyNumberFormat="1" applyFont="1" applyFill="1" applyBorder="1" applyAlignment="1">
      <alignment horizontal="right" vertical="center"/>
    </xf>
    <xf numFmtId="179" fontId="14" fillId="3" borderId="14" xfId="0" applyNumberFormat="1" applyFont="1" applyFill="1" applyBorder="1" applyAlignment="1">
      <alignment horizontal="right" vertical="center"/>
    </xf>
    <xf numFmtId="179" fontId="14" fillId="3" borderId="4" xfId="0" applyNumberFormat="1" applyFont="1" applyFill="1" applyBorder="1" applyAlignment="1">
      <alignment horizontal="right" vertical="center"/>
    </xf>
    <xf numFmtId="179" fontId="14" fillId="3" borderId="15" xfId="0" applyNumberFormat="1" applyFont="1" applyFill="1" applyBorder="1" applyAlignment="1">
      <alignment horizontal="right" vertical="center"/>
    </xf>
    <xf numFmtId="0" fontId="9" fillId="4" borderId="7" xfId="0" applyFont="1" applyFill="1" applyBorder="1" applyAlignment="1">
      <alignment horizontal="left" vertical="center"/>
    </xf>
    <xf numFmtId="0" fontId="9" fillId="4" borderId="17" xfId="0" applyFont="1" applyFill="1" applyBorder="1" applyAlignment="1">
      <alignment horizontal="left" vertical="center"/>
    </xf>
    <xf numFmtId="0" fontId="9" fillId="4" borderId="9" xfId="0" applyFont="1" applyFill="1" applyBorder="1" applyAlignment="1">
      <alignment horizontal="left" vertical="center"/>
    </xf>
    <xf numFmtId="0" fontId="12" fillId="4" borderId="7" xfId="0" applyFont="1" applyFill="1" applyBorder="1" applyAlignment="1">
      <alignment horizontal="left" vertical="top"/>
    </xf>
    <xf numFmtId="0" fontId="9" fillId="4" borderId="6" xfId="0" applyFont="1" applyFill="1" applyBorder="1" applyAlignment="1">
      <alignment horizontal="left" vertical="top"/>
    </xf>
    <xf numFmtId="0" fontId="9" fillId="2" borderId="1" xfId="0" applyFont="1" applyFill="1" applyBorder="1" applyAlignment="1">
      <alignment horizontal="center" vertical="center"/>
    </xf>
    <xf numFmtId="178" fontId="9" fillId="4" borderId="7" xfId="0" applyNumberFormat="1" applyFont="1" applyFill="1" applyBorder="1" applyAlignment="1">
      <alignment horizontal="left" vertical="center"/>
    </xf>
    <xf numFmtId="178" fontId="9" fillId="4" borderId="6" xfId="0" applyNumberFormat="1" applyFont="1" applyFill="1" applyBorder="1" applyAlignment="1">
      <alignment horizontal="left" vertical="center"/>
    </xf>
    <xf numFmtId="0" fontId="9" fillId="2" borderId="1" xfId="0" applyFont="1" applyFill="1" applyBorder="1" applyAlignment="1">
      <alignment horizontal="center" vertical="center" wrapText="1"/>
    </xf>
    <xf numFmtId="0" fontId="9" fillId="2" borderId="7"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7" xfId="0" applyFont="1" applyFill="1" applyBorder="1" applyAlignment="1">
      <alignment horizontal="center" vertical="center"/>
    </xf>
    <xf numFmtId="0" fontId="9" fillId="2" borderId="0" xfId="0" applyFont="1" applyFill="1" applyAlignment="1">
      <alignment horizontal="center" vertical="center"/>
    </xf>
    <xf numFmtId="0" fontId="9" fillId="2" borderId="1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16"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15"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6"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7" fillId="4" borderId="0" xfId="0" applyFont="1" applyFill="1" applyAlignment="1">
      <alignment horizontal="center" vertical="center"/>
    </xf>
    <xf numFmtId="0" fontId="5" fillId="2" borderId="7"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5" fillId="0" borderId="1" xfId="0" applyFont="1" applyBorder="1" applyAlignment="1">
      <alignment horizontal="center" vertical="center"/>
    </xf>
    <xf numFmtId="0" fontId="7" fillId="0" borderId="0" xfId="0" applyFont="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5" fillId="0" borderId="6" xfId="0" applyFont="1" applyBorder="1" applyAlignment="1">
      <alignment horizontal="center" vertical="center"/>
    </xf>
    <xf numFmtId="0" fontId="5" fillId="0" borderId="0" xfId="0" applyFont="1" applyAlignment="1">
      <alignment horizontal="center" vertical="center"/>
    </xf>
    <xf numFmtId="0" fontId="6" fillId="0" borderId="1" xfId="0" applyFont="1" applyBorder="1" applyAlignment="1">
      <alignment horizontal="center" vertical="center"/>
    </xf>
  </cellXfs>
  <cellStyles count="47">
    <cellStyle name="20% - 강조색1" xfId="22" builtinId="30" customBuiltin="1"/>
    <cellStyle name="20% - 강조색2" xfId="26" builtinId="34" customBuiltin="1"/>
    <cellStyle name="20% - 강조색3" xfId="30" builtinId="38" customBuiltin="1"/>
    <cellStyle name="20% - 강조색4" xfId="34" builtinId="42" customBuiltin="1"/>
    <cellStyle name="20% - 강조색5" xfId="38" builtinId="46" customBuiltin="1"/>
    <cellStyle name="20% - 강조색6" xfId="42" builtinId="50" customBuiltin="1"/>
    <cellStyle name="40% - 강조색1" xfId="23" builtinId="31" customBuiltin="1"/>
    <cellStyle name="40% - 강조색2" xfId="27" builtinId="35" customBuiltin="1"/>
    <cellStyle name="40% - 강조색3" xfId="31" builtinId="39" customBuiltin="1"/>
    <cellStyle name="40% - 강조색4" xfId="35" builtinId="43" customBuiltin="1"/>
    <cellStyle name="40% - 강조색5" xfId="39" builtinId="47" customBuiltin="1"/>
    <cellStyle name="40% - 강조색6" xfId="43" builtinId="51" customBuiltin="1"/>
    <cellStyle name="60% - 강조색1" xfId="24" builtinId="32" customBuiltin="1"/>
    <cellStyle name="60% - 강조색2" xfId="28" builtinId="36" customBuiltin="1"/>
    <cellStyle name="60% - 강조색3" xfId="32" builtinId="40" customBuiltin="1"/>
    <cellStyle name="60% - 강조색4" xfId="36" builtinId="44" customBuiltin="1"/>
    <cellStyle name="60% - 강조색5" xfId="40" builtinId="48" customBuiltin="1"/>
    <cellStyle name="60% - 강조색6" xfId="44" builtinId="52" customBuiltin="1"/>
    <cellStyle name="강조색1" xfId="21" builtinId="29" customBuiltin="1"/>
    <cellStyle name="강조색2" xfId="25" builtinId="33" customBuiltin="1"/>
    <cellStyle name="강조색3" xfId="29" builtinId="37" customBuiltin="1"/>
    <cellStyle name="강조색4" xfId="33" builtinId="41" customBuiltin="1"/>
    <cellStyle name="강조색5" xfId="37" builtinId="45" customBuiltin="1"/>
    <cellStyle name="강조색6" xfId="41" builtinId="49" customBuiltin="1"/>
    <cellStyle name="경고문" xfId="17" builtinId="11" customBuiltin="1"/>
    <cellStyle name="계산" xfId="14" builtinId="22" customBuiltin="1"/>
    <cellStyle name="나쁨" xfId="10" builtinId="27" customBuiltin="1"/>
    <cellStyle name="메모" xfId="18" builtinId="10" customBuiltin="1"/>
    <cellStyle name="백분율" xfId="2" builtinId="5"/>
    <cellStyle name="보통" xfId="11" builtinId="28" customBuiltin="1"/>
    <cellStyle name="설명 텍스트" xfId="19" builtinId="53" customBuiltin="1"/>
    <cellStyle name="셀 확인" xfId="16" builtinId="23" customBuiltin="1"/>
    <cellStyle name="쉼표 [0]" xfId="1" builtinId="6"/>
    <cellStyle name="쉼표 [0] 2" xfId="3"/>
    <cellStyle name="쉼표 [0] 2 2" xfId="46"/>
    <cellStyle name="쉼표 [0] 3" xfId="45"/>
    <cellStyle name="연결된 셀" xfId="15" builtinId="24" customBuiltin="1"/>
    <cellStyle name="요약" xfId="20" builtinId="25" customBuiltin="1"/>
    <cellStyle name="입력" xfId="12" builtinId="20" customBuiltin="1"/>
    <cellStyle name="제목" xfId="4" builtinId="15" customBuiltin="1"/>
    <cellStyle name="제목 1" xfId="5" builtinId="16" customBuiltin="1"/>
    <cellStyle name="제목 2" xfId="6" builtinId="17" customBuiltin="1"/>
    <cellStyle name="제목 3" xfId="7" builtinId="18" customBuiltin="1"/>
    <cellStyle name="제목 4" xfId="8" builtinId="19" customBuiltin="1"/>
    <cellStyle name="좋음" xfId="9" builtinId="26" customBuiltin="1"/>
    <cellStyle name="출력" xfId="13" builtinId="21" customBuiltin="1"/>
    <cellStyle name="표준" xfId="0" builtinId="0"/>
  </cellStyles>
  <dxfs count="55">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strike val="0"/>
        <color rgb="FF0070C0"/>
      </font>
    </dxf>
    <dxf>
      <font>
        <b/>
        <i val="0"/>
        <strike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4:DL48"/>
  <sheetViews>
    <sheetView zoomScale="85" zoomScaleNormal="85" workbookViewId="0">
      <selection activeCell="DK21" sqref="DK21"/>
    </sheetView>
  </sheetViews>
  <sheetFormatPr defaultColWidth="9" defaultRowHeight="16.5"/>
  <cols>
    <col min="1" max="1" width="3" style="62" customWidth="1"/>
    <col min="2" max="2" width="3.5" style="62" customWidth="1"/>
    <col min="3" max="3" width="15.375" style="62" bestFit="1" customWidth="1"/>
    <col min="4" max="4" width="8" style="62" bestFit="1" customWidth="1"/>
    <col min="5" max="5" width="8.375" style="62" hidden="1" customWidth="1"/>
    <col min="6" max="11" width="8.75" style="62" hidden="1" customWidth="1"/>
    <col min="12" max="12" width="0.75" style="62" hidden="1" customWidth="1"/>
    <col min="13" max="62" width="6.375" style="62" hidden="1" customWidth="1"/>
    <col min="63" max="63" width="5.875" style="62" hidden="1" customWidth="1"/>
    <col min="64" max="64" width="6.125" style="62" hidden="1" customWidth="1"/>
    <col min="65" max="74" width="6.375" style="62" hidden="1" customWidth="1"/>
    <col min="75" max="75" width="1.125" style="62" customWidth="1"/>
    <col min="76" max="76" width="8.125" style="62" customWidth="1"/>
    <col min="77" max="77" width="0.875" style="62" customWidth="1"/>
    <col min="78" max="78" width="7.125" style="62" customWidth="1"/>
    <col min="79" max="79" width="7.25" style="62" customWidth="1"/>
    <col min="80" max="81" width="6.125" style="62" customWidth="1"/>
    <col min="82" max="82" width="6.75" style="62" customWidth="1"/>
    <col min="83" max="83" width="2.5" style="62" customWidth="1"/>
    <col min="84" max="84" width="4.5" style="62" customWidth="1"/>
    <col min="85" max="85" width="4.625" style="62" customWidth="1"/>
    <col min="86" max="89" width="4.5" style="62" customWidth="1"/>
    <col min="90" max="90" width="4.25" style="62" customWidth="1"/>
    <col min="91" max="91" width="4.875" style="62" customWidth="1"/>
    <col min="92" max="92" width="4.5" style="62" customWidth="1"/>
    <col min="93" max="93" width="5" style="62" customWidth="1"/>
    <col min="94" max="94" width="4.75" style="62" customWidth="1"/>
    <col min="95" max="95" width="4.5" style="62" customWidth="1"/>
    <col min="96" max="96" width="4.625" style="62" customWidth="1"/>
    <col min="97" max="99" width="4.5" style="62" customWidth="1"/>
    <col min="100" max="100" width="4.625" style="62" customWidth="1"/>
    <col min="101" max="113" width="4.5" style="62" customWidth="1"/>
    <col min="114" max="16384" width="9" style="62"/>
  </cols>
  <sheetData>
    <row r="4" spans="2:114">
      <c r="C4" s="108">
        <v>2022</v>
      </c>
      <c r="D4" s="108">
        <v>12</v>
      </c>
      <c r="E4" s="108">
        <v>1</v>
      </c>
    </row>
    <row r="6" spans="2:114" ht="16.5" customHeight="1">
      <c r="B6" s="250" t="s">
        <v>58</v>
      </c>
      <c r="C6" s="251"/>
      <c r="D6" s="252"/>
      <c r="E6" s="249" t="s">
        <v>59</v>
      </c>
      <c r="F6" s="259" t="s">
        <v>60</v>
      </c>
      <c r="G6" s="260"/>
      <c r="H6" s="260"/>
      <c r="I6" s="260"/>
      <c r="J6" s="260"/>
      <c r="K6" s="261"/>
      <c r="L6" s="68"/>
      <c r="M6" s="246" t="s">
        <v>64</v>
      </c>
      <c r="N6" s="246"/>
      <c r="O6" s="246" t="s">
        <v>61</v>
      </c>
      <c r="P6" s="246"/>
      <c r="Q6" s="246"/>
      <c r="R6" s="246"/>
      <c r="S6" s="246"/>
      <c r="T6" s="246"/>
      <c r="U6" s="246"/>
      <c r="V6" s="246"/>
      <c r="W6" s="246"/>
      <c r="X6" s="246"/>
      <c r="Y6" s="246"/>
      <c r="Z6" s="246"/>
      <c r="AA6" s="246" t="s">
        <v>46</v>
      </c>
      <c r="AB6" s="246"/>
      <c r="AC6" s="246"/>
      <c r="AD6" s="246"/>
      <c r="AE6" s="246"/>
      <c r="AF6" s="246"/>
      <c r="AG6" s="246"/>
      <c r="AH6" s="246"/>
      <c r="AI6" s="246"/>
      <c r="AJ6" s="246"/>
      <c r="AK6" s="246"/>
      <c r="AL6" s="246"/>
      <c r="AM6" s="246" t="s">
        <v>47</v>
      </c>
      <c r="AN6" s="246"/>
      <c r="AO6" s="246"/>
      <c r="AP6" s="246"/>
      <c r="AQ6" s="246"/>
      <c r="AR6" s="246"/>
      <c r="AS6" s="246"/>
      <c r="AT6" s="246"/>
      <c r="AU6" s="246"/>
      <c r="AV6" s="246"/>
      <c r="AW6" s="246"/>
      <c r="AX6" s="246"/>
      <c r="AY6" s="259" t="s">
        <v>87</v>
      </c>
      <c r="AZ6" s="260"/>
      <c r="BA6" s="260"/>
      <c r="BB6" s="260"/>
      <c r="BC6" s="260"/>
      <c r="BD6" s="260"/>
      <c r="BE6" s="260"/>
      <c r="BF6" s="260"/>
      <c r="BG6" s="260"/>
      <c r="BH6" s="260"/>
      <c r="BI6" s="260"/>
      <c r="BJ6" s="261"/>
      <c r="BK6" s="246" t="s">
        <v>88</v>
      </c>
      <c r="BL6" s="246"/>
      <c r="BM6" s="246"/>
      <c r="BN6" s="246"/>
      <c r="BO6" s="246"/>
      <c r="BP6" s="246"/>
      <c r="BQ6" s="246"/>
      <c r="BR6" s="246"/>
      <c r="BS6" s="246"/>
      <c r="BT6" s="246"/>
      <c r="BU6" s="246"/>
      <c r="BV6" s="246"/>
      <c r="BX6" s="249" t="s">
        <v>89</v>
      </c>
      <c r="BZ6" s="246" t="s">
        <v>83</v>
      </c>
      <c r="CA6" s="246"/>
      <c r="CB6" s="246"/>
      <c r="CC6" s="246"/>
      <c r="CD6" s="246"/>
      <c r="CE6" s="109"/>
      <c r="CF6" s="264" t="s">
        <v>90</v>
      </c>
      <c r="CG6" s="265"/>
      <c r="CH6" s="265"/>
      <c r="CI6" s="265"/>
      <c r="CJ6" s="265"/>
      <c r="CK6" s="265"/>
      <c r="CL6" s="265"/>
      <c r="CM6" s="265"/>
      <c r="CN6" s="265"/>
      <c r="CO6" s="265"/>
      <c r="CP6" s="265"/>
      <c r="CQ6" s="265"/>
      <c r="CR6" s="265"/>
      <c r="CS6" s="265"/>
      <c r="CT6" s="265"/>
      <c r="CU6" s="265"/>
      <c r="CV6" s="265"/>
      <c r="CW6" s="265"/>
      <c r="CX6" s="265"/>
      <c r="CY6" s="265"/>
      <c r="CZ6" s="265"/>
      <c r="DA6" s="265"/>
      <c r="DB6" s="265"/>
      <c r="DC6" s="265"/>
      <c r="DD6" s="265"/>
      <c r="DE6" s="265"/>
      <c r="DF6" s="265"/>
      <c r="DG6" s="265"/>
      <c r="DH6" s="265"/>
      <c r="DI6" s="265"/>
      <c r="DJ6" s="105"/>
    </row>
    <row r="7" spans="2:114" ht="22.5" customHeight="1">
      <c r="B7" s="253"/>
      <c r="C7" s="254"/>
      <c r="D7" s="255"/>
      <c r="E7" s="246"/>
      <c r="F7" s="246" t="s">
        <v>62</v>
      </c>
      <c r="G7" s="246" t="s">
        <v>48</v>
      </c>
      <c r="H7" s="246" t="s">
        <v>49</v>
      </c>
      <c r="I7" s="246" t="s">
        <v>65</v>
      </c>
      <c r="J7" s="262" t="s">
        <v>85</v>
      </c>
      <c r="K7" s="246" t="s">
        <v>86</v>
      </c>
      <c r="L7" s="68"/>
      <c r="M7" s="98" t="s">
        <v>66</v>
      </c>
      <c r="N7" s="98" t="s">
        <v>67</v>
      </c>
      <c r="O7" s="98" t="s">
        <v>34</v>
      </c>
      <c r="P7" s="98" t="s">
        <v>35</v>
      </c>
      <c r="Q7" s="98" t="s">
        <v>36</v>
      </c>
      <c r="R7" s="98" t="s">
        <v>37</v>
      </c>
      <c r="S7" s="98" t="s">
        <v>38</v>
      </c>
      <c r="T7" s="98" t="s">
        <v>39</v>
      </c>
      <c r="U7" s="98" t="s">
        <v>40</v>
      </c>
      <c r="V7" s="98" t="s">
        <v>41</v>
      </c>
      <c r="W7" s="98" t="s">
        <v>42</v>
      </c>
      <c r="X7" s="98" t="s">
        <v>43</v>
      </c>
      <c r="Y7" s="98" t="s">
        <v>44</v>
      </c>
      <c r="Z7" s="98" t="s">
        <v>45</v>
      </c>
      <c r="AA7" s="98" t="s">
        <v>34</v>
      </c>
      <c r="AB7" s="98" t="s">
        <v>35</v>
      </c>
      <c r="AC7" s="98" t="s">
        <v>36</v>
      </c>
      <c r="AD7" s="98" t="s">
        <v>37</v>
      </c>
      <c r="AE7" s="98" t="s">
        <v>38</v>
      </c>
      <c r="AF7" s="98" t="s">
        <v>39</v>
      </c>
      <c r="AG7" s="98" t="s">
        <v>40</v>
      </c>
      <c r="AH7" s="98" t="s">
        <v>41</v>
      </c>
      <c r="AI7" s="98" t="s">
        <v>42</v>
      </c>
      <c r="AJ7" s="98" t="s">
        <v>43</v>
      </c>
      <c r="AK7" s="98" t="s">
        <v>44</v>
      </c>
      <c r="AL7" s="98" t="s">
        <v>45</v>
      </c>
      <c r="AM7" s="98" t="s">
        <v>34</v>
      </c>
      <c r="AN7" s="98" t="s">
        <v>35</v>
      </c>
      <c r="AO7" s="98" t="s">
        <v>36</v>
      </c>
      <c r="AP7" s="98" t="s">
        <v>37</v>
      </c>
      <c r="AQ7" s="98" t="s">
        <v>38</v>
      </c>
      <c r="AR7" s="98" t="s">
        <v>39</v>
      </c>
      <c r="AS7" s="98" t="s">
        <v>40</v>
      </c>
      <c r="AT7" s="98" t="s">
        <v>41</v>
      </c>
      <c r="AU7" s="98" t="s">
        <v>42</v>
      </c>
      <c r="AV7" s="98" t="s">
        <v>43</v>
      </c>
      <c r="AW7" s="98" t="s">
        <v>44</v>
      </c>
      <c r="AX7" s="98" t="s">
        <v>45</v>
      </c>
      <c r="AY7" s="98" t="s">
        <v>34</v>
      </c>
      <c r="AZ7" s="98" t="s">
        <v>35</v>
      </c>
      <c r="BA7" s="98" t="s">
        <v>36</v>
      </c>
      <c r="BB7" s="98" t="s">
        <v>37</v>
      </c>
      <c r="BC7" s="98" t="s">
        <v>38</v>
      </c>
      <c r="BD7" s="98" t="s">
        <v>39</v>
      </c>
      <c r="BE7" s="98" t="s">
        <v>40</v>
      </c>
      <c r="BF7" s="98" t="s">
        <v>41</v>
      </c>
      <c r="BG7" s="98" t="s">
        <v>42</v>
      </c>
      <c r="BH7" s="98" t="s">
        <v>43</v>
      </c>
      <c r="BI7" s="98" t="s">
        <v>44</v>
      </c>
      <c r="BJ7" s="98" t="s">
        <v>45</v>
      </c>
      <c r="BK7" s="98" t="s">
        <v>34</v>
      </c>
      <c r="BL7" s="98" t="s">
        <v>35</v>
      </c>
      <c r="BM7" s="98" t="s">
        <v>36</v>
      </c>
      <c r="BN7" s="98" t="s">
        <v>37</v>
      </c>
      <c r="BO7" s="98" t="s">
        <v>38</v>
      </c>
      <c r="BP7" s="98" t="s">
        <v>39</v>
      </c>
      <c r="BQ7" s="98" t="s">
        <v>40</v>
      </c>
      <c r="BR7" s="98" t="s">
        <v>41</v>
      </c>
      <c r="BS7" s="98" t="s">
        <v>42</v>
      </c>
      <c r="BT7" s="98" t="s">
        <v>43</v>
      </c>
      <c r="BU7" s="98" t="s">
        <v>44</v>
      </c>
      <c r="BV7" s="98" t="s">
        <v>45</v>
      </c>
      <c r="BX7" s="246"/>
      <c r="BZ7" s="98" t="s">
        <v>84</v>
      </c>
      <c r="CA7" s="98" t="s">
        <v>50</v>
      </c>
      <c r="CB7" s="98" t="s">
        <v>51</v>
      </c>
      <c r="CC7" s="98" t="s">
        <v>52</v>
      </c>
      <c r="CD7" s="98" t="s">
        <v>53</v>
      </c>
      <c r="CF7" s="106">
        <v>1</v>
      </c>
      <c r="CG7" s="106">
        <v>2</v>
      </c>
      <c r="CH7" s="106">
        <v>3</v>
      </c>
      <c r="CI7" s="106">
        <v>4</v>
      </c>
      <c r="CJ7" s="106">
        <v>5</v>
      </c>
      <c r="CK7" s="106">
        <v>6</v>
      </c>
      <c r="CL7" s="106">
        <v>7</v>
      </c>
      <c r="CM7" s="106">
        <v>8</v>
      </c>
      <c r="CN7" s="106">
        <v>9</v>
      </c>
      <c r="CO7" s="106">
        <v>10</v>
      </c>
      <c r="CP7" s="106">
        <v>11</v>
      </c>
      <c r="CQ7" s="106">
        <v>12</v>
      </c>
      <c r="CR7" s="106">
        <v>13</v>
      </c>
      <c r="CS7" s="106">
        <v>14</v>
      </c>
      <c r="CT7" s="106">
        <v>15</v>
      </c>
      <c r="CU7" s="106">
        <v>16</v>
      </c>
      <c r="CV7" s="106">
        <v>17</v>
      </c>
      <c r="CW7" s="106">
        <v>18</v>
      </c>
      <c r="CX7" s="106">
        <v>19</v>
      </c>
      <c r="CY7" s="106">
        <v>20</v>
      </c>
      <c r="CZ7" s="106">
        <v>21</v>
      </c>
      <c r="DA7" s="106">
        <v>22</v>
      </c>
      <c r="DB7" s="106">
        <v>23</v>
      </c>
      <c r="DC7" s="106">
        <v>24</v>
      </c>
      <c r="DD7" s="106">
        <v>25</v>
      </c>
      <c r="DE7" s="106">
        <v>26</v>
      </c>
      <c r="DF7" s="106">
        <v>27</v>
      </c>
      <c r="DG7" s="106">
        <v>28</v>
      </c>
      <c r="DH7" s="106">
        <v>29</v>
      </c>
      <c r="DI7" s="106">
        <v>30</v>
      </c>
    </row>
    <row r="8" spans="2:114">
      <c r="B8" s="256"/>
      <c r="C8" s="257"/>
      <c r="D8" s="258"/>
      <c r="E8" s="246"/>
      <c r="F8" s="246"/>
      <c r="G8" s="246"/>
      <c r="H8" s="246"/>
      <c r="I8" s="246"/>
      <c r="J8" s="263"/>
      <c r="K8" s="246"/>
      <c r="L8" s="65"/>
      <c r="M8" s="74">
        <v>11</v>
      </c>
      <c r="N8" s="74">
        <v>22.5</v>
      </c>
      <c r="O8" s="75">
        <v>24</v>
      </c>
      <c r="P8" s="75">
        <v>24</v>
      </c>
      <c r="Q8" s="75">
        <v>23.5</v>
      </c>
      <c r="R8" s="75">
        <v>23</v>
      </c>
      <c r="S8" s="75">
        <v>21.5</v>
      </c>
      <c r="T8" s="75">
        <v>21.5</v>
      </c>
      <c r="U8" s="75">
        <v>24</v>
      </c>
      <c r="V8" s="75">
        <v>24</v>
      </c>
      <c r="W8" s="75">
        <v>19.5</v>
      </c>
      <c r="X8" s="75">
        <v>23</v>
      </c>
      <c r="Y8" s="75">
        <v>24</v>
      </c>
      <c r="Z8" s="75">
        <v>25.5</v>
      </c>
      <c r="AA8" s="75">
        <v>24</v>
      </c>
      <c r="AB8" s="75">
        <v>19</v>
      </c>
      <c r="AC8" s="75">
        <v>23.5</v>
      </c>
      <c r="AD8" s="75">
        <v>24</v>
      </c>
      <c r="AE8" s="75">
        <v>24</v>
      </c>
      <c r="AF8" s="75">
        <v>21.5</v>
      </c>
      <c r="AG8" s="75">
        <v>25</v>
      </c>
      <c r="AH8" s="75">
        <v>23.5</v>
      </c>
      <c r="AI8" s="75">
        <v>20.5</v>
      </c>
      <c r="AJ8" s="75">
        <v>24.5</v>
      </c>
      <c r="AK8" s="75">
        <v>24.5</v>
      </c>
      <c r="AL8" s="75">
        <v>23</v>
      </c>
      <c r="AM8" s="75">
        <v>21.5</v>
      </c>
      <c r="AN8" s="75">
        <v>22.5</v>
      </c>
      <c r="AO8" s="75">
        <v>24</v>
      </c>
      <c r="AP8" s="75">
        <v>22</v>
      </c>
      <c r="AQ8" s="75">
        <v>21.5</v>
      </c>
      <c r="AR8" s="75">
        <v>23.5</v>
      </c>
      <c r="AS8" s="75">
        <v>25</v>
      </c>
      <c r="AT8" s="75">
        <v>22</v>
      </c>
      <c r="AU8" s="75">
        <v>23</v>
      </c>
      <c r="AV8" s="75">
        <v>21</v>
      </c>
      <c r="AW8" s="75">
        <v>23</v>
      </c>
      <c r="AX8" s="75">
        <v>24</v>
      </c>
      <c r="AY8" s="75">
        <v>22.5</v>
      </c>
      <c r="AZ8" s="75">
        <v>19.5</v>
      </c>
      <c r="BA8" s="75">
        <v>24</v>
      </c>
      <c r="BB8" s="75">
        <v>24</v>
      </c>
      <c r="BC8" s="75">
        <v>19.5</v>
      </c>
      <c r="BD8" s="75">
        <v>24</v>
      </c>
      <c r="BE8" s="75">
        <v>24.5</v>
      </c>
      <c r="BF8" s="75">
        <v>23</v>
      </c>
      <c r="BG8" s="75">
        <v>21</v>
      </c>
      <c r="BH8" s="75">
        <v>21</v>
      </c>
      <c r="BI8" s="75">
        <v>24</v>
      </c>
      <c r="BJ8" s="75">
        <v>24.5</v>
      </c>
      <c r="BK8" s="100">
        <v>22</v>
      </c>
      <c r="BL8" s="100">
        <v>20</v>
      </c>
      <c r="BM8" s="100">
        <v>23</v>
      </c>
      <c r="BN8" s="75">
        <v>23.5</v>
      </c>
      <c r="BO8" s="75">
        <v>23</v>
      </c>
      <c r="BP8" s="75"/>
      <c r="BQ8" s="75"/>
      <c r="BR8" s="75"/>
      <c r="BS8" s="75">
        <v>21.5</v>
      </c>
      <c r="BT8" s="75"/>
      <c r="BU8" s="75"/>
      <c r="BV8" s="75"/>
      <c r="BX8" s="149">
        <v>10</v>
      </c>
      <c r="BY8" s="110"/>
      <c r="BZ8" s="111">
        <v>4.5</v>
      </c>
      <c r="CA8" s="111">
        <v>5.5</v>
      </c>
      <c r="CB8" s="111"/>
      <c r="CC8" s="111"/>
      <c r="CD8" s="111"/>
      <c r="CE8" s="110"/>
      <c r="CF8" s="148" t="s">
        <v>113</v>
      </c>
      <c r="CG8" s="148" t="s">
        <v>114</v>
      </c>
      <c r="CH8" s="148" t="s">
        <v>115</v>
      </c>
      <c r="CI8" s="148" t="s">
        <v>116</v>
      </c>
      <c r="CJ8" s="150" t="s">
        <v>117</v>
      </c>
      <c r="CK8" s="145" t="s">
        <v>118</v>
      </c>
      <c r="CL8" s="107" t="s">
        <v>119</v>
      </c>
      <c r="CM8" s="148" t="s">
        <v>113</v>
      </c>
      <c r="CN8" s="148" t="s">
        <v>114</v>
      </c>
      <c r="CO8" s="148" t="s">
        <v>115</v>
      </c>
      <c r="CP8" s="107" t="s">
        <v>116</v>
      </c>
      <c r="CQ8" s="150" t="s">
        <v>117</v>
      </c>
      <c r="CR8" s="145" t="s">
        <v>118</v>
      </c>
      <c r="CS8" s="107" t="s">
        <v>119</v>
      </c>
      <c r="CT8" s="148" t="s">
        <v>113</v>
      </c>
      <c r="CU8" s="148" t="s">
        <v>114</v>
      </c>
      <c r="CV8" s="148" t="s">
        <v>115</v>
      </c>
      <c r="CW8" s="107" t="s">
        <v>116</v>
      </c>
      <c r="CX8" s="150" t="s">
        <v>117</v>
      </c>
      <c r="CY8" s="145" t="s">
        <v>118</v>
      </c>
      <c r="CZ8" s="107" t="s">
        <v>119</v>
      </c>
      <c r="DA8" s="148" t="s">
        <v>113</v>
      </c>
      <c r="DB8" s="148" t="s">
        <v>114</v>
      </c>
      <c r="DC8" s="148" t="s">
        <v>115</v>
      </c>
      <c r="DD8" s="148" t="s">
        <v>116</v>
      </c>
      <c r="DE8" s="150" t="s">
        <v>117</v>
      </c>
      <c r="DF8" s="145" t="s">
        <v>118</v>
      </c>
      <c r="DG8" s="107" t="s">
        <v>119</v>
      </c>
      <c r="DH8" s="148" t="s">
        <v>113</v>
      </c>
      <c r="DI8" s="148" t="s">
        <v>114</v>
      </c>
    </row>
    <row r="9" spans="2:114" ht="18.75" customHeight="1">
      <c r="B9" s="247" t="s">
        <v>68</v>
      </c>
      <c r="C9" s="248"/>
      <c r="D9" s="131" t="s">
        <v>69</v>
      </c>
      <c r="E9" s="56">
        <v>1327</v>
      </c>
      <c r="F9" s="56">
        <f t="shared" ref="F9:I9" si="0">SUM(F12,F15,F18,F21,F24,F27)</f>
        <v>2153</v>
      </c>
      <c r="G9" s="66">
        <f t="shared" si="0"/>
        <v>35421</v>
      </c>
      <c r="H9" s="66">
        <f t="shared" si="0"/>
        <v>37722</v>
      </c>
      <c r="I9" s="66">
        <f t="shared" si="0"/>
        <v>47567</v>
      </c>
      <c r="J9" s="66">
        <v>40226</v>
      </c>
      <c r="K9" s="66">
        <f>SUM(K12,K15,K18,K21,K24,K27)</f>
        <v>12974</v>
      </c>
      <c r="L9" s="65"/>
      <c r="M9" s="99">
        <f t="shared" ref="M9:AX9" si="1">IF(SUM(M12,M15,M18,M21,M24,M27)=0,"",SUM(M12,M15,M18,M21,M24,M27))</f>
        <v>388</v>
      </c>
      <c r="N9" s="99">
        <f t="shared" si="1"/>
        <v>1765</v>
      </c>
      <c r="O9" s="99">
        <f t="shared" si="1"/>
        <v>2312</v>
      </c>
      <c r="P9" s="99">
        <f t="shared" si="1"/>
        <v>2371</v>
      </c>
      <c r="Q9" s="99">
        <f t="shared" si="1"/>
        <v>3048</v>
      </c>
      <c r="R9" s="99">
        <f t="shared" si="1"/>
        <v>2876</v>
      </c>
      <c r="S9" s="99">
        <f t="shared" si="1"/>
        <v>2748</v>
      </c>
      <c r="T9" s="99">
        <f t="shared" si="1"/>
        <v>2957</v>
      </c>
      <c r="U9" s="99">
        <f t="shared" si="1"/>
        <v>3383</v>
      </c>
      <c r="V9" s="99">
        <f t="shared" si="1"/>
        <v>3618</v>
      </c>
      <c r="W9" s="99">
        <f t="shared" si="1"/>
        <v>2739</v>
      </c>
      <c r="X9" s="99">
        <f t="shared" si="1"/>
        <v>3330</v>
      </c>
      <c r="Y9" s="99">
        <f>IF(SUM(Y12,Y15,Y18,Y21,Y24,Y27)=0,"",SUM(Y12,Y15,Y18,Y21,Y24,Y27))</f>
        <v>3084</v>
      </c>
      <c r="Z9" s="99">
        <f t="shared" si="1"/>
        <v>2955</v>
      </c>
      <c r="AA9" s="99">
        <f t="shared" si="1"/>
        <v>3272</v>
      </c>
      <c r="AB9" s="99">
        <f t="shared" si="1"/>
        <v>2824</v>
      </c>
      <c r="AC9" s="99">
        <f t="shared" si="1"/>
        <v>3097</v>
      </c>
      <c r="AD9" s="99">
        <f t="shared" si="1"/>
        <v>3602</v>
      </c>
      <c r="AE9" s="99">
        <f t="shared" si="1"/>
        <v>2984</v>
      </c>
      <c r="AF9" s="99">
        <f t="shared" si="1"/>
        <v>2686</v>
      </c>
      <c r="AG9" s="99">
        <f t="shared" si="1"/>
        <v>3552</v>
      </c>
      <c r="AH9" s="99">
        <f t="shared" si="1"/>
        <v>3511</v>
      </c>
      <c r="AI9" s="99">
        <f t="shared" si="1"/>
        <v>3070</v>
      </c>
      <c r="AJ9" s="99">
        <f t="shared" si="1"/>
        <v>3234</v>
      </c>
      <c r="AK9" s="99">
        <f t="shared" si="1"/>
        <v>2961</v>
      </c>
      <c r="AL9" s="99">
        <f t="shared" si="1"/>
        <v>2929</v>
      </c>
      <c r="AM9" s="99">
        <f t="shared" si="1"/>
        <v>3125</v>
      </c>
      <c r="AN9" s="99">
        <f t="shared" si="1"/>
        <v>4057</v>
      </c>
      <c r="AO9" s="99">
        <f t="shared" si="1"/>
        <v>6234</v>
      </c>
      <c r="AP9" s="99">
        <f t="shared" si="1"/>
        <v>5144</v>
      </c>
      <c r="AQ9" s="99">
        <f t="shared" si="1"/>
        <v>4156</v>
      </c>
      <c r="AR9" s="99">
        <f t="shared" si="1"/>
        <v>3796</v>
      </c>
      <c r="AS9" s="99">
        <f t="shared" si="1"/>
        <v>3610</v>
      </c>
      <c r="AT9" s="99">
        <f t="shared" si="1"/>
        <v>3438</v>
      </c>
      <c r="AU9" s="99">
        <f t="shared" si="1"/>
        <v>3749</v>
      </c>
      <c r="AV9" s="99">
        <f t="shared" si="1"/>
        <v>2909</v>
      </c>
      <c r="AW9" s="99">
        <f t="shared" si="1"/>
        <v>2983</v>
      </c>
      <c r="AX9" s="99">
        <f t="shared" si="1"/>
        <v>4366</v>
      </c>
      <c r="AY9" s="99">
        <v>3761</v>
      </c>
      <c r="AZ9" s="99">
        <v>2842</v>
      </c>
      <c r="BA9" s="99">
        <v>3524</v>
      </c>
      <c r="BB9" s="99">
        <v>4292</v>
      </c>
      <c r="BC9" s="99">
        <v>3445</v>
      </c>
      <c r="BD9" s="99">
        <v>3260</v>
      </c>
      <c r="BE9" s="99">
        <v>3855</v>
      </c>
      <c r="BF9" s="99">
        <v>3355</v>
      </c>
      <c r="BG9" s="99">
        <v>3579</v>
      </c>
      <c r="BH9" s="99">
        <v>2562</v>
      </c>
      <c r="BI9" s="99">
        <v>2476</v>
      </c>
      <c r="BJ9" s="99">
        <v>3275</v>
      </c>
      <c r="BK9" s="99">
        <v>2421</v>
      </c>
      <c r="BL9" s="99">
        <v>2379</v>
      </c>
      <c r="BM9" s="99">
        <v>2498</v>
      </c>
      <c r="BN9" s="99">
        <v>2119</v>
      </c>
      <c r="BO9" s="99">
        <v>1755</v>
      </c>
      <c r="BP9" s="99"/>
      <c r="BQ9" s="99"/>
      <c r="BR9" s="99"/>
      <c r="BS9" s="99">
        <v>1802</v>
      </c>
      <c r="BT9" s="99"/>
      <c r="BU9" s="99"/>
      <c r="BV9" s="99"/>
      <c r="BW9" s="78"/>
      <c r="BX9" s="112">
        <v>952</v>
      </c>
      <c r="BY9" s="113"/>
      <c r="BZ9" s="112">
        <v>437</v>
      </c>
      <c r="CA9" s="112">
        <v>515</v>
      </c>
      <c r="CB9" s="112"/>
      <c r="CC9" s="112"/>
      <c r="CD9" s="112"/>
      <c r="CE9" s="110"/>
      <c r="CF9" s="238">
        <v>97</v>
      </c>
      <c r="CG9" s="238">
        <v>92</v>
      </c>
      <c r="CH9" s="238">
        <v>100</v>
      </c>
      <c r="CI9" s="238">
        <v>114</v>
      </c>
      <c r="CJ9" s="238">
        <v>34</v>
      </c>
      <c r="CK9" s="238" t="s">
        <v>82</v>
      </c>
      <c r="CL9" s="238">
        <v>103</v>
      </c>
      <c r="CM9" s="238">
        <v>101</v>
      </c>
      <c r="CN9" s="238">
        <v>98</v>
      </c>
      <c r="CO9" s="238">
        <v>94</v>
      </c>
      <c r="CP9" s="238">
        <v>95</v>
      </c>
      <c r="CQ9" s="238">
        <v>24</v>
      </c>
      <c r="CR9" s="238"/>
      <c r="CS9" s="238"/>
      <c r="CT9" s="238"/>
      <c r="CU9" s="238"/>
      <c r="CV9" s="238"/>
      <c r="CW9" s="238"/>
      <c r="CX9" s="238"/>
      <c r="CY9" s="238"/>
      <c r="CZ9" s="238"/>
      <c r="DA9" s="238"/>
      <c r="DB9" s="238"/>
      <c r="DC9" s="238"/>
      <c r="DD9" s="238"/>
      <c r="DE9" s="238"/>
      <c r="DF9" s="238"/>
      <c r="DG9" s="229"/>
      <c r="DH9" s="229"/>
      <c r="DI9" s="229"/>
    </row>
    <row r="10" spans="2:114" ht="18.75" customHeight="1">
      <c r="B10" s="54"/>
      <c r="C10" s="70"/>
      <c r="D10" s="132" t="s">
        <v>70</v>
      </c>
      <c r="E10" s="61">
        <v>73.722222222222229</v>
      </c>
      <c r="F10" s="61">
        <f>F9/COUNT(M9:N9)</f>
        <v>1076.5</v>
      </c>
      <c r="G10" s="67">
        <f>G9/COUNT(O9:Z9)</f>
        <v>2951.75</v>
      </c>
      <c r="H10" s="67">
        <f>H9/COUNT(AA9:AL9)</f>
        <v>3143.5</v>
      </c>
      <c r="I10" s="67">
        <f>I9/COUNT(AM9:AX9)</f>
        <v>3963.9166666666665</v>
      </c>
      <c r="J10" s="67">
        <v>3352.1666666666665</v>
      </c>
      <c r="K10" s="67">
        <f>K9/COUNT(BK9:BV9)</f>
        <v>2162.3333333333335</v>
      </c>
      <c r="L10" s="69"/>
      <c r="M10" s="90">
        <f>M9/M$8</f>
        <v>35.272727272727273</v>
      </c>
      <c r="N10" s="90">
        <f>N9/N$8</f>
        <v>78.444444444444443</v>
      </c>
      <c r="O10" s="90">
        <f t="shared" ref="O10:AN10" si="2">O9/O$8</f>
        <v>96.333333333333329</v>
      </c>
      <c r="P10" s="90">
        <f t="shared" si="2"/>
        <v>98.791666666666671</v>
      </c>
      <c r="Q10" s="90">
        <f t="shared" si="2"/>
        <v>129.70212765957447</v>
      </c>
      <c r="R10" s="90">
        <f t="shared" si="2"/>
        <v>125.04347826086956</v>
      </c>
      <c r="S10" s="90">
        <f t="shared" si="2"/>
        <v>127.81395348837209</v>
      </c>
      <c r="T10" s="90">
        <f t="shared" si="2"/>
        <v>137.53488372093022</v>
      </c>
      <c r="U10" s="90">
        <f t="shared" si="2"/>
        <v>140.95833333333334</v>
      </c>
      <c r="V10" s="90">
        <f t="shared" si="2"/>
        <v>150.75</v>
      </c>
      <c r="W10" s="90">
        <f t="shared" si="2"/>
        <v>140.46153846153845</v>
      </c>
      <c r="X10" s="90">
        <f t="shared" si="2"/>
        <v>144.78260869565219</v>
      </c>
      <c r="Y10" s="90">
        <f t="shared" si="2"/>
        <v>128.5</v>
      </c>
      <c r="Z10" s="90">
        <f t="shared" si="2"/>
        <v>115.88235294117646</v>
      </c>
      <c r="AA10" s="90">
        <f t="shared" si="2"/>
        <v>136.33333333333334</v>
      </c>
      <c r="AB10" s="90">
        <f t="shared" si="2"/>
        <v>148.63157894736841</v>
      </c>
      <c r="AC10" s="90">
        <f t="shared" si="2"/>
        <v>131.78723404255319</v>
      </c>
      <c r="AD10" s="90">
        <f t="shared" si="2"/>
        <v>150.08333333333334</v>
      </c>
      <c r="AE10" s="90">
        <f t="shared" si="2"/>
        <v>124.33333333333333</v>
      </c>
      <c r="AF10" s="90">
        <f t="shared" si="2"/>
        <v>124.93023255813954</v>
      </c>
      <c r="AG10" s="90">
        <f t="shared" si="2"/>
        <v>142.08000000000001</v>
      </c>
      <c r="AH10" s="90">
        <f t="shared" si="2"/>
        <v>149.40425531914894</v>
      </c>
      <c r="AI10" s="90">
        <f t="shared" si="2"/>
        <v>149.7560975609756</v>
      </c>
      <c r="AJ10" s="90">
        <f t="shared" si="2"/>
        <v>132</v>
      </c>
      <c r="AK10" s="90">
        <f t="shared" si="2"/>
        <v>120.85714285714286</v>
      </c>
      <c r="AL10" s="90">
        <f t="shared" si="2"/>
        <v>127.34782608695652</v>
      </c>
      <c r="AM10" s="90">
        <f t="shared" si="2"/>
        <v>145.34883720930233</v>
      </c>
      <c r="AN10" s="90">
        <f t="shared" si="2"/>
        <v>180.3111111111111</v>
      </c>
      <c r="AO10" s="90">
        <f>IFERROR(AO9/AO$8,"")</f>
        <v>259.75</v>
      </c>
      <c r="AP10" s="90">
        <f>IFERROR(AP9/AP$8,"")</f>
        <v>233.81818181818181</v>
      </c>
      <c r="AQ10" s="90">
        <f t="shared" ref="AQ10:AR10" si="3">IFERROR(AQ9/AQ$8,"")</f>
        <v>193.30232558139534</v>
      </c>
      <c r="AR10" s="90">
        <f t="shared" si="3"/>
        <v>161.53191489361703</v>
      </c>
      <c r="AS10" s="90">
        <v>150.41666666666666</v>
      </c>
      <c r="AT10" s="90">
        <v>156.27272727272728</v>
      </c>
      <c r="AU10" s="90">
        <v>163</v>
      </c>
      <c r="AV10" s="90">
        <v>135.61904761904762</v>
      </c>
      <c r="AW10" s="90">
        <f t="shared" ref="AW10:AX10" si="4">IFERROR(AW9/AW$8,"")</f>
        <v>129.69565217391303</v>
      </c>
      <c r="AX10" s="90">
        <f t="shared" si="4"/>
        <v>181.91666666666666</v>
      </c>
      <c r="AY10" s="90">
        <v>167.15555555555557</v>
      </c>
      <c r="AZ10" s="90">
        <v>145.74358974358975</v>
      </c>
      <c r="BA10" s="90">
        <v>146.83333333333334</v>
      </c>
      <c r="BB10" s="90">
        <v>178.83333333333334</v>
      </c>
      <c r="BC10" s="90">
        <v>176.66666666666666</v>
      </c>
      <c r="BD10" s="90">
        <v>135.83333333333334</v>
      </c>
      <c r="BE10" s="90">
        <v>157.34693877551021</v>
      </c>
      <c r="BF10" s="90">
        <v>145.86956521739131</v>
      </c>
      <c r="BG10" s="90">
        <v>170.42857142857142</v>
      </c>
      <c r="BH10" s="90">
        <v>122</v>
      </c>
      <c r="BI10" s="90">
        <v>103.16666666666667</v>
      </c>
      <c r="BJ10" s="90">
        <v>133.67346938775509</v>
      </c>
      <c r="BK10" s="90">
        <v>110.04545454545455</v>
      </c>
      <c r="BL10" s="90">
        <v>118.95</v>
      </c>
      <c r="BM10" s="90">
        <v>108.60869565217391</v>
      </c>
      <c r="BN10" s="90">
        <v>90.170212765957444</v>
      </c>
      <c r="BO10" s="90">
        <v>76.304347826086953</v>
      </c>
      <c r="BP10" s="90"/>
      <c r="BQ10" s="90"/>
      <c r="BR10" s="90"/>
      <c r="BS10" s="90">
        <v>83.813953488372093</v>
      </c>
      <c r="BT10" s="90"/>
      <c r="BU10" s="90"/>
      <c r="BV10" s="90"/>
      <c r="BW10" s="78"/>
      <c r="BX10" s="114">
        <v>95.2</v>
      </c>
      <c r="BY10" s="113"/>
      <c r="BZ10" s="114">
        <v>97.111111111111114</v>
      </c>
      <c r="CA10" s="115">
        <v>93.63636363636364</v>
      </c>
      <c r="CB10" s="115"/>
      <c r="CC10" s="115"/>
      <c r="CD10" s="115"/>
      <c r="CE10" s="110"/>
      <c r="CF10" s="239"/>
      <c r="CG10" s="239"/>
      <c r="CH10" s="239"/>
      <c r="CI10" s="239"/>
      <c r="CJ10" s="239"/>
      <c r="CK10" s="239"/>
      <c r="CL10" s="239"/>
      <c r="CM10" s="239"/>
      <c r="CN10" s="239"/>
      <c r="CO10" s="239"/>
      <c r="CP10" s="239"/>
      <c r="CQ10" s="239"/>
      <c r="CR10" s="239"/>
      <c r="CS10" s="239"/>
      <c r="CT10" s="239"/>
      <c r="CU10" s="239"/>
      <c r="CV10" s="239"/>
      <c r="CW10" s="239"/>
      <c r="CX10" s="239"/>
      <c r="CY10" s="239"/>
      <c r="CZ10" s="239"/>
      <c r="DA10" s="239"/>
      <c r="DB10" s="239"/>
      <c r="DC10" s="239"/>
      <c r="DD10" s="239"/>
      <c r="DE10" s="239"/>
      <c r="DF10" s="239"/>
      <c r="DG10" s="230"/>
      <c r="DH10" s="230"/>
      <c r="DI10" s="230"/>
    </row>
    <row r="11" spans="2:114" ht="18.75" customHeight="1">
      <c r="B11" s="54"/>
      <c r="C11" s="71"/>
      <c r="D11" s="133" t="s">
        <v>71</v>
      </c>
      <c r="E11" s="57"/>
      <c r="F11" s="57"/>
      <c r="G11" s="57">
        <f>IF(COUNT(O9:Z9)&lt;12,"",G9-F9)</f>
        <v>33268</v>
      </c>
      <c r="H11" s="57">
        <f>IF(COUNT(AA9:AL9)&lt;12,"",H9-G9)</f>
        <v>2301</v>
      </c>
      <c r="I11" s="57">
        <f>IF(COUNT(AM9:AX9)&lt;12,"",I9-H9)</f>
        <v>9845</v>
      </c>
      <c r="J11" s="57">
        <v>-7341</v>
      </c>
      <c r="K11" s="57" t="str">
        <f>IF(COUNT(BK9:BV9)&lt;12,"",K9-I9)</f>
        <v/>
      </c>
      <c r="L11" s="69"/>
      <c r="M11" s="91"/>
      <c r="N11" s="91">
        <f>IF(N9="","",N9-M9)</f>
        <v>1377</v>
      </c>
      <c r="O11" s="91">
        <f t="shared" ref="O11:AL11" si="5">IF(O9="","",O9-N9)</f>
        <v>547</v>
      </c>
      <c r="P11" s="91">
        <f t="shared" si="5"/>
        <v>59</v>
      </c>
      <c r="Q11" s="91">
        <f t="shared" si="5"/>
        <v>677</v>
      </c>
      <c r="R11" s="91">
        <f t="shared" si="5"/>
        <v>-172</v>
      </c>
      <c r="S11" s="91">
        <f t="shared" si="5"/>
        <v>-128</v>
      </c>
      <c r="T11" s="91">
        <f t="shared" si="5"/>
        <v>209</v>
      </c>
      <c r="U11" s="91">
        <f t="shared" si="5"/>
        <v>426</v>
      </c>
      <c r="V11" s="91">
        <f t="shared" si="5"/>
        <v>235</v>
      </c>
      <c r="W11" s="91">
        <f t="shared" si="5"/>
        <v>-879</v>
      </c>
      <c r="X11" s="91">
        <f t="shared" si="5"/>
        <v>591</v>
      </c>
      <c r="Y11" s="91">
        <f t="shared" si="5"/>
        <v>-246</v>
      </c>
      <c r="Z11" s="91">
        <f t="shared" si="5"/>
        <v>-129</v>
      </c>
      <c r="AA11" s="91">
        <f t="shared" si="5"/>
        <v>317</v>
      </c>
      <c r="AB11" s="91">
        <f t="shared" si="5"/>
        <v>-448</v>
      </c>
      <c r="AC11" s="91">
        <f t="shared" si="5"/>
        <v>273</v>
      </c>
      <c r="AD11" s="91">
        <f t="shared" si="5"/>
        <v>505</v>
      </c>
      <c r="AE11" s="91">
        <f t="shared" si="5"/>
        <v>-618</v>
      </c>
      <c r="AF11" s="91">
        <f t="shared" si="5"/>
        <v>-298</v>
      </c>
      <c r="AG11" s="91">
        <f t="shared" si="5"/>
        <v>866</v>
      </c>
      <c r="AH11" s="91">
        <f t="shared" si="5"/>
        <v>-41</v>
      </c>
      <c r="AI11" s="91">
        <f t="shared" si="5"/>
        <v>-441</v>
      </c>
      <c r="AJ11" s="91">
        <f t="shared" si="5"/>
        <v>164</v>
      </c>
      <c r="AK11" s="91">
        <f t="shared" si="5"/>
        <v>-273</v>
      </c>
      <c r="AL11" s="91">
        <f t="shared" si="5"/>
        <v>-32</v>
      </c>
      <c r="AM11" s="91">
        <f>IF(AM9="","",AM9-Z9)</f>
        <v>170</v>
      </c>
      <c r="AN11" s="91">
        <f t="shared" ref="AN11:AX11" si="6">IF(AN9="","",AN9-AM9)</f>
        <v>932</v>
      </c>
      <c r="AO11" s="91">
        <f t="shared" si="6"/>
        <v>2177</v>
      </c>
      <c r="AP11" s="91">
        <f t="shared" si="6"/>
        <v>-1090</v>
      </c>
      <c r="AQ11" s="91">
        <f t="shared" si="6"/>
        <v>-988</v>
      </c>
      <c r="AR11" s="91">
        <f t="shared" si="6"/>
        <v>-360</v>
      </c>
      <c r="AS11" s="91">
        <f t="shared" si="6"/>
        <v>-186</v>
      </c>
      <c r="AT11" s="91">
        <f t="shared" si="6"/>
        <v>-172</v>
      </c>
      <c r="AU11" s="91">
        <f t="shared" si="6"/>
        <v>311</v>
      </c>
      <c r="AV11" s="91">
        <f t="shared" si="6"/>
        <v>-840</v>
      </c>
      <c r="AW11" s="91">
        <f t="shared" si="6"/>
        <v>74</v>
      </c>
      <c r="AX11" s="91">
        <f t="shared" si="6"/>
        <v>1383</v>
      </c>
      <c r="AY11" s="91">
        <v>-605</v>
      </c>
      <c r="AZ11" s="91">
        <v>-919</v>
      </c>
      <c r="BA11" s="91">
        <v>682</v>
      </c>
      <c r="BB11" s="91">
        <v>768</v>
      </c>
      <c r="BC11" s="91">
        <v>-847</v>
      </c>
      <c r="BD11" s="91">
        <v>-185</v>
      </c>
      <c r="BE11" s="91">
        <v>595</v>
      </c>
      <c r="BF11" s="91">
        <v>-500</v>
      </c>
      <c r="BG11" s="91">
        <v>224</v>
      </c>
      <c r="BH11" s="91">
        <v>-1017</v>
      </c>
      <c r="BI11" s="91"/>
      <c r="BJ11" s="91">
        <v>799</v>
      </c>
      <c r="BK11" s="91"/>
      <c r="BL11" s="91"/>
      <c r="BM11" s="91"/>
      <c r="BN11" s="91"/>
      <c r="BO11" s="91"/>
      <c r="BP11" s="91"/>
      <c r="BQ11" s="91"/>
      <c r="BR11" s="91"/>
      <c r="BS11" s="91"/>
      <c r="BT11" s="91"/>
      <c r="BU11" s="91"/>
      <c r="BV11" s="91"/>
      <c r="BW11" s="78"/>
      <c r="BX11" s="116"/>
      <c r="BY11" s="113"/>
      <c r="BZ11" s="116"/>
      <c r="CA11" s="116"/>
      <c r="CB11" s="116"/>
      <c r="CC11" s="116"/>
      <c r="CD11" s="116"/>
      <c r="CE11" s="110"/>
      <c r="CF11" s="240"/>
      <c r="CG11" s="240"/>
      <c r="CH11" s="240"/>
      <c r="CI11" s="240"/>
      <c r="CJ11" s="240"/>
      <c r="CK11" s="240"/>
      <c r="CL11" s="240"/>
      <c r="CM11" s="240"/>
      <c r="CN11" s="240"/>
      <c r="CO11" s="240"/>
      <c r="CP11" s="240"/>
      <c r="CQ11" s="240"/>
      <c r="CR11" s="240"/>
      <c r="CS11" s="240"/>
      <c r="CT11" s="240"/>
      <c r="CU11" s="240"/>
      <c r="CV11" s="240"/>
      <c r="CW11" s="240"/>
      <c r="CX11" s="240"/>
      <c r="CY11" s="240"/>
      <c r="CZ11" s="240"/>
      <c r="DA11" s="240"/>
      <c r="DB11" s="240"/>
      <c r="DC11" s="240"/>
      <c r="DD11" s="240"/>
      <c r="DE11" s="240"/>
      <c r="DF11" s="240"/>
      <c r="DG11" s="231"/>
      <c r="DH11" s="231"/>
      <c r="DI11" s="231"/>
    </row>
    <row r="12" spans="2:114" ht="18.75" customHeight="1">
      <c r="B12" s="52"/>
      <c r="C12" s="241" t="s">
        <v>63</v>
      </c>
      <c r="D12" s="134" t="s">
        <v>54</v>
      </c>
      <c r="E12" s="56">
        <v>272</v>
      </c>
      <c r="F12" s="56">
        <f>SUM(M12:N12)</f>
        <v>415</v>
      </c>
      <c r="G12" s="66">
        <f>SUM(O12:Z12)</f>
        <v>8298</v>
      </c>
      <c r="H12" s="66">
        <f>SUM(AA12:AL12)</f>
        <v>8188</v>
      </c>
      <c r="I12" s="66">
        <f>SUM(AM12:AX12)</f>
        <v>10040</v>
      </c>
      <c r="J12" s="66">
        <v>9671</v>
      </c>
      <c r="K12" s="66">
        <f>SUM(BK12:BV12)</f>
        <v>2693</v>
      </c>
      <c r="L12" s="65"/>
      <c r="M12" s="96">
        <v>76</v>
      </c>
      <c r="N12" s="96">
        <v>339</v>
      </c>
      <c r="O12" s="96">
        <v>534</v>
      </c>
      <c r="P12" s="96">
        <v>486</v>
      </c>
      <c r="Q12" s="96">
        <v>779</v>
      </c>
      <c r="R12" s="96">
        <v>668</v>
      </c>
      <c r="S12" s="96">
        <v>685</v>
      </c>
      <c r="T12" s="96">
        <v>675</v>
      </c>
      <c r="U12" s="96">
        <v>874</v>
      </c>
      <c r="V12" s="96">
        <v>958</v>
      </c>
      <c r="W12" s="96">
        <v>624</v>
      </c>
      <c r="X12" s="96">
        <v>704</v>
      </c>
      <c r="Y12" s="96">
        <v>624</v>
      </c>
      <c r="Z12" s="96">
        <v>687</v>
      </c>
      <c r="AA12" s="96">
        <v>784</v>
      </c>
      <c r="AB12" s="96">
        <v>603</v>
      </c>
      <c r="AC12" s="96">
        <v>666</v>
      </c>
      <c r="AD12" s="96">
        <v>841</v>
      </c>
      <c r="AE12" s="96">
        <v>642</v>
      </c>
      <c r="AF12" s="96">
        <v>561</v>
      </c>
      <c r="AG12" s="96">
        <v>720</v>
      </c>
      <c r="AH12" s="96">
        <v>793</v>
      </c>
      <c r="AI12" s="96">
        <v>641</v>
      </c>
      <c r="AJ12" s="96">
        <v>627</v>
      </c>
      <c r="AK12" s="96">
        <v>644</v>
      </c>
      <c r="AL12" s="96">
        <v>666</v>
      </c>
      <c r="AM12" s="96">
        <v>714</v>
      </c>
      <c r="AN12" s="96">
        <v>869</v>
      </c>
      <c r="AO12" s="96">
        <v>1355</v>
      </c>
      <c r="AP12" s="96">
        <v>1166</v>
      </c>
      <c r="AQ12" s="96">
        <v>853</v>
      </c>
      <c r="AR12" s="96">
        <v>761</v>
      </c>
      <c r="AS12" s="96">
        <v>715</v>
      </c>
      <c r="AT12" s="96">
        <v>749</v>
      </c>
      <c r="AU12" s="96">
        <v>756</v>
      </c>
      <c r="AV12" s="96">
        <v>562</v>
      </c>
      <c r="AW12" s="96">
        <v>608</v>
      </c>
      <c r="AX12" s="96">
        <v>932</v>
      </c>
      <c r="AY12" s="96">
        <v>834</v>
      </c>
      <c r="AZ12" s="96">
        <v>638</v>
      </c>
      <c r="BA12" s="96">
        <v>921</v>
      </c>
      <c r="BB12" s="96">
        <v>1078</v>
      </c>
      <c r="BC12" s="96">
        <v>901</v>
      </c>
      <c r="BD12" s="96">
        <v>783</v>
      </c>
      <c r="BE12" s="96">
        <v>925</v>
      </c>
      <c r="BF12" s="96">
        <v>817</v>
      </c>
      <c r="BG12" s="96">
        <v>866</v>
      </c>
      <c r="BH12" s="96">
        <v>658</v>
      </c>
      <c r="BI12" s="96">
        <v>539</v>
      </c>
      <c r="BJ12" s="96">
        <v>711</v>
      </c>
      <c r="BK12" s="96">
        <v>490</v>
      </c>
      <c r="BL12" s="96">
        <v>466</v>
      </c>
      <c r="BM12" s="96">
        <v>582</v>
      </c>
      <c r="BN12" s="96">
        <v>451</v>
      </c>
      <c r="BO12" s="96">
        <v>369</v>
      </c>
      <c r="BP12" s="96"/>
      <c r="BQ12" s="96"/>
      <c r="BR12" s="96"/>
      <c r="BS12" s="96">
        <v>335</v>
      </c>
      <c r="BT12" s="96"/>
      <c r="BU12" s="96"/>
      <c r="BV12" s="96"/>
      <c r="BX12" s="117">
        <v>209</v>
      </c>
      <c r="BY12" s="110"/>
      <c r="BZ12" s="117">
        <v>99</v>
      </c>
      <c r="CA12" s="117">
        <v>110</v>
      </c>
      <c r="CB12" s="117"/>
      <c r="CC12" s="117"/>
      <c r="CD12" s="128"/>
      <c r="CE12" s="110"/>
      <c r="CF12" s="235">
        <v>25</v>
      </c>
      <c r="CG12" s="235">
        <v>20</v>
      </c>
      <c r="CH12" s="235">
        <v>27</v>
      </c>
      <c r="CI12" s="235">
        <v>21</v>
      </c>
      <c r="CJ12" s="235">
        <v>6</v>
      </c>
      <c r="CK12" s="235" t="s">
        <v>82</v>
      </c>
      <c r="CL12" s="235">
        <v>25</v>
      </c>
      <c r="CM12" s="235">
        <v>17</v>
      </c>
      <c r="CN12" s="235">
        <v>19</v>
      </c>
      <c r="CO12" s="235">
        <v>21</v>
      </c>
      <c r="CP12" s="235">
        <v>21</v>
      </c>
      <c r="CQ12" s="235">
        <v>7</v>
      </c>
      <c r="CR12" s="235"/>
      <c r="CS12" s="235"/>
      <c r="CT12" s="235"/>
      <c r="CU12" s="235"/>
      <c r="CV12" s="235"/>
      <c r="CW12" s="235"/>
      <c r="CX12" s="235"/>
      <c r="CY12" s="235"/>
      <c r="CZ12" s="235"/>
      <c r="DA12" s="235"/>
      <c r="DB12" s="235"/>
      <c r="DC12" s="235"/>
      <c r="DD12" s="235"/>
      <c r="DE12" s="235"/>
      <c r="DF12" s="235"/>
      <c r="DG12" s="232"/>
      <c r="DH12" s="232"/>
      <c r="DI12" s="232"/>
    </row>
    <row r="13" spans="2:114" ht="18.75" customHeight="1">
      <c r="B13" s="52"/>
      <c r="C13" s="242"/>
      <c r="D13" s="135" t="s">
        <v>55</v>
      </c>
      <c r="E13" s="61">
        <v>15.111111111111111</v>
      </c>
      <c r="F13" s="61">
        <f>F12/COUNT(M12:N12)</f>
        <v>207.5</v>
      </c>
      <c r="G13" s="67">
        <f>G12/COUNT(O12:Z12)</f>
        <v>691.5</v>
      </c>
      <c r="H13" s="67">
        <f>H12/COUNT(AA12:AL12)</f>
        <v>682.33333333333337</v>
      </c>
      <c r="I13" s="67">
        <f>I12/COUNT(AM12:AX12)</f>
        <v>836.66666666666663</v>
      </c>
      <c r="J13" s="67">
        <v>805.91666666666663</v>
      </c>
      <c r="K13" s="67">
        <f>K12/COUNT(BK12:BV12)</f>
        <v>448.83333333333331</v>
      </c>
      <c r="L13" s="65"/>
      <c r="M13" s="72">
        <f t="shared" ref="M13:AN13" si="7">M12/M$8</f>
        <v>6.9090909090909092</v>
      </c>
      <c r="N13" s="72">
        <f>N12/N$8</f>
        <v>15.066666666666666</v>
      </c>
      <c r="O13" s="72">
        <f t="shared" si="7"/>
        <v>22.25</v>
      </c>
      <c r="P13" s="72">
        <f t="shared" si="7"/>
        <v>20.25</v>
      </c>
      <c r="Q13" s="72">
        <f t="shared" si="7"/>
        <v>33.148936170212764</v>
      </c>
      <c r="R13" s="72">
        <f>R12/R$8</f>
        <v>29.043478260869566</v>
      </c>
      <c r="S13" s="72">
        <f t="shared" si="7"/>
        <v>31.86046511627907</v>
      </c>
      <c r="T13" s="72">
        <f t="shared" si="7"/>
        <v>31.395348837209301</v>
      </c>
      <c r="U13" s="72">
        <f t="shared" si="7"/>
        <v>36.416666666666664</v>
      </c>
      <c r="V13" s="72">
        <f t="shared" si="7"/>
        <v>39.916666666666664</v>
      </c>
      <c r="W13" s="72">
        <f t="shared" si="7"/>
        <v>32</v>
      </c>
      <c r="X13" s="72">
        <f t="shared" si="7"/>
        <v>30.608695652173914</v>
      </c>
      <c r="Y13" s="72">
        <f t="shared" si="7"/>
        <v>26</v>
      </c>
      <c r="Z13" s="72">
        <f t="shared" si="7"/>
        <v>26.941176470588236</v>
      </c>
      <c r="AA13" s="72">
        <f t="shared" si="7"/>
        <v>32.666666666666664</v>
      </c>
      <c r="AB13" s="72">
        <f t="shared" si="7"/>
        <v>31.736842105263158</v>
      </c>
      <c r="AC13" s="72">
        <f t="shared" si="7"/>
        <v>28.340425531914892</v>
      </c>
      <c r="AD13" s="72">
        <f t="shared" si="7"/>
        <v>35.041666666666664</v>
      </c>
      <c r="AE13" s="72">
        <f t="shared" si="7"/>
        <v>26.75</v>
      </c>
      <c r="AF13" s="72">
        <f t="shared" si="7"/>
        <v>26.093023255813954</v>
      </c>
      <c r="AG13" s="72">
        <f t="shared" si="7"/>
        <v>28.8</v>
      </c>
      <c r="AH13" s="72">
        <f t="shared" si="7"/>
        <v>33.744680851063826</v>
      </c>
      <c r="AI13" s="72">
        <f t="shared" si="7"/>
        <v>31.26829268292683</v>
      </c>
      <c r="AJ13" s="72">
        <f t="shared" si="7"/>
        <v>25.591836734693878</v>
      </c>
      <c r="AK13" s="72">
        <f t="shared" si="7"/>
        <v>26.285714285714285</v>
      </c>
      <c r="AL13" s="72">
        <f t="shared" si="7"/>
        <v>28.956521739130434</v>
      </c>
      <c r="AM13" s="72">
        <f t="shared" si="7"/>
        <v>33.209302325581397</v>
      </c>
      <c r="AN13" s="72">
        <f t="shared" si="7"/>
        <v>38.62222222222222</v>
      </c>
      <c r="AO13" s="72">
        <f t="shared" ref="AO13:AR13" si="8">IFERROR(AO12/AO$8,"")</f>
        <v>56.458333333333336</v>
      </c>
      <c r="AP13" s="72">
        <f t="shared" si="8"/>
        <v>53</v>
      </c>
      <c r="AQ13" s="72">
        <f t="shared" si="8"/>
        <v>39.674418604651166</v>
      </c>
      <c r="AR13" s="72">
        <f t="shared" si="8"/>
        <v>32.382978723404257</v>
      </c>
      <c r="AS13" s="72">
        <v>29.791666666666668</v>
      </c>
      <c r="AT13" s="72">
        <v>34.045454545454547</v>
      </c>
      <c r="AU13" s="72">
        <v>32.869565217391305</v>
      </c>
      <c r="AV13" s="72">
        <v>26.761904761904763</v>
      </c>
      <c r="AW13" s="72">
        <f t="shared" ref="AW13:AX13" si="9">IFERROR(AW12/AW$8,"")</f>
        <v>26.434782608695652</v>
      </c>
      <c r="AX13" s="72">
        <f t="shared" si="9"/>
        <v>38.833333333333336</v>
      </c>
      <c r="AY13" s="72">
        <v>37.06666666666667</v>
      </c>
      <c r="AZ13" s="72">
        <v>32.717948717948715</v>
      </c>
      <c r="BA13" s="72">
        <v>38.375</v>
      </c>
      <c r="BB13" s="72">
        <v>44.916666666666664</v>
      </c>
      <c r="BC13" s="72">
        <v>46.205128205128204</v>
      </c>
      <c r="BD13" s="72">
        <v>32.625</v>
      </c>
      <c r="BE13" s="72">
        <v>37.755102040816325</v>
      </c>
      <c r="BF13" s="72">
        <v>35.521739130434781</v>
      </c>
      <c r="BG13" s="72">
        <v>41.238095238095241</v>
      </c>
      <c r="BH13" s="72">
        <v>31.333333333333332</v>
      </c>
      <c r="BI13" s="72">
        <v>22.458333333333332</v>
      </c>
      <c r="BJ13" s="72">
        <v>29.020408163265305</v>
      </c>
      <c r="BK13" s="72">
        <v>22.272727272727273</v>
      </c>
      <c r="BL13" s="72">
        <v>23.3</v>
      </c>
      <c r="BM13" s="72">
        <v>25.304347826086957</v>
      </c>
      <c r="BN13" s="72">
        <v>19.191489361702128</v>
      </c>
      <c r="BO13" s="72">
        <v>16.043478260869566</v>
      </c>
      <c r="BP13" s="72"/>
      <c r="BQ13" s="72"/>
      <c r="BR13" s="72"/>
      <c r="BS13" s="72">
        <v>15.581395348837209</v>
      </c>
      <c r="BT13" s="72"/>
      <c r="BU13" s="72"/>
      <c r="BV13" s="72"/>
      <c r="BX13" s="118">
        <v>20.9</v>
      </c>
      <c r="BY13" s="110"/>
      <c r="BZ13" s="118">
        <v>22</v>
      </c>
      <c r="CA13" s="119">
        <v>20</v>
      </c>
      <c r="CB13" s="119"/>
      <c r="CC13" s="119"/>
      <c r="CD13" s="129"/>
      <c r="CE13" s="110"/>
      <c r="CF13" s="236"/>
      <c r="CG13" s="236"/>
      <c r="CH13" s="236"/>
      <c r="CI13" s="236"/>
      <c r="CJ13" s="236"/>
      <c r="CK13" s="236"/>
      <c r="CL13" s="236"/>
      <c r="CM13" s="236"/>
      <c r="CN13" s="236"/>
      <c r="CO13" s="236"/>
      <c r="CP13" s="236"/>
      <c r="CQ13" s="236"/>
      <c r="CR13" s="236"/>
      <c r="CS13" s="236"/>
      <c r="CT13" s="236"/>
      <c r="CU13" s="236"/>
      <c r="CV13" s="236"/>
      <c r="CW13" s="236"/>
      <c r="CX13" s="236"/>
      <c r="CY13" s="236"/>
      <c r="CZ13" s="236"/>
      <c r="DA13" s="236"/>
      <c r="DB13" s="236"/>
      <c r="DC13" s="236"/>
      <c r="DD13" s="236"/>
      <c r="DE13" s="236"/>
      <c r="DF13" s="236"/>
      <c r="DG13" s="233"/>
      <c r="DH13" s="233"/>
      <c r="DI13" s="233"/>
    </row>
    <row r="14" spans="2:114" ht="18.75" customHeight="1">
      <c r="B14" s="53"/>
      <c r="C14" s="243"/>
      <c r="D14" s="136" t="s">
        <v>56</v>
      </c>
      <c r="E14" s="57"/>
      <c r="F14" s="57"/>
      <c r="G14" s="57">
        <f>G12-F12</f>
        <v>7883</v>
      </c>
      <c r="H14" s="57">
        <f>H12-G12</f>
        <v>-110</v>
      </c>
      <c r="I14" s="57">
        <f>I12-H12</f>
        <v>1852</v>
      </c>
      <c r="J14" s="57">
        <v>-369</v>
      </c>
      <c r="K14" s="57">
        <f>K12-I12</f>
        <v>-7347</v>
      </c>
      <c r="L14" s="69"/>
      <c r="M14" s="58"/>
      <c r="N14" s="58">
        <f>IF(N12="","",N12-M12)</f>
        <v>263</v>
      </c>
      <c r="O14" s="58">
        <f t="shared" ref="O14:AL14" si="10">IF(O12="","",O12-N12)</f>
        <v>195</v>
      </c>
      <c r="P14" s="58">
        <f t="shared" si="10"/>
        <v>-48</v>
      </c>
      <c r="Q14" s="58">
        <f t="shared" si="10"/>
        <v>293</v>
      </c>
      <c r="R14" s="58">
        <f t="shared" si="10"/>
        <v>-111</v>
      </c>
      <c r="S14" s="58">
        <f t="shared" si="10"/>
        <v>17</v>
      </c>
      <c r="T14" s="58">
        <f t="shared" si="10"/>
        <v>-10</v>
      </c>
      <c r="U14" s="58">
        <f t="shared" si="10"/>
        <v>199</v>
      </c>
      <c r="V14" s="58">
        <f t="shared" si="10"/>
        <v>84</v>
      </c>
      <c r="W14" s="58">
        <f t="shared" si="10"/>
        <v>-334</v>
      </c>
      <c r="X14" s="58">
        <f t="shared" si="10"/>
        <v>80</v>
      </c>
      <c r="Y14" s="58">
        <f t="shared" si="10"/>
        <v>-80</v>
      </c>
      <c r="Z14" s="58">
        <f t="shared" si="10"/>
        <v>63</v>
      </c>
      <c r="AA14" s="58">
        <f t="shared" si="10"/>
        <v>97</v>
      </c>
      <c r="AB14" s="58">
        <f t="shared" si="10"/>
        <v>-181</v>
      </c>
      <c r="AC14" s="58">
        <f t="shared" si="10"/>
        <v>63</v>
      </c>
      <c r="AD14" s="58">
        <f t="shared" si="10"/>
        <v>175</v>
      </c>
      <c r="AE14" s="58">
        <f t="shared" si="10"/>
        <v>-199</v>
      </c>
      <c r="AF14" s="58">
        <f t="shared" si="10"/>
        <v>-81</v>
      </c>
      <c r="AG14" s="58">
        <f t="shared" si="10"/>
        <v>159</v>
      </c>
      <c r="AH14" s="58">
        <f t="shared" si="10"/>
        <v>73</v>
      </c>
      <c r="AI14" s="58">
        <f t="shared" si="10"/>
        <v>-152</v>
      </c>
      <c r="AJ14" s="58">
        <f t="shared" si="10"/>
        <v>-14</v>
      </c>
      <c r="AK14" s="58">
        <f t="shared" si="10"/>
        <v>17</v>
      </c>
      <c r="AL14" s="58">
        <f t="shared" si="10"/>
        <v>22</v>
      </c>
      <c r="AM14" s="58">
        <f>IF(AM12="","",AM12-Z12)</f>
        <v>27</v>
      </c>
      <c r="AN14" s="58">
        <f t="shared" ref="AN14:AX14" si="11">IF(AN12="","",AN12-AM12)</f>
        <v>155</v>
      </c>
      <c r="AO14" s="58">
        <f t="shared" si="11"/>
        <v>486</v>
      </c>
      <c r="AP14" s="58">
        <f t="shared" si="11"/>
        <v>-189</v>
      </c>
      <c r="AQ14" s="58">
        <f t="shared" si="11"/>
        <v>-313</v>
      </c>
      <c r="AR14" s="58">
        <f t="shared" si="11"/>
        <v>-92</v>
      </c>
      <c r="AS14" s="58">
        <f t="shared" si="11"/>
        <v>-46</v>
      </c>
      <c r="AT14" s="58">
        <f t="shared" si="11"/>
        <v>34</v>
      </c>
      <c r="AU14" s="58">
        <f t="shared" si="11"/>
        <v>7</v>
      </c>
      <c r="AV14" s="58">
        <f t="shared" si="11"/>
        <v>-194</v>
      </c>
      <c r="AW14" s="58">
        <f t="shared" si="11"/>
        <v>46</v>
      </c>
      <c r="AX14" s="58">
        <f t="shared" si="11"/>
        <v>324</v>
      </c>
      <c r="AY14" s="58">
        <v>-98</v>
      </c>
      <c r="AZ14" s="58">
        <v>-196</v>
      </c>
      <c r="BA14" s="58">
        <v>283</v>
      </c>
      <c r="BB14" s="58">
        <v>157</v>
      </c>
      <c r="BC14" s="58">
        <v>-177</v>
      </c>
      <c r="BD14" s="58">
        <v>-118</v>
      </c>
      <c r="BE14" s="58">
        <v>142</v>
      </c>
      <c r="BF14" s="58">
        <v>-108</v>
      </c>
      <c r="BG14" s="58">
        <v>49</v>
      </c>
      <c r="BH14" s="58">
        <v>-208</v>
      </c>
      <c r="BI14" s="58"/>
      <c r="BJ14" s="58">
        <v>172</v>
      </c>
      <c r="BK14" s="58"/>
      <c r="BL14" s="58"/>
      <c r="BM14" s="58"/>
      <c r="BN14" s="58"/>
      <c r="BO14" s="58"/>
      <c r="BP14" s="58"/>
      <c r="BQ14" s="58"/>
      <c r="BR14" s="58"/>
      <c r="BS14" s="58"/>
      <c r="BT14" s="58"/>
      <c r="BU14" s="58"/>
      <c r="BV14" s="58"/>
      <c r="BX14" s="120"/>
      <c r="BY14" s="110"/>
      <c r="BZ14" s="120"/>
      <c r="CA14" s="120"/>
      <c r="CB14" s="120"/>
      <c r="CC14" s="120"/>
      <c r="CD14" s="130"/>
      <c r="CE14" s="110"/>
      <c r="CF14" s="237"/>
      <c r="CG14" s="237"/>
      <c r="CH14" s="237"/>
      <c r="CI14" s="237"/>
      <c r="CJ14" s="237"/>
      <c r="CK14" s="237"/>
      <c r="CL14" s="237"/>
      <c r="CM14" s="237"/>
      <c r="CN14" s="237"/>
      <c r="CO14" s="237"/>
      <c r="CP14" s="237"/>
      <c r="CQ14" s="237"/>
      <c r="CR14" s="237"/>
      <c r="CS14" s="237"/>
      <c r="CT14" s="237"/>
      <c r="CU14" s="237"/>
      <c r="CV14" s="237"/>
      <c r="CW14" s="237"/>
      <c r="CX14" s="237"/>
      <c r="CY14" s="237"/>
      <c r="CZ14" s="237"/>
      <c r="DA14" s="237"/>
      <c r="DB14" s="237"/>
      <c r="DC14" s="237"/>
      <c r="DD14" s="237"/>
      <c r="DE14" s="237"/>
      <c r="DF14" s="237"/>
      <c r="DG14" s="234"/>
      <c r="DH14" s="234"/>
      <c r="DI14" s="234"/>
    </row>
    <row r="15" spans="2:114" ht="18.75" customHeight="1">
      <c r="B15" s="52"/>
      <c r="C15" s="241" t="s">
        <v>72</v>
      </c>
      <c r="D15" s="134" t="s">
        <v>54</v>
      </c>
      <c r="E15" s="56">
        <v>269</v>
      </c>
      <c r="F15" s="56">
        <f>SUM(M15:N15)</f>
        <v>270</v>
      </c>
      <c r="G15" s="66">
        <f>SUM(O15:Z15)</f>
        <v>6828</v>
      </c>
      <c r="H15" s="66">
        <f>SUM(AA15:AL15)</f>
        <v>7105</v>
      </c>
      <c r="I15" s="66">
        <f>SUM(AM15:AX15)</f>
        <v>8984</v>
      </c>
      <c r="J15" s="66">
        <v>6040</v>
      </c>
      <c r="K15" s="66">
        <f>SUM(BK15:BV15)</f>
        <v>2479</v>
      </c>
      <c r="L15" s="65"/>
      <c r="M15" s="96">
        <v>40</v>
      </c>
      <c r="N15" s="96">
        <v>230</v>
      </c>
      <c r="O15" s="96">
        <v>374</v>
      </c>
      <c r="P15" s="96">
        <v>506</v>
      </c>
      <c r="Q15" s="96">
        <v>555</v>
      </c>
      <c r="R15" s="96">
        <v>546</v>
      </c>
      <c r="S15" s="96">
        <v>494</v>
      </c>
      <c r="T15" s="96">
        <v>581</v>
      </c>
      <c r="U15" s="96">
        <v>595</v>
      </c>
      <c r="V15" s="96">
        <v>663</v>
      </c>
      <c r="W15" s="96">
        <v>529</v>
      </c>
      <c r="X15" s="96">
        <v>734</v>
      </c>
      <c r="Y15" s="96">
        <v>662</v>
      </c>
      <c r="Z15" s="96">
        <v>589</v>
      </c>
      <c r="AA15" s="96">
        <v>635</v>
      </c>
      <c r="AB15" s="96">
        <v>548</v>
      </c>
      <c r="AC15" s="96">
        <v>568</v>
      </c>
      <c r="AD15" s="96">
        <v>639</v>
      </c>
      <c r="AE15" s="96">
        <v>604</v>
      </c>
      <c r="AF15" s="96">
        <v>525</v>
      </c>
      <c r="AG15" s="96">
        <v>686</v>
      </c>
      <c r="AH15" s="96">
        <v>710</v>
      </c>
      <c r="AI15" s="96">
        <v>594</v>
      </c>
      <c r="AJ15" s="96">
        <v>561</v>
      </c>
      <c r="AK15" s="96">
        <v>483</v>
      </c>
      <c r="AL15" s="96">
        <v>552</v>
      </c>
      <c r="AM15" s="96">
        <v>536</v>
      </c>
      <c r="AN15" s="96">
        <v>770</v>
      </c>
      <c r="AO15" s="96">
        <v>1126</v>
      </c>
      <c r="AP15" s="96">
        <v>962</v>
      </c>
      <c r="AQ15" s="96">
        <v>835</v>
      </c>
      <c r="AR15" s="96">
        <v>746</v>
      </c>
      <c r="AS15" s="96">
        <v>699</v>
      </c>
      <c r="AT15" s="96">
        <v>655</v>
      </c>
      <c r="AU15" s="96">
        <v>766</v>
      </c>
      <c r="AV15" s="96">
        <v>566</v>
      </c>
      <c r="AW15" s="96">
        <v>550</v>
      </c>
      <c r="AX15" s="96">
        <v>773</v>
      </c>
      <c r="AY15" s="96">
        <v>652</v>
      </c>
      <c r="AZ15" s="96">
        <v>418</v>
      </c>
      <c r="BA15" s="96">
        <v>484</v>
      </c>
      <c r="BB15" s="96">
        <v>566</v>
      </c>
      <c r="BC15" s="96">
        <v>422</v>
      </c>
      <c r="BD15" s="96">
        <v>398</v>
      </c>
      <c r="BE15" s="96">
        <v>514</v>
      </c>
      <c r="BF15" s="96">
        <v>542</v>
      </c>
      <c r="BG15" s="96">
        <v>589</v>
      </c>
      <c r="BH15" s="96">
        <v>380</v>
      </c>
      <c r="BI15" s="96">
        <v>458</v>
      </c>
      <c r="BJ15" s="96">
        <v>617</v>
      </c>
      <c r="BK15" s="96">
        <v>466</v>
      </c>
      <c r="BL15" s="96">
        <v>465</v>
      </c>
      <c r="BM15" s="96">
        <v>481</v>
      </c>
      <c r="BN15" s="96">
        <v>388</v>
      </c>
      <c r="BO15" s="96">
        <v>341</v>
      </c>
      <c r="BP15" s="96"/>
      <c r="BQ15" s="96"/>
      <c r="BR15" s="96"/>
      <c r="BS15" s="96">
        <v>338</v>
      </c>
      <c r="BT15" s="96"/>
      <c r="BU15" s="96"/>
      <c r="BV15" s="96"/>
      <c r="BX15" s="117">
        <v>180</v>
      </c>
      <c r="BY15" s="110"/>
      <c r="BZ15" s="117">
        <v>91</v>
      </c>
      <c r="CA15" s="117">
        <v>89</v>
      </c>
      <c r="CB15" s="117"/>
      <c r="CC15" s="117"/>
      <c r="CD15" s="117"/>
      <c r="CE15" s="110"/>
      <c r="CF15" s="235">
        <v>18</v>
      </c>
      <c r="CG15" s="235">
        <v>23</v>
      </c>
      <c r="CH15" s="235">
        <v>17</v>
      </c>
      <c r="CI15" s="235">
        <v>26</v>
      </c>
      <c r="CJ15" s="235">
        <v>7</v>
      </c>
      <c r="CK15" s="235" t="s">
        <v>82</v>
      </c>
      <c r="CL15" s="235">
        <v>17</v>
      </c>
      <c r="CM15" s="235">
        <v>17</v>
      </c>
      <c r="CN15" s="235">
        <v>19</v>
      </c>
      <c r="CO15" s="235">
        <v>18</v>
      </c>
      <c r="CP15" s="235">
        <v>14</v>
      </c>
      <c r="CQ15" s="235">
        <v>4</v>
      </c>
      <c r="CR15" s="235"/>
      <c r="CS15" s="235"/>
      <c r="CT15" s="235"/>
      <c r="CU15" s="235"/>
      <c r="CV15" s="235"/>
      <c r="CW15" s="235"/>
      <c r="CX15" s="235"/>
      <c r="CY15" s="235"/>
      <c r="CZ15" s="235"/>
      <c r="DA15" s="235"/>
      <c r="DB15" s="235"/>
      <c r="DC15" s="235"/>
      <c r="DD15" s="235"/>
      <c r="DE15" s="235"/>
      <c r="DF15" s="235"/>
      <c r="DG15" s="232"/>
      <c r="DH15" s="232"/>
      <c r="DI15" s="232"/>
    </row>
    <row r="16" spans="2:114" ht="18.75" customHeight="1">
      <c r="B16" s="52"/>
      <c r="C16" s="242"/>
      <c r="D16" s="135" t="s">
        <v>55</v>
      </c>
      <c r="E16" s="61">
        <v>14.944444444444445</v>
      </c>
      <c r="F16" s="61">
        <f>F15/COUNT(M15:N15)</f>
        <v>135</v>
      </c>
      <c r="G16" s="67">
        <f>G15/COUNT(O15:Z15)</f>
        <v>569</v>
      </c>
      <c r="H16" s="67">
        <f>H15/COUNT(AA15:AL15)</f>
        <v>592.08333333333337</v>
      </c>
      <c r="I16" s="67">
        <f>I15/COUNT(AM15:AX15)</f>
        <v>748.66666666666663</v>
      </c>
      <c r="J16" s="67">
        <v>503.33333333333331</v>
      </c>
      <c r="K16" s="67">
        <f>K15/COUNT(BK15:BV15)</f>
        <v>413.16666666666669</v>
      </c>
      <c r="L16" s="65"/>
      <c r="M16" s="72">
        <f t="shared" ref="M16:AN16" si="12">M15/M$8</f>
        <v>3.6363636363636362</v>
      </c>
      <c r="N16" s="72">
        <f t="shared" si="12"/>
        <v>10.222222222222221</v>
      </c>
      <c r="O16" s="72">
        <f t="shared" si="12"/>
        <v>15.583333333333334</v>
      </c>
      <c r="P16" s="72">
        <f t="shared" si="12"/>
        <v>21.083333333333332</v>
      </c>
      <c r="Q16" s="72">
        <f t="shared" si="12"/>
        <v>23.617021276595743</v>
      </c>
      <c r="R16" s="72">
        <f t="shared" si="12"/>
        <v>23.739130434782609</v>
      </c>
      <c r="S16" s="72">
        <f t="shared" si="12"/>
        <v>22.976744186046513</v>
      </c>
      <c r="T16" s="72">
        <f t="shared" si="12"/>
        <v>27.023255813953487</v>
      </c>
      <c r="U16" s="72">
        <f t="shared" si="12"/>
        <v>24.791666666666668</v>
      </c>
      <c r="V16" s="72">
        <f t="shared" si="12"/>
        <v>27.625</v>
      </c>
      <c r="W16" s="72">
        <f t="shared" si="12"/>
        <v>27.128205128205128</v>
      </c>
      <c r="X16" s="72">
        <f t="shared" si="12"/>
        <v>31.913043478260871</v>
      </c>
      <c r="Y16" s="72">
        <f t="shared" si="12"/>
        <v>27.583333333333332</v>
      </c>
      <c r="Z16" s="72">
        <f t="shared" si="12"/>
        <v>23.098039215686274</v>
      </c>
      <c r="AA16" s="72">
        <f t="shared" si="12"/>
        <v>26.458333333333332</v>
      </c>
      <c r="AB16" s="72">
        <f t="shared" si="12"/>
        <v>28.842105263157894</v>
      </c>
      <c r="AC16" s="72">
        <f t="shared" si="12"/>
        <v>24.170212765957448</v>
      </c>
      <c r="AD16" s="72">
        <f t="shared" si="12"/>
        <v>26.625</v>
      </c>
      <c r="AE16" s="72">
        <f t="shared" si="12"/>
        <v>25.166666666666668</v>
      </c>
      <c r="AF16" s="72">
        <f t="shared" si="12"/>
        <v>24.418604651162791</v>
      </c>
      <c r="AG16" s="72">
        <f t="shared" si="12"/>
        <v>27.44</v>
      </c>
      <c r="AH16" s="72">
        <f t="shared" si="12"/>
        <v>30.212765957446809</v>
      </c>
      <c r="AI16" s="72">
        <f t="shared" si="12"/>
        <v>28.975609756097562</v>
      </c>
      <c r="AJ16" s="72">
        <f t="shared" si="12"/>
        <v>22.897959183673468</v>
      </c>
      <c r="AK16" s="72">
        <f t="shared" si="12"/>
        <v>19.714285714285715</v>
      </c>
      <c r="AL16" s="72">
        <f t="shared" si="12"/>
        <v>24</v>
      </c>
      <c r="AM16" s="72">
        <f t="shared" si="12"/>
        <v>24.930232558139537</v>
      </c>
      <c r="AN16" s="72">
        <f t="shared" si="12"/>
        <v>34.222222222222221</v>
      </c>
      <c r="AO16" s="72">
        <f t="shared" ref="AO16:AR16" si="13">IFERROR(AO15/AO$8,"")</f>
        <v>46.916666666666664</v>
      </c>
      <c r="AP16" s="72">
        <f t="shared" si="13"/>
        <v>43.727272727272727</v>
      </c>
      <c r="AQ16" s="72">
        <f t="shared" si="13"/>
        <v>38.837209302325583</v>
      </c>
      <c r="AR16" s="72">
        <f t="shared" si="13"/>
        <v>31.74468085106383</v>
      </c>
      <c r="AS16" s="72">
        <v>29.125</v>
      </c>
      <c r="AT16" s="72">
        <v>29.772727272727273</v>
      </c>
      <c r="AU16" s="72">
        <v>33.304347826086953</v>
      </c>
      <c r="AV16" s="72">
        <v>26.952380952380953</v>
      </c>
      <c r="AW16" s="72">
        <f t="shared" ref="AW16:AX16" si="14">IFERROR(AW15/AW$8,"")</f>
        <v>23.913043478260871</v>
      </c>
      <c r="AX16" s="72">
        <f t="shared" si="14"/>
        <v>32.208333333333336</v>
      </c>
      <c r="AY16" s="72">
        <v>28.977777777777778</v>
      </c>
      <c r="AZ16" s="72">
        <v>21.435897435897434</v>
      </c>
      <c r="BA16" s="72">
        <v>20.166666666666668</v>
      </c>
      <c r="BB16" s="72">
        <v>23.583333333333332</v>
      </c>
      <c r="BC16" s="72">
        <v>21.641025641025642</v>
      </c>
      <c r="BD16" s="72">
        <v>16.583333333333332</v>
      </c>
      <c r="BE16" s="72">
        <v>20.979591836734695</v>
      </c>
      <c r="BF16" s="72">
        <v>23.565217391304348</v>
      </c>
      <c r="BG16" s="72">
        <v>28.047619047619047</v>
      </c>
      <c r="BH16" s="72">
        <v>18.095238095238095</v>
      </c>
      <c r="BI16" s="72">
        <v>19.083333333333332</v>
      </c>
      <c r="BJ16" s="72">
        <v>25.183673469387756</v>
      </c>
      <c r="BK16" s="72">
        <v>21.181818181818183</v>
      </c>
      <c r="BL16" s="72">
        <v>23.25</v>
      </c>
      <c r="BM16" s="72">
        <v>20.913043478260871</v>
      </c>
      <c r="BN16" s="72">
        <v>16.51063829787234</v>
      </c>
      <c r="BO16" s="72">
        <v>14.826086956521738</v>
      </c>
      <c r="BP16" s="72"/>
      <c r="BQ16" s="72"/>
      <c r="BR16" s="72"/>
      <c r="BS16" s="72">
        <v>15.720930232558139</v>
      </c>
      <c r="BT16" s="72"/>
      <c r="BU16" s="72"/>
      <c r="BV16" s="72"/>
      <c r="BX16" s="118">
        <v>18</v>
      </c>
      <c r="BY16" s="110"/>
      <c r="BZ16" s="118">
        <v>20.222222222222221</v>
      </c>
      <c r="CA16" s="119">
        <v>16.181818181818183</v>
      </c>
      <c r="CB16" s="119"/>
      <c r="CC16" s="119"/>
      <c r="CD16" s="119"/>
      <c r="CE16" s="110"/>
      <c r="CF16" s="236"/>
      <c r="CG16" s="236"/>
      <c r="CH16" s="236"/>
      <c r="CI16" s="236"/>
      <c r="CJ16" s="236"/>
      <c r="CK16" s="236"/>
      <c r="CL16" s="236"/>
      <c r="CM16" s="236"/>
      <c r="CN16" s="236"/>
      <c r="CO16" s="236"/>
      <c r="CP16" s="236"/>
      <c r="CQ16" s="236"/>
      <c r="CR16" s="236"/>
      <c r="CS16" s="236"/>
      <c r="CT16" s="236"/>
      <c r="CU16" s="236"/>
      <c r="CV16" s="236"/>
      <c r="CW16" s="236"/>
      <c r="CX16" s="236"/>
      <c r="CY16" s="236"/>
      <c r="CZ16" s="236"/>
      <c r="DA16" s="236"/>
      <c r="DB16" s="236"/>
      <c r="DC16" s="236"/>
      <c r="DD16" s="236"/>
      <c r="DE16" s="236"/>
      <c r="DF16" s="236"/>
      <c r="DG16" s="233"/>
      <c r="DH16" s="233"/>
      <c r="DI16" s="233"/>
    </row>
    <row r="17" spans="2:116" ht="18.75" customHeight="1">
      <c r="B17" s="53"/>
      <c r="C17" s="243"/>
      <c r="D17" s="136" t="s">
        <v>56</v>
      </c>
      <c r="E17" s="57"/>
      <c r="F17" s="57"/>
      <c r="G17" s="57">
        <f>G15-F15</f>
        <v>6558</v>
      </c>
      <c r="H17" s="57">
        <f>H15-G15</f>
        <v>277</v>
      </c>
      <c r="I17" s="57">
        <f>I15-H15</f>
        <v>1879</v>
      </c>
      <c r="J17" s="57">
        <v>-2944</v>
      </c>
      <c r="K17" s="57">
        <f t="shared" ref="K17" si="15">K15-I15</f>
        <v>-6505</v>
      </c>
      <c r="L17" s="69"/>
      <c r="M17" s="58"/>
      <c r="N17" s="58">
        <f>IF(N15="","",N15-M15)</f>
        <v>190</v>
      </c>
      <c r="O17" s="58">
        <f t="shared" ref="O17:AL17" si="16">IF(O15="","",O15-N15)</f>
        <v>144</v>
      </c>
      <c r="P17" s="58">
        <f t="shared" si="16"/>
        <v>132</v>
      </c>
      <c r="Q17" s="58">
        <f t="shared" si="16"/>
        <v>49</v>
      </c>
      <c r="R17" s="58">
        <f t="shared" si="16"/>
        <v>-9</v>
      </c>
      <c r="S17" s="58">
        <f t="shared" si="16"/>
        <v>-52</v>
      </c>
      <c r="T17" s="58">
        <f t="shared" si="16"/>
        <v>87</v>
      </c>
      <c r="U17" s="58">
        <f t="shared" si="16"/>
        <v>14</v>
      </c>
      <c r="V17" s="58">
        <f t="shared" si="16"/>
        <v>68</v>
      </c>
      <c r="W17" s="58">
        <f t="shared" si="16"/>
        <v>-134</v>
      </c>
      <c r="X17" s="58">
        <f t="shared" si="16"/>
        <v>205</v>
      </c>
      <c r="Y17" s="58">
        <f t="shared" si="16"/>
        <v>-72</v>
      </c>
      <c r="Z17" s="58">
        <f t="shared" si="16"/>
        <v>-73</v>
      </c>
      <c r="AA17" s="58">
        <f t="shared" si="16"/>
        <v>46</v>
      </c>
      <c r="AB17" s="58">
        <f t="shared" si="16"/>
        <v>-87</v>
      </c>
      <c r="AC17" s="58">
        <f t="shared" si="16"/>
        <v>20</v>
      </c>
      <c r="AD17" s="58">
        <f t="shared" si="16"/>
        <v>71</v>
      </c>
      <c r="AE17" s="58">
        <f t="shared" si="16"/>
        <v>-35</v>
      </c>
      <c r="AF17" s="58">
        <f t="shared" si="16"/>
        <v>-79</v>
      </c>
      <c r="AG17" s="58">
        <f t="shared" si="16"/>
        <v>161</v>
      </c>
      <c r="AH17" s="58">
        <f t="shared" si="16"/>
        <v>24</v>
      </c>
      <c r="AI17" s="58">
        <f t="shared" si="16"/>
        <v>-116</v>
      </c>
      <c r="AJ17" s="58">
        <f t="shared" si="16"/>
        <v>-33</v>
      </c>
      <c r="AK17" s="58">
        <f t="shared" si="16"/>
        <v>-78</v>
      </c>
      <c r="AL17" s="58">
        <f t="shared" si="16"/>
        <v>69</v>
      </c>
      <c r="AM17" s="58">
        <f>IF(AM15="","",AM15-Z15)</f>
        <v>-53</v>
      </c>
      <c r="AN17" s="58">
        <f t="shared" ref="AN17:AX17" si="17">IF(AN15="","",AN15-AM15)</f>
        <v>234</v>
      </c>
      <c r="AO17" s="58">
        <f t="shared" si="17"/>
        <v>356</v>
      </c>
      <c r="AP17" s="58">
        <f t="shared" si="17"/>
        <v>-164</v>
      </c>
      <c r="AQ17" s="58">
        <f t="shared" si="17"/>
        <v>-127</v>
      </c>
      <c r="AR17" s="58">
        <f t="shared" si="17"/>
        <v>-89</v>
      </c>
      <c r="AS17" s="58">
        <f t="shared" si="17"/>
        <v>-47</v>
      </c>
      <c r="AT17" s="58">
        <f t="shared" si="17"/>
        <v>-44</v>
      </c>
      <c r="AU17" s="58">
        <f t="shared" si="17"/>
        <v>111</v>
      </c>
      <c r="AV17" s="58">
        <f t="shared" si="17"/>
        <v>-200</v>
      </c>
      <c r="AW17" s="58">
        <f t="shared" si="17"/>
        <v>-16</v>
      </c>
      <c r="AX17" s="58">
        <f t="shared" si="17"/>
        <v>223</v>
      </c>
      <c r="AY17" s="58">
        <v>-121</v>
      </c>
      <c r="AZ17" s="58">
        <v>-234</v>
      </c>
      <c r="BA17" s="58">
        <v>66</v>
      </c>
      <c r="BB17" s="58">
        <v>82</v>
      </c>
      <c r="BC17" s="58">
        <v>-144</v>
      </c>
      <c r="BD17" s="58">
        <v>-24</v>
      </c>
      <c r="BE17" s="58">
        <v>116</v>
      </c>
      <c r="BF17" s="58">
        <v>28</v>
      </c>
      <c r="BG17" s="58">
        <v>47</v>
      </c>
      <c r="BH17" s="58">
        <v>-209</v>
      </c>
      <c r="BI17" s="58"/>
      <c r="BJ17" s="58">
        <v>159</v>
      </c>
      <c r="BK17" s="58"/>
      <c r="BL17" s="58"/>
      <c r="BM17" s="58"/>
      <c r="BN17" s="58"/>
      <c r="BO17" s="58"/>
      <c r="BP17" s="58"/>
      <c r="BQ17" s="58"/>
      <c r="BR17" s="58"/>
      <c r="BS17" s="58"/>
      <c r="BT17" s="58"/>
      <c r="BU17" s="58"/>
      <c r="BV17" s="58"/>
      <c r="BX17" s="120"/>
      <c r="BY17" s="110"/>
      <c r="BZ17" s="120"/>
      <c r="CA17" s="120"/>
      <c r="CB17" s="120"/>
      <c r="CC17" s="120"/>
      <c r="CD17" s="120"/>
      <c r="CE17" s="110"/>
      <c r="CF17" s="237"/>
      <c r="CG17" s="237"/>
      <c r="CH17" s="237"/>
      <c r="CI17" s="237"/>
      <c r="CJ17" s="237"/>
      <c r="CK17" s="237"/>
      <c r="CL17" s="237"/>
      <c r="CM17" s="237"/>
      <c r="CN17" s="237"/>
      <c r="CO17" s="237"/>
      <c r="CP17" s="237"/>
      <c r="CQ17" s="237"/>
      <c r="CR17" s="237"/>
      <c r="CS17" s="237"/>
      <c r="CT17" s="237"/>
      <c r="CU17" s="237"/>
      <c r="CV17" s="237"/>
      <c r="CW17" s="237"/>
      <c r="CX17" s="237"/>
      <c r="CY17" s="237"/>
      <c r="CZ17" s="237"/>
      <c r="DA17" s="237"/>
      <c r="DB17" s="237"/>
      <c r="DC17" s="237"/>
      <c r="DD17" s="237"/>
      <c r="DE17" s="237"/>
      <c r="DF17" s="237"/>
      <c r="DG17" s="234"/>
      <c r="DH17" s="234"/>
      <c r="DI17" s="234"/>
    </row>
    <row r="18" spans="2:116" ht="18.75" customHeight="1">
      <c r="B18" s="53"/>
      <c r="C18" s="241" t="s">
        <v>73</v>
      </c>
      <c r="D18" s="134" t="s">
        <v>54</v>
      </c>
      <c r="E18" s="56">
        <v>240</v>
      </c>
      <c r="F18" s="56">
        <f>SUM(M18:N18)</f>
        <v>462</v>
      </c>
      <c r="G18" s="66">
        <f>SUM(O18:Z18)</f>
        <v>6620</v>
      </c>
      <c r="H18" s="66">
        <f>SUM(AA18:AL18)</f>
        <v>6552</v>
      </c>
      <c r="I18" s="66">
        <f>SUM(AM18:AX18)</f>
        <v>8742</v>
      </c>
      <c r="J18" s="66">
        <v>6987</v>
      </c>
      <c r="K18" s="66">
        <f>SUM(BK18:BV18)</f>
        <v>2219</v>
      </c>
      <c r="L18" s="65"/>
      <c r="M18" s="96">
        <v>87</v>
      </c>
      <c r="N18" s="96">
        <v>375</v>
      </c>
      <c r="O18" s="96">
        <v>484</v>
      </c>
      <c r="P18" s="96">
        <v>479</v>
      </c>
      <c r="Q18" s="96">
        <v>507</v>
      </c>
      <c r="R18" s="96">
        <v>557</v>
      </c>
      <c r="S18" s="96">
        <v>571</v>
      </c>
      <c r="T18" s="96">
        <v>478</v>
      </c>
      <c r="U18" s="96">
        <v>617</v>
      </c>
      <c r="V18" s="96">
        <v>639</v>
      </c>
      <c r="W18" s="96">
        <v>534</v>
      </c>
      <c r="X18" s="96">
        <v>630</v>
      </c>
      <c r="Y18" s="96">
        <v>579</v>
      </c>
      <c r="Z18" s="96">
        <v>545</v>
      </c>
      <c r="AA18" s="96">
        <v>560</v>
      </c>
      <c r="AB18" s="96">
        <v>509</v>
      </c>
      <c r="AC18" s="96">
        <v>534</v>
      </c>
      <c r="AD18" s="96">
        <v>648</v>
      </c>
      <c r="AE18" s="96">
        <v>532</v>
      </c>
      <c r="AF18" s="96">
        <v>520</v>
      </c>
      <c r="AG18" s="96">
        <v>588</v>
      </c>
      <c r="AH18" s="96">
        <v>540</v>
      </c>
      <c r="AI18" s="96">
        <v>527</v>
      </c>
      <c r="AJ18" s="96">
        <v>600</v>
      </c>
      <c r="AK18" s="96">
        <v>535</v>
      </c>
      <c r="AL18" s="96">
        <v>459</v>
      </c>
      <c r="AM18" s="96">
        <v>543</v>
      </c>
      <c r="AN18" s="96">
        <v>712</v>
      </c>
      <c r="AO18" s="96">
        <v>1163</v>
      </c>
      <c r="AP18" s="96">
        <v>911</v>
      </c>
      <c r="AQ18" s="96">
        <v>815</v>
      </c>
      <c r="AR18" s="96">
        <v>719</v>
      </c>
      <c r="AS18" s="96">
        <v>686</v>
      </c>
      <c r="AT18" s="96">
        <v>593</v>
      </c>
      <c r="AU18" s="96">
        <v>629</v>
      </c>
      <c r="AV18" s="96">
        <v>566</v>
      </c>
      <c r="AW18" s="96">
        <v>565</v>
      </c>
      <c r="AX18" s="96">
        <v>840</v>
      </c>
      <c r="AY18" s="96">
        <v>649</v>
      </c>
      <c r="AZ18" s="96">
        <v>521</v>
      </c>
      <c r="BA18" s="96">
        <v>576</v>
      </c>
      <c r="BB18" s="96">
        <v>729</v>
      </c>
      <c r="BC18" s="96">
        <v>610</v>
      </c>
      <c r="BD18" s="96">
        <v>610</v>
      </c>
      <c r="BE18" s="96">
        <v>676</v>
      </c>
      <c r="BF18" s="96">
        <v>577</v>
      </c>
      <c r="BG18" s="96">
        <v>595</v>
      </c>
      <c r="BH18" s="96">
        <v>427</v>
      </c>
      <c r="BI18" s="96">
        <v>439</v>
      </c>
      <c r="BJ18" s="96">
        <v>578</v>
      </c>
      <c r="BK18" s="96">
        <v>413</v>
      </c>
      <c r="BL18" s="96">
        <v>408</v>
      </c>
      <c r="BM18" s="96">
        <v>389</v>
      </c>
      <c r="BN18" s="96">
        <v>356</v>
      </c>
      <c r="BO18" s="96">
        <v>319</v>
      </c>
      <c r="BP18" s="96"/>
      <c r="BQ18" s="96"/>
      <c r="BR18" s="96"/>
      <c r="BS18" s="96">
        <v>334</v>
      </c>
      <c r="BT18" s="96"/>
      <c r="BU18" s="96"/>
      <c r="BV18" s="96"/>
      <c r="BX18" s="117">
        <v>160</v>
      </c>
      <c r="BY18" s="110"/>
      <c r="BZ18" s="117">
        <v>71</v>
      </c>
      <c r="CA18" s="117">
        <v>89</v>
      </c>
      <c r="CB18" s="117"/>
      <c r="CC18" s="117"/>
      <c r="CD18" s="117"/>
      <c r="CE18" s="110"/>
      <c r="CF18" s="235">
        <v>14</v>
      </c>
      <c r="CG18" s="235">
        <v>11</v>
      </c>
      <c r="CH18" s="235">
        <v>21</v>
      </c>
      <c r="CI18" s="235">
        <v>19</v>
      </c>
      <c r="CJ18" s="235">
        <v>6</v>
      </c>
      <c r="CK18" s="235" t="s">
        <v>82</v>
      </c>
      <c r="CL18" s="235">
        <v>15</v>
      </c>
      <c r="CM18" s="235">
        <v>19</v>
      </c>
      <c r="CN18" s="235">
        <v>17</v>
      </c>
      <c r="CO18" s="235">
        <v>16</v>
      </c>
      <c r="CP18" s="235">
        <v>20</v>
      </c>
      <c r="CQ18" s="235">
        <v>2</v>
      </c>
      <c r="CR18" s="235"/>
      <c r="CS18" s="235"/>
      <c r="CT18" s="235"/>
      <c r="CU18" s="235"/>
      <c r="CV18" s="235"/>
      <c r="CW18" s="235"/>
      <c r="CX18" s="235"/>
      <c r="CY18" s="235"/>
      <c r="CZ18" s="235"/>
      <c r="DA18" s="235"/>
      <c r="DB18" s="235"/>
      <c r="DC18" s="235"/>
      <c r="DD18" s="235"/>
      <c r="DE18" s="235"/>
      <c r="DF18" s="235"/>
      <c r="DG18" s="232"/>
      <c r="DH18" s="232"/>
      <c r="DI18" s="232"/>
    </row>
    <row r="19" spans="2:116" ht="18.75" customHeight="1">
      <c r="B19" s="53"/>
      <c r="C19" s="242"/>
      <c r="D19" s="135" t="s">
        <v>55</v>
      </c>
      <c r="E19" s="61">
        <v>13.333333333333334</v>
      </c>
      <c r="F19" s="61">
        <f>F18/COUNT(M18:N18)</f>
        <v>231</v>
      </c>
      <c r="G19" s="67">
        <f>G18/COUNT(O18:Z18)</f>
        <v>551.66666666666663</v>
      </c>
      <c r="H19" s="67">
        <f>H18/COUNT(AA18:AL18)</f>
        <v>546</v>
      </c>
      <c r="I19" s="67">
        <f>I18/COUNT(AM18:AX18)</f>
        <v>728.5</v>
      </c>
      <c r="J19" s="67">
        <v>582.25</v>
      </c>
      <c r="K19" s="67">
        <f>K18/COUNT(BK18:BV18)</f>
        <v>369.83333333333331</v>
      </c>
      <c r="L19" s="65"/>
      <c r="M19" s="72">
        <f t="shared" ref="M19:AN19" si="18">M18/M$8</f>
        <v>7.9090909090909092</v>
      </c>
      <c r="N19" s="72">
        <f t="shared" si="18"/>
        <v>16.666666666666668</v>
      </c>
      <c r="O19" s="72">
        <f t="shared" si="18"/>
        <v>20.166666666666668</v>
      </c>
      <c r="P19" s="72">
        <f t="shared" si="18"/>
        <v>19.958333333333332</v>
      </c>
      <c r="Q19" s="72">
        <f t="shared" si="18"/>
        <v>21.574468085106382</v>
      </c>
      <c r="R19" s="72">
        <f t="shared" si="18"/>
        <v>24.217391304347824</v>
      </c>
      <c r="S19" s="72">
        <f t="shared" si="18"/>
        <v>26.558139534883722</v>
      </c>
      <c r="T19" s="72">
        <f t="shared" si="18"/>
        <v>22.232558139534884</v>
      </c>
      <c r="U19" s="72">
        <f t="shared" si="18"/>
        <v>25.708333333333332</v>
      </c>
      <c r="V19" s="72">
        <f t="shared" si="18"/>
        <v>26.625</v>
      </c>
      <c r="W19" s="72">
        <f t="shared" si="18"/>
        <v>27.384615384615383</v>
      </c>
      <c r="X19" s="72">
        <f t="shared" si="18"/>
        <v>27.391304347826086</v>
      </c>
      <c r="Y19" s="72">
        <f t="shared" si="18"/>
        <v>24.125</v>
      </c>
      <c r="Z19" s="72">
        <f t="shared" si="18"/>
        <v>21.372549019607842</v>
      </c>
      <c r="AA19" s="72">
        <f t="shared" si="18"/>
        <v>23.333333333333332</v>
      </c>
      <c r="AB19" s="72">
        <f t="shared" si="18"/>
        <v>26.789473684210527</v>
      </c>
      <c r="AC19" s="72">
        <f t="shared" si="18"/>
        <v>22.723404255319149</v>
      </c>
      <c r="AD19" s="72">
        <f t="shared" si="18"/>
        <v>27</v>
      </c>
      <c r="AE19" s="72">
        <f t="shared" si="18"/>
        <v>22.166666666666668</v>
      </c>
      <c r="AF19" s="72">
        <f t="shared" si="18"/>
        <v>24.186046511627907</v>
      </c>
      <c r="AG19" s="72">
        <f t="shared" si="18"/>
        <v>23.52</v>
      </c>
      <c r="AH19" s="72">
        <f t="shared" si="18"/>
        <v>22.978723404255319</v>
      </c>
      <c r="AI19" s="72">
        <f t="shared" si="18"/>
        <v>25.707317073170731</v>
      </c>
      <c r="AJ19" s="72">
        <f t="shared" si="18"/>
        <v>24.489795918367346</v>
      </c>
      <c r="AK19" s="72">
        <f t="shared" si="18"/>
        <v>21.836734693877553</v>
      </c>
      <c r="AL19" s="72">
        <f t="shared" si="18"/>
        <v>19.956521739130434</v>
      </c>
      <c r="AM19" s="72">
        <f t="shared" si="18"/>
        <v>25.255813953488371</v>
      </c>
      <c r="AN19" s="72">
        <f t="shared" si="18"/>
        <v>31.644444444444446</v>
      </c>
      <c r="AO19" s="72">
        <f t="shared" ref="AO19:AR19" si="19">IFERROR(AO18/AO$8,"")</f>
        <v>48.458333333333336</v>
      </c>
      <c r="AP19" s="72">
        <f t="shared" si="19"/>
        <v>41.409090909090907</v>
      </c>
      <c r="AQ19" s="72">
        <f t="shared" si="19"/>
        <v>37.906976744186046</v>
      </c>
      <c r="AR19" s="72">
        <f t="shared" si="19"/>
        <v>30.595744680851062</v>
      </c>
      <c r="AS19" s="72">
        <v>28.583333333333332</v>
      </c>
      <c r="AT19" s="72">
        <v>26.954545454545453</v>
      </c>
      <c r="AU19" s="72">
        <v>27.347826086956523</v>
      </c>
      <c r="AV19" s="72">
        <v>26.952380952380953</v>
      </c>
      <c r="AW19" s="72">
        <f t="shared" ref="AW19:AX19" si="20">IFERROR(AW18/AW$8,"")</f>
        <v>24.565217391304348</v>
      </c>
      <c r="AX19" s="72">
        <f t="shared" si="20"/>
        <v>35</v>
      </c>
      <c r="AY19" s="72">
        <v>28.844444444444445</v>
      </c>
      <c r="AZ19" s="72">
        <v>26.717948717948719</v>
      </c>
      <c r="BA19" s="72">
        <v>24</v>
      </c>
      <c r="BB19" s="72">
        <v>30.375</v>
      </c>
      <c r="BC19" s="72">
        <v>31.282051282051281</v>
      </c>
      <c r="BD19" s="72">
        <v>25.416666666666668</v>
      </c>
      <c r="BE19" s="72">
        <v>27.591836734693878</v>
      </c>
      <c r="BF19" s="72">
        <v>25.086956521739129</v>
      </c>
      <c r="BG19" s="72">
        <v>28.333333333333332</v>
      </c>
      <c r="BH19" s="72">
        <v>20.333333333333332</v>
      </c>
      <c r="BI19" s="72">
        <v>18.291666666666668</v>
      </c>
      <c r="BJ19" s="72">
        <v>23.591836734693878</v>
      </c>
      <c r="BK19" s="72">
        <v>18.772727272727273</v>
      </c>
      <c r="BL19" s="72">
        <v>20.399999999999999</v>
      </c>
      <c r="BM19" s="72">
        <v>16.913043478260871</v>
      </c>
      <c r="BN19" s="72">
        <v>15.148936170212766</v>
      </c>
      <c r="BO19" s="72">
        <v>13.869565217391305</v>
      </c>
      <c r="BP19" s="72"/>
      <c r="BQ19" s="72"/>
      <c r="BR19" s="72"/>
      <c r="BS19" s="72">
        <v>15.534883720930232</v>
      </c>
      <c r="BT19" s="72"/>
      <c r="BU19" s="72"/>
      <c r="BV19" s="72"/>
      <c r="BX19" s="118">
        <v>16</v>
      </c>
      <c r="BY19" s="110"/>
      <c r="BZ19" s="118">
        <v>15.777777777777779</v>
      </c>
      <c r="CA19" s="119">
        <v>16.181818181818183</v>
      </c>
      <c r="CB19" s="119"/>
      <c r="CC19" s="119"/>
      <c r="CD19" s="119"/>
      <c r="CE19" s="110"/>
      <c r="CF19" s="236"/>
      <c r="CG19" s="236"/>
      <c r="CH19" s="236"/>
      <c r="CI19" s="236"/>
      <c r="CJ19" s="236"/>
      <c r="CK19" s="236"/>
      <c r="CL19" s="236"/>
      <c r="CM19" s="236"/>
      <c r="CN19" s="236"/>
      <c r="CO19" s="236"/>
      <c r="CP19" s="236"/>
      <c r="CQ19" s="236"/>
      <c r="CR19" s="236"/>
      <c r="CS19" s="236"/>
      <c r="CT19" s="236"/>
      <c r="CU19" s="236"/>
      <c r="CV19" s="236"/>
      <c r="CW19" s="236"/>
      <c r="CX19" s="236"/>
      <c r="CY19" s="236"/>
      <c r="CZ19" s="236"/>
      <c r="DA19" s="236"/>
      <c r="DB19" s="236"/>
      <c r="DC19" s="236"/>
      <c r="DD19" s="236"/>
      <c r="DE19" s="236"/>
      <c r="DF19" s="236"/>
      <c r="DG19" s="233"/>
      <c r="DH19" s="233"/>
      <c r="DI19" s="233"/>
    </row>
    <row r="20" spans="2:116" ht="18.75" customHeight="1">
      <c r="B20" s="53"/>
      <c r="C20" s="243"/>
      <c r="D20" s="136" t="s">
        <v>56</v>
      </c>
      <c r="E20" s="57"/>
      <c r="F20" s="57"/>
      <c r="G20" s="57">
        <f>G18-F18</f>
        <v>6158</v>
      </c>
      <c r="H20" s="57">
        <f>H18-G18</f>
        <v>-68</v>
      </c>
      <c r="I20" s="57">
        <f>I18-H18</f>
        <v>2190</v>
      </c>
      <c r="J20" s="57">
        <v>-1755</v>
      </c>
      <c r="K20" s="57">
        <f t="shared" ref="K20" si="21">K18-I18</f>
        <v>-6523</v>
      </c>
      <c r="L20" s="69"/>
      <c r="M20" s="58"/>
      <c r="N20" s="58">
        <f>IF(N18="","",N18-M18)</f>
        <v>288</v>
      </c>
      <c r="O20" s="58">
        <f t="shared" ref="O20:AL20" si="22">IF(O18="","",O18-N18)</f>
        <v>109</v>
      </c>
      <c r="P20" s="58">
        <f t="shared" si="22"/>
        <v>-5</v>
      </c>
      <c r="Q20" s="58">
        <f t="shared" si="22"/>
        <v>28</v>
      </c>
      <c r="R20" s="58">
        <f t="shared" si="22"/>
        <v>50</v>
      </c>
      <c r="S20" s="58">
        <f t="shared" si="22"/>
        <v>14</v>
      </c>
      <c r="T20" s="58">
        <f t="shared" si="22"/>
        <v>-93</v>
      </c>
      <c r="U20" s="58">
        <f t="shared" si="22"/>
        <v>139</v>
      </c>
      <c r="V20" s="58">
        <f t="shared" si="22"/>
        <v>22</v>
      </c>
      <c r="W20" s="58">
        <f t="shared" si="22"/>
        <v>-105</v>
      </c>
      <c r="X20" s="58">
        <f t="shared" si="22"/>
        <v>96</v>
      </c>
      <c r="Y20" s="58">
        <f t="shared" si="22"/>
        <v>-51</v>
      </c>
      <c r="Z20" s="58">
        <f t="shared" si="22"/>
        <v>-34</v>
      </c>
      <c r="AA20" s="58">
        <f t="shared" si="22"/>
        <v>15</v>
      </c>
      <c r="AB20" s="58">
        <f t="shared" si="22"/>
        <v>-51</v>
      </c>
      <c r="AC20" s="58">
        <f t="shared" si="22"/>
        <v>25</v>
      </c>
      <c r="AD20" s="58">
        <f t="shared" si="22"/>
        <v>114</v>
      </c>
      <c r="AE20" s="58">
        <f t="shared" si="22"/>
        <v>-116</v>
      </c>
      <c r="AF20" s="58">
        <f t="shared" si="22"/>
        <v>-12</v>
      </c>
      <c r="AG20" s="58">
        <f t="shared" si="22"/>
        <v>68</v>
      </c>
      <c r="AH20" s="58">
        <f t="shared" si="22"/>
        <v>-48</v>
      </c>
      <c r="AI20" s="58">
        <f t="shared" si="22"/>
        <v>-13</v>
      </c>
      <c r="AJ20" s="58">
        <f t="shared" si="22"/>
        <v>73</v>
      </c>
      <c r="AK20" s="58">
        <f t="shared" si="22"/>
        <v>-65</v>
      </c>
      <c r="AL20" s="58">
        <f t="shared" si="22"/>
        <v>-76</v>
      </c>
      <c r="AM20" s="58">
        <f>IF(AM18="","",AM18-Z18)</f>
        <v>-2</v>
      </c>
      <c r="AN20" s="58">
        <f t="shared" ref="AN20:AX20" si="23">IF(AN18="","",AN18-AM18)</f>
        <v>169</v>
      </c>
      <c r="AO20" s="58">
        <f t="shared" si="23"/>
        <v>451</v>
      </c>
      <c r="AP20" s="58">
        <f t="shared" si="23"/>
        <v>-252</v>
      </c>
      <c r="AQ20" s="58">
        <f t="shared" si="23"/>
        <v>-96</v>
      </c>
      <c r="AR20" s="58">
        <f t="shared" si="23"/>
        <v>-96</v>
      </c>
      <c r="AS20" s="58">
        <f t="shared" si="23"/>
        <v>-33</v>
      </c>
      <c r="AT20" s="58">
        <f t="shared" si="23"/>
        <v>-93</v>
      </c>
      <c r="AU20" s="58">
        <f t="shared" si="23"/>
        <v>36</v>
      </c>
      <c r="AV20" s="58">
        <f t="shared" si="23"/>
        <v>-63</v>
      </c>
      <c r="AW20" s="58">
        <f t="shared" si="23"/>
        <v>-1</v>
      </c>
      <c r="AX20" s="58">
        <f t="shared" si="23"/>
        <v>275</v>
      </c>
      <c r="AY20" s="58">
        <v>-191</v>
      </c>
      <c r="AZ20" s="58">
        <v>-128</v>
      </c>
      <c r="BA20" s="58">
        <v>55</v>
      </c>
      <c r="BB20" s="58">
        <v>153</v>
      </c>
      <c r="BC20" s="58">
        <v>-119</v>
      </c>
      <c r="BD20" s="58">
        <v>0</v>
      </c>
      <c r="BE20" s="58">
        <v>66</v>
      </c>
      <c r="BF20" s="58">
        <v>-99</v>
      </c>
      <c r="BG20" s="58">
        <v>18</v>
      </c>
      <c r="BH20" s="58">
        <v>-168</v>
      </c>
      <c r="BI20" s="58"/>
      <c r="BJ20" s="58">
        <v>139</v>
      </c>
      <c r="BK20" s="58"/>
      <c r="BL20" s="58"/>
      <c r="BM20" s="58"/>
      <c r="BN20" s="58"/>
      <c r="BO20" s="58"/>
      <c r="BP20" s="58"/>
      <c r="BQ20" s="58"/>
      <c r="BR20" s="58"/>
      <c r="BS20" s="58"/>
      <c r="BT20" s="58"/>
      <c r="BU20" s="58"/>
      <c r="BV20" s="58"/>
      <c r="BX20" s="120"/>
      <c r="BY20" s="110"/>
      <c r="BZ20" s="120"/>
      <c r="CA20" s="120"/>
      <c r="CB20" s="120"/>
      <c r="CC20" s="120"/>
      <c r="CD20" s="120"/>
      <c r="CE20" s="110"/>
      <c r="CF20" s="237"/>
      <c r="CG20" s="237"/>
      <c r="CH20" s="237"/>
      <c r="CI20" s="237"/>
      <c r="CJ20" s="237"/>
      <c r="CK20" s="237"/>
      <c r="CL20" s="237"/>
      <c r="CM20" s="237"/>
      <c r="CN20" s="237"/>
      <c r="CO20" s="237"/>
      <c r="CP20" s="237"/>
      <c r="CQ20" s="237"/>
      <c r="CR20" s="237"/>
      <c r="CS20" s="237"/>
      <c r="CT20" s="237"/>
      <c r="CU20" s="237"/>
      <c r="CV20" s="237"/>
      <c r="CW20" s="237"/>
      <c r="CX20" s="237"/>
      <c r="CY20" s="237"/>
      <c r="CZ20" s="237"/>
      <c r="DA20" s="237"/>
      <c r="DB20" s="237"/>
      <c r="DC20" s="237"/>
      <c r="DD20" s="237"/>
      <c r="DE20" s="237"/>
      <c r="DF20" s="237"/>
      <c r="DG20" s="234"/>
      <c r="DH20" s="234"/>
      <c r="DI20" s="234"/>
    </row>
    <row r="21" spans="2:116" ht="18.75" customHeight="1">
      <c r="B21" s="53"/>
      <c r="C21" s="241" t="s">
        <v>74</v>
      </c>
      <c r="D21" s="134" t="s">
        <v>54</v>
      </c>
      <c r="E21" s="56">
        <v>234</v>
      </c>
      <c r="F21" s="56">
        <f>SUM(M21:N21)</f>
        <v>338</v>
      </c>
      <c r="G21" s="66">
        <f>SUM(O21:Z21)</f>
        <v>6808</v>
      </c>
      <c r="H21" s="66">
        <f>SUM(AA21:AL21)</f>
        <v>8098</v>
      </c>
      <c r="I21" s="66">
        <f>SUM(AM21:AX21)</f>
        <v>10315</v>
      </c>
      <c r="J21" s="66">
        <v>8624</v>
      </c>
      <c r="K21" s="66">
        <f>SUM(BK21:BV21)</f>
        <v>2710</v>
      </c>
      <c r="L21" s="65"/>
      <c r="M21" s="96">
        <v>74</v>
      </c>
      <c r="N21" s="96">
        <v>264</v>
      </c>
      <c r="O21" s="96">
        <v>349</v>
      </c>
      <c r="P21" s="96">
        <v>445</v>
      </c>
      <c r="Q21" s="96">
        <v>647</v>
      </c>
      <c r="R21" s="96">
        <v>519</v>
      </c>
      <c r="S21" s="96">
        <v>459</v>
      </c>
      <c r="T21" s="96">
        <v>562</v>
      </c>
      <c r="U21" s="96">
        <v>676</v>
      </c>
      <c r="V21" s="96">
        <v>682</v>
      </c>
      <c r="W21" s="96">
        <v>549</v>
      </c>
      <c r="X21" s="96">
        <v>658</v>
      </c>
      <c r="Y21" s="96">
        <v>640</v>
      </c>
      <c r="Z21" s="96">
        <v>622</v>
      </c>
      <c r="AA21" s="96">
        <v>650</v>
      </c>
      <c r="AB21" s="96">
        <v>570</v>
      </c>
      <c r="AC21" s="96">
        <v>691</v>
      </c>
      <c r="AD21" s="96">
        <v>783</v>
      </c>
      <c r="AE21" s="96">
        <v>609</v>
      </c>
      <c r="AF21" s="96">
        <v>570</v>
      </c>
      <c r="AG21" s="96">
        <v>821</v>
      </c>
      <c r="AH21" s="96">
        <v>761</v>
      </c>
      <c r="AI21" s="96">
        <v>641</v>
      </c>
      <c r="AJ21" s="96">
        <v>744</v>
      </c>
      <c r="AK21" s="96">
        <v>648</v>
      </c>
      <c r="AL21" s="96">
        <v>610</v>
      </c>
      <c r="AM21" s="96">
        <v>694</v>
      </c>
      <c r="AN21" s="96">
        <v>874</v>
      </c>
      <c r="AO21" s="96">
        <v>1278</v>
      </c>
      <c r="AP21" s="96">
        <v>1163</v>
      </c>
      <c r="AQ21" s="96">
        <v>878</v>
      </c>
      <c r="AR21" s="96">
        <v>775</v>
      </c>
      <c r="AS21" s="96">
        <v>792</v>
      </c>
      <c r="AT21" s="96">
        <v>759</v>
      </c>
      <c r="AU21" s="96">
        <v>900</v>
      </c>
      <c r="AV21" s="96">
        <v>666</v>
      </c>
      <c r="AW21" s="96">
        <v>640</v>
      </c>
      <c r="AX21" s="96">
        <v>896</v>
      </c>
      <c r="AY21" s="96">
        <v>797</v>
      </c>
      <c r="AZ21" s="96">
        <v>638</v>
      </c>
      <c r="BA21" s="96">
        <v>729</v>
      </c>
      <c r="BB21" s="96">
        <v>947</v>
      </c>
      <c r="BC21" s="96">
        <v>803</v>
      </c>
      <c r="BD21" s="96">
        <v>733</v>
      </c>
      <c r="BE21" s="96">
        <v>883</v>
      </c>
      <c r="BF21" s="96">
        <v>698</v>
      </c>
      <c r="BG21" s="96">
        <v>761</v>
      </c>
      <c r="BH21" s="96">
        <v>515</v>
      </c>
      <c r="BI21" s="96">
        <v>495</v>
      </c>
      <c r="BJ21" s="96">
        <v>625</v>
      </c>
      <c r="BK21" s="96">
        <v>541</v>
      </c>
      <c r="BL21" s="96">
        <v>519</v>
      </c>
      <c r="BM21" s="96">
        <v>540</v>
      </c>
      <c r="BN21" s="96">
        <v>468</v>
      </c>
      <c r="BO21" s="96">
        <v>325</v>
      </c>
      <c r="BP21" s="96"/>
      <c r="BQ21" s="96"/>
      <c r="BR21" s="96"/>
      <c r="BS21" s="96">
        <v>317</v>
      </c>
      <c r="BT21" s="96"/>
      <c r="BU21" s="96"/>
      <c r="BV21" s="96"/>
      <c r="BX21" s="117">
        <v>148</v>
      </c>
      <c r="BY21" s="110"/>
      <c r="BZ21" s="117">
        <v>64</v>
      </c>
      <c r="CA21" s="117">
        <v>84</v>
      </c>
      <c r="CB21" s="117"/>
      <c r="CC21" s="117"/>
      <c r="CD21" s="117"/>
      <c r="CE21" s="110"/>
      <c r="CF21" s="235">
        <v>13</v>
      </c>
      <c r="CG21" s="235">
        <v>11</v>
      </c>
      <c r="CH21" s="235">
        <v>14</v>
      </c>
      <c r="CI21" s="235">
        <v>22</v>
      </c>
      <c r="CJ21" s="235">
        <v>4</v>
      </c>
      <c r="CK21" s="235" t="s">
        <v>82</v>
      </c>
      <c r="CL21" s="235">
        <v>19</v>
      </c>
      <c r="CM21" s="235">
        <v>17</v>
      </c>
      <c r="CN21" s="235">
        <v>15</v>
      </c>
      <c r="CO21" s="235">
        <v>16</v>
      </c>
      <c r="CP21" s="235">
        <v>13</v>
      </c>
      <c r="CQ21" s="235">
        <v>4</v>
      </c>
      <c r="CR21" s="235"/>
      <c r="CS21" s="235"/>
      <c r="CT21" s="235"/>
      <c r="CU21" s="235"/>
      <c r="CV21" s="235"/>
      <c r="CW21" s="235"/>
      <c r="CX21" s="235"/>
      <c r="CY21" s="235"/>
      <c r="CZ21" s="235"/>
      <c r="DA21" s="235"/>
      <c r="DB21" s="235"/>
      <c r="DC21" s="235"/>
      <c r="DD21" s="235"/>
      <c r="DE21" s="235"/>
      <c r="DF21" s="235"/>
      <c r="DG21" s="232"/>
      <c r="DH21" s="232"/>
      <c r="DI21" s="232"/>
    </row>
    <row r="22" spans="2:116" ht="18.75" customHeight="1">
      <c r="B22" s="53"/>
      <c r="C22" s="242"/>
      <c r="D22" s="135" t="s">
        <v>55</v>
      </c>
      <c r="E22" s="61">
        <v>13</v>
      </c>
      <c r="F22" s="61">
        <f>F21/COUNT(M21:N21)</f>
        <v>169</v>
      </c>
      <c r="G22" s="67">
        <f>G21/COUNT(O21:Z21)</f>
        <v>567.33333333333337</v>
      </c>
      <c r="H22" s="67">
        <f>H21/COUNT(AA21:AL21)</f>
        <v>674.83333333333337</v>
      </c>
      <c r="I22" s="67">
        <f>I21/COUNT(AM21:AX21)</f>
        <v>859.58333333333337</v>
      </c>
      <c r="J22" s="67">
        <v>718.66666666666663</v>
      </c>
      <c r="K22" s="67">
        <f>K21/COUNT(BK21:BV21)</f>
        <v>451.66666666666669</v>
      </c>
      <c r="L22" s="65"/>
      <c r="M22" s="72">
        <f t="shared" ref="M22:AN22" si="24">M21/M$8</f>
        <v>6.7272727272727275</v>
      </c>
      <c r="N22" s="72">
        <f t="shared" si="24"/>
        <v>11.733333333333333</v>
      </c>
      <c r="O22" s="72">
        <f t="shared" si="24"/>
        <v>14.541666666666666</v>
      </c>
      <c r="P22" s="72">
        <f t="shared" si="24"/>
        <v>18.541666666666668</v>
      </c>
      <c r="Q22" s="72">
        <f t="shared" si="24"/>
        <v>27.531914893617021</v>
      </c>
      <c r="R22" s="72">
        <f t="shared" si="24"/>
        <v>22.565217391304348</v>
      </c>
      <c r="S22" s="72">
        <f t="shared" si="24"/>
        <v>21.348837209302324</v>
      </c>
      <c r="T22" s="72">
        <f t="shared" si="24"/>
        <v>26.13953488372093</v>
      </c>
      <c r="U22" s="72">
        <f t="shared" si="24"/>
        <v>28.166666666666668</v>
      </c>
      <c r="V22" s="72">
        <f t="shared" si="24"/>
        <v>28.416666666666668</v>
      </c>
      <c r="W22" s="72">
        <f t="shared" si="24"/>
        <v>28.153846153846153</v>
      </c>
      <c r="X22" s="72">
        <f t="shared" si="24"/>
        <v>28.608695652173914</v>
      </c>
      <c r="Y22" s="72">
        <f t="shared" si="24"/>
        <v>26.666666666666668</v>
      </c>
      <c r="Z22" s="72">
        <f t="shared" si="24"/>
        <v>24.392156862745097</v>
      </c>
      <c r="AA22" s="72">
        <f t="shared" si="24"/>
        <v>27.083333333333332</v>
      </c>
      <c r="AB22" s="72">
        <f t="shared" si="24"/>
        <v>30</v>
      </c>
      <c r="AC22" s="72">
        <f t="shared" si="24"/>
        <v>29.404255319148938</v>
      </c>
      <c r="AD22" s="72">
        <f t="shared" si="24"/>
        <v>32.625</v>
      </c>
      <c r="AE22" s="72">
        <f t="shared" si="24"/>
        <v>25.375</v>
      </c>
      <c r="AF22" s="72">
        <f t="shared" si="24"/>
        <v>26.511627906976745</v>
      </c>
      <c r="AG22" s="72">
        <f t="shared" si="24"/>
        <v>32.840000000000003</v>
      </c>
      <c r="AH22" s="72">
        <f t="shared" si="24"/>
        <v>32.382978723404257</v>
      </c>
      <c r="AI22" s="72">
        <f t="shared" si="24"/>
        <v>31.26829268292683</v>
      </c>
      <c r="AJ22" s="72">
        <f t="shared" si="24"/>
        <v>30.367346938775512</v>
      </c>
      <c r="AK22" s="72">
        <f t="shared" si="24"/>
        <v>26.448979591836736</v>
      </c>
      <c r="AL22" s="72">
        <f t="shared" si="24"/>
        <v>26.521739130434781</v>
      </c>
      <c r="AM22" s="72">
        <f t="shared" si="24"/>
        <v>32.279069767441861</v>
      </c>
      <c r="AN22" s="72">
        <f t="shared" si="24"/>
        <v>38.844444444444441</v>
      </c>
      <c r="AO22" s="72">
        <f t="shared" ref="AO22:AR22" si="25">IFERROR(AO21/AO$8,"")</f>
        <v>53.25</v>
      </c>
      <c r="AP22" s="72">
        <f t="shared" si="25"/>
        <v>52.863636363636367</v>
      </c>
      <c r="AQ22" s="72">
        <f t="shared" si="25"/>
        <v>40.837209302325583</v>
      </c>
      <c r="AR22" s="72">
        <f t="shared" si="25"/>
        <v>32.978723404255319</v>
      </c>
      <c r="AS22" s="72">
        <v>33</v>
      </c>
      <c r="AT22" s="72">
        <v>34.5</v>
      </c>
      <c r="AU22" s="72">
        <v>39.130434782608695</v>
      </c>
      <c r="AV22" s="72">
        <v>31.714285714285715</v>
      </c>
      <c r="AW22" s="72">
        <f t="shared" ref="AW22:AX22" si="26">IFERROR(AW21/AW$8,"")</f>
        <v>27.826086956521738</v>
      </c>
      <c r="AX22" s="72">
        <f t="shared" si="26"/>
        <v>37.333333333333336</v>
      </c>
      <c r="AY22" s="72">
        <v>35.422222222222224</v>
      </c>
      <c r="AZ22" s="72">
        <v>32.717948717948715</v>
      </c>
      <c r="BA22" s="72">
        <v>30.375</v>
      </c>
      <c r="BB22" s="72">
        <v>39.458333333333336</v>
      </c>
      <c r="BC22" s="72">
        <v>41.179487179487182</v>
      </c>
      <c r="BD22" s="72">
        <v>30.541666666666668</v>
      </c>
      <c r="BE22" s="72">
        <v>36.04081632653061</v>
      </c>
      <c r="BF22" s="72">
        <v>30.347826086956523</v>
      </c>
      <c r="BG22" s="72">
        <v>36.238095238095241</v>
      </c>
      <c r="BH22" s="72">
        <v>24.523809523809526</v>
      </c>
      <c r="BI22" s="72">
        <v>20.625</v>
      </c>
      <c r="BJ22" s="72">
        <v>25.510204081632654</v>
      </c>
      <c r="BK22" s="72">
        <v>24.59090909090909</v>
      </c>
      <c r="BL22" s="72">
        <v>25.95</v>
      </c>
      <c r="BM22" s="72">
        <v>23.478260869565219</v>
      </c>
      <c r="BN22" s="72">
        <v>19.914893617021278</v>
      </c>
      <c r="BO22" s="72">
        <v>14.130434782608695</v>
      </c>
      <c r="BP22" s="72"/>
      <c r="BQ22" s="72"/>
      <c r="BR22" s="72"/>
      <c r="BS22" s="72">
        <v>14.744186046511627</v>
      </c>
      <c r="BT22" s="72"/>
      <c r="BU22" s="72"/>
      <c r="BV22" s="72"/>
      <c r="BX22" s="118">
        <v>14.8</v>
      </c>
      <c r="BY22" s="110"/>
      <c r="BZ22" s="118">
        <v>14.222222222222221</v>
      </c>
      <c r="CA22" s="119">
        <v>15.272727272727273</v>
      </c>
      <c r="CB22" s="119"/>
      <c r="CC22" s="119"/>
      <c r="CD22" s="119"/>
      <c r="CE22" s="110"/>
      <c r="CF22" s="236"/>
      <c r="CG22" s="236"/>
      <c r="CH22" s="236"/>
      <c r="CI22" s="236"/>
      <c r="CJ22" s="236"/>
      <c r="CK22" s="236"/>
      <c r="CL22" s="236"/>
      <c r="CM22" s="236"/>
      <c r="CN22" s="236"/>
      <c r="CO22" s="236"/>
      <c r="CP22" s="236"/>
      <c r="CQ22" s="236"/>
      <c r="CR22" s="236"/>
      <c r="CS22" s="236"/>
      <c r="CT22" s="236"/>
      <c r="CU22" s="236"/>
      <c r="CV22" s="236"/>
      <c r="CW22" s="236"/>
      <c r="CX22" s="236"/>
      <c r="CY22" s="236"/>
      <c r="CZ22" s="236"/>
      <c r="DA22" s="236"/>
      <c r="DB22" s="236"/>
      <c r="DC22" s="236"/>
      <c r="DD22" s="236"/>
      <c r="DE22" s="236"/>
      <c r="DF22" s="236"/>
      <c r="DG22" s="233"/>
      <c r="DH22" s="233"/>
      <c r="DI22" s="233"/>
    </row>
    <row r="23" spans="2:116" ht="18.75" customHeight="1">
      <c r="B23" s="53"/>
      <c r="C23" s="243"/>
      <c r="D23" s="136" t="s">
        <v>56</v>
      </c>
      <c r="E23" s="57"/>
      <c r="F23" s="57"/>
      <c r="G23" s="57">
        <f>G21-F21</f>
        <v>6470</v>
      </c>
      <c r="H23" s="57">
        <f>H21-G21</f>
        <v>1290</v>
      </c>
      <c r="I23" s="57">
        <f>I21-H21</f>
        <v>2217</v>
      </c>
      <c r="J23" s="57">
        <v>-1691</v>
      </c>
      <c r="K23" s="57">
        <f t="shared" ref="K23" si="27">K21-I21</f>
        <v>-7605</v>
      </c>
      <c r="L23" s="69"/>
      <c r="M23" s="58"/>
      <c r="N23" s="58">
        <f>IF(N21="","",N21-M21)</f>
        <v>190</v>
      </c>
      <c r="O23" s="58">
        <f t="shared" ref="O23:AL23" si="28">IF(O21="","",O21-N21)</f>
        <v>85</v>
      </c>
      <c r="P23" s="58">
        <f t="shared" si="28"/>
        <v>96</v>
      </c>
      <c r="Q23" s="58">
        <f t="shared" si="28"/>
        <v>202</v>
      </c>
      <c r="R23" s="58">
        <f t="shared" si="28"/>
        <v>-128</v>
      </c>
      <c r="S23" s="58">
        <f t="shared" si="28"/>
        <v>-60</v>
      </c>
      <c r="T23" s="58">
        <f t="shared" si="28"/>
        <v>103</v>
      </c>
      <c r="U23" s="58">
        <f t="shared" si="28"/>
        <v>114</v>
      </c>
      <c r="V23" s="58">
        <f t="shared" si="28"/>
        <v>6</v>
      </c>
      <c r="W23" s="58">
        <f t="shared" si="28"/>
        <v>-133</v>
      </c>
      <c r="X23" s="58">
        <f t="shared" si="28"/>
        <v>109</v>
      </c>
      <c r="Y23" s="58">
        <f t="shared" si="28"/>
        <v>-18</v>
      </c>
      <c r="Z23" s="58">
        <f t="shared" si="28"/>
        <v>-18</v>
      </c>
      <c r="AA23" s="58">
        <f t="shared" si="28"/>
        <v>28</v>
      </c>
      <c r="AB23" s="58">
        <f t="shared" si="28"/>
        <v>-80</v>
      </c>
      <c r="AC23" s="58">
        <f t="shared" si="28"/>
        <v>121</v>
      </c>
      <c r="AD23" s="58">
        <f t="shared" si="28"/>
        <v>92</v>
      </c>
      <c r="AE23" s="58">
        <f t="shared" si="28"/>
        <v>-174</v>
      </c>
      <c r="AF23" s="58">
        <f t="shared" si="28"/>
        <v>-39</v>
      </c>
      <c r="AG23" s="58">
        <f t="shared" si="28"/>
        <v>251</v>
      </c>
      <c r="AH23" s="58">
        <f t="shared" si="28"/>
        <v>-60</v>
      </c>
      <c r="AI23" s="58">
        <f t="shared" si="28"/>
        <v>-120</v>
      </c>
      <c r="AJ23" s="58">
        <f t="shared" si="28"/>
        <v>103</v>
      </c>
      <c r="AK23" s="58">
        <f t="shared" si="28"/>
        <v>-96</v>
      </c>
      <c r="AL23" s="58">
        <f t="shared" si="28"/>
        <v>-38</v>
      </c>
      <c r="AM23" s="58">
        <f>IF(AM21="","",AM21-Z21)</f>
        <v>72</v>
      </c>
      <c r="AN23" s="58">
        <f t="shared" ref="AN23:AX23" si="29">IF(AN21="","",AN21-AM21)</f>
        <v>180</v>
      </c>
      <c r="AO23" s="58">
        <f t="shared" si="29"/>
        <v>404</v>
      </c>
      <c r="AP23" s="58">
        <f t="shared" si="29"/>
        <v>-115</v>
      </c>
      <c r="AQ23" s="58">
        <f t="shared" si="29"/>
        <v>-285</v>
      </c>
      <c r="AR23" s="58">
        <f t="shared" si="29"/>
        <v>-103</v>
      </c>
      <c r="AS23" s="58">
        <f t="shared" si="29"/>
        <v>17</v>
      </c>
      <c r="AT23" s="58">
        <f t="shared" si="29"/>
        <v>-33</v>
      </c>
      <c r="AU23" s="58">
        <f t="shared" si="29"/>
        <v>141</v>
      </c>
      <c r="AV23" s="58">
        <f t="shared" si="29"/>
        <v>-234</v>
      </c>
      <c r="AW23" s="58">
        <f t="shared" si="29"/>
        <v>-26</v>
      </c>
      <c r="AX23" s="58">
        <f t="shared" si="29"/>
        <v>256</v>
      </c>
      <c r="AY23" s="58">
        <v>-99</v>
      </c>
      <c r="AZ23" s="58">
        <v>-159</v>
      </c>
      <c r="BA23" s="58">
        <v>91</v>
      </c>
      <c r="BB23" s="58">
        <v>218</v>
      </c>
      <c r="BC23" s="58">
        <v>-144</v>
      </c>
      <c r="BD23" s="58">
        <v>-70</v>
      </c>
      <c r="BE23" s="58">
        <v>150</v>
      </c>
      <c r="BF23" s="58">
        <v>-185</v>
      </c>
      <c r="BG23" s="58">
        <v>63</v>
      </c>
      <c r="BH23" s="58">
        <v>-246</v>
      </c>
      <c r="BI23" s="58"/>
      <c r="BJ23" s="58">
        <v>130</v>
      </c>
      <c r="BK23" s="58"/>
      <c r="BL23" s="58"/>
      <c r="BM23" s="58"/>
      <c r="BN23" s="58"/>
      <c r="BO23" s="58"/>
      <c r="BP23" s="58"/>
      <c r="BQ23" s="58"/>
      <c r="BR23" s="58"/>
      <c r="BS23" s="58"/>
      <c r="BT23" s="58"/>
      <c r="BU23" s="58"/>
      <c r="BV23" s="58"/>
      <c r="BX23" s="120"/>
      <c r="BY23" s="110"/>
      <c r="BZ23" s="120"/>
      <c r="CA23" s="120"/>
      <c r="CB23" s="120"/>
      <c r="CC23" s="120"/>
      <c r="CD23" s="120"/>
      <c r="CE23" s="110"/>
      <c r="CF23" s="237"/>
      <c r="CG23" s="237"/>
      <c r="CH23" s="237"/>
      <c r="CI23" s="237"/>
      <c r="CJ23" s="237"/>
      <c r="CK23" s="237"/>
      <c r="CL23" s="237"/>
      <c r="CM23" s="237"/>
      <c r="CN23" s="237"/>
      <c r="CO23" s="237"/>
      <c r="CP23" s="237"/>
      <c r="CQ23" s="237"/>
      <c r="CR23" s="237"/>
      <c r="CS23" s="237"/>
      <c r="CT23" s="237"/>
      <c r="CU23" s="237"/>
      <c r="CV23" s="237"/>
      <c r="CW23" s="237"/>
      <c r="CX23" s="237"/>
      <c r="CY23" s="237"/>
      <c r="CZ23" s="237"/>
      <c r="DA23" s="237"/>
      <c r="DB23" s="237"/>
      <c r="DC23" s="237"/>
      <c r="DD23" s="237"/>
      <c r="DE23" s="237"/>
      <c r="DF23" s="237"/>
      <c r="DG23" s="234"/>
      <c r="DH23" s="234"/>
      <c r="DI23" s="234"/>
    </row>
    <row r="24" spans="2:116" ht="18.75" customHeight="1">
      <c r="B24" s="53"/>
      <c r="C24" s="241" t="s">
        <v>75</v>
      </c>
      <c r="D24" s="134" t="s">
        <v>54</v>
      </c>
      <c r="E24" s="56">
        <v>312</v>
      </c>
      <c r="F24" s="56">
        <f>SUM(M24:N24)</f>
        <v>436</v>
      </c>
      <c r="G24" s="66">
        <f>SUM(O24:Z24)</f>
        <v>6321</v>
      </c>
      <c r="H24" s="66">
        <f>SUM(AA24:AL24)</f>
        <v>7592</v>
      </c>
      <c r="I24" s="66">
        <f>SUM(AM24:AX24)</f>
        <v>9479</v>
      </c>
      <c r="J24" s="66">
        <v>8903</v>
      </c>
      <c r="K24" s="66">
        <f>SUM(BK24:BV24)</f>
        <v>2802</v>
      </c>
      <c r="L24" s="65"/>
      <c r="M24" s="96">
        <v>55</v>
      </c>
      <c r="N24" s="96">
        <v>381</v>
      </c>
      <c r="O24" s="96">
        <v>453</v>
      </c>
      <c r="P24" s="96">
        <v>332</v>
      </c>
      <c r="Q24" s="96">
        <v>461</v>
      </c>
      <c r="R24" s="96">
        <v>557</v>
      </c>
      <c r="S24" s="96">
        <v>500</v>
      </c>
      <c r="T24" s="96">
        <v>634</v>
      </c>
      <c r="U24" s="96">
        <v>582</v>
      </c>
      <c r="V24" s="96">
        <v>645</v>
      </c>
      <c r="W24" s="96">
        <v>484</v>
      </c>
      <c r="X24" s="96">
        <v>590</v>
      </c>
      <c r="Y24" s="96">
        <v>571</v>
      </c>
      <c r="Z24" s="96">
        <v>512</v>
      </c>
      <c r="AA24" s="96">
        <v>639</v>
      </c>
      <c r="AB24" s="96">
        <v>552</v>
      </c>
      <c r="AC24" s="96">
        <v>603</v>
      </c>
      <c r="AD24" s="96">
        <v>657</v>
      </c>
      <c r="AE24" s="96">
        <v>593</v>
      </c>
      <c r="AF24" s="96">
        <v>504</v>
      </c>
      <c r="AG24" s="96">
        <v>730</v>
      </c>
      <c r="AH24" s="96">
        <v>698</v>
      </c>
      <c r="AI24" s="96">
        <v>661</v>
      </c>
      <c r="AJ24" s="96">
        <v>691</v>
      </c>
      <c r="AK24" s="96">
        <v>626</v>
      </c>
      <c r="AL24" s="96">
        <v>638</v>
      </c>
      <c r="AM24" s="96">
        <v>638</v>
      </c>
      <c r="AN24" s="96">
        <v>832</v>
      </c>
      <c r="AO24" s="96">
        <v>1311</v>
      </c>
      <c r="AP24" s="96">
        <v>942</v>
      </c>
      <c r="AQ24" s="96">
        <v>775</v>
      </c>
      <c r="AR24" s="96">
        <v>790</v>
      </c>
      <c r="AS24" s="96">
        <v>718</v>
      </c>
      <c r="AT24" s="96">
        <v>682</v>
      </c>
      <c r="AU24" s="96">
        <v>698</v>
      </c>
      <c r="AV24" s="96">
        <v>549</v>
      </c>
      <c r="AW24" s="96">
        <v>620</v>
      </c>
      <c r="AX24" s="96">
        <v>924</v>
      </c>
      <c r="AY24" s="96">
        <v>829</v>
      </c>
      <c r="AZ24" s="96">
        <v>626</v>
      </c>
      <c r="BA24" s="96">
        <v>814</v>
      </c>
      <c r="BB24" s="96">
        <v>972</v>
      </c>
      <c r="BC24" s="96">
        <v>709</v>
      </c>
      <c r="BD24" s="96">
        <v>736</v>
      </c>
      <c r="BE24" s="96">
        <v>857</v>
      </c>
      <c r="BF24" s="96">
        <v>721</v>
      </c>
      <c r="BG24" s="96">
        <v>768</v>
      </c>
      <c r="BH24" s="96">
        <v>582</v>
      </c>
      <c r="BI24" s="96">
        <v>545</v>
      </c>
      <c r="BJ24" s="96">
        <v>744</v>
      </c>
      <c r="BK24" s="96">
        <v>508</v>
      </c>
      <c r="BL24" s="96">
        <v>520</v>
      </c>
      <c r="BM24" s="96">
        <v>505</v>
      </c>
      <c r="BN24" s="96">
        <v>446</v>
      </c>
      <c r="BO24" s="96">
        <v>354</v>
      </c>
      <c r="BP24" s="96"/>
      <c r="BQ24" s="96"/>
      <c r="BR24" s="96"/>
      <c r="BS24" s="96">
        <v>469</v>
      </c>
      <c r="BT24" s="96"/>
      <c r="BU24" s="96"/>
      <c r="BV24" s="96"/>
      <c r="BX24" s="117">
        <v>228</v>
      </c>
      <c r="BY24" s="110"/>
      <c r="BZ24" s="117">
        <v>99</v>
      </c>
      <c r="CA24" s="117">
        <v>129</v>
      </c>
      <c r="CB24" s="117"/>
      <c r="CC24" s="117"/>
      <c r="CD24" s="117"/>
      <c r="CE24" s="110"/>
      <c r="CF24" s="235">
        <v>23</v>
      </c>
      <c r="CG24" s="235">
        <v>23</v>
      </c>
      <c r="CH24" s="235">
        <v>19</v>
      </c>
      <c r="CI24" s="235">
        <v>24</v>
      </c>
      <c r="CJ24" s="235">
        <v>10</v>
      </c>
      <c r="CK24" s="235" t="s">
        <v>82</v>
      </c>
      <c r="CL24" s="235">
        <v>26</v>
      </c>
      <c r="CM24" s="235">
        <v>29</v>
      </c>
      <c r="CN24" s="235">
        <v>23</v>
      </c>
      <c r="CO24" s="235">
        <v>21</v>
      </c>
      <c r="CP24" s="235">
        <v>24</v>
      </c>
      <c r="CQ24" s="235">
        <v>6</v>
      </c>
      <c r="CR24" s="235"/>
      <c r="CS24" s="235"/>
      <c r="CT24" s="235"/>
      <c r="CU24" s="235"/>
      <c r="CV24" s="235"/>
      <c r="CW24" s="235"/>
      <c r="CX24" s="235"/>
      <c r="CY24" s="235"/>
      <c r="CZ24" s="235"/>
      <c r="DA24" s="235"/>
      <c r="DB24" s="235"/>
      <c r="DC24" s="235"/>
      <c r="DD24" s="235"/>
      <c r="DE24" s="235"/>
      <c r="DF24" s="235"/>
      <c r="DG24" s="232"/>
      <c r="DH24" s="232"/>
      <c r="DI24" s="232"/>
    </row>
    <row r="25" spans="2:116" ht="18.75" customHeight="1">
      <c r="B25" s="53"/>
      <c r="C25" s="242"/>
      <c r="D25" s="135" t="s">
        <v>55</v>
      </c>
      <c r="E25" s="61">
        <v>17.333333333333332</v>
      </c>
      <c r="F25" s="61">
        <f>F24/COUNT(M24:N24)</f>
        <v>218</v>
      </c>
      <c r="G25" s="67">
        <f>G24/COUNT(O24:Z24)</f>
        <v>526.75</v>
      </c>
      <c r="H25" s="67">
        <f>H24/COUNT(AA24:AL24)</f>
        <v>632.66666666666663</v>
      </c>
      <c r="I25" s="67">
        <f>I24/COUNT(AM24:AX24)</f>
        <v>789.91666666666663</v>
      </c>
      <c r="J25" s="67">
        <v>741.91666666666663</v>
      </c>
      <c r="K25" s="67">
        <f>K24/COUNT(BK24:BV24)</f>
        <v>467</v>
      </c>
      <c r="L25" s="65"/>
      <c r="M25" s="72">
        <f t="shared" ref="M25:AN25" si="30">M24/M$8</f>
        <v>5</v>
      </c>
      <c r="N25" s="72">
        <f t="shared" si="30"/>
        <v>16.933333333333334</v>
      </c>
      <c r="O25" s="72">
        <f t="shared" si="30"/>
        <v>18.875</v>
      </c>
      <c r="P25" s="72">
        <f t="shared" si="30"/>
        <v>13.833333333333334</v>
      </c>
      <c r="Q25" s="72">
        <f t="shared" si="30"/>
        <v>19.617021276595743</v>
      </c>
      <c r="R25" s="72">
        <f t="shared" si="30"/>
        <v>24.217391304347824</v>
      </c>
      <c r="S25" s="72">
        <f t="shared" si="30"/>
        <v>23.255813953488371</v>
      </c>
      <c r="T25" s="72">
        <f t="shared" si="30"/>
        <v>29.488372093023255</v>
      </c>
      <c r="U25" s="72">
        <f t="shared" si="30"/>
        <v>24.25</v>
      </c>
      <c r="V25" s="72">
        <f t="shared" si="30"/>
        <v>26.875</v>
      </c>
      <c r="W25" s="72">
        <f t="shared" si="30"/>
        <v>24.820512820512821</v>
      </c>
      <c r="X25" s="72">
        <f t="shared" si="30"/>
        <v>25.652173913043477</v>
      </c>
      <c r="Y25" s="72">
        <f t="shared" si="30"/>
        <v>23.791666666666668</v>
      </c>
      <c r="Z25" s="72">
        <f t="shared" si="30"/>
        <v>20.078431372549019</v>
      </c>
      <c r="AA25" s="72">
        <f t="shared" si="30"/>
        <v>26.625</v>
      </c>
      <c r="AB25" s="72">
        <f t="shared" si="30"/>
        <v>29.05263157894737</v>
      </c>
      <c r="AC25" s="72">
        <f t="shared" si="30"/>
        <v>25.659574468085108</v>
      </c>
      <c r="AD25" s="72">
        <f t="shared" si="30"/>
        <v>27.375</v>
      </c>
      <c r="AE25" s="72">
        <f t="shared" si="30"/>
        <v>24.708333333333332</v>
      </c>
      <c r="AF25" s="72">
        <f t="shared" si="30"/>
        <v>23.441860465116278</v>
      </c>
      <c r="AG25" s="72">
        <f t="shared" si="30"/>
        <v>29.2</v>
      </c>
      <c r="AH25" s="72">
        <f t="shared" si="30"/>
        <v>29.702127659574469</v>
      </c>
      <c r="AI25" s="72">
        <f t="shared" si="30"/>
        <v>32.243902439024389</v>
      </c>
      <c r="AJ25" s="72">
        <f t="shared" si="30"/>
        <v>28.204081632653061</v>
      </c>
      <c r="AK25" s="72">
        <f t="shared" si="30"/>
        <v>25.551020408163264</v>
      </c>
      <c r="AL25" s="72">
        <f t="shared" si="30"/>
        <v>27.739130434782609</v>
      </c>
      <c r="AM25" s="72">
        <f t="shared" si="30"/>
        <v>29.674418604651162</v>
      </c>
      <c r="AN25" s="72">
        <f t="shared" si="30"/>
        <v>36.977777777777774</v>
      </c>
      <c r="AO25" s="72">
        <f t="shared" ref="AO25:AR25" si="31">IFERROR(AO24/AO$8,"")</f>
        <v>54.625</v>
      </c>
      <c r="AP25" s="72">
        <f t="shared" si="31"/>
        <v>42.81818181818182</v>
      </c>
      <c r="AQ25" s="72">
        <f t="shared" si="31"/>
        <v>36.046511627906973</v>
      </c>
      <c r="AR25" s="72">
        <f t="shared" si="31"/>
        <v>33.617021276595743</v>
      </c>
      <c r="AS25" s="72">
        <v>29.916666666666668</v>
      </c>
      <c r="AT25" s="72">
        <v>31</v>
      </c>
      <c r="AU25" s="72">
        <v>30.347826086956523</v>
      </c>
      <c r="AV25" s="72">
        <v>26.142857142857142</v>
      </c>
      <c r="AW25" s="72">
        <f t="shared" ref="AW25:AX25" si="32">IFERROR(AW24/AW$8,"")</f>
        <v>26.956521739130434</v>
      </c>
      <c r="AX25" s="72">
        <f t="shared" si="32"/>
        <v>38.5</v>
      </c>
      <c r="AY25" s="72">
        <v>36.844444444444441</v>
      </c>
      <c r="AZ25" s="72">
        <v>32.102564102564102</v>
      </c>
      <c r="BA25" s="72">
        <v>33.916666666666664</v>
      </c>
      <c r="BB25" s="72">
        <v>40.5</v>
      </c>
      <c r="BC25" s="72">
        <v>36.358974358974358</v>
      </c>
      <c r="BD25" s="72">
        <v>30.666666666666668</v>
      </c>
      <c r="BE25" s="72">
        <v>34.979591836734691</v>
      </c>
      <c r="BF25" s="72">
        <v>31.347826086956523</v>
      </c>
      <c r="BG25" s="72">
        <v>36.571428571428569</v>
      </c>
      <c r="BH25" s="72">
        <v>27.714285714285715</v>
      </c>
      <c r="BI25" s="72">
        <v>22.708333333333332</v>
      </c>
      <c r="BJ25" s="72">
        <v>30.367346938775512</v>
      </c>
      <c r="BK25" s="72">
        <v>23.09090909090909</v>
      </c>
      <c r="BL25" s="72">
        <v>26</v>
      </c>
      <c r="BM25" s="72">
        <v>21.956521739130434</v>
      </c>
      <c r="BN25" s="72">
        <v>18.978723404255319</v>
      </c>
      <c r="BO25" s="72">
        <v>15.391304347826088</v>
      </c>
      <c r="BP25" s="72"/>
      <c r="BQ25" s="72"/>
      <c r="BR25" s="72"/>
      <c r="BS25" s="72">
        <v>21.813953488372093</v>
      </c>
      <c r="BT25" s="72"/>
      <c r="BU25" s="72"/>
      <c r="BV25" s="102"/>
      <c r="BW25" s="103"/>
      <c r="BX25" s="118">
        <v>22.8</v>
      </c>
      <c r="BY25" s="110"/>
      <c r="BZ25" s="118">
        <v>22</v>
      </c>
      <c r="CA25" s="119">
        <v>23.454545454545453</v>
      </c>
      <c r="CB25" s="119"/>
      <c r="CC25" s="119"/>
      <c r="CD25" s="119"/>
      <c r="CE25" s="110"/>
      <c r="CF25" s="236"/>
      <c r="CG25" s="236"/>
      <c r="CH25" s="236"/>
      <c r="CI25" s="236"/>
      <c r="CJ25" s="236"/>
      <c r="CK25" s="236"/>
      <c r="CL25" s="236"/>
      <c r="CM25" s="236"/>
      <c r="CN25" s="236"/>
      <c r="CO25" s="236"/>
      <c r="CP25" s="236"/>
      <c r="CQ25" s="236"/>
      <c r="CR25" s="236"/>
      <c r="CS25" s="236"/>
      <c r="CT25" s="236"/>
      <c r="CU25" s="236"/>
      <c r="CV25" s="236"/>
      <c r="CW25" s="236"/>
      <c r="CX25" s="236"/>
      <c r="CY25" s="236"/>
      <c r="CZ25" s="236"/>
      <c r="DA25" s="236"/>
      <c r="DB25" s="236"/>
      <c r="DC25" s="236"/>
      <c r="DD25" s="236"/>
      <c r="DE25" s="236"/>
      <c r="DF25" s="236"/>
      <c r="DG25" s="233"/>
      <c r="DH25" s="233"/>
      <c r="DI25" s="233"/>
    </row>
    <row r="26" spans="2:116" ht="18.75" customHeight="1">
      <c r="B26" s="53"/>
      <c r="C26" s="242"/>
      <c r="D26" s="136" t="s">
        <v>56</v>
      </c>
      <c r="E26" s="57"/>
      <c r="F26" s="57"/>
      <c r="G26" s="57">
        <f>G24-F24</f>
        <v>5885</v>
      </c>
      <c r="H26" s="57">
        <f>H24-G24</f>
        <v>1271</v>
      </c>
      <c r="I26" s="57">
        <f>I24-H24</f>
        <v>1887</v>
      </c>
      <c r="J26" s="57">
        <v>-576</v>
      </c>
      <c r="K26" s="57">
        <f t="shared" ref="K26" si="33">K24-I24</f>
        <v>-6677</v>
      </c>
      <c r="L26" s="69"/>
      <c r="M26" s="58"/>
      <c r="N26" s="58">
        <f>IF(N24="","",N24-M24)</f>
        <v>326</v>
      </c>
      <c r="O26" s="58">
        <f t="shared" ref="O26:AL26" si="34">IF(O24="","",O24-N24)</f>
        <v>72</v>
      </c>
      <c r="P26" s="58">
        <f t="shared" si="34"/>
        <v>-121</v>
      </c>
      <c r="Q26" s="58">
        <f t="shared" si="34"/>
        <v>129</v>
      </c>
      <c r="R26" s="58">
        <f t="shared" si="34"/>
        <v>96</v>
      </c>
      <c r="S26" s="58">
        <f t="shared" si="34"/>
        <v>-57</v>
      </c>
      <c r="T26" s="58">
        <f t="shared" si="34"/>
        <v>134</v>
      </c>
      <c r="U26" s="58">
        <f t="shared" si="34"/>
        <v>-52</v>
      </c>
      <c r="V26" s="58">
        <f t="shared" si="34"/>
        <v>63</v>
      </c>
      <c r="W26" s="58">
        <f t="shared" si="34"/>
        <v>-161</v>
      </c>
      <c r="X26" s="58">
        <f t="shared" si="34"/>
        <v>106</v>
      </c>
      <c r="Y26" s="58">
        <f t="shared" si="34"/>
        <v>-19</v>
      </c>
      <c r="Z26" s="58">
        <f t="shared" si="34"/>
        <v>-59</v>
      </c>
      <c r="AA26" s="58">
        <f t="shared" si="34"/>
        <v>127</v>
      </c>
      <c r="AB26" s="58">
        <f t="shared" si="34"/>
        <v>-87</v>
      </c>
      <c r="AC26" s="58">
        <f t="shared" si="34"/>
        <v>51</v>
      </c>
      <c r="AD26" s="58">
        <f t="shared" si="34"/>
        <v>54</v>
      </c>
      <c r="AE26" s="58">
        <f t="shared" si="34"/>
        <v>-64</v>
      </c>
      <c r="AF26" s="58">
        <f t="shared" si="34"/>
        <v>-89</v>
      </c>
      <c r="AG26" s="58">
        <f t="shared" si="34"/>
        <v>226</v>
      </c>
      <c r="AH26" s="58">
        <f t="shared" si="34"/>
        <v>-32</v>
      </c>
      <c r="AI26" s="58">
        <f t="shared" si="34"/>
        <v>-37</v>
      </c>
      <c r="AJ26" s="58">
        <f t="shared" si="34"/>
        <v>30</v>
      </c>
      <c r="AK26" s="58">
        <f t="shared" si="34"/>
        <v>-65</v>
      </c>
      <c r="AL26" s="58">
        <f t="shared" si="34"/>
        <v>12</v>
      </c>
      <c r="AM26" s="58">
        <f>IF(AM24="","",AM24-Z24)</f>
        <v>126</v>
      </c>
      <c r="AN26" s="58">
        <f t="shared" ref="AN26:AX26" si="35">IF(AN24="","",AN24-AM24)</f>
        <v>194</v>
      </c>
      <c r="AO26" s="58">
        <f t="shared" si="35"/>
        <v>479</v>
      </c>
      <c r="AP26" s="58">
        <f t="shared" si="35"/>
        <v>-369</v>
      </c>
      <c r="AQ26" s="58">
        <f t="shared" si="35"/>
        <v>-167</v>
      </c>
      <c r="AR26" s="58">
        <f t="shared" si="35"/>
        <v>15</v>
      </c>
      <c r="AS26" s="58">
        <f t="shared" si="35"/>
        <v>-72</v>
      </c>
      <c r="AT26" s="58">
        <f t="shared" si="35"/>
        <v>-36</v>
      </c>
      <c r="AU26" s="58">
        <f t="shared" si="35"/>
        <v>16</v>
      </c>
      <c r="AV26" s="58">
        <f t="shared" si="35"/>
        <v>-149</v>
      </c>
      <c r="AW26" s="58">
        <f t="shared" si="35"/>
        <v>71</v>
      </c>
      <c r="AX26" s="58">
        <f t="shared" si="35"/>
        <v>304</v>
      </c>
      <c r="AY26" s="58">
        <v>-95</v>
      </c>
      <c r="AZ26" s="58">
        <v>-203</v>
      </c>
      <c r="BA26" s="58">
        <v>188</v>
      </c>
      <c r="BB26" s="58">
        <v>158</v>
      </c>
      <c r="BC26" s="58">
        <v>-263</v>
      </c>
      <c r="BD26" s="58">
        <v>27</v>
      </c>
      <c r="BE26" s="58">
        <v>121</v>
      </c>
      <c r="BF26" s="58">
        <v>-136</v>
      </c>
      <c r="BG26" s="58">
        <v>47</v>
      </c>
      <c r="BH26" s="58">
        <v>-186</v>
      </c>
      <c r="BI26" s="58"/>
      <c r="BJ26" s="58">
        <v>199</v>
      </c>
      <c r="BK26" s="58"/>
      <c r="BL26" s="58"/>
      <c r="BM26" s="58"/>
      <c r="BN26" s="58"/>
      <c r="BO26" s="58"/>
      <c r="BP26" s="58"/>
      <c r="BQ26" s="58"/>
      <c r="BR26" s="58"/>
      <c r="BS26" s="58"/>
      <c r="BT26" s="58"/>
      <c r="BU26" s="58"/>
      <c r="BV26" s="58"/>
      <c r="BX26" s="120"/>
      <c r="BY26" s="110"/>
      <c r="BZ26" s="120"/>
      <c r="CA26" s="120"/>
      <c r="CB26" s="120"/>
      <c r="CC26" s="120"/>
      <c r="CD26" s="120"/>
      <c r="CE26" s="110"/>
      <c r="CF26" s="237"/>
      <c r="CG26" s="237"/>
      <c r="CH26" s="237"/>
      <c r="CI26" s="237"/>
      <c r="CJ26" s="237"/>
      <c r="CK26" s="237"/>
      <c r="CL26" s="237"/>
      <c r="CM26" s="237"/>
      <c r="CN26" s="237"/>
      <c r="CO26" s="237"/>
      <c r="CP26" s="237"/>
      <c r="CQ26" s="237"/>
      <c r="CR26" s="237"/>
      <c r="CS26" s="237"/>
      <c r="CT26" s="237"/>
      <c r="CU26" s="237"/>
      <c r="CV26" s="237"/>
      <c r="CW26" s="237"/>
      <c r="CX26" s="237"/>
      <c r="CY26" s="237"/>
      <c r="CZ26" s="237"/>
      <c r="DA26" s="237"/>
      <c r="DB26" s="237"/>
      <c r="DC26" s="237"/>
      <c r="DD26" s="237"/>
      <c r="DE26" s="237"/>
      <c r="DF26" s="237"/>
      <c r="DG26" s="234"/>
      <c r="DH26" s="234"/>
      <c r="DI26" s="234"/>
    </row>
    <row r="27" spans="2:116" ht="18.75" customHeight="1">
      <c r="B27" s="52"/>
      <c r="C27" s="241" t="s">
        <v>76</v>
      </c>
      <c r="D27" s="134" t="s">
        <v>54</v>
      </c>
      <c r="E27" s="56">
        <v>0</v>
      </c>
      <c r="F27" s="56">
        <f>SUM(M27:N27)</f>
        <v>232</v>
      </c>
      <c r="G27" s="66">
        <f>SUM(O27:Z27)</f>
        <v>546</v>
      </c>
      <c r="H27" s="66">
        <f>SUM(AA27:AL27)</f>
        <v>187</v>
      </c>
      <c r="I27" s="66">
        <f>SUM(AM27:AX27)</f>
        <v>7</v>
      </c>
      <c r="J27" s="66">
        <v>1</v>
      </c>
      <c r="K27" s="66">
        <f>SUM(BK27:BV27)</f>
        <v>71</v>
      </c>
      <c r="L27" s="65"/>
      <c r="M27" s="96">
        <v>56</v>
      </c>
      <c r="N27" s="96">
        <v>176</v>
      </c>
      <c r="O27" s="96">
        <v>118</v>
      </c>
      <c r="P27" s="96">
        <v>123</v>
      </c>
      <c r="Q27" s="96">
        <v>99</v>
      </c>
      <c r="R27" s="96">
        <v>29</v>
      </c>
      <c r="S27" s="96">
        <v>39</v>
      </c>
      <c r="T27" s="96">
        <v>27</v>
      </c>
      <c r="U27" s="96">
        <v>39</v>
      </c>
      <c r="V27" s="96">
        <v>31</v>
      </c>
      <c r="W27" s="96">
        <v>19</v>
      </c>
      <c r="X27" s="96">
        <v>14</v>
      </c>
      <c r="Y27" s="96">
        <v>8</v>
      </c>
      <c r="Z27" s="96">
        <v>0</v>
      </c>
      <c r="AA27" s="96">
        <v>4</v>
      </c>
      <c r="AB27" s="96">
        <v>42</v>
      </c>
      <c r="AC27" s="96">
        <v>35</v>
      </c>
      <c r="AD27" s="96">
        <v>34</v>
      </c>
      <c r="AE27" s="96">
        <v>4</v>
      </c>
      <c r="AF27" s="96">
        <v>6</v>
      </c>
      <c r="AG27" s="96">
        <v>7</v>
      </c>
      <c r="AH27" s="96">
        <v>9</v>
      </c>
      <c r="AI27" s="96">
        <v>6</v>
      </c>
      <c r="AJ27" s="96">
        <v>11</v>
      </c>
      <c r="AK27" s="96">
        <v>25</v>
      </c>
      <c r="AL27" s="96">
        <v>4</v>
      </c>
      <c r="AM27" s="96">
        <v>0</v>
      </c>
      <c r="AN27" s="96">
        <v>0</v>
      </c>
      <c r="AO27" s="96">
        <v>1</v>
      </c>
      <c r="AP27" s="96">
        <v>0</v>
      </c>
      <c r="AQ27" s="96">
        <v>0</v>
      </c>
      <c r="AR27" s="96">
        <v>5</v>
      </c>
      <c r="AS27" s="96">
        <v>0</v>
      </c>
      <c r="AT27" s="96">
        <v>0</v>
      </c>
      <c r="AU27" s="96">
        <v>0</v>
      </c>
      <c r="AV27" s="96">
        <v>0</v>
      </c>
      <c r="AW27" s="96">
        <v>0</v>
      </c>
      <c r="AX27" s="96">
        <v>1</v>
      </c>
      <c r="AY27" s="96">
        <v>0</v>
      </c>
      <c r="AZ27" s="96">
        <v>1</v>
      </c>
      <c r="BA27" s="96">
        <v>0</v>
      </c>
      <c r="BB27" s="96">
        <v>0</v>
      </c>
      <c r="BC27" s="96"/>
      <c r="BD27" s="96">
        <v>0</v>
      </c>
      <c r="BE27" s="96">
        <v>0</v>
      </c>
      <c r="BF27" s="96">
        <v>0</v>
      </c>
      <c r="BG27" s="96">
        <v>0</v>
      </c>
      <c r="BH27" s="96">
        <v>0</v>
      </c>
      <c r="BI27" s="96">
        <v>0</v>
      </c>
      <c r="BJ27" s="96">
        <v>0</v>
      </c>
      <c r="BK27" s="96">
        <v>3</v>
      </c>
      <c r="BL27" s="96">
        <v>1</v>
      </c>
      <c r="BM27" s="96">
        <v>1</v>
      </c>
      <c r="BN27" s="96">
        <v>10</v>
      </c>
      <c r="BO27" s="96">
        <v>47</v>
      </c>
      <c r="BP27" s="96"/>
      <c r="BQ27" s="96"/>
      <c r="BR27" s="96"/>
      <c r="BS27" s="96">
        <v>9</v>
      </c>
      <c r="BT27" s="96"/>
      <c r="BU27" s="96"/>
      <c r="BV27" s="96"/>
      <c r="BX27" s="117">
        <v>27</v>
      </c>
      <c r="BY27" s="110"/>
      <c r="BZ27" s="117">
        <v>13</v>
      </c>
      <c r="CA27" s="117">
        <v>14</v>
      </c>
      <c r="CB27" s="117"/>
      <c r="CC27" s="117"/>
      <c r="CD27" s="117"/>
      <c r="CE27" s="110"/>
      <c r="CF27" s="235">
        <v>4</v>
      </c>
      <c r="CG27" s="235">
        <v>4</v>
      </c>
      <c r="CH27" s="235">
        <v>2</v>
      </c>
      <c r="CI27" s="235">
        <v>2</v>
      </c>
      <c r="CJ27" s="235">
        <v>1</v>
      </c>
      <c r="CK27" s="235" t="s">
        <v>82</v>
      </c>
      <c r="CL27" s="235">
        <v>1</v>
      </c>
      <c r="CM27" s="235">
        <v>2</v>
      </c>
      <c r="CN27" s="235">
        <v>5</v>
      </c>
      <c r="CO27" s="235">
        <v>2</v>
      </c>
      <c r="CP27" s="235">
        <v>3</v>
      </c>
      <c r="CQ27" s="235">
        <v>1</v>
      </c>
      <c r="CR27" s="235"/>
      <c r="CS27" s="235"/>
      <c r="CT27" s="235"/>
      <c r="CU27" s="235"/>
      <c r="CV27" s="235"/>
      <c r="CW27" s="235"/>
      <c r="CX27" s="235"/>
      <c r="CY27" s="235"/>
      <c r="CZ27" s="235"/>
      <c r="DA27" s="235"/>
      <c r="DB27" s="235"/>
      <c r="DC27" s="235"/>
      <c r="DD27" s="235"/>
      <c r="DE27" s="235"/>
      <c r="DF27" s="235"/>
      <c r="DG27" s="232"/>
      <c r="DH27" s="232"/>
      <c r="DI27" s="232"/>
    </row>
    <row r="28" spans="2:116" ht="18.75" customHeight="1">
      <c r="B28" s="52"/>
      <c r="C28" s="242"/>
      <c r="D28" s="135" t="s">
        <v>55</v>
      </c>
      <c r="E28" s="61">
        <v>0</v>
      </c>
      <c r="F28" s="61">
        <f>F27/COUNT(M27:N27)</f>
        <v>116</v>
      </c>
      <c r="G28" s="67">
        <f>G27/COUNT(O27:Z27)</f>
        <v>45.5</v>
      </c>
      <c r="H28" s="67">
        <f>H27/COUNT(AA27:AL27)</f>
        <v>15.583333333333334</v>
      </c>
      <c r="I28" s="67">
        <f>I27/COUNT(AM27:AX27)</f>
        <v>0.58333333333333337</v>
      </c>
      <c r="J28" s="67">
        <v>9.0909090909090912E-2</v>
      </c>
      <c r="K28" s="67">
        <f>K27/COUNT(BK27:BV27)</f>
        <v>11.833333333333334</v>
      </c>
      <c r="L28" s="65"/>
      <c r="M28" s="72">
        <f t="shared" ref="M28:AP28" si="36">M27/M$8</f>
        <v>5.0909090909090908</v>
      </c>
      <c r="N28" s="72">
        <f t="shared" si="36"/>
        <v>7.822222222222222</v>
      </c>
      <c r="O28" s="72">
        <f t="shared" si="36"/>
        <v>4.916666666666667</v>
      </c>
      <c r="P28" s="72">
        <f t="shared" si="36"/>
        <v>5.125</v>
      </c>
      <c r="Q28" s="72">
        <f t="shared" si="36"/>
        <v>4.2127659574468082</v>
      </c>
      <c r="R28" s="72">
        <f t="shared" si="36"/>
        <v>1.2608695652173914</v>
      </c>
      <c r="S28" s="72">
        <f t="shared" si="36"/>
        <v>1.8139534883720929</v>
      </c>
      <c r="T28" s="72">
        <f t="shared" si="36"/>
        <v>1.2558139534883721</v>
      </c>
      <c r="U28" s="72">
        <f t="shared" si="36"/>
        <v>1.625</v>
      </c>
      <c r="V28" s="72">
        <f t="shared" si="36"/>
        <v>1.2916666666666667</v>
      </c>
      <c r="W28" s="72">
        <f t="shared" si="36"/>
        <v>0.97435897435897434</v>
      </c>
      <c r="X28" s="72">
        <f t="shared" si="36"/>
        <v>0.60869565217391308</v>
      </c>
      <c r="Y28" s="72">
        <f t="shared" si="36"/>
        <v>0.33333333333333331</v>
      </c>
      <c r="Z28" s="72">
        <f t="shared" si="36"/>
        <v>0</v>
      </c>
      <c r="AA28" s="72">
        <f t="shared" si="36"/>
        <v>0.16666666666666666</v>
      </c>
      <c r="AB28" s="72">
        <f t="shared" si="36"/>
        <v>2.2105263157894739</v>
      </c>
      <c r="AC28" s="72">
        <f t="shared" si="36"/>
        <v>1.4893617021276595</v>
      </c>
      <c r="AD28" s="72">
        <f t="shared" si="36"/>
        <v>1.4166666666666667</v>
      </c>
      <c r="AE28" s="72">
        <f t="shared" si="36"/>
        <v>0.16666666666666666</v>
      </c>
      <c r="AF28" s="72">
        <f t="shared" si="36"/>
        <v>0.27906976744186046</v>
      </c>
      <c r="AG28" s="72">
        <f t="shared" si="36"/>
        <v>0.28000000000000003</v>
      </c>
      <c r="AH28" s="72">
        <f t="shared" si="36"/>
        <v>0.38297872340425532</v>
      </c>
      <c r="AI28" s="72">
        <f t="shared" si="36"/>
        <v>0.29268292682926828</v>
      </c>
      <c r="AJ28" s="72">
        <f t="shared" si="36"/>
        <v>0.44897959183673469</v>
      </c>
      <c r="AK28" s="72">
        <f t="shared" si="36"/>
        <v>1.0204081632653061</v>
      </c>
      <c r="AL28" s="72">
        <f t="shared" si="36"/>
        <v>0.17391304347826086</v>
      </c>
      <c r="AM28" s="72">
        <f t="shared" si="36"/>
        <v>0</v>
      </c>
      <c r="AN28" s="72">
        <f t="shared" si="36"/>
        <v>0</v>
      </c>
      <c r="AO28" s="72">
        <f t="shared" si="36"/>
        <v>4.1666666666666664E-2</v>
      </c>
      <c r="AP28" s="72">
        <f t="shared" si="36"/>
        <v>0</v>
      </c>
      <c r="AQ28" s="72">
        <f t="shared" ref="AQ28:AR28" si="37">IFERROR(AQ27/AQ$8,"")</f>
        <v>0</v>
      </c>
      <c r="AR28" s="72">
        <f t="shared" si="37"/>
        <v>0.21276595744680851</v>
      </c>
      <c r="AS28" s="72">
        <v>0</v>
      </c>
      <c r="AT28" s="72">
        <v>0</v>
      </c>
      <c r="AU28" s="72">
        <v>0</v>
      </c>
      <c r="AV28" s="72">
        <v>0</v>
      </c>
      <c r="AW28" s="72">
        <f t="shared" ref="AW28:AX28" si="38">IFERROR(AW27/AW$8,"")</f>
        <v>0</v>
      </c>
      <c r="AX28" s="72">
        <f t="shared" si="38"/>
        <v>4.1666666666666664E-2</v>
      </c>
      <c r="AY28" s="72">
        <v>0</v>
      </c>
      <c r="AZ28" s="72">
        <v>5.128205128205128E-2</v>
      </c>
      <c r="BA28" s="72">
        <v>0</v>
      </c>
      <c r="BB28" s="72">
        <v>0</v>
      </c>
      <c r="BC28" s="72">
        <v>0</v>
      </c>
      <c r="BD28" s="72">
        <v>0</v>
      </c>
      <c r="BE28" s="72">
        <v>0</v>
      </c>
      <c r="BF28" s="72">
        <v>0</v>
      </c>
      <c r="BG28" s="72">
        <v>0</v>
      </c>
      <c r="BH28" s="72">
        <v>0</v>
      </c>
      <c r="BI28" s="72">
        <v>0</v>
      </c>
      <c r="BJ28" s="72">
        <v>0</v>
      </c>
      <c r="BK28" s="72">
        <v>0.13636363636363635</v>
      </c>
      <c r="BL28" s="72">
        <v>0.05</v>
      </c>
      <c r="BM28" s="72">
        <v>4.3478260869565216E-2</v>
      </c>
      <c r="BN28" s="72">
        <v>0.42553191489361702</v>
      </c>
      <c r="BO28" s="72">
        <v>2.0434782608695654</v>
      </c>
      <c r="BP28" s="72"/>
      <c r="BQ28" s="72"/>
      <c r="BR28" s="72"/>
      <c r="BS28" s="72">
        <v>0.41860465116279072</v>
      </c>
      <c r="BT28" s="72"/>
      <c r="BU28" s="72"/>
      <c r="BV28" s="72"/>
      <c r="BX28" s="118">
        <v>2.7</v>
      </c>
      <c r="BY28" s="110"/>
      <c r="BZ28" s="118">
        <v>2.8888888888888888</v>
      </c>
      <c r="CA28" s="118">
        <v>2.5454545454545454</v>
      </c>
      <c r="CB28" s="119"/>
      <c r="CC28" s="119"/>
      <c r="CD28" s="119"/>
      <c r="CE28" s="110"/>
      <c r="CF28" s="236"/>
      <c r="CG28" s="236"/>
      <c r="CH28" s="236"/>
      <c r="CI28" s="236"/>
      <c r="CJ28" s="236"/>
      <c r="CK28" s="236"/>
      <c r="CL28" s="236"/>
      <c r="CM28" s="236"/>
      <c r="CN28" s="236"/>
      <c r="CO28" s="236"/>
      <c r="CP28" s="236"/>
      <c r="CQ28" s="236"/>
      <c r="CR28" s="236"/>
      <c r="CS28" s="236"/>
      <c r="CT28" s="236"/>
      <c r="CU28" s="236"/>
      <c r="CV28" s="236"/>
      <c r="CW28" s="236"/>
      <c r="CX28" s="236"/>
      <c r="CY28" s="236"/>
      <c r="CZ28" s="236"/>
      <c r="DA28" s="236"/>
      <c r="DB28" s="236"/>
      <c r="DC28" s="236"/>
      <c r="DD28" s="236"/>
      <c r="DE28" s="236"/>
      <c r="DF28" s="236"/>
      <c r="DG28" s="233"/>
      <c r="DH28" s="233"/>
      <c r="DI28" s="233"/>
    </row>
    <row r="29" spans="2:116" ht="18.75" customHeight="1">
      <c r="B29" s="55"/>
      <c r="C29" s="243"/>
      <c r="D29" s="136" t="s">
        <v>56</v>
      </c>
      <c r="E29" s="57"/>
      <c r="F29" s="57"/>
      <c r="G29" s="57">
        <f>G27-F27</f>
        <v>314</v>
      </c>
      <c r="H29" s="57">
        <f>H27-G27</f>
        <v>-359</v>
      </c>
      <c r="I29" s="57">
        <f>I27-H27</f>
        <v>-180</v>
      </c>
      <c r="J29" s="57">
        <v>-6</v>
      </c>
      <c r="K29" s="57">
        <f t="shared" ref="K29" si="39">K27-I27</f>
        <v>64</v>
      </c>
      <c r="L29" s="69"/>
      <c r="M29" s="58"/>
      <c r="N29" s="58">
        <f>IF(N27="","",N27-M27)</f>
        <v>120</v>
      </c>
      <c r="O29" s="58">
        <f>IF(O27="","",O27-N27)</f>
        <v>-58</v>
      </c>
      <c r="P29" s="58">
        <f>IF(P27="","",P27-O27)</f>
        <v>5</v>
      </c>
      <c r="Q29" s="58">
        <f t="shared" ref="Q29:AL29" si="40">IF(Q27="","",Q27-P27)</f>
        <v>-24</v>
      </c>
      <c r="R29" s="58">
        <f t="shared" si="40"/>
        <v>-70</v>
      </c>
      <c r="S29" s="58">
        <f t="shared" si="40"/>
        <v>10</v>
      </c>
      <c r="T29" s="58">
        <f t="shared" si="40"/>
        <v>-12</v>
      </c>
      <c r="U29" s="58">
        <f t="shared" si="40"/>
        <v>12</v>
      </c>
      <c r="V29" s="58">
        <f t="shared" si="40"/>
        <v>-8</v>
      </c>
      <c r="W29" s="58">
        <f t="shared" si="40"/>
        <v>-12</v>
      </c>
      <c r="X29" s="58">
        <f t="shared" si="40"/>
        <v>-5</v>
      </c>
      <c r="Y29" s="58">
        <f t="shared" si="40"/>
        <v>-6</v>
      </c>
      <c r="Z29" s="58">
        <f t="shared" si="40"/>
        <v>-8</v>
      </c>
      <c r="AA29" s="58">
        <f t="shared" si="40"/>
        <v>4</v>
      </c>
      <c r="AB29" s="58">
        <f t="shared" si="40"/>
        <v>38</v>
      </c>
      <c r="AC29" s="58">
        <f t="shared" si="40"/>
        <v>-7</v>
      </c>
      <c r="AD29" s="58">
        <f t="shared" si="40"/>
        <v>-1</v>
      </c>
      <c r="AE29" s="58">
        <f t="shared" si="40"/>
        <v>-30</v>
      </c>
      <c r="AF29" s="58">
        <f t="shared" si="40"/>
        <v>2</v>
      </c>
      <c r="AG29" s="58">
        <f t="shared" si="40"/>
        <v>1</v>
      </c>
      <c r="AH29" s="58">
        <f t="shared" si="40"/>
        <v>2</v>
      </c>
      <c r="AI29" s="58">
        <f t="shared" si="40"/>
        <v>-3</v>
      </c>
      <c r="AJ29" s="58">
        <f t="shared" si="40"/>
        <v>5</v>
      </c>
      <c r="AK29" s="58">
        <f t="shared" si="40"/>
        <v>14</v>
      </c>
      <c r="AL29" s="58">
        <f t="shared" si="40"/>
        <v>-21</v>
      </c>
      <c r="AM29" s="58">
        <f>IF(AM27="","",AM27-Z27)</f>
        <v>0</v>
      </c>
      <c r="AN29" s="58">
        <f t="shared" ref="AN29:AX29" si="41">IF(AN27="","",AN27-AM27)</f>
        <v>0</v>
      </c>
      <c r="AO29" s="58">
        <f t="shared" si="41"/>
        <v>1</v>
      </c>
      <c r="AP29" s="58">
        <f t="shared" si="41"/>
        <v>-1</v>
      </c>
      <c r="AQ29" s="58">
        <f t="shared" si="41"/>
        <v>0</v>
      </c>
      <c r="AR29" s="58">
        <f t="shared" si="41"/>
        <v>5</v>
      </c>
      <c r="AS29" s="58">
        <f t="shared" si="41"/>
        <v>-5</v>
      </c>
      <c r="AT29" s="58">
        <f t="shared" si="41"/>
        <v>0</v>
      </c>
      <c r="AU29" s="58">
        <f t="shared" si="41"/>
        <v>0</v>
      </c>
      <c r="AV29" s="58">
        <f t="shared" si="41"/>
        <v>0</v>
      </c>
      <c r="AW29" s="58">
        <f t="shared" si="41"/>
        <v>0</v>
      </c>
      <c r="AX29" s="58">
        <f t="shared" si="41"/>
        <v>1</v>
      </c>
      <c r="AY29" s="58">
        <v>-1</v>
      </c>
      <c r="AZ29" s="58">
        <v>1</v>
      </c>
      <c r="BA29" s="58">
        <v>-1</v>
      </c>
      <c r="BB29" s="58">
        <v>0</v>
      </c>
      <c r="BC29" s="58" t="s">
        <v>82</v>
      </c>
      <c r="BD29" s="58">
        <v>0</v>
      </c>
      <c r="BE29" s="58">
        <v>0</v>
      </c>
      <c r="BF29" s="58">
        <v>0</v>
      </c>
      <c r="BG29" s="58">
        <v>0</v>
      </c>
      <c r="BH29" s="58">
        <v>0</v>
      </c>
      <c r="BI29" s="58"/>
      <c r="BJ29" s="58">
        <v>0</v>
      </c>
      <c r="BK29" s="58"/>
      <c r="BL29" s="58"/>
      <c r="BM29" s="58"/>
      <c r="BN29" s="58"/>
      <c r="BO29" s="58"/>
      <c r="BP29" s="58"/>
      <c r="BQ29" s="58"/>
      <c r="BR29" s="58"/>
      <c r="BS29" s="58"/>
      <c r="BT29" s="58"/>
      <c r="BU29" s="58"/>
      <c r="BV29" s="58"/>
      <c r="BX29" s="120"/>
      <c r="BY29" s="110"/>
      <c r="BZ29" s="120"/>
      <c r="CA29" s="120"/>
      <c r="CB29" s="120"/>
      <c r="CC29" s="120"/>
      <c r="CD29" s="120"/>
      <c r="CE29" s="110"/>
      <c r="CF29" s="237"/>
      <c r="CG29" s="237"/>
      <c r="CH29" s="237"/>
      <c r="CI29" s="237"/>
      <c r="CJ29" s="237"/>
      <c r="CK29" s="237"/>
      <c r="CL29" s="237"/>
      <c r="CM29" s="237"/>
      <c r="CN29" s="237"/>
      <c r="CO29" s="237"/>
      <c r="CP29" s="237"/>
      <c r="CQ29" s="237"/>
      <c r="CR29" s="237"/>
      <c r="CS29" s="237"/>
      <c r="CT29" s="237"/>
      <c r="CU29" s="237"/>
      <c r="CV29" s="237"/>
      <c r="CW29" s="237"/>
      <c r="CX29" s="237"/>
      <c r="CY29" s="237"/>
      <c r="CZ29" s="237"/>
      <c r="DA29" s="237"/>
      <c r="DB29" s="237"/>
      <c r="DC29" s="237"/>
      <c r="DD29" s="237"/>
      <c r="DE29" s="237"/>
      <c r="DF29" s="237"/>
      <c r="DG29" s="234"/>
      <c r="DH29" s="234"/>
      <c r="DI29" s="234"/>
    </row>
    <row r="30" spans="2:116" s="73" customFormat="1" ht="18.75" customHeight="1">
      <c r="B30" s="244" t="s">
        <v>77</v>
      </c>
      <c r="C30" s="245"/>
      <c r="D30" s="51"/>
      <c r="E30" s="59"/>
      <c r="F30" s="59"/>
      <c r="G30" s="59"/>
      <c r="H30" s="59"/>
      <c r="I30" s="59"/>
      <c r="J30" s="59"/>
      <c r="K30" s="59"/>
      <c r="L30" s="65"/>
      <c r="M30" s="60"/>
      <c r="N30" s="60"/>
      <c r="O30" s="81"/>
      <c r="P30" s="81"/>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0"/>
      <c r="BX30" s="80"/>
      <c r="BY30" s="80"/>
      <c r="BZ30" s="80"/>
      <c r="CA30" s="80"/>
      <c r="CB30" s="80"/>
      <c r="CC30" s="80"/>
      <c r="CD30" s="80"/>
      <c r="CE30" s="80"/>
      <c r="CF30" s="80"/>
      <c r="CG30" s="80"/>
      <c r="CH30" s="80"/>
      <c r="CI30" s="80"/>
      <c r="CJ30" s="80"/>
      <c r="CK30" s="80"/>
      <c r="CL30" s="80"/>
      <c r="CM30" s="80"/>
      <c r="CN30" s="80"/>
      <c r="CO30" s="80"/>
      <c r="CP30" s="80"/>
      <c r="CQ30" s="80"/>
      <c r="CR30" s="80"/>
      <c r="CS30" s="80"/>
      <c r="CT30" s="80"/>
      <c r="CU30" s="80"/>
      <c r="CV30" s="80"/>
      <c r="CW30" s="80"/>
      <c r="CX30" s="80"/>
      <c r="CY30" s="80"/>
      <c r="CZ30" s="80"/>
      <c r="DA30" s="80"/>
      <c r="DB30" s="80"/>
      <c r="DC30" s="80"/>
      <c r="DD30" s="80"/>
      <c r="DE30" s="80"/>
      <c r="DF30" s="80"/>
      <c r="DG30" s="80"/>
      <c r="DH30" s="80"/>
      <c r="DI30" s="80"/>
    </row>
    <row r="31" spans="2:116" s="73" customFormat="1" ht="18.75" customHeight="1">
      <c r="B31" s="52"/>
      <c r="C31" s="82" t="s">
        <v>78</v>
      </c>
      <c r="D31" s="83"/>
      <c r="E31" s="56">
        <v>235</v>
      </c>
      <c r="F31" s="56">
        <f>SUM(M31:N31)</f>
        <v>35</v>
      </c>
      <c r="G31" s="56">
        <f>SUM(O31:Z31)</f>
        <v>4294</v>
      </c>
      <c r="H31" s="56">
        <f>SUM(AA31:AL31)</f>
        <v>3191</v>
      </c>
      <c r="I31" s="56">
        <f>SUM(AM31:AX31)</f>
        <v>4174</v>
      </c>
      <c r="J31" s="56">
        <v>4210</v>
      </c>
      <c r="K31" s="56">
        <f>SUM(BK31:BV31)</f>
        <v>2055</v>
      </c>
      <c r="L31" s="65"/>
      <c r="M31" s="96">
        <v>6</v>
      </c>
      <c r="N31" s="96">
        <v>29</v>
      </c>
      <c r="O31" s="87">
        <v>52</v>
      </c>
      <c r="P31" s="87">
        <v>30</v>
      </c>
      <c r="Q31" s="87">
        <v>267</v>
      </c>
      <c r="R31" s="87">
        <v>251</v>
      </c>
      <c r="S31" s="87">
        <v>426</v>
      </c>
      <c r="T31" s="87">
        <v>555</v>
      </c>
      <c r="U31" s="87">
        <v>379</v>
      </c>
      <c r="V31" s="87">
        <v>456</v>
      </c>
      <c r="W31" s="87">
        <v>464</v>
      </c>
      <c r="X31" s="87">
        <v>518</v>
      </c>
      <c r="Y31" s="87">
        <v>417</v>
      </c>
      <c r="Z31" s="87">
        <v>479</v>
      </c>
      <c r="AA31" s="87">
        <v>557</v>
      </c>
      <c r="AB31" s="87">
        <v>570</v>
      </c>
      <c r="AC31" s="87">
        <v>343</v>
      </c>
      <c r="AD31" s="87">
        <v>241</v>
      </c>
      <c r="AE31" s="87">
        <v>128</v>
      </c>
      <c r="AF31" s="87">
        <v>151</v>
      </c>
      <c r="AG31" s="87">
        <v>316</v>
      </c>
      <c r="AH31" s="87">
        <v>335</v>
      </c>
      <c r="AI31" s="87">
        <v>140</v>
      </c>
      <c r="AJ31" s="87">
        <v>73</v>
      </c>
      <c r="AK31" s="87">
        <v>154</v>
      </c>
      <c r="AL31" s="87">
        <v>183</v>
      </c>
      <c r="AM31" s="87">
        <v>265</v>
      </c>
      <c r="AN31" s="87">
        <v>387</v>
      </c>
      <c r="AO31" s="87">
        <v>463</v>
      </c>
      <c r="AP31" s="87">
        <v>492</v>
      </c>
      <c r="AQ31" s="87">
        <v>336</v>
      </c>
      <c r="AR31" s="87">
        <v>354</v>
      </c>
      <c r="AS31" s="87">
        <v>414</v>
      </c>
      <c r="AT31" s="87">
        <v>380</v>
      </c>
      <c r="AU31" s="87">
        <v>329</v>
      </c>
      <c r="AV31" s="96">
        <v>207</v>
      </c>
      <c r="AW31" s="87">
        <v>217</v>
      </c>
      <c r="AX31" s="87">
        <v>330</v>
      </c>
      <c r="AY31" s="87">
        <v>0</v>
      </c>
      <c r="AZ31" s="87">
        <v>202</v>
      </c>
      <c r="BA31" s="87">
        <v>285</v>
      </c>
      <c r="BB31" s="87">
        <v>503</v>
      </c>
      <c r="BC31" s="87">
        <v>366</v>
      </c>
      <c r="BD31" s="87">
        <v>369</v>
      </c>
      <c r="BE31" s="87">
        <v>582</v>
      </c>
      <c r="BF31" s="87">
        <v>411</v>
      </c>
      <c r="BG31" s="87">
        <v>446</v>
      </c>
      <c r="BH31" s="87">
        <v>325</v>
      </c>
      <c r="BI31" s="87">
        <v>318</v>
      </c>
      <c r="BJ31" s="87">
        <v>403</v>
      </c>
      <c r="BK31" s="93">
        <v>305</v>
      </c>
      <c r="BL31" s="87">
        <v>318</v>
      </c>
      <c r="BM31" s="87">
        <v>438</v>
      </c>
      <c r="BN31" s="87">
        <v>373</v>
      </c>
      <c r="BO31" s="87">
        <v>280</v>
      </c>
      <c r="BP31" s="87"/>
      <c r="BQ31" s="87"/>
      <c r="BR31" s="87"/>
      <c r="BS31" s="87">
        <v>341</v>
      </c>
      <c r="BT31" s="96"/>
      <c r="BU31" s="87"/>
      <c r="BV31" s="87"/>
      <c r="BX31" s="96">
        <v>119</v>
      </c>
      <c r="BZ31" s="96">
        <v>51</v>
      </c>
      <c r="CA31" s="96">
        <v>68</v>
      </c>
      <c r="CB31" s="96"/>
      <c r="CC31" s="117"/>
      <c r="CD31" s="117"/>
      <c r="CE31" s="121"/>
      <c r="CF31" s="104">
        <v>15</v>
      </c>
      <c r="CG31" s="104">
        <v>11</v>
      </c>
      <c r="CH31" s="104">
        <v>9</v>
      </c>
      <c r="CI31" s="104">
        <v>11</v>
      </c>
      <c r="CJ31" s="104">
        <v>5</v>
      </c>
      <c r="CK31" s="104" t="s">
        <v>82</v>
      </c>
      <c r="CL31" s="104">
        <v>12</v>
      </c>
      <c r="CM31" s="104">
        <v>18</v>
      </c>
      <c r="CN31" s="104">
        <v>14</v>
      </c>
      <c r="CO31" s="104">
        <v>7</v>
      </c>
      <c r="CP31" s="104">
        <v>15</v>
      </c>
      <c r="CQ31" s="104">
        <v>2</v>
      </c>
      <c r="CR31" s="104"/>
      <c r="CS31" s="104"/>
      <c r="CT31" s="104"/>
      <c r="CU31" s="104"/>
      <c r="CV31" s="104"/>
      <c r="CW31" s="104"/>
      <c r="CX31" s="104"/>
      <c r="CY31" s="104"/>
      <c r="CZ31" s="104"/>
      <c r="DA31" s="122"/>
      <c r="DB31" s="122"/>
      <c r="DC31" s="122"/>
      <c r="DD31" s="104"/>
      <c r="DE31" s="122"/>
      <c r="DF31" s="122"/>
      <c r="DG31" s="122"/>
      <c r="DH31" s="122"/>
      <c r="DI31" s="122"/>
      <c r="DJ31" s="73" t="s">
        <v>82</v>
      </c>
      <c r="DK31" s="73" t="s">
        <v>82</v>
      </c>
      <c r="DL31" s="73" t="s">
        <v>82</v>
      </c>
    </row>
    <row r="32" spans="2:116" s="73" customFormat="1" ht="18.75" customHeight="1">
      <c r="B32" s="52"/>
      <c r="C32" s="82" t="s">
        <v>79</v>
      </c>
      <c r="D32" s="83"/>
      <c r="E32" s="61">
        <v>0.17709118311981914</v>
      </c>
      <c r="F32" s="86">
        <f t="shared" ref="F32:I32" si="42">F31/F9</f>
        <v>1.6256386437529028E-2</v>
      </c>
      <c r="G32" s="86">
        <f t="shared" si="42"/>
        <v>0.1212275203975043</v>
      </c>
      <c r="H32" s="86">
        <f t="shared" si="42"/>
        <v>8.4592545464185362E-2</v>
      </c>
      <c r="I32" s="86">
        <f t="shared" si="42"/>
        <v>8.7749910652343013E-2</v>
      </c>
      <c r="J32" s="86">
        <v>0.10465867846666335</v>
      </c>
      <c r="K32" s="86">
        <f>K31/K9</f>
        <v>0.15839371049791892</v>
      </c>
      <c r="L32" s="65"/>
      <c r="M32" s="88">
        <f t="shared" ref="M32:AS32" si="43">IF(IFERROR(M31/M9,"")=0,"",IFERROR(M31/M9,""))</f>
        <v>1.5463917525773196E-2</v>
      </c>
      <c r="N32" s="88">
        <f t="shared" si="43"/>
        <v>1.643059490084986E-2</v>
      </c>
      <c r="O32" s="88">
        <f t="shared" si="43"/>
        <v>2.2491349480968859E-2</v>
      </c>
      <c r="P32" s="88">
        <f t="shared" si="43"/>
        <v>1.2652889076339097E-2</v>
      </c>
      <c r="Q32" s="88">
        <f t="shared" si="43"/>
        <v>8.7598425196850391E-2</v>
      </c>
      <c r="R32" s="88">
        <f t="shared" si="43"/>
        <v>8.7273991655076488E-2</v>
      </c>
      <c r="S32" s="88">
        <f t="shared" si="43"/>
        <v>0.15502183406113537</v>
      </c>
      <c r="T32" s="88">
        <f t="shared" si="43"/>
        <v>0.18769022658099424</v>
      </c>
      <c r="U32" s="88">
        <f t="shared" si="43"/>
        <v>0.11203074194501922</v>
      </c>
      <c r="V32" s="88">
        <f t="shared" si="43"/>
        <v>0.12603648424543948</v>
      </c>
      <c r="W32" s="88">
        <f t="shared" si="43"/>
        <v>0.16940489229645855</v>
      </c>
      <c r="X32" s="88">
        <f t="shared" si="43"/>
        <v>0.15555555555555556</v>
      </c>
      <c r="Y32" s="88">
        <f t="shared" si="43"/>
        <v>0.13521400778210116</v>
      </c>
      <c r="Z32" s="88">
        <f t="shared" si="43"/>
        <v>0.16209813874788495</v>
      </c>
      <c r="AA32" s="88">
        <f t="shared" si="43"/>
        <v>0.17023227383863079</v>
      </c>
      <c r="AB32" s="88">
        <f t="shared" si="43"/>
        <v>0.20184135977337112</v>
      </c>
      <c r="AC32" s="88">
        <f t="shared" si="43"/>
        <v>0.11075234097513723</v>
      </c>
      <c r="AD32" s="88">
        <f t="shared" si="43"/>
        <v>6.6907273736812878E-2</v>
      </c>
      <c r="AE32" s="88">
        <f t="shared" si="43"/>
        <v>4.2895442359249331E-2</v>
      </c>
      <c r="AF32" s="88">
        <f t="shared" si="43"/>
        <v>5.6217423678332094E-2</v>
      </c>
      <c r="AG32" s="88">
        <f t="shared" si="43"/>
        <v>8.8963963963963957E-2</v>
      </c>
      <c r="AH32" s="88">
        <f t="shared" si="43"/>
        <v>9.5414411848476224E-2</v>
      </c>
      <c r="AI32" s="88">
        <f t="shared" si="43"/>
        <v>4.5602605863192182E-2</v>
      </c>
      <c r="AJ32" s="88">
        <f t="shared" si="43"/>
        <v>2.2572665429808288E-2</v>
      </c>
      <c r="AK32" s="88">
        <f t="shared" si="43"/>
        <v>5.2009456264775412E-2</v>
      </c>
      <c r="AL32" s="88">
        <f t="shared" si="43"/>
        <v>6.2478661659269373E-2</v>
      </c>
      <c r="AM32" s="88">
        <f t="shared" si="43"/>
        <v>8.48E-2</v>
      </c>
      <c r="AN32" s="88">
        <f t="shared" si="43"/>
        <v>9.5390682770520083E-2</v>
      </c>
      <c r="AO32" s="88">
        <f t="shared" si="43"/>
        <v>7.4270131536734035E-2</v>
      </c>
      <c r="AP32" s="88">
        <f t="shared" si="43"/>
        <v>9.5645412130637639E-2</v>
      </c>
      <c r="AQ32" s="88">
        <f t="shared" si="43"/>
        <v>8.0846968238691044E-2</v>
      </c>
      <c r="AR32" s="88">
        <f t="shared" si="43"/>
        <v>9.3256059009483666E-2</v>
      </c>
      <c r="AS32" s="88">
        <f t="shared" si="43"/>
        <v>0.11468144044321329</v>
      </c>
      <c r="AT32" s="88">
        <v>0.11052937754508435</v>
      </c>
      <c r="AU32" s="88">
        <v>8.7756735129367838E-2</v>
      </c>
      <c r="AV32" s="92">
        <f>AV31/AV9</f>
        <v>7.1158473702303202E-2</v>
      </c>
      <c r="AW32" s="88">
        <f t="shared" ref="AW32:AX32" si="44">IF(IFERROR(AW31/AW9,"")=0,"",IFERROR(AW31/AW9,""))</f>
        <v>7.2745558162923232E-2</v>
      </c>
      <c r="AX32" s="88">
        <f t="shared" si="44"/>
        <v>7.5584058634906096E-2</v>
      </c>
      <c r="AY32" s="88" t="s">
        <v>82</v>
      </c>
      <c r="AZ32" s="88">
        <v>7.1076706544686841E-2</v>
      </c>
      <c r="BA32" s="88">
        <v>8.0874006810442683E-2</v>
      </c>
      <c r="BB32" s="88">
        <v>0.11719478098788444</v>
      </c>
      <c r="BC32" s="88">
        <v>0.10624092888243832</v>
      </c>
      <c r="BD32" s="88">
        <v>0.11319018404907975</v>
      </c>
      <c r="BE32" s="88">
        <v>0.15097276264591439</v>
      </c>
      <c r="BF32" s="88">
        <v>0.12250372578241431</v>
      </c>
      <c r="BG32" s="88">
        <v>0.12461581447331657</v>
      </c>
      <c r="BH32" s="88">
        <v>0.126854020296643</v>
      </c>
      <c r="BI32" s="88">
        <v>0.12843295638126009</v>
      </c>
      <c r="BJ32" s="88">
        <v>0.12305343511450381</v>
      </c>
      <c r="BK32" s="88">
        <v>0.12598099958694753</v>
      </c>
      <c r="BL32" s="88">
        <v>0.13366960907944514</v>
      </c>
      <c r="BM32" s="88">
        <v>0.17534027221777421</v>
      </c>
      <c r="BN32" s="88">
        <v>0.1760264275601699</v>
      </c>
      <c r="BO32" s="88">
        <v>0.15954415954415954</v>
      </c>
      <c r="BP32" s="88"/>
      <c r="BQ32" s="88"/>
      <c r="BR32" s="88"/>
      <c r="BS32" s="88">
        <v>0.18923418423973362</v>
      </c>
      <c r="BT32" s="88"/>
      <c r="BU32" s="88"/>
      <c r="BV32" s="88"/>
      <c r="BX32" s="146">
        <v>0.125</v>
      </c>
      <c r="BZ32" s="146">
        <v>0.11670480549199085</v>
      </c>
      <c r="CA32" s="146">
        <v>0.13203883495145632</v>
      </c>
      <c r="CB32" s="146"/>
      <c r="CC32" s="123"/>
      <c r="CD32" s="124"/>
      <c r="CE32" s="121"/>
      <c r="CF32" s="101">
        <v>0.15463917525773196</v>
      </c>
      <c r="CG32" s="101">
        <v>0.11956521739130435</v>
      </c>
      <c r="CH32" s="101">
        <v>0.09</v>
      </c>
      <c r="CI32" s="101">
        <v>9.6491228070175433E-2</v>
      </c>
      <c r="CJ32" s="101">
        <v>0.14705882352941177</v>
      </c>
      <c r="CK32" s="101" t="s">
        <v>82</v>
      </c>
      <c r="CL32" s="101">
        <v>0.11650485436893204</v>
      </c>
      <c r="CM32" s="101">
        <v>0.17821782178217821</v>
      </c>
      <c r="CN32" s="101">
        <v>0.14285714285714285</v>
      </c>
      <c r="CO32" s="101">
        <v>7.4468085106382975E-2</v>
      </c>
      <c r="CP32" s="101">
        <v>0.15789473684210525</v>
      </c>
      <c r="CQ32" s="101">
        <v>8.3333333333333329E-2</v>
      </c>
      <c r="CR32" s="101"/>
      <c r="CS32" s="101"/>
      <c r="CT32" s="101"/>
      <c r="CU32" s="101"/>
      <c r="CV32" s="101"/>
      <c r="CW32" s="101"/>
      <c r="CX32" s="101"/>
      <c r="CY32" s="101"/>
      <c r="CZ32" s="101"/>
      <c r="DA32" s="125"/>
      <c r="DB32" s="125"/>
      <c r="DC32" s="125"/>
      <c r="DD32" s="101"/>
      <c r="DE32" s="125"/>
      <c r="DF32" s="125"/>
      <c r="DG32" s="125"/>
      <c r="DH32" s="125"/>
      <c r="DI32" s="125"/>
      <c r="DJ32" s="73" t="s">
        <v>82</v>
      </c>
      <c r="DK32" s="73" t="s">
        <v>82</v>
      </c>
      <c r="DL32" s="73" t="s">
        <v>82</v>
      </c>
    </row>
    <row r="33" spans="2:113" s="73" customFormat="1" ht="18.75" customHeight="1">
      <c r="B33" s="52"/>
      <c r="C33" s="82" t="s">
        <v>80</v>
      </c>
      <c r="D33" s="83"/>
      <c r="E33" s="61">
        <v>13.055555555555555</v>
      </c>
      <c r="F33" s="64">
        <f>IFERROR(F31/COUNT(M31:N31),"")</f>
        <v>17.5</v>
      </c>
      <c r="G33" s="64">
        <f>IFERROR(G31/COUNT(O31:Z31),"")</f>
        <v>357.83333333333331</v>
      </c>
      <c r="H33" s="64">
        <f>IFERROR(H31/COUNT(AA31:AL31),"")</f>
        <v>265.91666666666669</v>
      </c>
      <c r="I33" s="64">
        <f>IFERROR(I31/COUNT(AM31:AX31),"")</f>
        <v>347.83333333333331</v>
      </c>
      <c r="J33" s="64">
        <v>350.83333333333331</v>
      </c>
      <c r="K33" s="64">
        <f>IFERROR(K31/COUNT(BK31:BV31),"")</f>
        <v>342.5</v>
      </c>
      <c r="L33" s="65"/>
      <c r="M33" s="72">
        <f>IF(IFERROR(M31/M$8,"")=0,"",IFERROR(M31/M$8,""))</f>
        <v>0.54545454545454541</v>
      </c>
      <c r="N33" s="72">
        <f t="shared" ref="N33:AX33" si="45">IF(IFERROR(N31/N$8,"")=0,"",IFERROR(N31/N$8,""))</f>
        <v>1.288888888888889</v>
      </c>
      <c r="O33" s="72">
        <f t="shared" si="45"/>
        <v>2.1666666666666665</v>
      </c>
      <c r="P33" s="72">
        <f t="shared" si="45"/>
        <v>1.25</v>
      </c>
      <c r="Q33" s="72">
        <f t="shared" si="45"/>
        <v>11.361702127659575</v>
      </c>
      <c r="R33" s="72">
        <f t="shared" si="45"/>
        <v>10.913043478260869</v>
      </c>
      <c r="S33" s="72">
        <f t="shared" si="45"/>
        <v>19.813953488372093</v>
      </c>
      <c r="T33" s="72">
        <f t="shared" si="45"/>
        <v>25.813953488372093</v>
      </c>
      <c r="U33" s="72">
        <f t="shared" si="45"/>
        <v>15.791666666666666</v>
      </c>
      <c r="V33" s="72">
        <f t="shared" si="45"/>
        <v>19</v>
      </c>
      <c r="W33" s="72">
        <f t="shared" si="45"/>
        <v>23.794871794871796</v>
      </c>
      <c r="X33" s="72">
        <f t="shared" si="45"/>
        <v>22.521739130434781</v>
      </c>
      <c r="Y33" s="72">
        <f t="shared" si="45"/>
        <v>17.375</v>
      </c>
      <c r="Z33" s="72">
        <f t="shared" si="45"/>
        <v>18.784313725490197</v>
      </c>
      <c r="AA33" s="72">
        <f t="shared" si="45"/>
        <v>23.208333333333332</v>
      </c>
      <c r="AB33" s="72">
        <f t="shared" si="45"/>
        <v>30</v>
      </c>
      <c r="AC33" s="72">
        <f t="shared" si="45"/>
        <v>14.595744680851064</v>
      </c>
      <c r="AD33" s="72">
        <f t="shared" si="45"/>
        <v>10.041666666666666</v>
      </c>
      <c r="AE33" s="72">
        <f t="shared" si="45"/>
        <v>5.333333333333333</v>
      </c>
      <c r="AF33" s="72">
        <f t="shared" si="45"/>
        <v>7.0232558139534884</v>
      </c>
      <c r="AG33" s="72">
        <f t="shared" si="45"/>
        <v>12.64</v>
      </c>
      <c r="AH33" s="72">
        <f t="shared" si="45"/>
        <v>14.25531914893617</v>
      </c>
      <c r="AI33" s="72">
        <f t="shared" si="45"/>
        <v>6.8292682926829267</v>
      </c>
      <c r="AJ33" s="72">
        <f t="shared" si="45"/>
        <v>2.9795918367346941</v>
      </c>
      <c r="AK33" s="72">
        <f t="shared" si="45"/>
        <v>6.2857142857142856</v>
      </c>
      <c r="AL33" s="72">
        <f t="shared" si="45"/>
        <v>7.9565217391304346</v>
      </c>
      <c r="AM33" s="72">
        <f t="shared" si="45"/>
        <v>12.325581395348838</v>
      </c>
      <c r="AN33" s="72">
        <f t="shared" si="45"/>
        <v>17.2</v>
      </c>
      <c r="AO33" s="72">
        <f t="shared" si="45"/>
        <v>19.291666666666668</v>
      </c>
      <c r="AP33" s="72">
        <f t="shared" si="45"/>
        <v>22.363636363636363</v>
      </c>
      <c r="AQ33" s="72">
        <f t="shared" si="45"/>
        <v>15.627906976744185</v>
      </c>
      <c r="AR33" s="72">
        <f t="shared" si="45"/>
        <v>15.063829787234043</v>
      </c>
      <c r="AS33" s="72">
        <f t="shared" si="45"/>
        <v>16.559999999999999</v>
      </c>
      <c r="AT33" s="72">
        <f t="shared" si="45"/>
        <v>17.272727272727273</v>
      </c>
      <c r="AU33" s="72">
        <f t="shared" si="45"/>
        <v>14.304347826086957</v>
      </c>
      <c r="AV33" s="72">
        <f t="shared" si="45"/>
        <v>9.8571428571428577</v>
      </c>
      <c r="AW33" s="72">
        <f t="shared" si="45"/>
        <v>9.4347826086956523</v>
      </c>
      <c r="AX33" s="72">
        <f t="shared" si="45"/>
        <v>13.75</v>
      </c>
      <c r="AY33" s="72" t="s">
        <v>82</v>
      </c>
      <c r="AZ33" s="72">
        <v>10.358974358974359</v>
      </c>
      <c r="BA33" s="72">
        <v>11.875</v>
      </c>
      <c r="BB33" s="72">
        <v>20.958333333333332</v>
      </c>
      <c r="BC33" s="72">
        <v>18.76923076923077</v>
      </c>
      <c r="BD33" s="72">
        <v>15.375</v>
      </c>
      <c r="BE33" s="72">
        <v>23.755102040816325</v>
      </c>
      <c r="BF33" s="72">
        <v>17.869565217391305</v>
      </c>
      <c r="BG33" s="72">
        <v>21.238095238095237</v>
      </c>
      <c r="BH33" s="72">
        <v>15.476190476190476</v>
      </c>
      <c r="BI33" s="72">
        <v>13.25</v>
      </c>
      <c r="BJ33" s="72">
        <v>16.448979591836736</v>
      </c>
      <c r="BK33" s="72">
        <v>13.863636363636363</v>
      </c>
      <c r="BL33" s="72">
        <v>15.9</v>
      </c>
      <c r="BM33" s="72">
        <v>19.043478260869566</v>
      </c>
      <c r="BN33" s="72">
        <v>15.872340425531915</v>
      </c>
      <c r="BO33" s="72">
        <v>12.173913043478262</v>
      </c>
      <c r="BP33" s="72"/>
      <c r="BQ33" s="72"/>
      <c r="BR33" s="72"/>
      <c r="BS33" s="72">
        <v>15.86046511627907</v>
      </c>
      <c r="BT33" s="72"/>
      <c r="BU33" s="72"/>
      <c r="BV33" s="72"/>
      <c r="BX33" s="147">
        <v>11.9</v>
      </c>
      <c r="BZ33" s="147">
        <v>11.333333333333334</v>
      </c>
      <c r="CA33" s="147">
        <v>12.363636363636363</v>
      </c>
      <c r="CB33" s="147"/>
      <c r="CC33" s="126"/>
      <c r="CD33" s="126"/>
      <c r="CE33" s="121"/>
      <c r="CF33" s="127"/>
      <c r="CG33" s="127"/>
      <c r="CH33" s="127"/>
      <c r="CI33" s="127"/>
      <c r="CJ33" s="127"/>
      <c r="CK33" s="127"/>
      <c r="CL33" s="127"/>
      <c r="CM33" s="127"/>
      <c r="CN33" s="127"/>
      <c r="CO33" s="127"/>
      <c r="CP33" s="127"/>
      <c r="CQ33" s="127"/>
      <c r="CR33" s="127"/>
      <c r="CS33" s="127"/>
      <c r="CT33" s="127"/>
      <c r="CU33" s="127"/>
      <c r="CV33" s="127"/>
      <c r="CW33" s="127"/>
      <c r="CX33" s="127"/>
      <c r="CY33" s="127"/>
      <c r="CZ33" s="127"/>
      <c r="DA33" s="127"/>
      <c r="DB33" s="127"/>
      <c r="DC33" s="127"/>
      <c r="DD33" s="127"/>
      <c r="DE33" s="127"/>
      <c r="DF33" s="127"/>
      <c r="DG33" s="127"/>
      <c r="DH33" s="127"/>
      <c r="DI33" s="127"/>
    </row>
    <row r="34" spans="2:113" s="73" customFormat="1" ht="18.75" customHeight="1">
      <c r="B34" s="63"/>
      <c r="C34" s="82" t="s">
        <v>81</v>
      </c>
      <c r="D34" s="84"/>
      <c r="E34" s="85"/>
      <c r="F34" s="85"/>
      <c r="G34" s="57">
        <f>IF(COUNT(O32:Z32)&lt;12,"",G31-F31)</f>
        <v>4259</v>
      </c>
      <c r="H34" s="57">
        <f>IF(COUNT(AA32:AL32)&lt;12,"",H31-G31)</f>
        <v>-1103</v>
      </c>
      <c r="I34" s="57">
        <f>IF(COUNT(AM32:AX32)&lt;12,"",I31-H31)</f>
        <v>983</v>
      </c>
      <c r="J34" s="57" t="s">
        <v>82</v>
      </c>
      <c r="K34" s="57" t="str">
        <f>IF(COUNT(BK32:BV32)&lt;12,"",K31-I31)</f>
        <v/>
      </c>
      <c r="L34" s="65"/>
      <c r="M34" s="89"/>
      <c r="N34" s="97">
        <f>IF(N31="","",N31-M31)</f>
        <v>23</v>
      </c>
      <c r="O34" s="97">
        <f t="shared" ref="O34:AL34" si="46">IF(O31="","",O31-N31)</f>
        <v>23</v>
      </c>
      <c r="P34" s="97">
        <f t="shared" si="46"/>
        <v>-22</v>
      </c>
      <c r="Q34" s="97">
        <f t="shared" si="46"/>
        <v>237</v>
      </c>
      <c r="R34" s="97">
        <f t="shared" si="46"/>
        <v>-16</v>
      </c>
      <c r="S34" s="97">
        <f t="shared" si="46"/>
        <v>175</v>
      </c>
      <c r="T34" s="97">
        <f t="shared" si="46"/>
        <v>129</v>
      </c>
      <c r="U34" s="97">
        <f t="shared" si="46"/>
        <v>-176</v>
      </c>
      <c r="V34" s="97">
        <f t="shared" si="46"/>
        <v>77</v>
      </c>
      <c r="W34" s="97">
        <f t="shared" si="46"/>
        <v>8</v>
      </c>
      <c r="X34" s="97">
        <f t="shared" si="46"/>
        <v>54</v>
      </c>
      <c r="Y34" s="97">
        <f t="shared" si="46"/>
        <v>-101</v>
      </c>
      <c r="Z34" s="97">
        <f t="shared" si="46"/>
        <v>62</v>
      </c>
      <c r="AA34" s="97">
        <f t="shared" si="46"/>
        <v>78</v>
      </c>
      <c r="AB34" s="97">
        <f t="shared" si="46"/>
        <v>13</v>
      </c>
      <c r="AC34" s="97">
        <f t="shared" si="46"/>
        <v>-227</v>
      </c>
      <c r="AD34" s="97">
        <f t="shared" si="46"/>
        <v>-102</v>
      </c>
      <c r="AE34" s="97">
        <f t="shared" si="46"/>
        <v>-113</v>
      </c>
      <c r="AF34" s="97">
        <f t="shared" si="46"/>
        <v>23</v>
      </c>
      <c r="AG34" s="97">
        <f t="shared" si="46"/>
        <v>165</v>
      </c>
      <c r="AH34" s="97">
        <f t="shared" si="46"/>
        <v>19</v>
      </c>
      <c r="AI34" s="97">
        <f t="shared" si="46"/>
        <v>-195</v>
      </c>
      <c r="AJ34" s="97">
        <f t="shared" si="46"/>
        <v>-67</v>
      </c>
      <c r="AK34" s="97">
        <f t="shared" si="46"/>
        <v>81</v>
      </c>
      <c r="AL34" s="97">
        <f t="shared" si="46"/>
        <v>29</v>
      </c>
      <c r="AM34" s="97">
        <f>IF(AM31="","",AM31-Z31)</f>
        <v>-214</v>
      </c>
      <c r="AN34" s="97">
        <f t="shared" ref="AN34:AX34" si="47">IF(AN31="","",AN31-AM31)</f>
        <v>122</v>
      </c>
      <c r="AO34" s="97">
        <f t="shared" si="47"/>
        <v>76</v>
      </c>
      <c r="AP34" s="97">
        <f t="shared" si="47"/>
        <v>29</v>
      </c>
      <c r="AQ34" s="97">
        <f t="shared" si="47"/>
        <v>-156</v>
      </c>
      <c r="AR34" s="97">
        <f t="shared" si="47"/>
        <v>18</v>
      </c>
      <c r="AS34" s="97">
        <f t="shared" si="47"/>
        <v>60</v>
      </c>
      <c r="AT34" s="97">
        <f t="shared" si="47"/>
        <v>-34</v>
      </c>
      <c r="AU34" s="97">
        <f t="shared" si="47"/>
        <v>-51</v>
      </c>
      <c r="AV34" s="97">
        <f t="shared" si="47"/>
        <v>-122</v>
      </c>
      <c r="AW34" s="97">
        <f t="shared" si="47"/>
        <v>10</v>
      </c>
      <c r="AX34" s="97">
        <f t="shared" si="47"/>
        <v>113</v>
      </c>
      <c r="AY34" s="97">
        <v>-183</v>
      </c>
      <c r="AZ34" s="97">
        <v>202</v>
      </c>
      <c r="BA34" s="97">
        <v>83</v>
      </c>
      <c r="BB34" s="97">
        <v>218</v>
      </c>
      <c r="BC34" s="97">
        <v>-137</v>
      </c>
      <c r="BD34" s="97">
        <v>3</v>
      </c>
      <c r="BE34" s="97">
        <v>213</v>
      </c>
      <c r="BF34" s="97">
        <v>-171</v>
      </c>
      <c r="BG34" s="97">
        <v>35</v>
      </c>
      <c r="BH34" s="97">
        <v>-121</v>
      </c>
      <c r="BI34" s="97">
        <v>-7</v>
      </c>
      <c r="BJ34" s="97">
        <v>85</v>
      </c>
      <c r="BK34" s="97"/>
      <c r="BL34" s="97"/>
      <c r="BM34" s="97"/>
      <c r="BN34" s="97"/>
      <c r="BO34" s="97"/>
      <c r="BP34" s="97"/>
      <c r="BQ34" s="97"/>
      <c r="BR34" s="97"/>
      <c r="BS34" s="97"/>
      <c r="BT34" s="97"/>
      <c r="BU34" s="97"/>
      <c r="BV34" s="97"/>
      <c r="BX34" s="127"/>
      <c r="BY34" s="121"/>
      <c r="BZ34" s="127"/>
      <c r="CA34" s="127"/>
      <c r="CB34" s="127"/>
      <c r="CC34" s="127"/>
      <c r="CD34" s="127"/>
      <c r="CE34" s="121"/>
      <c r="CF34" s="121"/>
      <c r="CG34" s="121"/>
      <c r="CH34" s="121"/>
      <c r="CI34" s="121"/>
      <c r="CJ34" s="121"/>
      <c r="CK34" s="121"/>
      <c r="CL34" s="121"/>
      <c r="CM34" s="121"/>
      <c r="CN34" s="121"/>
      <c r="CO34" s="121"/>
      <c r="CP34" s="121"/>
      <c r="CQ34" s="121"/>
      <c r="CR34" s="121"/>
      <c r="CS34" s="121"/>
      <c r="CT34" s="121"/>
      <c r="CU34" s="121"/>
      <c r="CV34" s="121"/>
      <c r="CW34" s="121"/>
      <c r="CX34" s="121"/>
      <c r="CY34" s="121"/>
      <c r="CZ34" s="121"/>
      <c r="DA34" s="121"/>
      <c r="DB34" s="121"/>
      <c r="DC34" s="121"/>
      <c r="DD34" s="121"/>
      <c r="DE34" s="121"/>
      <c r="DF34" s="121"/>
      <c r="DG34" s="121"/>
      <c r="DH34" s="121"/>
      <c r="DI34" s="121"/>
    </row>
    <row r="35" spans="2:113" s="73" customFormat="1" ht="12">
      <c r="L35" s="80"/>
    </row>
    <row r="36" spans="2:113" s="73" customFormat="1" ht="12">
      <c r="L36" s="80"/>
    </row>
    <row r="37" spans="2:113" s="73" customFormat="1" ht="12">
      <c r="L37" s="80"/>
    </row>
    <row r="38" spans="2:113" s="73" customFormat="1" ht="12">
      <c r="L38" s="80"/>
    </row>
    <row r="39" spans="2:113" s="73" customFormat="1" ht="12">
      <c r="L39" s="80"/>
    </row>
    <row r="40" spans="2:113" s="73" customFormat="1" ht="12">
      <c r="L40" s="80"/>
    </row>
    <row r="41" spans="2:113" s="73" customFormat="1" ht="12">
      <c r="L41" s="80"/>
    </row>
    <row r="42" spans="2:113" s="73" customFormat="1" ht="12">
      <c r="L42" s="80"/>
    </row>
    <row r="43" spans="2:113" s="73" customFormat="1" ht="12">
      <c r="L43" s="80"/>
    </row>
    <row r="44" spans="2:113" s="73" customFormat="1" ht="12">
      <c r="L44" s="80"/>
    </row>
    <row r="45" spans="2:113" s="73" customFormat="1" ht="12">
      <c r="L45" s="80"/>
    </row>
    <row r="46" spans="2:113" s="73" customFormat="1" ht="12">
      <c r="L46" s="80"/>
    </row>
    <row r="47" spans="2:113" s="73" customFormat="1" ht="12">
      <c r="L47" s="80"/>
    </row>
    <row r="48" spans="2:113" s="73" customFormat="1" ht="12">
      <c r="L48" s="80"/>
    </row>
  </sheetData>
  <mergeCells count="236">
    <mergeCell ref="CY24:CY26"/>
    <mergeCell ref="CZ24:CZ26"/>
    <mergeCell ref="DA24:DA26"/>
    <mergeCell ref="DB24:DB26"/>
    <mergeCell ref="DC24:DC26"/>
    <mergeCell ref="DD24:DD26"/>
    <mergeCell ref="DE24:DE26"/>
    <mergeCell ref="DF24:DF26"/>
    <mergeCell ref="CY27:CY29"/>
    <mergeCell ref="CZ27:CZ29"/>
    <mergeCell ref="DA27:DA29"/>
    <mergeCell ref="DB27:DB29"/>
    <mergeCell ref="DC27:DC29"/>
    <mergeCell ref="DD27:DD29"/>
    <mergeCell ref="DE27:DE29"/>
    <mergeCell ref="DF27:DF29"/>
    <mergeCell ref="CY18:CY20"/>
    <mergeCell ref="CZ18:CZ20"/>
    <mergeCell ref="DA18:DA20"/>
    <mergeCell ref="DB18:DB20"/>
    <mergeCell ref="DC18:DC20"/>
    <mergeCell ref="DD18:DD20"/>
    <mergeCell ref="DE18:DE20"/>
    <mergeCell ref="DF18:DF20"/>
    <mergeCell ref="CY21:CY23"/>
    <mergeCell ref="CZ21:CZ23"/>
    <mergeCell ref="DA21:DA23"/>
    <mergeCell ref="DB21:DB23"/>
    <mergeCell ref="DC21:DC23"/>
    <mergeCell ref="DD21:DD23"/>
    <mergeCell ref="DE21:DE23"/>
    <mergeCell ref="DF21:DF23"/>
    <mergeCell ref="CY12:CY14"/>
    <mergeCell ref="CZ12:CZ14"/>
    <mergeCell ref="DA12:DA14"/>
    <mergeCell ref="DB12:DB14"/>
    <mergeCell ref="DC12:DC14"/>
    <mergeCell ref="DD12:DD14"/>
    <mergeCell ref="DE12:DE14"/>
    <mergeCell ref="DF12:DF14"/>
    <mergeCell ref="CY15:CY17"/>
    <mergeCell ref="CZ15:CZ17"/>
    <mergeCell ref="DA15:DA17"/>
    <mergeCell ref="DB15:DB17"/>
    <mergeCell ref="DC15:DC17"/>
    <mergeCell ref="DD15:DD17"/>
    <mergeCell ref="DE15:DE17"/>
    <mergeCell ref="DF15:DF17"/>
    <mergeCell ref="BK6:BV6"/>
    <mergeCell ref="BX6:BX7"/>
    <mergeCell ref="BZ6:CD6"/>
    <mergeCell ref="F7:F8"/>
    <mergeCell ref="CY9:CY11"/>
    <mergeCell ref="CZ9:CZ11"/>
    <mergeCell ref="DA9:DA11"/>
    <mergeCell ref="DB9:DB11"/>
    <mergeCell ref="DC9:DC11"/>
    <mergeCell ref="J7:J8"/>
    <mergeCell ref="AY6:BJ6"/>
    <mergeCell ref="CH9:CH11"/>
    <mergeCell ref="CF6:DI6"/>
    <mergeCell ref="DE9:DE11"/>
    <mergeCell ref="DF9:DF11"/>
    <mergeCell ref="CI9:CI11"/>
    <mergeCell ref="CJ9:CJ11"/>
    <mergeCell ref="CK9:CK11"/>
    <mergeCell ref="CQ9:CQ11"/>
    <mergeCell ref="CR9:CR11"/>
    <mergeCell ref="CX9:CX11"/>
    <mergeCell ref="CT9:CT11"/>
    <mergeCell ref="CU9:CU11"/>
    <mergeCell ref="DG9:DG11"/>
    <mergeCell ref="B30:C30"/>
    <mergeCell ref="C18:C20"/>
    <mergeCell ref="C21:C23"/>
    <mergeCell ref="C24:C26"/>
    <mergeCell ref="O6:Z6"/>
    <mergeCell ref="AA6:AL6"/>
    <mergeCell ref="AM6:AX6"/>
    <mergeCell ref="M6:N6"/>
    <mergeCell ref="B9:C9"/>
    <mergeCell ref="G7:G8"/>
    <mergeCell ref="H7:H8"/>
    <mergeCell ref="I7:I8"/>
    <mergeCell ref="K7:K8"/>
    <mergeCell ref="E6:E8"/>
    <mergeCell ref="C12:C14"/>
    <mergeCell ref="C15:C17"/>
    <mergeCell ref="B6:D8"/>
    <mergeCell ref="F6:K6"/>
    <mergeCell ref="CF12:CF14"/>
    <mergeCell ref="CG12:CG14"/>
    <mergeCell ref="CH12:CH14"/>
    <mergeCell ref="CS9:CS11"/>
    <mergeCell ref="DD9:DD11"/>
    <mergeCell ref="C27:C29"/>
    <mergeCell ref="CQ12:CQ14"/>
    <mergeCell ref="CR12:CR14"/>
    <mergeCell ref="CW12:CW14"/>
    <mergeCell ref="CL9:CL11"/>
    <mergeCell ref="CV9:CV11"/>
    <mergeCell ref="CW9:CW11"/>
    <mergeCell ref="CN9:CN11"/>
    <mergeCell ref="CO9:CO11"/>
    <mergeCell ref="CP9:CP11"/>
    <mergeCell ref="CF15:CF17"/>
    <mergeCell ref="CG15:CG17"/>
    <mergeCell ref="CH15:CH17"/>
    <mergeCell ref="CS12:CS14"/>
    <mergeCell ref="CT12:CT14"/>
    <mergeCell ref="CU12:CU14"/>
    <mergeCell ref="CM9:CM11"/>
    <mergeCell ref="CF9:CF11"/>
    <mergeCell ref="CX12:CX14"/>
    <mergeCell ref="CV12:CV14"/>
    <mergeCell ref="CL18:CL20"/>
    <mergeCell ref="CM18:CM20"/>
    <mergeCell ref="CN12:CN14"/>
    <mergeCell ref="CO12:CO14"/>
    <mergeCell ref="CP12:CP14"/>
    <mergeCell ref="CT15:CT17"/>
    <mergeCell ref="CU15:CU17"/>
    <mergeCell ref="CO15:CO17"/>
    <mergeCell ref="CV15:CV17"/>
    <mergeCell ref="CN15:CN17"/>
    <mergeCell ref="CX15:CX17"/>
    <mergeCell ref="CW15:CW17"/>
    <mergeCell ref="CX18:CX20"/>
    <mergeCell ref="CV18:CV20"/>
    <mergeCell ref="CW18:CW20"/>
    <mergeCell ref="CT18:CT20"/>
    <mergeCell ref="CU18:CU20"/>
    <mergeCell ref="CN18:CN20"/>
    <mergeCell ref="CP18:CP20"/>
    <mergeCell ref="CK15:CK17"/>
    <mergeCell ref="CL15:CL17"/>
    <mergeCell ref="CM15:CM17"/>
    <mergeCell ref="CG21:CG23"/>
    <mergeCell ref="CH21:CH23"/>
    <mergeCell ref="CI21:CI23"/>
    <mergeCell ref="CJ21:CJ23"/>
    <mergeCell ref="CK21:CK23"/>
    <mergeCell ref="CK12:CK14"/>
    <mergeCell ref="CL12:CL14"/>
    <mergeCell ref="CM12:CM14"/>
    <mergeCell ref="CF21:CF23"/>
    <mergeCell ref="CM24:CM26"/>
    <mergeCell ref="CG9:CG11"/>
    <mergeCell ref="CS18:CS20"/>
    <mergeCell ref="CO18:CO20"/>
    <mergeCell ref="CQ18:CQ20"/>
    <mergeCell ref="CR18:CR20"/>
    <mergeCell ref="CJ18:CJ20"/>
    <mergeCell ref="CK18:CK20"/>
    <mergeCell ref="CI18:CI20"/>
    <mergeCell ref="CF24:CF26"/>
    <mergeCell ref="CG24:CG26"/>
    <mergeCell ref="CL21:CL23"/>
    <mergeCell ref="CF18:CF20"/>
    <mergeCell ref="CG18:CG20"/>
    <mergeCell ref="CH18:CH20"/>
    <mergeCell ref="CS15:CS17"/>
    <mergeCell ref="CI12:CI14"/>
    <mergeCell ref="CJ12:CJ14"/>
    <mergeCell ref="CP15:CP17"/>
    <mergeCell ref="CQ15:CQ17"/>
    <mergeCell ref="CR15:CR17"/>
    <mergeCell ref="CI15:CI17"/>
    <mergeCell ref="CJ15:CJ17"/>
    <mergeCell ref="CW21:CW23"/>
    <mergeCell ref="CN27:CN29"/>
    <mergeCell ref="CO27:CO29"/>
    <mergeCell ref="CP27:CP29"/>
    <mergeCell ref="CO21:CO23"/>
    <mergeCell ref="CP21:CP23"/>
    <mergeCell ref="CV21:CV23"/>
    <mergeCell ref="CQ21:CQ23"/>
    <mergeCell ref="CR21:CR23"/>
    <mergeCell ref="CQ27:CQ29"/>
    <mergeCell ref="CR27:CR29"/>
    <mergeCell ref="CV24:CV26"/>
    <mergeCell ref="CM27:CM29"/>
    <mergeCell ref="CH27:CH29"/>
    <mergeCell ref="CM21:CM23"/>
    <mergeCell ref="CN21:CN23"/>
    <mergeCell ref="CX21:CX23"/>
    <mergeCell ref="CS21:CS23"/>
    <mergeCell ref="CT21:CT23"/>
    <mergeCell ref="CU21:CU23"/>
    <mergeCell ref="CU24:CU26"/>
    <mergeCell ref="CW24:CW26"/>
    <mergeCell ref="CX24:CX26"/>
    <mergeCell ref="CX27:CX29"/>
    <mergeCell ref="CN24:CN26"/>
    <mergeCell ref="CO24:CO26"/>
    <mergeCell ref="CP24:CP26"/>
    <mergeCell ref="CQ24:CQ26"/>
    <mergeCell ref="CR24:CR26"/>
    <mergeCell ref="CS24:CS26"/>
    <mergeCell ref="CT24:CT26"/>
    <mergeCell ref="CS27:CS29"/>
    <mergeCell ref="CT27:CT29"/>
    <mergeCell ref="CU27:CU29"/>
    <mergeCell ref="CV27:CV29"/>
    <mergeCell ref="CW27:CW29"/>
    <mergeCell ref="CF27:CF29"/>
    <mergeCell ref="CG27:CG29"/>
    <mergeCell ref="CH24:CH26"/>
    <mergeCell ref="CI24:CI26"/>
    <mergeCell ref="CJ24:CJ26"/>
    <mergeCell ref="CK24:CK26"/>
    <mergeCell ref="CL24:CL26"/>
    <mergeCell ref="CI27:CI29"/>
    <mergeCell ref="CJ27:CJ29"/>
    <mergeCell ref="CK27:CK29"/>
    <mergeCell ref="CL27:CL29"/>
    <mergeCell ref="DI9:DI11"/>
    <mergeCell ref="DI12:DI14"/>
    <mergeCell ref="DI15:DI17"/>
    <mergeCell ref="DI18:DI20"/>
    <mergeCell ref="DI21:DI23"/>
    <mergeCell ref="DI24:DI26"/>
    <mergeCell ref="DI27:DI29"/>
    <mergeCell ref="DH27:DH29"/>
    <mergeCell ref="DG24:DG26"/>
    <mergeCell ref="DG27:DG29"/>
    <mergeCell ref="DG21:DG23"/>
    <mergeCell ref="DG18:DG20"/>
    <mergeCell ref="DG15:DG17"/>
    <mergeCell ref="DG12:DG14"/>
    <mergeCell ref="DH18:DH20"/>
    <mergeCell ref="DH21:DH23"/>
    <mergeCell ref="DH24:DH26"/>
    <mergeCell ref="DH9:DH11"/>
    <mergeCell ref="DH12:DH14"/>
    <mergeCell ref="DH15:DH17"/>
  </mergeCells>
  <phoneticPr fontId="1" type="noConversion"/>
  <conditionalFormatting sqref="CF8:DI8">
    <cfRule type="cellIs" priority="1" operator="equal">
      <formula>"""토"""</formula>
    </cfRule>
    <cfRule type="containsText" dxfId="54" priority="2" operator="containsText" text="일">
      <formula>NOT(ISERROR(SEARCH("일",CF8)))</formula>
    </cfRule>
    <cfRule type="containsText" dxfId="53" priority="3" operator="containsText" text="토">
      <formula>NOT(ISERROR(SEARCH("토",CF8)))</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03"/>
  <sheetViews>
    <sheetView showGridLines="0" zoomScaleNormal="100" workbookViewId="0">
      <selection activeCell="AT23" sqref="AT23"/>
    </sheetView>
  </sheetViews>
  <sheetFormatPr defaultRowHeight="16.5"/>
  <cols>
    <col min="1" max="1" width="1.875" customWidth="1"/>
    <col min="2" max="2" width="15" style="176" customWidth="1"/>
    <col min="3" max="3" width="14.25" style="176" customWidth="1"/>
    <col min="4" max="4" width="11.375" style="176" customWidth="1"/>
    <col min="5" max="5" width="5.125" style="176" customWidth="1"/>
    <col min="6" max="6" width="0.75" style="176" customWidth="1"/>
    <col min="7" max="11" width="5.125" style="176" customWidth="1"/>
    <col min="12" max="12" width="0.75" style="176" customWidth="1"/>
    <col min="13" max="43" width="3.875" style="176" customWidth="1"/>
    <col min="44" max="44" width="3.875" customWidth="1"/>
  </cols>
  <sheetData>
    <row r="1" spans="1:43">
      <c r="A1" t="s">
        <v>9506</v>
      </c>
      <c r="B1" s="176">
        <v>2026</v>
      </c>
      <c r="C1" s="176">
        <v>7</v>
      </c>
      <c r="M1" s="167">
        <v>46204</v>
      </c>
      <c r="N1" s="167">
        <v>46205</v>
      </c>
      <c r="O1" s="167">
        <v>46206</v>
      </c>
      <c r="P1" s="167">
        <v>46207</v>
      </c>
      <c r="Q1" s="167">
        <v>46208</v>
      </c>
      <c r="R1" s="167">
        <v>46209</v>
      </c>
      <c r="S1" s="167">
        <v>46210</v>
      </c>
      <c r="T1" s="167">
        <v>46211</v>
      </c>
      <c r="U1" s="167">
        <v>46212</v>
      </c>
      <c r="V1" s="167">
        <v>46213</v>
      </c>
      <c r="W1" s="167">
        <v>46214</v>
      </c>
      <c r="X1" s="167">
        <v>46215</v>
      </c>
      <c r="Y1" s="167">
        <v>46216</v>
      </c>
      <c r="Z1" s="167">
        <v>46217</v>
      </c>
      <c r="AA1" s="167">
        <v>46218</v>
      </c>
      <c r="AB1" s="167">
        <v>46219</v>
      </c>
      <c r="AC1" s="167">
        <v>46220</v>
      </c>
      <c r="AD1" s="167">
        <v>46221</v>
      </c>
      <c r="AE1" s="167">
        <v>46222</v>
      </c>
      <c r="AF1" s="167">
        <v>46223</v>
      </c>
      <c r="AG1" s="167">
        <v>46224</v>
      </c>
      <c r="AH1" s="167">
        <v>46225</v>
      </c>
      <c r="AI1" s="167">
        <v>46226</v>
      </c>
      <c r="AJ1" s="167">
        <v>46227</v>
      </c>
      <c r="AK1" s="167">
        <v>46228</v>
      </c>
      <c r="AL1" s="167">
        <v>46229</v>
      </c>
      <c r="AM1" s="167">
        <v>46230</v>
      </c>
      <c r="AN1" s="167">
        <v>46231</v>
      </c>
      <c r="AO1" s="167">
        <v>46232</v>
      </c>
      <c r="AP1" s="167">
        <v>46233</v>
      </c>
      <c r="AQ1" s="167">
        <v>46234</v>
      </c>
    </row>
    <row r="2" spans="1:43">
      <c r="B2" s="168"/>
      <c r="C2" s="168"/>
      <c r="D2" s="168"/>
      <c r="E2" s="168"/>
      <c r="F2" s="168"/>
      <c r="G2" s="168"/>
      <c r="H2" s="168"/>
      <c r="I2" s="168"/>
      <c r="J2" s="168"/>
      <c r="K2" s="168"/>
      <c r="L2" s="168"/>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row>
    <row r="3" spans="1:43" ht="9" customHeight="1">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row>
    <row r="4" spans="1:43">
      <c r="B4" s="151" t="s">
        <v>7009</v>
      </c>
      <c r="C4" s="152"/>
    </row>
    <row r="5" spans="1:43">
      <c r="B5" s="215" t="s">
        <v>7010</v>
      </c>
      <c r="C5" s="216"/>
      <c r="D5" s="217" t="s">
        <v>7011</v>
      </c>
      <c r="E5" s="218"/>
      <c r="G5" s="204"/>
      <c r="H5" s="220"/>
      <c r="I5" s="220" t="s">
        <v>7012</v>
      </c>
      <c r="J5" s="220"/>
      <c r="K5" s="205"/>
      <c r="M5" s="212"/>
      <c r="N5" s="213"/>
      <c r="O5" s="213"/>
      <c r="P5" s="213"/>
      <c r="Q5" s="213"/>
      <c r="R5" s="213"/>
      <c r="S5" s="213"/>
      <c r="T5" s="213"/>
      <c r="U5" s="213"/>
      <c r="V5" s="213"/>
      <c r="W5" s="213"/>
      <c r="X5" s="213"/>
      <c r="Y5" s="213"/>
      <c r="Z5" s="213"/>
      <c r="AA5" s="213" t="s">
        <v>7013</v>
      </c>
      <c r="AB5" s="213"/>
      <c r="AC5" s="213"/>
      <c r="AD5" s="213"/>
      <c r="AE5" s="213"/>
      <c r="AF5" s="213"/>
      <c r="AG5" s="213"/>
      <c r="AH5" s="213"/>
      <c r="AI5" s="213"/>
      <c r="AJ5" s="213"/>
      <c r="AK5" s="213"/>
      <c r="AL5" s="213"/>
      <c r="AM5" s="213"/>
      <c r="AN5" s="213"/>
      <c r="AO5" s="213"/>
      <c r="AP5" s="213"/>
      <c r="AQ5" s="214"/>
    </row>
    <row r="6" spans="1:43">
      <c r="B6" s="215"/>
      <c r="C6" s="216"/>
      <c r="D6" s="206"/>
      <c r="E6" s="219"/>
      <c r="G6" s="182">
        <v>1</v>
      </c>
      <c r="H6" s="182">
        <v>2</v>
      </c>
      <c r="I6" s="182">
        <v>3</v>
      </c>
      <c r="J6" s="182">
        <v>4</v>
      </c>
      <c r="K6" s="182">
        <v>5</v>
      </c>
      <c r="M6" s="179">
        <v>1</v>
      </c>
      <c r="N6" s="179">
        <v>2</v>
      </c>
      <c r="O6" s="179">
        <v>3</v>
      </c>
      <c r="P6" s="179">
        <v>4</v>
      </c>
      <c r="Q6" s="179">
        <v>5</v>
      </c>
      <c r="R6" s="179">
        <v>6</v>
      </c>
      <c r="S6" s="179">
        <v>7</v>
      </c>
      <c r="T6" s="179">
        <v>8</v>
      </c>
      <c r="U6" s="179">
        <v>9</v>
      </c>
      <c r="V6" s="179">
        <v>10</v>
      </c>
      <c r="W6" s="179">
        <v>11</v>
      </c>
      <c r="X6" s="179">
        <v>12</v>
      </c>
      <c r="Y6" s="179">
        <v>13</v>
      </c>
      <c r="Z6" s="179">
        <v>14</v>
      </c>
      <c r="AA6" s="179">
        <v>15</v>
      </c>
      <c r="AB6" s="179">
        <v>16</v>
      </c>
      <c r="AC6" s="179">
        <v>17</v>
      </c>
      <c r="AD6" s="179">
        <v>18</v>
      </c>
      <c r="AE6" s="179">
        <v>19</v>
      </c>
      <c r="AF6" s="179">
        <v>20</v>
      </c>
      <c r="AG6" s="179">
        <v>21</v>
      </c>
      <c r="AH6" s="179">
        <v>22</v>
      </c>
      <c r="AI6" s="179">
        <v>23</v>
      </c>
      <c r="AJ6" s="179">
        <v>24</v>
      </c>
      <c r="AK6" s="179">
        <v>25</v>
      </c>
      <c r="AL6" s="179">
        <v>26</v>
      </c>
      <c r="AM6" s="179">
        <v>27</v>
      </c>
      <c r="AN6" s="179">
        <v>28</v>
      </c>
      <c r="AO6" s="179">
        <v>29</v>
      </c>
      <c r="AP6" s="179">
        <v>30</v>
      </c>
      <c r="AQ6" s="179">
        <v>31</v>
      </c>
    </row>
    <row r="7" spans="1:43">
      <c r="B7" s="200" t="s">
        <v>7014</v>
      </c>
      <c r="C7" s="201"/>
      <c r="D7" s="202">
        <v>7.5</v>
      </c>
      <c r="E7" s="203"/>
      <c r="G7" s="177">
        <v>3.5</v>
      </c>
      <c r="H7" s="177">
        <v>4</v>
      </c>
      <c r="I7" s="177">
        <v>0</v>
      </c>
      <c r="J7" s="177">
        <v>0</v>
      </c>
      <c r="K7" s="177">
        <v>0</v>
      </c>
      <c r="M7" s="154" t="s">
        <v>114</v>
      </c>
      <c r="N7" s="154" t="s">
        <v>115</v>
      </c>
      <c r="O7" s="154" t="s">
        <v>116</v>
      </c>
      <c r="P7" s="154" t="s">
        <v>117</v>
      </c>
      <c r="Q7" s="154" t="s">
        <v>118</v>
      </c>
      <c r="R7" s="154" t="s">
        <v>119</v>
      </c>
      <c r="S7" s="154" t="s">
        <v>113</v>
      </c>
      <c r="T7" s="154" t="s">
        <v>114</v>
      </c>
      <c r="U7" s="154" t="s">
        <v>115</v>
      </c>
      <c r="V7" s="154" t="s">
        <v>116</v>
      </c>
      <c r="W7" s="154" t="s">
        <v>117</v>
      </c>
      <c r="X7" s="154" t="s">
        <v>118</v>
      </c>
      <c r="Y7" s="154" t="s">
        <v>119</v>
      </c>
      <c r="Z7" s="154" t="s">
        <v>113</v>
      </c>
      <c r="AA7" s="154" t="s">
        <v>114</v>
      </c>
      <c r="AB7" s="154" t="s">
        <v>115</v>
      </c>
      <c r="AC7" s="154" t="s">
        <v>116</v>
      </c>
      <c r="AD7" s="154" t="s">
        <v>117</v>
      </c>
      <c r="AE7" s="154" t="s">
        <v>118</v>
      </c>
      <c r="AF7" s="154" t="s">
        <v>119</v>
      </c>
      <c r="AG7" s="154" t="s">
        <v>113</v>
      </c>
      <c r="AH7" s="154" t="s">
        <v>114</v>
      </c>
      <c r="AI7" s="154" t="s">
        <v>115</v>
      </c>
      <c r="AJ7" s="154" t="s">
        <v>116</v>
      </c>
      <c r="AK7" s="154" t="s">
        <v>117</v>
      </c>
      <c r="AL7" s="154" t="s">
        <v>118</v>
      </c>
      <c r="AM7" s="154" t="s">
        <v>119</v>
      </c>
      <c r="AN7" s="154" t="s">
        <v>113</v>
      </c>
      <c r="AO7" s="154" t="s">
        <v>114</v>
      </c>
      <c r="AP7" s="154" t="s">
        <v>115</v>
      </c>
      <c r="AQ7" s="154" t="s">
        <v>116</v>
      </c>
    </row>
    <row r="8" spans="1:43">
      <c r="B8" s="207" t="s">
        <v>7015</v>
      </c>
      <c r="C8" s="178" t="s">
        <v>121</v>
      </c>
      <c r="D8" s="187">
        <v>150</v>
      </c>
      <c r="E8" s="184">
        <v>0.21</v>
      </c>
      <c r="G8" s="178">
        <v>69</v>
      </c>
      <c r="H8" s="178">
        <v>81</v>
      </c>
      <c r="I8" s="178">
        <v>0</v>
      </c>
      <c r="J8" s="178">
        <v>0</v>
      </c>
      <c r="K8" s="178">
        <v>0</v>
      </c>
      <c r="M8" s="181">
        <v>19</v>
      </c>
      <c r="N8" s="181">
        <v>17</v>
      </c>
      <c r="O8" s="181">
        <v>21</v>
      </c>
      <c r="P8" s="181">
        <v>10</v>
      </c>
      <c r="Q8" s="181">
        <v>2</v>
      </c>
      <c r="R8" s="181">
        <v>20</v>
      </c>
      <c r="S8" s="181">
        <v>25</v>
      </c>
      <c r="T8" s="181">
        <v>19</v>
      </c>
      <c r="U8" s="181">
        <v>17</v>
      </c>
      <c r="V8" s="181">
        <v>0</v>
      </c>
      <c r="W8" s="181">
        <v>0</v>
      </c>
      <c r="X8" s="181">
        <v>0</v>
      </c>
      <c r="Y8" s="181">
        <v>0</v>
      </c>
      <c r="Z8" s="181">
        <v>0</v>
      </c>
      <c r="AA8" s="181">
        <v>0</v>
      </c>
      <c r="AB8" s="181">
        <v>0</v>
      </c>
      <c r="AC8" s="181">
        <v>0</v>
      </c>
      <c r="AD8" s="181">
        <v>0</v>
      </c>
      <c r="AE8" s="181">
        <v>0</v>
      </c>
      <c r="AF8" s="181">
        <v>0</v>
      </c>
      <c r="AG8" s="181">
        <v>0</v>
      </c>
      <c r="AH8" s="181">
        <v>0</v>
      </c>
      <c r="AI8" s="181">
        <v>0</v>
      </c>
      <c r="AJ8" s="181">
        <v>0</v>
      </c>
      <c r="AK8" s="181">
        <v>0</v>
      </c>
      <c r="AL8" s="181">
        <v>0</v>
      </c>
      <c r="AM8" s="181">
        <v>0</v>
      </c>
      <c r="AN8" s="181">
        <v>0</v>
      </c>
      <c r="AO8" s="181">
        <v>0</v>
      </c>
      <c r="AP8" s="181">
        <v>0</v>
      </c>
      <c r="AQ8" s="181">
        <v>0</v>
      </c>
    </row>
    <row r="9" spans="1:43">
      <c r="B9" s="208"/>
      <c r="C9" s="178" t="s">
        <v>122</v>
      </c>
      <c r="D9" s="187">
        <v>108</v>
      </c>
      <c r="E9" s="184">
        <v>0.15</v>
      </c>
      <c r="G9" s="178">
        <v>56</v>
      </c>
      <c r="H9" s="178">
        <v>52</v>
      </c>
      <c r="I9" s="178">
        <v>0</v>
      </c>
      <c r="J9" s="178">
        <v>0</v>
      </c>
      <c r="K9" s="178">
        <v>0</v>
      </c>
      <c r="M9" s="181">
        <v>16</v>
      </c>
      <c r="N9" s="181">
        <v>17</v>
      </c>
      <c r="O9" s="181">
        <v>17</v>
      </c>
      <c r="P9" s="181">
        <v>5</v>
      </c>
      <c r="Q9" s="181">
        <v>1</v>
      </c>
      <c r="R9" s="181">
        <v>13</v>
      </c>
      <c r="S9" s="181">
        <v>10</v>
      </c>
      <c r="T9" s="181">
        <v>12</v>
      </c>
      <c r="U9" s="181">
        <v>17</v>
      </c>
      <c r="V9" s="181">
        <v>0</v>
      </c>
      <c r="W9" s="181">
        <v>0</v>
      </c>
      <c r="X9" s="181">
        <v>0</v>
      </c>
      <c r="Y9" s="181">
        <v>0</v>
      </c>
      <c r="Z9" s="181">
        <v>0</v>
      </c>
      <c r="AA9" s="181">
        <v>0</v>
      </c>
      <c r="AB9" s="181">
        <v>0</v>
      </c>
      <c r="AC9" s="181">
        <v>0</v>
      </c>
      <c r="AD9" s="181">
        <v>0</v>
      </c>
      <c r="AE9" s="181">
        <v>0</v>
      </c>
      <c r="AF9" s="181">
        <v>0</v>
      </c>
      <c r="AG9" s="181">
        <v>0</v>
      </c>
      <c r="AH9" s="181">
        <v>0</v>
      </c>
      <c r="AI9" s="181">
        <v>0</v>
      </c>
      <c r="AJ9" s="181">
        <v>0</v>
      </c>
      <c r="AK9" s="181">
        <v>0</v>
      </c>
      <c r="AL9" s="181">
        <v>0</v>
      </c>
      <c r="AM9" s="181">
        <v>0</v>
      </c>
      <c r="AN9" s="181">
        <v>0</v>
      </c>
      <c r="AO9" s="181">
        <v>0</v>
      </c>
      <c r="AP9" s="181">
        <v>0</v>
      </c>
      <c r="AQ9" s="181">
        <v>0</v>
      </c>
    </row>
    <row r="10" spans="1:43">
      <c r="B10" s="208"/>
      <c r="C10" s="178" t="s">
        <v>123</v>
      </c>
      <c r="D10" s="187">
        <v>120</v>
      </c>
      <c r="E10" s="184">
        <v>0.17</v>
      </c>
      <c r="G10" s="178">
        <v>56</v>
      </c>
      <c r="H10" s="178">
        <v>64</v>
      </c>
      <c r="I10" s="178">
        <v>0</v>
      </c>
      <c r="J10" s="178">
        <v>0</v>
      </c>
      <c r="K10" s="178">
        <v>0</v>
      </c>
      <c r="M10" s="181">
        <v>16</v>
      </c>
      <c r="N10" s="181">
        <v>11</v>
      </c>
      <c r="O10" s="181">
        <v>22</v>
      </c>
      <c r="P10" s="181">
        <v>7</v>
      </c>
      <c r="Q10" s="181">
        <v>0</v>
      </c>
      <c r="R10" s="181">
        <v>18</v>
      </c>
      <c r="S10" s="181">
        <v>16</v>
      </c>
      <c r="T10" s="181">
        <v>12</v>
      </c>
      <c r="U10" s="181">
        <v>18</v>
      </c>
      <c r="V10" s="181">
        <v>0</v>
      </c>
      <c r="W10" s="181">
        <v>0</v>
      </c>
      <c r="X10" s="181">
        <v>0</v>
      </c>
      <c r="Y10" s="181">
        <v>0</v>
      </c>
      <c r="Z10" s="181">
        <v>0</v>
      </c>
      <c r="AA10" s="181">
        <v>0</v>
      </c>
      <c r="AB10" s="181">
        <v>0</v>
      </c>
      <c r="AC10" s="181">
        <v>0</v>
      </c>
      <c r="AD10" s="181">
        <v>0</v>
      </c>
      <c r="AE10" s="181">
        <v>0</v>
      </c>
      <c r="AF10" s="181">
        <v>0</v>
      </c>
      <c r="AG10" s="181">
        <v>0</v>
      </c>
      <c r="AH10" s="181">
        <v>0</v>
      </c>
      <c r="AI10" s="181">
        <v>0</v>
      </c>
      <c r="AJ10" s="181">
        <v>0</v>
      </c>
      <c r="AK10" s="181">
        <v>0</v>
      </c>
      <c r="AL10" s="181">
        <v>0</v>
      </c>
      <c r="AM10" s="181">
        <v>0</v>
      </c>
      <c r="AN10" s="181">
        <v>0</v>
      </c>
      <c r="AO10" s="181">
        <v>0</v>
      </c>
      <c r="AP10" s="181">
        <v>0</v>
      </c>
      <c r="AQ10" s="181">
        <v>0</v>
      </c>
    </row>
    <row r="11" spans="1:43">
      <c r="B11" s="208"/>
      <c r="C11" s="178" t="s">
        <v>124</v>
      </c>
      <c r="D11" s="187">
        <v>117</v>
      </c>
      <c r="E11" s="184">
        <v>0.16</v>
      </c>
      <c r="G11" s="178">
        <v>54</v>
      </c>
      <c r="H11" s="178">
        <v>63</v>
      </c>
      <c r="I11" s="178">
        <v>0</v>
      </c>
      <c r="J11" s="178">
        <v>0</v>
      </c>
      <c r="K11" s="178">
        <v>0</v>
      </c>
      <c r="M11" s="181">
        <v>17</v>
      </c>
      <c r="N11" s="181">
        <v>14</v>
      </c>
      <c r="O11" s="181">
        <v>14</v>
      </c>
      <c r="P11" s="181">
        <v>9</v>
      </c>
      <c r="Q11" s="181">
        <v>0</v>
      </c>
      <c r="R11" s="181">
        <v>22</v>
      </c>
      <c r="S11" s="181">
        <v>10</v>
      </c>
      <c r="T11" s="181">
        <v>13</v>
      </c>
      <c r="U11" s="181">
        <v>18</v>
      </c>
      <c r="V11" s="181">
        <v>0</v>
      </c>
      <c r="W11" s="181">
        <v>0</v>
      </c>
      <c r="X11" s="181">
        <v>0</v>
      </c>
      <c r="Y11" s="181">
        <v>0</v>
      </c>
      <c r="Z11" s="181">
        <v>0</v>
      </c>
      <c r="AA11" s="181">
        <v>0</v>
      </c>
      <c r="AB11" s="181">
        <v>0</v>
      </c>
      <c r="AC11" s="181">
        <v>0</v>
      </c>
      <c r="AD11" s="181">
        <v>0</v>
      </c>
      <c r="AE11" s="181">
        <v>0</v>
      </c>
      <c r="AF11" s="181">
        <v>0</v>
      </c>
      <c r="AG11" s="181">
        <v>0</v>
      </c>
      <c r="AH11" s="181">
        <v>0</v>
      </c>
      <c r="AI11" s="181">
        <v>0</v>
      </c>
      <c r="AJ11" s="181">
        <v>0</v>
      </c>
      <c r="AK11" s="181">
        <v>0</v>
      </c>
      <c r="AL11" s="181">
        <v>0</v>
      </c>
      <c r="AM11" s="181">
        <v>0</v>
      </c>
      <c r="AN11" s="181">
        <v>0</v>
      </c>
      <c r="AO11" s="181">
        <v>0</v>
      </c>
      <c r="AP11" s="181">
        <v>0</v>
      </c>
      <c r="AQ11" s="181">
        <v>0</v>
      </c>
    </row>
    <row r="12" spans="1:43">
      <c r="B12" s="208"/>
      <c r="C12" s="178" t="s">
        <v>125</v>
      </c>
      <c r="D12" s="187">
        <v>163</v>
      </c>
      <c r="E12" s="184">
        <v>0.22</v>
      </c>
      <c r="G12" s="178">
        <v>80</v>
      </c>
      <c r="H12" s="178">
        <v>88</v>
      </c>
      <c r="I12" s="178">
        <v>0</v>
      </c>
      <c r="J12" s="178">
        <v>0</v>
      </c>
      <c r="K12" s="178">
        <v>0</v>
      </c>
      <c r="M12" s="181">
        <v>30</v>
      </c>
      <c r="N12" s="181">
        <v>20</v>
      </c>
      <c r="O12" s="181">
        <v>19</v>
      </c>
      <c r="P12" s="181">
        <v>9</v>
      </c>
      <c r="Q12" s="181">
        <v>2</v>
      </c>
      <c r="R12" s="181">
        <v>21</v>
      </c>
      <c r="S12" s="181">
        <v>25</v>
      </c>
      <c r="T12" s="181">
        <v>19</v>
      </c>
      <c r="U12" s="181">
        <v>23</v>
      </c>
      <c r="V12" s="181">
        <v>0</v>
      </c>
      <c r="W12" s="181">
        <v>0</v>
      </c>
      <c r="X12" s="181">
        <v>0</v>
      </c>
      <c r="Y12" s="181">
        <v>0</v>
      </c>
      <c r="Z12" s="181">
        <v>0</v>
      </c>
      <c r="AA12" s="181">
        <v>0</v>
      </c>
      <c r="AB12" s="181">
        <v>0</v>
      </c>
      <c r="AC12" s="181">
        <v>0</v>
      </c>
      <c r="AD12" s="181">
        <v>0</v>
      </c>
      <c r="AE12" s="181">
        <v>0</v>
      </c>
      <c r="AF12" s="181">
        <v>0</v>
      </c>
      <c r="AG12" s="181">
        <v>0</v>
      </c>
      <c r="AH12" s="181">
        <v>0</v>
      </c>
      <c r="AI12" s="181">
        <v>0</v>
      </c>
      <c r="AJ12" s="181">
        <v>0</v>
      </c>
      <c r="AK12" s="181">
        <v>0</v>
      </c>
      <c r="AL12" s="181">
        <v>0</v>
      </c>
      <c r="AM12" s="181">
        <v>0</v>
      </c>
      <c r="AN12" s="181">
        <v>0</v>
      </c>
      <c r="AO12" s="181">
        <v>0</v>
      </c>
      <c r="AP12" s="181">
        <v>0</v>
      </c>
      <c r="AQ12" s="181">
        <v>0</v>
      </c>
    </row>
    <row r="13" spans="1:43" ht="17.25" customHeight="1">
      <c r="B13" s="208"/>
      <c r="C13" s="178" t="s">
        <v>7016</v>
      </c>
      <c r="D13" s="187">
        <v>62</v>
      </c>
      <c r="E13" s="184">
        <v>0.09</v>
      </c>
      <c r="G13" s="178">
        <v>32</v>
      </c>
      <c r="H13" s="178">
        <v>30</v>
      </c>
      <c r="I13" s="178">
        <v>0</v>
      </c>
      <c r="J13" s="178">
        <v>0</v>
      </c>
      <c r="K13" s="178">
        <v>0</v>
      </c>
      <c r="M13" s="181">
        <v>10</v>
      </c>
      <c r="N13" s="181">
        <v>7</v>
      </c>
      <c r="O13" s="181">
        <v>13</v>
      </c>
      <c r="P13" s="181">
        <v>2</v>
      </c>
      <c r="Q13" s="181">
        <v>0</v>
      </c>
      <c r="R13" s="181">
        <v>13</v>
      </c>
      <c r="S13" s="181">
        <v>3</v>
      </c>
      <c r="T13" s="181">
        <v>11</v>
      </c>
      <c r="U13" s="181">
        <v>3</v>
      </c>
      <c r="V13" s="181">
        <v>0</v>
      </c>
      <c r="W13" s="181">
        <v>0</v>
      </c>
      <c r="X13" s="181">
        <v>0</v>
      </c>
      <c r="Y13" s="181">
        <v>0</v>
      </c>
      <c r="Z13" s="181">
        <v>0</v>
      </c>
      <c r="AA13" s="181">
        <v>0</v>
      </c>
      <c r="AB13" s="181">
        <v>0</v>
      </c>
      <c r="AC13" s="181">
        <v>0</v>
      </c>
      <c r="AD13" s="181">
        <v>0</v>
      </c>
      <c r="AE13" s="181">
        <v>0</v>
      </c>
      <c r="AF13" s="181">
        <v>0</v>
      </c>
      <c r="AG13" s="181">
        <v>0</v>
      </c>
      <c r="AH13" s="181">
        <v>0</v>
      </c>
      <c r="AI13" s="181">
        <v>0</v>
      </c>
      <c r="AJ13" s="181">
        <v>0</v>
      </c>
      <c r="AK13" s="181">
        <v>0</v>
      </c>
      <c r="AL13" s="181">
        <v>0</v>
      </c>
      <c r="AM13" s="181">
        <v>0</v>
      </c>
      <c r="AN13" s="181">
        <v>0</v>
      </c>
      <c r="AO13" s="181">
        <v>0</v>
      </c>
      <c r="AP13" s="181">
        <v>0</v>
      </c>
      <c r="AQ13" s="181">
        <v>0</v>
      </c>
    </row>
    <row r="14" spans="1:43" ht="26.25" customHeight="1">
      <c r="B14" s="209"/>
      <c r="C14" s="178" t="s">
        <v>7017</v>
      </c>
      <c r="D14" s="187">
        <v>6</v>
      </c>
      <c r="E14" s="184">
        <v>0.01</v>
      </c>
      <c r="G14" s="178">
        <v>1</v>
      </c>
      <c r="H14" s="178">
        <v>0</v>
      </c>
      <c r="I14" s="178">
        <v>0</v>
      </c>
      <c r="J14" s="178">
        <v>0</v>
      </c>
      <c r="K14" s="178">
        <v>0</v>
      </c>
      <c r="M14" s="181">
        <v>1</v>
      </c>
      <c r="N14" s="181">
        <v>0</v>
      </c>
      <c r="O14" s="181">
        <v>0</v>
      </c>
      <c r="P14" s="181">
        <v>0</v>
      </c>
      <c r="Q14" s="181">
        <v>0</v>
      </c>
      <c r="R14" s="181">
        <v>0</v>
      </c>
      <c r="S14" s="181">
        <v>0</v>
      </c>
      <c r="T14" s="181">
        <v>0</v>
      </c>
      <c r="U14" s="181">
        <v>0</v>
      </c>
      <c r="V14" s="181">
        <v>0</v>
      </c>
      <c r="W14" s="181">
        <v>0</v>
      </c>
      <c r="X14" s="181">
        <v>0</v>
      </c>
      <c r="Y14" s="181">
        <v>0</v>
      </c>
      <c r="Z14" s="181">
        <v>0</v>
      </c>
      <c r="AA14" s="181">
        <v>0</v>
      </c>
      <c r="AB14" s="181">
        <v>0</v>
      </c>
      <c r="AC14" s="181">
        <v>0</v>
      </c>
      <c r="AD14" s="181">
        <v>0</v>
      </c>
      <c r="AE14" s="181">
        <v>0</v>
      </c>
      <c r="AF14" s="181">
        <v>0</v>
      </c>
      <c r="AG14" s="181">
        <v>0</v>
      </c>
      <c r="AH14" s="181">
        <v>0</v>
      </c>
      <c r="AI14" s="181">
        <v>0</v>
      </c>
      <c r="AJ14" s="181">
        <v>0</v>
      </c>
      <c r="AK14" s="181">
        <v>0</v>
      </c>
      <c r="AL14" s="181">
        <v>0</v>
      </c>
      <c r="AM14" s="181">
        <v>0</v>
      </c>
      <c r="AN14" s="181">
        <v>0</v>
      </c>
      <c r="AO14" s="181">
        <v>0</v>
      </c>
      <c r="AP14" s="181">
        <v>0</v>
      </c>
      <c r="AQ14" s="181">
        <v>0</v>
      </c>
    </row>
    <row r="15" spans="1:43">
      <c r="B15" s="198" t="s">
        <v>7018</v>
      </c>
      <c r="C15" s="199"/>
      <c r="D15" s="175">
        <v>726</v>
      </c>
      <c r="E15" s="186">
        <v>1</v>
      </c>
      <c r="G15" s="197">
        <v>348</v>
      </c>
      <c r="H15" s="197">
        <v>378</v>
      </c>
      <c r="I15" s="197">
        <v>0</v>
      </c>
      <c r="J15" s="197">
        <v>0</v>
      </c>
      <c r="K15" s="197">
        <v>0</v>
      </c>
      <c r="M15" s="180">
        <v>109</v>
      </c>
      <c r="N15" s="180">
        <v>86</v>
      </c>
      <c r="O15" s="180">
        <v>106</v>
      </c>
      <c r="P15" s="180">
        <v>42</v>
      </c>
      <c r="Q15" s="180">
        <v>5</v>
      </c>
      <c r="R15" s="180">
        <v>107</v>
      </c>
      <c r="S15" s="180">
        <v>89</v>
      </c>
      <c r="T15" s="180">
        <v>86</v>
      </c>
      <c r="U15" s="180">
        <v>96</v>
      </c>
      <c r="V15" s="180">
        <v>0</v>
      </c>
      <c r="W15" s="180">
        <v>0</v>
      </c>
      <c r="X15" s="180">
        <v>0</v>
      </c>
      <c r="Y15" s="180">
        <v>0</v>
      </c>
      <c r="Z15" s="180">
        <v>0</v>
      </c>
      <c r="AA15" s="180">
        <v>0</v>
      </c>
      <c r="AB15" s="180">
        <v>0</v>
      </c>
      <c r="AC15" s="180">
        <v>0</v>
      </c>
      <c r="AD15" s="180">
        <v>0</v>
      </c>
      <c r="AE15" s="180">
        <v>0</v>
      </c>
      <c r="AF15" s="180">
        <v>0</v>
      </c>
      <c r="AG15" s="180">
        <v>0</v>
      </c>
      <c r="AH15" s="180">
        <v>0</v>
      </c>
      <c r="AI15" s="180">
        <v>0</v>
      </c>
      <c r="AJ15" s="180">
        <v>0</v>
      </c>
      <c r="AK15" s="180">
        <v>0</v>
      </c>
      <c r="AL15" s="180">
        <v>0</v>
      </c>
      <c r="AM15" s="180">
        <v>0</v>
      </c>
      <c r="AN15" s="180">
        <v>0</v>
      </c>
      <c r="AO15" s="180">
        <v>0</v>
      </c>
      <c r="AP15" s="180">
        <v>0</v>
      </c>
      <c r="AQ15" s="180">
        <v>0</v>
      </c>
    </row>
    <row r="16" spans="1:43" ht="16.5" customHeight="1">
      <c r="B16" s="207" t="s">
        <v>7027</v>
      </c>
      <c r="C16" s="178" t="s">
        <v>121</v>
      </c>
      <c r="D16" s="187">
        <v>14</v>
      </c>
      <c r="E16" s="184">
        <v>0.09</v>
      </c>
      <c r="G16" s="178">
        <v>6</v>
      </c>
      <c r="H16" s="178">
        <v>8</v>
      </c>
      <c r="I16" s="178">
        <v>0</v>
      </c>
      <c r="J16" s="178">
        <v>0</v>
      </c>
      <c r="K16" s="178">
        <v>0</v>
      </c>
      <c r="M16" s="181">
        <v>1</v>
      </c>
      <c r="N16" s="181">
        <v>3</v>
      </c>
      <c r="O16" s="181">
        <v>2</v>
      </c>
      <c r="P16" s="181">
        <v>0</v>
      </c>
      <c r="Q16" s="181">
        <v>0</v>
      </c>
      <c r="R16" s="181">
        <v>2</v>
      </c>
      <c r="S16" s="181">
        <v>2</v>
      </c>
      <c r="T16" s="181">
        <v>3</v>
      </c>
      <c r="U16" s="181">
        <v>1</v>
      </c>
      <c r="V16" s="181">
        <v>0</v>
      </c>
      <c r="W16" s="181">
        <v>0</v>
      </c>
      <c r="X16" s="181">
        <v>0</v>
      </c>
      <c r="Y16" s="181">
        <v>0</v>
      </c>
      <c r="Z16" s="181">
        <v>0</v>
      </c>
      <c r="AA16" s="181">
        <v>0</v>
      </c>
      <c r="AB16" s="181">
        <v>0</v>
      </c>
      <c r="AC16" s="181">
        <v>0</v>
      </c>
      <c r="AD16" s="181">
        <v>0</v>
      </c>
      <c r="AE16" s="181">
        <v>0</v>
      </c>
      <c r="AF16" s="181">
        <v>0</v>
      </c>
      <c r="AG16" s="181">
        <v>0</v>
      </c>
      <c r="AH16" s="181">
        <v>0</v>
      </c>
      <c r="AI16" s="181">
        <v>0</v>
      </c>
      <c r="AJ16" s="181">
        <v>0</v>
      </c>
      <c r="AK16" s="181">
        <v>0</v>
      </c>
      <c r="AL16" s="181">
        <v>0</v>
      </c>
      <c r="AM16" s="181">
        <v>0</v>
      </c>
      <c r="AN16" s="181">
        <v>0</v>
      </c>
      <c r="AO16" s="181">
        <v>0</v>
      </c>
      <c r="AP16" s="181">
        <v>0</v>
      </c>
      <c r="AQ16" s="181">
        <v>0</v>
      </c>
    </row>
    <row r="17" spans="2:43" ht="16.5" customHeight="1">
      <c r="B17" s="208"/>
      <c r="C17" s="178" t="s">
        <v>122</v>
      </c>
      <c r="D17" s="187">
        <v>6</v>
      </c>
      <c r="E17" s="184">
        <v>0.06</v>
      </c>
      <c r="G17" s="178">
        <v>1</v>
      </c>
      <c r="H17" s="178">
        <v>5</v>
      </c>
      <c r="I17" s="178">
        <v>0</v>
      </c>
      <c r="J17" s="178">
        <v>0</v>
      </c>
      <c r="K17" s="178">
        <v>0</v>
      </c>
      <c r="M17" s="181">
        <v>0</v>
      </c>
      <c r="N17" s="181">
        <v>0</v>
      </c>
      <c r="O17" s="181">
        <v>1</v>
      </c>
      <c r="P17" s="181">
        <v>0</v>
      </c>
      <c r="Q17" s="181">
        <v>0</v>
      </c>
      <c r="R17" s="181">
        <v>2</v>
      </c>
      <c r="S17" s="181">
        <v>0</v>
      </c>
      <c r="T17" s="181">
        <v>1</v>
      </c>
      <c r="U17" s="181">
        <v>2</v>
      </c>
      <c r="V17" s="181">
        <v>0</v>
      </c>
      <c r="W17" s="181">
        <v>0</v>
      </c>
      <c r="X17" s="181">
        <v>0</v>
      </c>
      <c r="Y17" s="181">
        <v>0</v>
      </c>
      <c r="Z17" s="181">
        <v>0</v>
      </c>
      <c r="AA17" s="181">
        <v>0</v>
      </c>
      <c r="AB17" s="181">
        <v>0</v>
      </c>
      <c r="AC17" s="181">
        <v>0</v>
      </c>
      <c r="AD17" s="181">
        <v>0</v>
      </c>
      <c r="AE17" s="181">
        <v>0</v>
      </c>
      <c r="AF17" s="181">
        <v>0</v>
      </c>
      <c r="AG17" s="181">
        <v>0</v>
      </c>
      <c r="AH17" s="181">
        <v>0</v>
      </c>
      <c r="AI17" s="181">
        <v>0</v>
      </c>
      <c r="AJ17" s="181">
        <v>0</v>
      </c>
      <c r="AK17" s="181">
        <v>0</v>
      </c>
      <c r="AL17" s="181">
        <v>0</v>
      </c>
      <c r="AM17" s="181">
        <v>0</v>
      </c>
      <c r="AN17" s="181">
        <v>0</v>
      </c>
      <c r="AO17" s="181">
        <v>0</v>
      </c>
      <c r="AP17" s="181">
        <v>0</v>
      </c>
      <c r="AQ17" s="181">
        <v>0</v>
      </c>
    </row>
    <row r="18" spans="2:43" ht="16.5" customHeight="1">
      <c r="B18" s="208"/>
      <c r="C18" s="178" t="s">
        <v>123</v>
      </c>
      <c r="D18" s="187">
        <v>14</v>
      </c>
      <c r="E18" s="184">
        <v>0.12</v>
      </c>
      <c r="G18" s="178">
        <v>6</v>
      </c>
      <c r="H18" s="178">
        <v>8</v>
      </c>
      <c r="I18" s="178">
        <v>0</v>
      </c>
      <c r="J18" s="178">
        <v>0</v>
      </c>
      <c r="K18" s="178">
        <v>0</v>
      </c>
      <c r="M18" s="181">
        <v>2</v>
      </c>
      <c r="N18" s="181">
        <v>1</v>
      </c>
      <c r="O18" s="181">
        <v>3</v>
      </c>
      <c r="P18" s="181">
        <v>0</v>
      </c>
      <c r="Q18" s="181">
        <v>0</v>
      </c>
      <c r="R18" s="181">
        <v>3</v>
      </c>
      <c r="S18" s="181">
        <v>3</v>
      </c>
      <c r="T18" s="181">
        <v>2</v>
      </c>
      <c r="U18" s="181">
        <v>0</v>
      </c>
      <c r="V18" s="181">
        <v>0</v>
      </c>
      <c r="W18" s="181">
        <v>0</v>
      </c>
      <c r="X18" s="181">
        <v>0</v>
      </c>
      <c r="Y18" s="181">
        <v>0</v>
      </c>
      <c r="Z18" s="181">
        <v>0</v>
      </c>
      <c r="AA18" s="181">
        <v>0</v>
      </c>
      <c r="AB18" s="181">
        <v>0</v>
      </c>
      <c r="AC18" s="181">
        <v>0</v>
      </c>
      <c r="AD18" s="181">
        <v>0</v>
      </c>
      <c r="AE18" s="181">
        <v>0</v>
      </c>
      <c r="AF18" s="181">
        <v>0</v>
      </c>
      <c r="AG18" s="181">
        <v>0</v>
      </c>
      <c r="AH18" s="181">
        <v>0</v>
      </c>
      <c r="AI18" s="181">
        <v>0</v>
      </c>
      <c r="AJ18" s="181">
        <v>0</v>
      </c>
      <c r="AK18" s="181">
        <v>0</v>
      </c>
      <c r="AL18" s="181">
        <v>0</v>
      </c>
      <c r="AM18" s="181">
        <v>0</v>
      </c>
      <c r="AN18" s="181">
        <v>0</v>
      </c>
      <c r="AO18" s="181">
        <v>0</v>
      </c>
      <c r="AP18" s="181">
        <v>0</v>
      </c>
      <c r="AQ18" s="181">
        <v>0</v>
      </c>
    </row>
    <row r="19" spans="2:43">
      <c r="B19" s="208"/>
      <c r="C19" s="178" t="s">
        <v>124</v>
      </c>
      <c r="D19" s="187">
        <v>14</v>
      </c>
      <c r="E19" s="184">
        <v>0.12</v>
      </c>
      <c r="G19" s="178">
        <v>6</v>
      </c>
      <c r="H19" s="178">
        <v>8</v>
      </c>
      <c r="I19" s="178">
        <v>0</v>
      </c>
      <c r="J19" s="178">
        <v>0</v>
      </c>
      <c r="K19" s="178">
        <v>0</v>
      </c>
      <c r="M19" s="181">
        <v>2</v>
      </c>
      <c r="N19" s="181">
        <v>2</v>
      </c>
      <c r="O19" s="181">
        <v>1</v>
      </c>
      <c r="P19" s="181">
        <v>1</v>
      </c>
      <c r="Q19" s="181">
        <v>0</v>
      </c>
      <c r="R19" s="181">
        <v>4</v>
      </c>
      <c r="S19" s="181">
        <v>0</v>
      </c>
      <c r="T19" s="181">
        <v>1</v>
      </c>
      <c r="U19" s="181">
        <v>3</v>
      </c>
      <c r="V19" s="181">
        <v>0</v>
      </c>
      <c r="W19" s="181">
        <v>0</v>
      </c>
      <c r="X19" s="181">
        <v>0</v>
      </c>
      <c r="Y19" s="181">
        <v>0</v>
      </c>
      <c r="Z19" s="181">
        <v>0</v>
      </c>
      <c r="AA19" s="181">
        <v>0</v>
      </c>
      <c r="AB19" s="181">
        <v>0</v>
      </c>
      <c r="AC19" s="181">
        <v>0</v>
      </c>
      <c r="AD19" s="181">
        <v>0</v>
      </c>
      <c r="AE19" s="181">
        <v>0</v>
      </c>
      <c r="AF19" s="181">
        <v>0</v>
      </c>
      <c r="AG19" s="181">
        <v>0</v>
      </c>
      <c r="AH19" s="181">
        <v>0</v>
      </c>
      <c r="AI19" s="181">
        <v>0</v>
      </c>
      <c r="AJ19" s="181">
        <v>0</v>
      </c>
      <c r="AK19" s="181">
        <v>0</v>
      </c>
      <c r="AL19" s="181">
        <v>0</v>
      </c>
      <c r="AM19" s="181">
        <v>0</v>
      </c>
      <c r="AN19" s="181">
        <v>0</v>
      </c>
      <c r="AO19" s="181">
        <v>0</v>
      </c>
      <c r="AP19" s="181">
        <v>0</v>
      </c>
      <c r="AQ19" s="181">
        <v>0</v>
      </c>
    </row>
    <row r="20" spans="2:43">
      <c r="B20" s="209"/>
      <c r="C20" s="178" t="s">
        <v>125</v>
      </c>
      <c r="D20" s="187">
        <v>20</v>
      </c>
      <c r="E20" s="184">
        <v>0.12</v>
      </c>
      <c r="G20" s="178">
        <v>7</v>
      </c>
      <c r="H20" s="178">
        <v>13</v>
      </c>
      <c r="I20" s="178">
        <v>0</v>
      </c>
      <c r="J20" s="178">
        <v>0</v>
      </c>
      <c r="K20" s="178">
        <v>0</v>
      </c>
      <c r="M20" s="181">
        <v>2</v>
      </c>
      <c r="N20" s="181">
        <v>3</v>
      </c>
      <c r="O20" s="181">
        <v>2</v>
      </c>
      <c r="P20" s="181">
        <v>0</v>
      </c>
      <c r="Q20" s="181">
        <v>0</v>
      </c>
      <c r="R20" s="181">
        <v>5</v>
      </c>
      <c r="S20" s="181">
        <v>1</v>
      </c>
      <c r="T20" s="181">
        <v>2</v>
      </c>
      <c r="U20" s="181">
        <v>5</v>
      </c>
      <c r="V20" s="181">
        <v>0</v>
      </c>
      <c r="W20" s="181">
        <v>0</v>
      </c>
      <c r="X20" s="181">
        <v>0</v>
      </c>
      <c r="Y20" s="181">
        <v>0</v>
      </c>
      <c r="Z20" s="181">
        <v>0</v>
      </c>
      <c r="AA20" s="181">
        <v>0</v>
      </c>
      <c r="AB20" s="181">
        <v>0</v>
      </c>
      <c r="AC20" s="181">
        <v>0</v>
      </c>
      <c r="AD20" s="181">
        <v>0</v>
      </c>
      <c r="AE20" s="181">
        <v>0</v>
      </c>
      <c r="AF20" s="181">
        <v>0</v>
      </c>
      <c r="AG20" s="181">
        <v>0</v>
      </c>
      <c r="AH20" s="181">
        <v>0</v>
      </c>
      <c r="AI20" s="181">
        <v>0</v>
      </c>
      <c r="AJ20" s="181">
        <v>0</v>
      </c>
      <c r="AK20" s="181">
        <v>0</v>
      </c>
      <c r="AL20" s="181">
        <v>0</v>
      </c>
      <c r="AM20" s="181">
        <v>0</v>
      </c>
      <c r="AN20" s="181">
        <v>0</v>
      </c>
      <c r="AO20" s="181">
        <v>0</v>
      </c>
      <c r="AP20" s="181">
        <v>0</v>
      </c>
      <c r="AQ20" s="181">
        <v>0</v>
      </c>
    </row>
    <row r="21" spans="2:43">
      <c r="B21" s="198" t="s">
        <v>7018</v>
      </c>
      <c r="C21" s="199"/>
      <c r="D21" s="185">
        <v>69</v>
      </c>
      <c r="E21" s="186">
        <v>0.1</v>
      </c>
      <c r="G21" s="197">
        <v>26</v>
      </c>
      <c r="H21" s="197">
        <v>43</v>
      </c>
      <c r="I21" s="197">
        <v>0</v>
      </c>
      <c r="J21" s="197">
        <v>0</v>
      </c>
      <c r="K21" s="197">
        <v>0</v>
      </c>
      <c r="M21" s="180">
        <v>7</v>
      </c>
      <c r="N21" s="180">
        <v>9</v>
      </c>
      <c r="O21" s="180">
        <v>9</v>
      </c>
      <c r="P21" s="180">
        <v>1</v>
      </c>
      <c r="Q21" s="180">
        <v>0</v>
      </c>
      <c r="R21" s="180">
        <v>17</v>
      </c>
      <c r="S21" s="180">
        <v>6</v>
      </c>
      <c r="T21" s="180">
        <v>9</v>
      </c>
      <c r="U21" s="180">
        <v>11</v>
      </c>
      <c r="V21" s="180">
        <v>0</v>
      </c>
      <c r="W21" s="180">
        <v>0</v>
      </c>
      <c r="X21" s="180">
        <v>0</v>
      </c>
      <c r="Y21" s="180">
        <v>0</v>
      </c>
      <c r="Z21" s="180">
        <v>0</v>
      </c>
      <c r="AA21" s="180">
        <v>0</v>
      </c>
      <c r="AB21" s="180">
        <v>0</v>
      </c>
      <c r="AC21" s="180">
        <v>0</v>
      </c>
      <c r="AD21" s="180">
        <v>0</v>
      </c>
      <c r="AE21" s="180">
        <v>0</v>
      </c>
      <c r="AF21" s="180">
        <v>0</v>
      </c>
      <c r="AG21" s="180">
        <v>0</v>
      </c>
      <c r="AH21" s="180">
        <v>0</v>
      </c>
      <c r="AI21" s="180">
        <v>0</v>
      </c>
      <c r="AJ21" s="180">
        <v>0</v>
      </c>
      <c r="AK21" s="180">
        <v>0</v>
      </c>
      <c r="AL21" s="180">
        <v>0</v>
      </c>
      <c r="AM21" s="180">
        <v>0</v>
      </c>
      <c r="AN21" s="180">
        <v>0</v>
      </c>
      <c r="AO21" s="180">
        <v>0</v>
      </c>
      <c r="AP21" s="180">
        <v>0</v>
      </c>
      <c r="AQ21" s="180">
        <v>0</v>
      </c>
    </row>
    <row r="22" spans="2:43">
      <c r="B22" s="198" t="s">
        <v>7019</v>
      </c>
      <c r="C22" s="199"/>
      <c r="D22" s="210">
        <v>0.46</v>
      </c>
      <c r="E22" s="211"/>
      <c r="G22" s="183">
        <v>7.4700000000000003E-2</v>
      </c>
      <c r="H22" s="183">
        <v>0.1138</v>
      </c>
      <c r="I22" s="183"/>
      <c r="J22" s="183"/>
      <c r="K22" s="183"/>
      <c r="M22" s="170">
        <v>6.4199999999999993E-2</v>
      </c>
      <c r="N22" s="170">
        <v>0.1047</v>
      </c>
      <c r="O22" s="170">
        <v>8.4900000000000003E-2</v>
      </c>
      <c r="P22" s="170">
        <v>2.3800000000000002E-2</v>
      </c>
      <c r="Q22" s="170">
        <v>0</v>
      </c>
      <c r="R22" s="170">
        <v>0.15890000000000001</v>
      </c>
      <c r="S22" s="170">
        <v>6.7400000000000002E-2</v>
      </c>
      <c r="T22" s="170">
        <v>0.1047</v>
      </c>
      <c r="U22" s="170">
        <v>0.11459999999999999</v>
      </c>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row>
    <row r="23" spans="2:4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2:43">
      <c r="B24" s="151" t="s">
        <v>7020</v>
      </c>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2:43">
      <c r="B25" s="196" t="s">
        <v>7021</v>
      </c>
      <c r="C25" s="196" t="s">
        <v>7022</v>
      </c>
      <c r="D25" s="204" t="s">
        <v>7023</v>
      </c>
      <c r="E25" s="205"/>
      <c r="F25"/>
      <c r="G25" s="182">
        <v>1</v>
      </c>
      <c r="H25" s="182">
        <v>2</v>
      </c>
      <c r="I25" s="182">
        <v>3</v>
      </c>
      <c r="J25" s="182">
        <v>4</v>
      </c>
      <c r="K25" s="182">
        <v>5</v>
      </c>
      <c r="M25" s="179">
        <v>1</v>
      </c>
      <c r="N25" s="179">
        <v>2</v>
      </c>
      <c r="O25" s="179">
        <v>3</v>
      </c>
      <c r="P25" s="179">
        <v>4</v>
      </c>
      <c r="Q25" s="179">
        <v>5</v>
      </c>
      <c r="R25" s="179">
        <v>6</v>
      </c>
      <c r="S25" s="179">
        <v>7</v>
      </c>
      <c r="T25" s="179">
        <v>8</v>
      </c>
      <c r="U25" s="179">
        <v>9</v>
      </c>
      <c r="V25" s="179">
        <v>10</v>
      </c>
      <c r="W25" s="179">
        <v>11</v>
      </c>
      <c r="X25" s="179">
        <v>12</v>
      </c>
      <c r="Y25" s="179">
        <v>13</v>
      </c>
      <c r="Z25" s="179">
        <v>14</v>
      </c>
      <c r="AA25" s="179">
        <v>15</v>
      </c>
      <c r="AB25" s="179">
        <v>16</v>
      </c>
      <c r="AC25" s="179">
        <v>17</v>
      </c>
      <c r="AD25" s="179">
        <v>18</v>
      </c>
      <c r="AE25" s="179">
        <v>19</v>
      </c>
      <c r="AF25" s="179">
        <v>20</v>
      </c>
      <c r="AG25" s="179">
        <v>21</v>
      </c>
      <c r="AH25" s="179">
        <v>22</v>
      </c>
      <c r="AI25" s="179">
        <v>23</v>
      </c>
      <c r="AJ25" s="179">
        <v>24</v>
      </c>
      <c r="AK25" s="179">
        <v>25</v>
      </c>
      <c r="AL25" s="179">
        <v>26</v>
      </c>
      <c r="AM25" s="179">
        <v>27</v>
      </c>
      <c r="AN25" s="179">
        <v>28</v>
      </c>
      <c r="AO25" s="179">
        <v>29</v>
      </c>
      <c r="AP25" s="179">
        <v>30</v>
      </c>
      <c r="AQ25" s="179">
        <v>31</v>
      </c>
    </row>
    <row r="26" spans="2:43">
      <c r="B26" s="171" t="s">
        <v>121</v>
      </c>
      <c r="C26" s="155" t="s">
        <v>774</v>
      </c>
      <c r="D26" s="156">
        <v>0</v>
      </c>
      <c r="E26" s="184">
        <v>0</v>
      </c>
      <c r="F26"/>
      <c r="G26" s="174">
        <v>24</v>
      </c>
      <c r="H26" s="174">
        <v>32</v>
      </c>
      <c r="I26" s="174">
        <v>0</v>
      </c>
      <c r="J26" s="174">
        <v>0</v>
      </c>
      <c r="K26" s="174">
        <v>0</v>
      </c>
      <c r="L26"/>
      <c r="M26" s="181">
        <v>7</v>
      </c>
      <c r="N26" s="181">
        <v>7</v>
      </c>
      <c r="O26" s="181">
        <v>5</v>
      </c>
      <c r="P26" s="181">
        <v>3</v>
      </c>
      <c r="Q26" s="181">
        <v>2</v>
      </c>
      <c r="R26" s="181">
        <v>8</v>
      </c>
      <c r="S26" s="181">
        <v>11</v>
      </c>
      <c r="T26" s="181">
        <v>7</v>
      </c>
      <c r="U26" s="181">
        <v>6</v>
      </c>
      <c r="V26" s="181">
        <v>0</v>
      </c>
      <c r="W26" s="181">
        <v>0</v>
      </c>
      <c r="X26" s="181">
        <v>0</v>
      </c>
      <c r="Y26" s="181">
        <v>0</v>
      </c>
      <c r="Z26" s="181">
        <v>0</v>
      </c>
      <c r="AA26" s="181">
        <v>0</v>
      </c>
      <c r="AB26" s="181">
        <v>0</v>
      </c>
      <c r="AC26" s="181">
        <v>0</v>
      </c>
      <c r="AD26" s="181">
        <v>0</v>
      </c>
      <c r="AE26" s="181">
        <v>0</v>
      </c>
      <c r="AF26" s="181">
        <v>0</v>
      </c>
      <c r="AG26" s="181">
        <v>0</v>
      </c>
      <c r="AH26" s="181">
        <v>0</v>
      </c>
      <c r="AI26" s="181">
        <v>0</v>
      </c>
      <c r="AJ26" s="181">
        <v>0</v>
      </c>
      <c r="AK26" s="181">
        <v>0</v>
      </c>
      <c r="AL26" s="181">
        <v>0</v>
      </c>
      <c r="AM26" s="181">
        <v>0</v>
      </c>
      <c r="AN26" s="181">
        <v>0</v>
      </c>
      <c r="AO26" s="181">
        <v>0</v>
      </c>
      <c r="AP26" s="181">
        <v>0</v>
      </c>
      <c r="AQ26" s="181">
        <v>0</v>
      </c>
    </row>
    <row r="27" spans="2:43">
      <c r="B27" s="172" t="s">
        <v>7024</v>
      </c>
      <c r="C27" s="155" t="s">
        <v>8</v>
      </c>
      <c r="D27" s="156">
        <v>1</v>
      </c>
      <c r="E27" s="184">
        <v>0.01</v>
      </c>
      <c r="F27"/>
      <c r="G27" s="174">
        <v>0</v>
      </c>
      <c r="H27" s="174">
        <v>1</v>
      </c>
      <c r="I27" s="174">
        <v>0</v>
      </c>
      <c r="J27" s="174">
        <v>0</v>
      </c>
      <c r="K27" s="174">
        <v>0</v>
      </c>
      <c r="L27"/>
      <c r="M27" s="181">
        <v>0</v>
      </c>
      <c r="N27" s="181">
        <v>0</v>
      </c>
      <c r="O27" s="181">
        <v>0</v>
      </c>
      <c r="P27" s="181">
        <v>0</v>
      </c>
      <c r="Q27" s="181">
        <v>0</v>
      </c>
      <c r="R27" s="181">
        <v>0</v>
      </c>
      <c r="S27" s="181">
        <v>0</v>
      </c>
      <c r="T27" s="181">
        <v>0</v>
      </c>
      <c r="U27" s="181">
        <v>1</v>
      </c>
      <c r="V27" s="181">
        <v>0</v>
      </c>
      <c r="W27" s="181">
        <v>0</v>
      </c>
      <c r="X27" s="181">
        <v>0</v>
      </c>
      <c r="Y27" s="181">
        <v>0</v>
      </c>
      <c r="Z27" s="181">
        <v>0</v>
      </c>
      <c r="AA27" s="181">
        <v>0</v>
      </c>
      <c r="AB27" s="181">
        <v>0</v>
      </c>
      <c r="AC27" s="181">
        <v>0</v>
      </c>
      <c r="AD27" s="181">
        <v>0</v>
      </c>
      <c r="AE27" s="181">
        <v>0</v>
      </c>
      <c r="AF27" s="181">
        <v>0</v>
      </c>
      <c r="AG27" s="181">
        <v>0</v>
      </c>
      <c r="AH27" s="181">
        <v>0</v>
      </c>
      <c r="AI27" s="181">
        <v>0</v>
      </c>
      <c r="AJ27" s="181">
        <v>0</v>
      </c>
      <c r="AK27" s="181">
        <v>0</v>
      </c>
      <c r="AL27" s="181">
        <v>0</v>
      </c>
      <c r="AM27" s="181">
        <v>0</v>
      </c>
      <c r="AN27" s="181">
        <v>0</v>
      </c>
      <c r="AO27" s="181">
        <v>0</v>
      </c>
      <c r="AP27" s="181">
        <v>0</v>
      </c>
      <c r="AQ27" s="181">
        <v>0</v>
      </c>
    </row>
    <row r="28" spans="2:43">
      <c r="B28" s="172" t="s">
        <v>7024</v>
      </c>
      <c r="C28" s="155" t="s">
        <v>9</v>
      </c>
      <c r="D28" s="156">
        <v>0</v>
      </c>
      <c r="E28" s="184">
        <v>0</v>
      </c>
      <c r="F28"/>
      <c r="G28" s="174">
        <v>0</v>
      </c>
      <c r="H28" s="174">
        <v>0</v>
      </c>
      <c r="I28" s="174">
        <v>0</v>
      </c>
      <c r="J28" s="174">
        <v>0</v>
      </c>
      <c r="K28" s="174">
        <v>0</v>
      </c>
      <c r="L28"/>
      <c r="M28" s="181">
        <v>0</v>
      </c>
      <c r="N28" s="181">
        <v>0</v>
      </c>
      <c r="O28" s="181">
        <v>0</v>
      </c>
      <c r="P28" s="181">
        <v>0</v>
      </c>
      <c r="Q28" s="181">
        <v>0</v>
      </c>
      <c r="R28" s="181">
        <v>0</v>
      </c>
      <c r="S28" s="181">
        <v>0</v>
      </c>
      <c r="T28" s="181">
        <v>0</v>
      </c>
      <c r="U28" s="181">
        <v>0</v>
      </c>
      <c r="V28" s="181">
        <v>0</v>
      </c>
      <c r="W28" s="181">
        <v>0</v>
      </c>
      <c r="X28" s="181">
        <v>0</v>
      </c>
      <c r="Y28" s="181">
        <v>0</v>
      </c>
      <c r="Z28" s="181">
        <v>0</v>
      </c>
      <c r="AA28" s="181">
        <v>0</v>
      </c>
      <c r="AB28" s="181">
        <v>0</v>
      </c>
      <c r="AC28" s="181">
        <v>0</v>
      </c>
      <c r="AD28" s="181">
        <v>0</v>
      </c>
      <c r="AE28" s="181">
        <v>0</v>
      </c>
      <c r="AF28" s="181">
        <v>0</v>
      </c>
      <c r="AG28" s="181">
        <v>0</v>
      </c>
      <c r="AH28" s="181">
        <v>0</v>
      </c>
      <c r="AI28" s="181">
        <v>0</v>
      </c>
      <c r="AJ28" s="181">
        <v>0</v>
      </c>
      <c r="AK28" s="181">
        <v>0</v>
      </c>
      <c r="AL28" s="181">
        <v>0</v>
      </c>
      <c r="AM28" s="181">
        <v>0</v>
      </c>
      <c r="AN28" s="181">
        <v>0</v>
      </c>
      <c r="AO28" s="181">
        <v>0</v>
      </c>
      <c r="AP28" s="181">
        <v>0</v>
      </c>
      <c r="AQ28" s="181">
        <v>0</v>
      </c>
    </row>
    <row r="29" spans="2:43">
      <c r="B29" s="172" t="s">
        <v>7024</v>
      </c>
      <c r="C29" s="155" t="s">
        <v>775</v>
      </c>
      <c r="D29" s="156">
        <v>33</v>
      </c>
      <c r="E29" s="184">
        <v>0.22</v>
      </c>
      <c r="F29"/>
      <c r="G29" s="174">
        <v>22</v>
      </c>
      <c r="H29" s="174">
        <v>11</v>
      </c>
      <c r="I29" s="174">
        <v>0</v>
      </c>
      <c r="J29" s="174">
        <v>0</v>
      </c>
      <c r="K29" s="174">
        <v>0</v>
      </c>
      <c r="L29"/>
      <c r="M29" s="181">
        <v>6</v>
      </c>
      <c r="N29" s="181">
        <v>4</v>
      </c>
      <c r="O29" s="181">
        <v>12</v>
      </c>
      <c r="P29" s="181">
        <v>0</v>
      </c>
      <c r="Q29" s="181">
        <v>0</v>
      </c>
      <c r="R29" s="181">
        <v>1</v>
      </c>
      <c r="S29" s="181">
        <v>3</v>
      </c>
      <c r="T29" s="181">
        <v>3</v>
      </c>
      <c r="U29" s="181">
        <v>4</v>
      </c>
      <c r="V29" s="181">
        <v>0</v>
      </c>
      <c r="W29" s="181">
        <v>0</v>
      </c>
      <c r="X29" s="181">
        <v>0</v>
      </c>
      <c r="Y29" s="181">
        <v>0</v>
      </c>
      <c r="Z29" s="181">
        <v>0</v>
      </c>
      <c r="AA29" s="181">
        <v>0</v>
      </c>
      <c r="AB29" s="181">
        <v>0</v>
      </c>
      <c r="AC29" s="181">
        <v>0</v>
      </c>
      <c r="AD29" s="181">
        <v>0</v>
      </c>
      <c r="AE29" s="181">
        <v>0</v>
      </c>
      <c r="AF29" s="181">
        <v>0</v>
      </c>
      <c r="AG29" s="181">
        <v>0</v>
      </c>
      <c r="AH29" s="181">
        <v>0</v>
      </c>
      <c r="AI29" s="181">
        <v>0</v>
      </c>
      <c r="AJ29" s="181">
        <v>0</v>
      </c>
      <c r="AK29" s="181">
        <v>0</v>
      </c>
      <c r="AL29" s="181">
        <v>0</v>
      </c>
      <c r="AM29" s="181">
        <v>0</v>
      </c>
      <c r="AN29" s="181">
        <v>0</v>
      </c>
      <c r="AO29" s="181">
        <v>0</v>
      </c>
      <c r="AP29" s="181">
        <v>0</v>
      </c>
      <c r="AQ29" s="181">
        <v>0</v>
      </c>
    </row>
    <row r="30" spans="2:43">
      <c r="B30" s="172" t="s">
        <v>7024</v>
      </c>
      <c r="C30" s="155" t="s">
        <v>9136</v>
      </c>
      <c r="D30" s="156">
        <v>30</v>
      </c>
      <c r="E30" s="184">
        <v>0.2</v>
      </c>
      <c r="F30"/>
      <c r="G30" s="174">
        <v>11</v>
      </c>
      <c r="H30" s="174">
        <v>19</v>
      </c>
      <c r="I30" s="174">
        <v>0</v>
      </c>
      <c r="J30" s="174">
        <v>0</v>
      </c>
      <c r="K30" s="174">
        <v>0</v>
      </c>
      <c r="L30"/>
      <c r="M30" s="181">
        <v>3</v>
      </c>
      <c r="N30" s="181">
        <v>1</v>
      </c>
      <c r="O30" s="181">
        <v>4</v>
      </c>
      <c r="P30" s="181">
        <v>3</v>
      </c>
      <c r="Q30" s="181">
        <v>0</v>
      </c>
      <c r="R30" s="181">
        <v>6</v>
      </c>
      <c r="S30" s="181">
        <v>7</v>
      </c>
      <c r="T30" s="181">
        <v>3</v>
      </c>
      <c r="U30" s="181">
        <v>3</v>
      </c>
      <c r="V30" s="181">
        <v>0</v>
      </c>
      <c r="W30" s="181">
        <v>0</v>
      </c>
      <c r="X30" s="181">
        <v>0</v>
      </c>
      <c r="Y30" s="181">
        <v>0</v>
      </c>
      <c r="Z30" s="181">
        <v>0</v>
      </c>
      <c r="AA30" s="181">
        <v>0</v>
      </c>
      <c r="AB30" s="181">
        <v>0</v>
      </c>
      <c r="AC30" s="181">
        <v>0</v>
      </c>
      <c r="AD30" s="181">
        <v>0</v>
      </c>
      <c r="AE30" s="181">
        <v>0</v>
      </c>
      <c r="AF30" s="181">
        <v>0</v>
      </c>
      <c r="AG30" s="181">
        <v>0</v>
      </c>
      <c r="AH30" s="181">
        <v>0</v>
      </c>
      <c r="AI30" s="181">
        <v>0</v>
      </c>
      <c r="AJ30" s="181">
        <v>0</v>
      </c>
      <c r="AK30" s="181">
        <v>0</v>
      </c>
      <c r="AL30" s="181">
        <v>0</v>
      </c>
      <c r="AM30" s="181">
        <v>0</v>
      </c>
      <c r="AN30" s="181">
        <v>0</v>
      </c>
      <c r="AO30" s="181">
        <v>0</v>
      </c>
      <c r="AP30" s="181">
        <v>0</v>
      </c>
      <c r="AQ30" s="181">
        <v>0</v>
      </c>
    </row>
    <row r="31" spans="2:43">
      <c r="B31" s="172" t="s">
        <v>7024</v>
      </c>
      <c r="C31" s="155" t="s">
        <v>9137</v>
      </c>
      <c r="D31" s="156">
        <v>25</v>
      </c>
      <c r="E31" s="184">
        <v>0.17</v>
      </c>
      <c r="F31"/>
      <c r="G31" s="174">
        <v>10</v>
      </c>
      <c r="H31" s="174">
        <v>15</v>
      </c>
      <c r="I31" s="174">
        <v>0</v>
      </c>
      <c r="J31" s="174">
        <v>0</v>
      </c>
      <c r="K31" s="174">
        <v>0</v>
      </c>
      <c r="L31"/>
      <c r="M31" s="181">
        <v>2</v>
      </c>
      <c r="N31" s="181">
        <v>4</v>
      </c>
      <c r="O31" s="181">
        <v>0</v>
      </c>
      <c r="P31" s="181">
        <v>4</v>
      </c>
      <c r="Q31" s="181">
        <v>0</v>
      </c>
      <c r="R31" s="181">
        <v>5</v>
      </c>
      <c r="S31" s="181">
        <v>4</v>
      </c>
      <c r="T31" s="181">
        <v>4</v>
      </c>
      <c r="U31" s="181">
        <v>2</v>
      </c>
      <c r="V31" s="181">
        <v>0</v>
      </c>
      <c r="W31" s="181">
        <v>0</v>
      </c>
      <c r="X31" s="181">
        <v>0</v>
      </c>
      <c r="Y31" s="181">
        <v>0</v>
      </c>
      <c r="Z31" s="181">
        <v>0</v>
      </c>
      <c r="AA31" s="181">
        <v>0</v>
      </c>
      <c r="AB31" s="181">
        <v>0</v>
      </c>
      <c r="AC31" s="181">
        <v>0</v>
      </c>
      <c r="AD31" s="181">
        <v>0</v>
      </c>
      <c r="AE31" s="181">
        <v>0</v>
      </c>
      <c r="AF31" s="181">
        <v>0</v>
      </c>
      <c r="AG31" s="181">
        <v>0</v>
      </c>
      <c r="AH31" s="181">
        <v>0</v>
      </c>
      <c r="AI31" s="181">
        <v>0</v>
      </c>
      <c r="AJ31" s="181">
        <v>0</v>
      </c>
      <c r="AK31" s="181">
        <v>0</v>
      </c>
      <c r="AL31" s="181">
        <v>0</v>
      </c>
      <c r="AM31" s="181">
        <v>0</v>
      </c>
      <c r="AN31" s="181">
        <v>0</v>
      </c>
      <c r="AO31" s="181">
        <v>0</v>
      </c>
      <c r="AP31" s="181">
        <v>0</v>
      </c>
      <c r="AQ31" s="181">
        <v>0</v>
      </c>
    </row>
    <row r="32" spans="2:43" ht="17.25" customHeight="1">
      <c r="B32" s="172" t="s">
        <v>7024</v>
      </c>
      <c r="C32" s="155" t="s">
        <v>776</v>
      </c>
      <c r="D32" s="156">
        <v>0</v>
      </c>
      <c r="E32" s="184">
        <v>0</v>
      </c>
      <c r="F32"/>
      <c r="G32" s="174">
        <v>0</v>
      </c>
      <c r="H32" s="174">
        <v>0</v>
      </c>
      <c r="I32" s="174">
        <v>0</v>
      </c>
      <c r="J32" s="174">
        <v>0</v>
      </c>
      <c r="K32" s="174">
        <v>0</v>
      </c>
      <c r="L32"/>
      <c r="M32" s="181">
        <v>0</v>
      </c>
      <c r="N32" s="181">
        <v>0</v>
      </c>
      <c r="O32" s="181">
        <v>0</v>
      </c>
      <c r="P32" s="181">
        <v>0</v>
      </c>
      <c r="Q32" s="181">
        <v>0</v>
      </c>
      <c r="R32" s="181">
        <v>0</v>
      </c>
      <c r="S32" s="181">
        <v>0</v>
      </c>
      <c r="T32" s="181">
        <v>0</v>
      </c>
      <c r="U32" s="181">
        <v>0</v>
      </c>
      <c r="V32" s="181">
        <v>0</v>
      </c>
      <c r="W32" s="181">
        <v>0</v>
      </c>
      <c r="X32" s="181">
        <v>0</v>
      </c>
      <c r="Y32" s="181">
        <v>0</v>
      </c>
      <c r="Z32" s="181">
        <v>0</v>
      </c>
      <c r="AA32" s="181">
        <v>0</v>
      </c>
      <c r="AB32" s="181">
        <v>0</v>
      </c>
      <c r="AC32" s="181">
        <v>0</v>
      </c>
      <c r="AD32" s="181">
        <v>0</v>
      </c>
      <c r="AE32" s="181">
        <v>0</v>
      </c>
      <c r="AF32" s="181">
        <v>0</v>
      </c>
      <c r="AG32" s="181">
        <v>0</v>
      </c>
      <c r="AH32" s="181">
        <v>0</v>
      </c>
      <c r="AI32" s="181">
        <v>0</v>
      </c>
      <c r="AJ32" s="181">
        <v>0</v>
      </c>
      <c r="AK32" s="181">
        <v>0</v>
      </c>
      <c r="AL32" s="181">
        <v>0</v>
      </c>
      <c r="AM32" s="181">
        <v>0</v>
      </c>
      <c r="AN32" s="181">
        <v>0</v>
      </c>
      <c r="AO32" s="181">
        <v>0</v>
      </c>
      <c r="AP32" s="181">
        <v>0</v>
      </c>
      <c r="AQ32" s="181">
        <v>0</v>
      </c>
    </row>
    <row r="33" spans="2:43">
      <c r="B33" s="172" t="s">
        <v>7024</v>
      </c>
      <c r="C33" s="155" t="s">
        <v>777</v>
      </c>
      <c r="D33" s="156">
        <v>0</v>
      </c>
      <c r="E33" s="184">
        <v>0</v>
      </c>
      <c r="F33"/>
      <c r="G33" s="174">
        <v>0</v>
      </c>
      <c r="H33" s="174">
        <v>0</v>
      </c>
      <c r="I33" s="174">
        <v>0</v>
      </c>
      <c r="J33" s="174">
        <v>0</v>
      </c>
      <c r="K33" s="174">
        <v>0</v>
      </c>
      <c r="L33"/>
      <c r="M33" s="181">
        <v>0</v>
      </c>
      <c r="N33" s="181">
        <v>0</v>
      </c>
      <c r="O33" s="181">
        <v>0</v>
      </c>
      <c r="P33" s="181">
        <v>0</v>
      </c>
      <c r="Q33" s="181">
        <v>0</v>
      </c>
      <c r="R33" s="181">
        <v>0</v>
      </c>
      <c r="S33" s="181">
        <v>0</v>
      </c>
      <c r="T33" s="181">
        <v>0</v>
      </c>
      <c r="U33" s="181">
        <v>0</v>
      </c>
      <c r="V33" s="181">
        <v>0</v>
      </c>
      <c r="W33" s="181">
        <v>0</v>
      </c>
      <c r="X33" s="181">
        <v>0</v>
      </c>
      <c r="Y33" s="181">
        <v>0</v>
      </c>
      <c r="Z33" s="181">
        <v>0</v>
      </c>
      <c r="AA33" s="181">
        <v>0</v>
      </c>
      <c r="AB33" s="181">
        <v>0</v>
      </c>
      <c r="AC33" s="181">
        <v>0</v>
      </c>
      <c r="AD33" s="181">
        <v>0</v>
      </c>
      <c r="AE33" s="181">
        <v>0</v>
      </c>
      <c r="AF33" s="181">
        <v>0</v>
      </c>
      <c r="AG33" s="181">
        <v>0</v>
      </c>
      <c r="AH33" s="181">
        <v>0</v>
      </c>
      <c r="AI33" s="181">
        <v>0</v>
      </c>
      <c r="AJ33" s="181">
        <v>0</v>
      </c>
      <c r="AK33" s="181">
        <v>0</v>
      </c>
      <c r="AL33" s="181">
        <v>0</v>
      </c>
      <c r="AM33" s="181">
        <v>0</v>
      </c>
      <c r="AN33" s="181">
        <v>0</v>
      </c>
      <c r="AO33" s="181">
        <v>0</v>
      </c>
      <c r="AP33" s="181">
        <v>0</v>
      </c>
      <c r="AQ33" s="181">
        <v>0</v>
      </c>
    </row>
    <row r="34" spans="2:43">
      <c r="B34" s="172" t="s">
        <v>7024</v>
      </c>
      <c r="C34" s="155" t="s">
        <v>7017</v>
      </c>
      <c r="D34" s="156">
        <v>61</v>
      </c>
      <c r="E34" s="184">
        <v>0.41</v>
      </c>
      <c r="F34"/>
      <c r="G34" s="174">
        <v>2</v>
      </c>
      <c r="H34" s="174">
        <v>3</v>
      </c>
      <c r="I34" s="174">
        <v>0</v>
      </c>
      <c r="J34" s="174">
        <v>0</v>
      </c>
      <c r="K34" s="174">
        <v>0</v>
      </c>
      <c r="L34" s="174">
        <v>0</v>
      </c>
      <c r="M34" s="181">
        <v>1</v>
      </c>
      <c r="N34" s="181">
        <v>1</v>
      </c>
      <c r="O34" s="181">
        <v>0</v>
      </c>
      <c r="P34" s="181">
        <v>0</v>
      </c>
      <c r="Q34" s="181">
        <v>0</v>
      </c>
      <c r="R34" s="181">
        <v>0</v>
      </c>
      <c r="S34" s="181">
        <v>0</v>
      </c>
      <c r="T34" s="181">
        <v>2</v>
      </c>
      <c r="U34" s="181">
        <v>1</v>
      </c>
      <c r="V34" s="181">
        <v>0</v>
      </c>
      <c r="W34" s="181">
        <v>0</v>
      </c>
      <c r="X34" s="181">
        <v>0</v>
      </c>
      <c r="Y34" s="181">
        <v>0</v>
      </c>
      <c r="Z34" s="181">
        <v>0</v>
      </c>
      <c r="AA34" s="181">
        <v>0</v>
      </c>
      <c r="AB34" s="181">
        <v>0</v>
      </c>
      <c r="AC34" s="181">
        <v>0</v>
      </c>
      <c r="AD34" s="181">
        <v>0</v>
      </c>
      <c r="AE34" s="181">
        <v>0</v>
      </c>
      <c r="AF34" s="181">
        <v>0</v>
      </c>
      <c r="AG34" s="181">
        <v>0</v>
      </c>
      <c r="AH34" s="181">
        <v>0</v>
      </c>
      <c r="AI34" s="181">
        <v>0</v>
      </c>
      <c r="AJ34" s="181">
        <v>0</v>
      </c>
      <c r="AK34" s="181">
        <v>0</v>
      </c>
      <c r="AL34" s="181">
        <v>0</v>
      </c>
      <c r="AM34" s="181">
        <v>0</v>
      </c>
      <c r="AN34" s="181">
        <v>0</v>
      </c>
      <c r="AO34" s="181">
        <v>0</v>
      </c>
      <c r="AP34" s="181">
        <v>0</v>
      </c>
      <c r="AQ34" s="181">
        <v>0</v>
      </c>
    </row>
    <row r="35" spans="2:43" ht="17.25" customHeight="1">
      <c r="B35" s="173" t="s">
        <v>7024</v>
      </c>
      <c r="C35" s="157" t="s">
        <v>7018</v>
      </c>
      <c r="D35" s="158">
        <v>150</v>
      </c>
      <c r="E35" s="183">
        <v>1</v>
      </c>
      <c r="F35"/>
      <c r="G35" s="160">
        <v>69</v>
      </c>
      <c r="H35" s="160">
        <v>81</v>
      </c>
      <c r="I35" s="160">
        <v>0</v>
      </c>
      <c r="J35" s="160">
        <v>0</v>
      </c>
      <c r="K35" s="160">
        <v>0</v>
      </c>
      <c r="L35"/>
      <c r="M35" s="180">
        <v>19</v>
      </c>
      <c r="N35" s="180">
        <v>17</v>
      </c>
      <c r="O35" s="180">
        <v>21</v>
      </c>
      <c r="P35" s="180">
        <v>10</v>
      </c>
      <c r="Q35" s="180">
        <v>2</v>
      </c>
      <c r="R35" s="180">
        <v>20</v>
      </c>
      <c r="S35" s="180">
        <v>25</v>
      </c>
      <c r="T35" s="180">
        <v>19</v>
      </c>
      <c r="U35" s="180">
        <v>17</v>
      </c>
      <c r="V35" s="180">
        <v>0</v>
      </c>
      <c r="W35" s="180">
        <v>0</v>
      </c>
      <c r="X35" s="180">
        <v>0</v>
      </c>
      <c r="Y35" s="180">
        <v>0</v>
      </c>
      <c r="Z35" s="180">
        <v>0</v>
      </c>
      <c r="AA35" s="180">
        <v>0</v>
      </c>
      <c r="AB35" s="180">
        <v>0</v>
      </c>
      <c r="AC35" s="180">
        <v>0</v>
      </c>
      <c r="AD35" s="180">
        <v>0</v>
      </c>
      <c r="AE35" s="180">
        <v>0</v>
      </c>
      <c r="AF35" s="180">
        <v>0</v>
      </c>
      <c r="AG35" s="180">
        <v>0</v>
      </c>
      <c r="AH35" s="180">
        <v>0</v>
      </c>
      <c r="AI35" s="180">
        <v>0</v>
      </c>
      <c r="AJ35" s="180">
        <v>0</v>
      </c>
      <c r="AK35" s="180">
        <v>0</v>
      </c>
      <c r="AL35" s="180">
        <v>0</v>
      </c>
      <c r="AM35" s="180">
        <v>0</v>
      </c>
      <c r="AN35" s="180">
        <v>0</v>
      </c>
      <c r="AO35" s="180">
        <v>0</v>
      </c>
      <c r="AP35" s="180">
        <v>0</v>
      </c>
      <c r="AQ35" s="180">
        <v>0</v>
      </c>
    </row>
    <row r="36" spans="2:43">
      <c r="B36" s="171" t="s">
        <v>122</v>
      </c>
      <c r="C36" s="155" t="s">
        <v>774</v>
      </c>
      <c r="D36" s="156">
        <v>22</v>
      </c>
      <c r="E36" s="184">
        <v>0.2</v>
      </c>
      <c r="F36"/>
      <c r="G36" s="174">
        <v>11</v>
      </c>
      <c r="H36" s="174">
        <v>11</v>
      </c>
      <c r="I36" s="174">
        <v>0</v>
      </c>
      <c r="J36" s="174">
        <v>0</v>
      </c>
      <c r="K36" s="174">
        <v>0</v>
      </c>
      <c r="L36"/>
      <c r="M36" s="181">
        <v>3</v>
      </c>
      <c r="N36" s="181">
        <v>3</v>
      </c>
      <c r="O36" s="181">
        <v>3</v>
      </c>
      <c r="P36" s="181">
        <v>1</v>
      </c>
      <c r="Q36" s="181">
        <v>1</v>
      </c>
      <c r="R36" s="181">
        <v>3</v>
      </c>
      <c r="S36" s="181">
        <v>2</v>
      </c>
      <c r="T36" s="181">
        <v>3</v>
      </c>
      <c r="U36" s="181">
        <v>3</v>
      </c>
      <c r="V36" s="181">
        <v>0</v>
      </c>
      <c r="W36" s="181">
        <v>0</v>
      </c>
      <c r="X36" s="181">
        <v>0</v>
      </c>
      <c r="Y36" s="181">
        <v>0</v>
      </c>
      <c r="Z36" s="181">
        <v>0</v>
      </c>
      <c r="AA36" s="181">
        <v>0</v>
      </c>
      <c r="AB36" s="181">
        <v>0</v>
      </c>
      <c r="AC36" s="181">
        <v>0</v>
      </c>
      <c r="AD36" s="181">
        <v>0</v>
      </c>
      <c r="AE36" s="181">
        <v>0</v>
      </c>
      <c r="AF36" s="181">
        <v>0</v>
      </c>
      <c r="AG36" s="181">
        <v>0</v>
      </c>
      <c r="AH36" s="181">
        <v>0</v>
      </c>
      <c r="AI36" s="181">
        <v>0</v>
      </c>
      <c r="AJ36" s="181">
        <v>0</v>
      </c>
      <c r="AK36" s="181">
        <v>0</v>
      </c>
      <c r="AL36" s="181">
        <v>0</v>
      </c>
      <c r="AM36" s="181">
        <v>0</v>
      </c>
      <c r="AN36" s="181">
        <v>0</v>
      </c>
      <c r="AO36" s="181">
        <v>0</v>
      </c>
      <c r="AP36" s="181">
        <v>0</v>
      </c>
      <c r="AQ36" s="181">
        <v>0</v>
      </c>
    </row>
    <row r="37" spans="2:43">
      <c r="B37" s="172" t="s">
        <v>122</v>
      </c>
      <c r="C37" s="155" t="s">
        <v>8</v>
      </c>
      <c r="D37" s="156">
        <v>0</v>
      </c>
      <c r="E37" s="184">
        <v>0</v>
      </c>
      <c r="F37"/>
      <c r="G37" s="174">
        <v>0</v>
      </c>
      <c r="H37" s="174">
        <v>0</v>
      </c>
      <c r="I37" s="174">
        <v>0</v>
      </c>
      <c r="J37" s="174">
        <v>0</v>
      </c>
      <c r="K37" s="174">
        <v>0</v>
      </c>
      <c r="L37"/>
      <c r="M37" s="181">
        <v>0</v>
      </c>
      <c r="N37" s="181">
        <v>0</v>
      </c>
      <c r="O37" s="181">
        <v>0</v>
      </c>
      <c r="P37" s="181">
        <v>0</v>
      </c>
      <c r="Q37" s="181">
        <v>0</v>
      </c>
      <c r="R37" s="181">
        <v>0</v>
      </c>
      <c r="S37" s="181">
        <v>0</v>
      </c>
      <c r="T37" s="181">
        <v>0</v>
      </c>
      <c r="U37" s="181">
        <v>0</v>
      </c>
      <c r="V37" s="181">
        <v>0</v>
      </c>
      <c r="W37" s="181">
        <v>0</v>
      </c>
      <c r="X37" s="181">
        <v>0</v>
      </c>
      <c r="Y37" s="181">
        <v>0</v>
      </c>
      <c r="Z37" s="181">
        <v>0</v>
      </c>
      <c r="AA37" s="181">
        <v>0</v>
      </c>
      <c r="AB37" s="181">
        <v>0</v>
      </c>
      <c r="AC37" s="181">
        <v>0</v>
      </c>
      <c r="AD37" s="181">
        <v>0</v>
      </c>
      <c r="AE37" s="181">
        <v>0</v>
      </c>
      <c r="AF37" s="181">
        <v>0</v>
      </c>
      <c r="AG37" s="181">
        <v>0</v>
      </c>
      <c r="AH37" s="181">
        <v>0</v>
      </c>
      <c r="AI37" s="181">
        <v>0</v>
      </c>
      <c r="AJ37" s="181">
        <v>0</v>
      </c>
      <c r="AK37" s="181">
        <v>0</v>
      </c>
      <c r="AL37" s="181">
        <v>0</v>
      </c>
      <c r="AM37" s="181">
        <v>0</v>
      </c>
      <c r="AN37" s="181">
        <v>0</v>
      </c>
      <c r="AO37" s="181">
        <v>0</v>
      </c>
      <c r="AP37" s="181">
        <v>0</v>
      </c>
      <c r="AQ37" s="181">
        <v>0</v>
      </c>
    </row>
    <row r="38" spans="2:43">
      <c r="B38" s="172" t="s">
        <v>122</v>
      </c>
      <c r="C38" s="155" t="s">
        <v>9</v>
      </c>
      <c r="D38" s="156">
        <v>1</v>
      </c>
      <c r="E38" s="184">
        <v>0.01</v>
      </c>
      <c r="F38"/>
      <c r="G38" s="174">
        <v>1</v>
      </c>
      <c r="H38" s="174">
        <v>0</v>
      </c>
      <c r="I38" s="174">
        <v>0</v>
      </c>
      <c r="J38" s="174">
        <v>0</v>
      </c>
      <c r="K38" s="174">
        <v>0</v>
      </c>
      <c r="L38"/>
      <c r="M38" s="181">
        <v>0</v>
      </c>
      <c r="N38" s="181">
        <v>1</v>
      </c>
      <c r="O38" s="181">
        <v>0</v>
      </c>
      <c r="P38" s="181">
        <v>0</v>
      </c>
      <c r="Q38" s="181">
        <v>0</v>
      </c>
      <c r="R38" s="181">
        <v>0</v>
      </c>
      <c r="S38" s="181">
        <v>0</v>
      </c>
      <c r="T38" s="181">
        <v>0</v>
      </c>
      <c r="U38" s="181">
        <v>0</v>
      </c>
      <c r="V38" s="181">
        <v>0</v>
      </c>
      <c r="W38" s="181">
        <v>0</v>
      </c>
      <c r="X38" s="181">
        <v>0</v>
      </c>
      <c r="Y38" s="181">
        <v>0</v>
      </c>
      <c r="Z38" s="181">
        <v>0</v>
      </c>
      <c r="AA38" s="181">
        <v>0</v>
      </c>
      <c r="AB38" s="181">
        <v>0</v>
      </c>
      <c r="AC38" s="181">
        <v>0</v>
      </c>
      <c r="AD38" s="181">
        <v>0</v>
      </c>
      <c r="AE38" s="181">
        <v>0</v>
      </c>
      <c r="AF38" s="181">
        <v>0</v>
      </c>
      <c r="AG38" s="181">
        <v>0</v>
      </c>
      <c r="AH38" s="181">
        <v>0</v>
      </c>
      <c r="AI38" s="181">
        <v>0</v>
      </c>
      <c r="AJ38" s="181">
        <v>0</v>
      </c>
      <c r="AK38" s="181">
        <v>0</v>
      </c>
      <c r="AL38" s="181">
        <v>0</v>
      </c>
      <c r="AM38" s="181">
        <v>0</v>
      </c>
      <c r="AN38" s="181">
        <v>0</v>
      </c>
      <c r="AO38" s="181">
        <v>0</v>
      </c>
      <c r="AP38" s="181">
        <v>0</v>
      </c>
      <c r="AQ38" s="181">
        <v>0</v>
      </c>
    </row>
    <row r="39" spans="2:43">
      <c r="B39" s="172" t="s">
        <v>122</v>
      </c>
      <c r="C39" s="155" t="s">
        <v>1</v>
      </c>
      <c r="D39" s="156">
        <v>0</v>
      </c>
      <c r="E39" s="184">
        <v>0</v>
      </c>
      <c r="F39"/>
      <c r="G39" s="174">
        <v>0</v>
      </c>
      <c r="H39" s="174">
        <v>0</v>
      </c>
      <c r="I39" s="174">
        <v>0</v>
      </c>
      <c r="J39" s="174">
        <v>0</v>
      </c>
      <c r="K39" s="174">
        <v>0</v>
      </c>
      <c r="L39"/>
      <c r="M39" s="181">
        <v>0</v>
      </c>
      <c r="N39" s="181">
        <v>0</v>
      </c>
      <c r="O39" s="181">
        <v>0</v>
      </c>
      <c r="P39" s="181">
        <v>0</v>
      </c>
      <c r="Q39" s="181">
        <v>0</v>
      </c>
      <c r="R39" s="181">
        <v>0</v>
      </c>
      <c r="S39" s="181">
        <v>0</v>
      </c>
      <c r="T39" s="181">
        <v>0</v>
      </c>
      <c r="U39" s="181">
        <v>0</v>
      </c>
      <c r="V39" s="181">
        <v>0</v>
      </c>
      <c r="W39" s="181">
        <v>0</v>
      </c>
      <c r="X39" s="181">
        <v>0</v>
      </c>
      <c r="Y39" s="181">
        <v>0</v>
      </c>
      <c r="Z39" s="181">
        <v>0</v>
      </c>
      <c r="AA39" s="181">
        <v>0</v>
      </c>
      <c r="AB39" s="181">
        <v>0</v>
      </c>
      <c r="AC39" s="181">
        <v>0</v>
      </c>
      <c r="AD39" s="181">
        <v>0</v>
      </c>
      <c r="AE39" s="181">
        <v>0</v>
      </c>
      <c r="AF39" s="181">
        <v>0</v>
      </c>
      <c r="AG39" s="181">
        <v>0</v>
      </c>
      <c r="AH39" s="181">
        <v>0</v>
      </c>
      <c r="AI39" s="181">
        <v>0</v>
      </c>
      <c r="AJ39" s="181">
        <v>0</v>
      </c>
      <c r="AK39" s="181">
        <v>0</v>
      </c>
      <c r="AL39" s="181">
        <v>0</v>
      </c>
      <c r="AM39" s="181">
        <v>0</v>
      </c>
      <c r="AN39" s="181">
        <v>0</v>
      </c>
      <c r="AO39" s="181">
        <v>0</v>
      </c>
      <c r="AP39" s="181">
        <v>0</v>
      </c>
      <c r="AQ39" s="181">
        <v>0</v>
      </c>
    </row>
    <row r="40" spans="2:43">
      <c r="B40" s="172" t="s">
        <v>122</v>
      </c>
      <c r="C40" s="155" t="s">
        <v>776</v>
      </c>
      <c r="D40" s="156">
        <v>0</v>
      </c>
      <c r="E40" s="184">
        <v>0</v>
      </c>
      <c r="F40"/>
      <c r="G40" s="174">
        <v>0</v>
      </c>
      <c r="H40" s="174">
        <v>0</v>
      </c>
      <c r="I40" s="174">
        <v>0</v>
      </c>
      <c r="J40" s="174">
        <v>0</v>
      </c>
      <c r="K40" s="174">
        <v>0</v>
      </c>
      <c r="L40"/>
      <c r="M40" s="181">
        <v>0</v>
      </c>
      <c r="N40" s="181">
        <v>0</v>
      </c>
      <c r="O40" s="181">
        <v>0</v>
      </c>
      <c r="P40" s="181">
        <v>0</v>
      </c>
      <c r="Q40" s="181">
        <v>0</v>
      </c>
      <c r="R40" s="181">
        <v>0</v>
      </c>
      <c r="S40" s="181">
        <v>0</v>
      </c>
      <c r="T40" s="181">
        <v>0</v>
      </c>
      <c r="U40" s="181">
        <v>0</v>
      </c>
      <c r="V40" s="181">
        <v>0</v>
      </c>
      <c r="W40" s="181">
        <v>0</v>
      </c>
      <c r="X40" s="181">
        <v>0</v>
      </c>
      <c r="Y40" s="181">
        <v>0</v>
      </c>
      <c r="Z40" s="181">
        <v>0</v>
      </c>
      <c r="AA40" s="181">
        <v>0</v>
      </c>
      <c r="AB40" s="181">
        <v>0</v>
      </c>
      <c r="AC40" s="181">
        <v>0</v>
      </c>
      <c r="AD40" s="181">
        <v>0</v>
      </c>
      <c r="AE40" s="181">
        <v>0</v>
      </c>
      <c r="AF40" s="181">
        <v>0</v>
      </c>
      <c r="AG40" s="181">
        <v>0</v>
      </c>
      <c r="AH40" s="181">
        <v>0</v>
      </c>
      <c r="AI40" s="181">
        <v>0</v>
      </c>
      <c r="AJ40" s="181">
        <v>0</v>
      </c>
      <c r="AK40" s="181">
        <v>0</v>
      </c>
      <c r="AL40" s="181">
        <v>0</v>
      </c>
      <c r="AM40" s="181">
        <v>0</v>
      </c>
      <c r="AN40" s="181">
        <v>0</v>
      </c>
      <c r="AO40" s="181">
        <v>0</v>
      </c>
      <c r="AP40" s="181">
        <v>0</v>
      </c>
      <c r="AQ40" s="181">
        <v>0</v>
      </c>
    </row>
    <row r="41" spans="2:43">
      <c r="B41" s="172" t="s">
        <v>122</v>
      </c>
      <c r="C41" s="155" t="s">
        <v>777</v>
      </c>
      <c r="D41" s="156">
        <v>0</v>
      </c>
      <c r="E41" s="184">
        <v>0</v>
      </c>
      <c r="F41"/>
      <c r="G41" s="174">
        <v>0</v>
      </c>
      <c r="H41" s="174">
        <v>0</v>
      </c>
      <c r="I41" s="174">
        <v>0</v>
      </c>
      <c r="J41" s="174">
        <v>0</v>
      </c>
      <c r="K41" s="174">
        <v>0</v>
      </c>
      <c r="L41"/>
      <c r="M41" s="181">
        <v>0</v>
      </c>
      <c r="N41" s="181">
        <v>0</v>
      </c>
      <c r="O41" s="181">
        <v>0</v>
      </c>
      <c r="P41" s="181">
        <v>0</v>
      </c>
      <c r="Q41" s="181">
        <v>0</v>
      </c>
      <c r="R41" s="181">
        <v>0</v>
      </c>
      <c r="S41" s="181">
        <v>0</v>
      </c>
      <c r="T41" s="181">
        <v>0</v>
      </c>
      <c r="U41" s="181">
        <v>0</v>
      </c>
      <c r="V41" s="181">
        <v>0</v>
      </c>
      <c r="W41" s="181">
        <v>0</v>
      </c>
      <c r="X41" s="181">
        <v>0</v>
      </c>
      <c r="Y41" s="181">
        <v>0</v>
      </c>
      <c r="Z41" s="181">
        <v>0</v>
      </c>
      <c r="AA41" s="181">
        <v>0</v>
      </c>
      <c r="AB41" s="181">
        <v>0</v>
      </c>
      <c r="AC41" s="181">
        <v>0</v>
      </c>
      <c r="AD41" s="181">
        <v>0</v>
      </c>
      <c r="AE41" s="181">
        <v>0</v>
      </c>
      <c r="AF41" s="181">
        <v>0</v>
      </c>
      <c r="AG41" s="181">
        <v>0</v>
      </c>
      <c r="AH41" s="181">
        <v>0</v>
      </c>
      <c r="AI41" s="181">
        <v>0</v>
      </c>
      <c r="AJ41" s="181">
        <v>0</v>
      </c>
      <c r="AK41" s="181">
        <v>0</v>
      </c>
      <c r="AL41" s="181">
        <v>0</v>
      </c>
      <c r="AM41" s="181">
        <v>0</v>
      </c>
      <c r="AN41" s="181">
        <v>0</v>
      </c>
      <c r="AO41" s="181">
        <v>0</v>
      </c>
      <c r="AP41" s="181">
        <v>0</v>
      </c>
      <c r="AQ41" s="181">
        <v>0</v>
      </c>
    </row>
    <row r="42" spans="2:43">
      <c r="B42" s="172" t="s">
        <v>122</v>
      </c>
      <c r="C42" s="155" t="s">
        <v>9136</v>
      </c>
      <c r="D42" s="156">
        <v>32</v>
      </c>
      <c r="E42" s="184">
        <v>0.3</v>
      </c>
      <c r="F42"/>
      <c r="G42" s="174">
        <v>18</v>
      </c>
      <c r="H42" s="174">
        <v>14</v>
      </c>
      <c r="I42" s="174">
        <v>0</v>
      </c>
      <c r="J42" s="174">
        <v>0</v>
      </c>
      <c r="K42" s="174">
        <v>0</v>
      </c>
      <c r="L42"/>
      <c r="M42" s="181">
        <v>4</v>
      </c>
      <c r="N42" s="181">
        <v>8</v>
      </c>
      <c r="O42" s="181">
        <v>6</v>
      </c>
      <c r="P42" s="181">
        <v>0</v>
      </c>
      <c r="Q42" s="181">
        <v>0</v>
      </c>
      <c r="R42" s="181">
        <v>4</v>
      </c>
      <c r="S42" s="181">
        <v>1</v>
      </c>
      <c r="T42" s="181">
        <v>1</v>
      </c>
      <c r="U42" s="181">
        <v>8</v>
      </c>
      <c r="V42" s="181">
        <v>0</v>
      </c>
      <c r="W42" s="181">
        <v>0</v>
      </c>
      <c r="X42" s="181">
        <v>0</v>
      </c>
      <c r="Y42" s="181">
        <v>0</v>
      </c>
      <c r="Z42" s="181">
        <v>0</v>
      </c>
      <c r="AA42" s="181">
        <v>0</v>
      </c>
      <c r="AB42" s="181">
        <v>0</v>
      </c>
      <c r="AC42" s="181">
        <v>0</v>
      </c>
      <c r="AD42" s="181">
        <v>0</v>
      </c>
      <c r="AE42" s="181">
        <v>0</v>
      </c>
      <c r="AF42" s="181">
        <v>0</v>
      </c>
      <c r="AG42" s="181">
        <v>0</v>
      </c>
      <c r="AH42" s="181">
        <v>0</v>
      </c>
      <c r="AI42" s="181">
        <v>0</v>
      </c>
      <c r="AJ42" s="181">
        <v>0</v>
      </c>
      <c r="AK42" s="181">
        <v>0</v>
      </c>
      <c r="AL42" s="181">
        <v>0</v>
      </c>
      <c r="AM42" s="181">
        <v>0</v>
      </c>
      <c r="AN42" s="181">
        <v>0</v>
      </c>
      <c r="AO42" s="181">
        <v>0</v>
      </c>
      <c r="AP42" s="181">
        <v>0</v>
      </c>
      <c r="AQ42" s="181">
        <v>0</v>
      </c>
    </row>
    <row r="43" spans="2:43">
      <c r="B43" s="172" t="s">
        <v>122</v>
      </c>
      <c r="C43" s="155" t="s">
        <v>9137</v>
      </c>
      <c r="D43" s="156">
        <v>24</v>
      </c>
      <c r="E43" s="184">
        <v>0.22</v>
      </c>
      <c r="F43"/>
      <c r="G43" s="174">
        <v>9</v>
      </c>
      <c r="H43" s="174">
        <v>15</v>
      </c>
      <c r="I43" s="174">
        <v>0</v>
      </c>
      <c r="J43" s="174">
        <v>0</v>
      </c>
      <c r="K43" s="174">
        <v>0</v>
      </c>
      <c r="L43"/>
      <c r="M43" s="181">
        <v>2</v>
      </c>
      <c r="N43" s="181">
        <v>1</v>
      </c>
      <c r="O43" s="181">
        <v>4</v>
      </c>
      <c r="P43" s="181">
        <v>2</v>
      </c>
      <c r="Q43" s="181">
        <v>0</v>
      </c>
      <c r="R43" s="181">
        <v>3</v>
      </c>
      <c r="S43" s="181">
        <v>3</v>
      </c>
      <c r="T43" s="181">
        <v>5</v>
      </c>
      <c r="U43" s="181">
        <v>4</v>
      </c>
      <c r="V43" s="181">
        <v>0</v>
      </c>
      <c r="W43" s="181">
        <v>0</v>
      </c>
      <c r="X43" s="181">
        <v>0</v>
      </c>
      <c r="Y43" s="181">
        <v>0</v>
      </c>
      <c r="Z43" s="181">
        <v>0</v>
      </c>
      <c r="AA43" s="181">
        <v>0</v>
      </c>
      <c r="AB43" s="181">
        <v>0</v>
      </c>
      <c r="AC43" s="181">
        <v>0</v>
      </c>
      <c r="AD43" s="181">
        <v>0</v>
      </c>
      <c r="AE43" s="181">
        <v>0</v>
      </c>
      <c r="AF43" s="181">
        <v>0</v>
      </c>
      <c r="AG43" s="181">
        <v>0</v>
      </c>
      <c r="AH43" s="181">
        <v>0</v>
      </c>
      <c r="AI43" s="181">
        <v>0</v>
      </c>
      <c r="AJ43" s="181">
        <v>0</v>
      </c>
      <c r="AK43" s="181">
        <v>0</v>
      </c>
      <c r="AL43" s="181">
        <v>0</v>
      </c>
      <c r="AM43" s="181">
        <v>0</v>
      </c>
      <c r="AN43" s="181">
        <v>0</v>
      </c>
      <c r="AO43" s="181">
        <v>0</v>
      </c>
      <c r="AP43" s="181">
        <v>0</v>
      </c>
      <c r="AQ43" s="181">
        <v>0</v>
      </c>
    </row>
    <row r="44" spans="2:43">
      <c r="B44" s="172" t="s">
        <v>122</v>
      </c>
      <c r="C44" s="155" t="s">
        <v>775</v>
      </c>
      <c r="D44" s="156">
        <v>22</v>
      </c>
      <c r="E44" s="184">
        <v>0.2</v>
      </c>
      <c r="F44"/>
      <c r="G44" s="174">
        <v>14</v>
      </c>
      <c r="H44" s="174">
        <v>8</v>
      </c>
      <c r="I44" s="174">
        <v>0</v>
      </c>
      <c r="J44" s="174">
        <v>0</v>
      </c>
      <c r="K44" s="174">
        <v>0</v>
      </c>
      <c r="L44"/>
      <c r="M44" s="181">
        <v>6</v>
      </c>
      <c r="N44" s="181">
        <v>3</v>
      </c>
      <c r="O44" s="181">
        <v>4</v>
      </c>
      <c r="P44" s="181">
        <v>1</v>
      </c>
      <c r="Q44" s="181">
        <v>0</v>
      </c>
      <c r="R44" s="181">
        <v>2</v>
      </c>
      <c r="S44" s="181">
        <v>3</v>
      </c>
      <c r="T44" s="181">
        <v>1</v>
      </c>
      <c r="U44" s="181">
        <v>2</v>
      </c>
      <c r="V44" s="181">
        <v>0</v>
      </c>
      <c r="W44" s="181">
        <v>0</v>
      </c>
      <c r="X44" s="181">
        <v>0</v>
      </c>
      <c r="Y44" s="181">
        <v>0</v>
      </c>
      <c r="Z44" s="181">
        <v>0</v>
      </c>
      <c r="AA44" s="181">
        <v>0</v>
      </c>
      <c r="AB44" s="181">
        <v>0</v>
      </c>
      <c r="AC44" s="181">
        <v>0</v>
      </c>
      <c r="AD44" s="181">
        <v>0</v>
      </c>
      <c r="AE44" s="181">
        <v>0</v>
      </c>
      <c r="AF44" s="181">
        <v>0</v>
      </c>
      <c r="AG44" s="181">
        <v>0</v>
      </c>
      <c r="AH44" s="181">
        <v>0</v>
      </c>
      <c r="AI44" s="181">
        <v>0</v>
      </c>
      <c r="AJ44" s="181">
        <v>0</v>
      </c>
      <c r="AK44" s="181">
        <v>0</v>
      </c>
      <c r="AL44" s="181">
        <v>0</v>
      </c>
      <c r="AM44" s="181">
        <v>0</v>
      </c>
      <c r="AN44" s="181">
        <v>0</v>
      </c>
      <c r="AO44" s="181">
        <v>0</v>
      </c>
      <c r="AP44" s="181">
        <v>0</v>
      </c>
      <c r="AQ44" s="181">
        <v>0</v>
      </c>
    </row>
    <row r="45" spans="2:43">
      <c r="B45" s="172" t="s">
        <v>122</v>
      </c>
      <c r="C45" s="155" t="s">
        <v>7017</v>
      </c>
      <c r="D45" s="156">
        <v>108</v>
      </c>
      <c r="E45" s="184">
        <v>1</v>
      </c>
      <c r="F45"/>
      <c r="G45" s="174">
        <v>0</v>
      </c>
      <c r="H45" s="174">
        <v>0</v>
      </c>
      <c r="I45" s="174">
        <v>0</v>
      </c>
      <c r="J45" s="174">
        <v>0</v>
      </c>
      <c r="K45" s="174">
        <v>0</v>
      </c>
      <c r="L45"/>
      <c r="M45" s="181">
        <v>0</v>
      </c>
      <c r="N45" s="181">
        <v>0</v>
      </c>
      <c r="O45" s="181">
        <v>0</v>
      </c>
      <c r="P45" s="181">
        <v>0</v>
      </c>
      <c r="Q45" s="181">
        <v>0</v>
      </c>
      <c r="R45" s="181">
        <v>0</v>
      </c>
      <c r="S45" s="181">
        <v>0</v>
      </c>
      <c r="T45" s="181">
        <v>0</v>
      </c>
      <c r="U45" s="181">
        <v>0</v>
      </c>
      <c r="V45" s="181">
        <v>0</v>
      </c>
      <c r="W45" s="181">
        <v>0</v>
      </c>
      <c r="X45" s="181">
        <v>0</v>
      </c>
      <c r="Y45" s="181">
        <v>0</v>
      </c>
      <c r="Z45" s="181">
        <v>0</v>
      </c>
      <c r="AA45" s="181">
        <v>0</v>
      </c>
      <c r="AB45" s="181">
        <v>0</v>
      </c>
      <c r="AC45" s="181">
        <v>0</v>
      </c>
      <c r="AD45" s="181">
        <v>0</v>
      </c>
      <c r="AE45" s="181">
        <v>0</v>
      </c>
      <c r="AF45" s="181">
        <v>0</v>
      </c>
      <c r="AG45" s="181">
        <v>0</v>
      </c>
      <c r="AH45" s="181">
        <v>0</v>
      </c>
      <c r="AI45" s="181">
        <v>0</v>
      </c>
      <c r="AJ45" s="181">
        <v>0</v>
      </c>
      <c r="AK45" s="181">
        <v>0</v>
      </c>
      <c r="AL45" s="181">
        <v>0</v>
      </c>
      <c r="AM45" s="181">
        <v>0</v>
      </c>
      <c r="AN45" s="181">
        <v>0</v>
      </c>
      <c r="AO45" s="181">
        <v>0</v>
      </c>
      <c r="AP45" s="181">
        <v>0</v>
      </c>
      <c r="AQ45" s="181">
        <v>0</v>
      </c>
    </row>
    <row r="46" spans="2:43">
      <c r="B46" s="173" t="s">
        <v>122</v>
      </c>
      <c r="C46" s="157" t="s">
        <v>7018</v>
      </c>
      <c r="D46" s="158">
        <v>108</v>
      </c>
      <c r="E46" s="183">
        <v>1</v>
      </c>
      <c r="F46"/>
      <c r="G46" s="160">
        <v>56</v>
      </c>
      <c r="H46" s="160">
        <v>52</v>
      </c>
      <c r="I46" s="160">
        <v>0</v>
      </c>
      <c r="J46" s="160">
        <v>0</v>
      </c>
      <c r="K46" s="160">
        <v>0</v>
      </c>
      <c r="L46"/>
      <c r="M46" s="180">
        <v>16</v>
      </c>
      <c r="N46" s="180">
        <v>17</v>
      </c>
      <c r="O46" s="180">
        <v>17</v>
      </c>
      <c r="P46" s="180">
        <v>5</v>
      </c>
      <c r="Q46" s="180">
        <v>1</v>
      </c>
      <c r="R46" s="180">
        <v>13</v>
      </c>
      <c r="S46" s="180">
        <v>10</v>
      </c>
      <c r="T46" s="180">
        <v>12</v>
      </c>
      <c r="U46" s="180">
        <v>17</v>
      </c>
      <c r="V46" s="180">
        <v>0</v>
      </c>
      <c r="W46" s="180">
        <v>0</v>
      </c>
      <c r="X46" s="180">
        <v>0</v>
      </c>
      <c r="Y46" s="180">
        <v>0</v>
      </c>
      <c r="Z46" s="180">
        <v>0</v>
      </c>
      <c r="AA46" s="180">
        <v>0</v>
      </c>
      <c r="AB46" s="180">
        <v>0</v>
      </c>
      <c r="AC46" s="180">
        <v>0</v>
      </c>
      <c r="AD46" s="180">
        <v>0</v>
      </c>
      <c r="AE46" s="180">
        <v>0</v>
      </c>
      <c r="AF46" s="180">
        <v>0</v>
      </c>
      <c r="AG46" s="180">
        <v>0</v>
      </c>
      <c r="AH46" s="180">
        <v>0</v>
      </c>
      <c r="AI46" s="180">
        <v>0</v>
      </c>
      <c r="AJ46" s="180">
        <v>0</v>
      </c>
      <c r="AK46" s="180">
        <v>0</v>
      </c>
      <c r="AL46" s="180">
        <v>0</v>
      </c>
      <c r="AM46" s="180">
        <v>0</v>
      </c>
      <c r="AN46" s="180">
        <v>0</v>
      </c>
      <c r="AO46" s="180">
        <v>0</v>
      </c>
      <c r="AP46" s="180">
        <v>0</v>
      </c>
      <c r="AQ46" s="180">
        <v>0</v>
      </c>
    </row>
    <row r="47" spans="2:43">
      <c r="B47" s="171" t="s">
        <v>123</v>
      </c>
      <c r="C47" s="155" t="s">
        <v>774</v>
      </c>
      <c r="D47" s="156">
        <v>23</v>
      </c>
      <c r="E47" s="184">
        <v>0.19</v>
      </c>
      <c r="F47"/>
      <c r="G47" s="174">
        <v>10</v>
      </c>
      <c r="H47" s="174">
        <v>13</v>
      </c>
      <c r="I47" s="174">
        <v>0</v>
      </c>
      <c r="J47" s="174">
        <v>0</v>
      </c>
      <c r="K47" s="174">
        <v>0</v>
      </c>
      <c r="L47"/>
      <c r="M47" s="181">
        <v>4</v>
      </c>
      <c r="N47" s="181">
        <v>0</v>
      </c>
      <c r="O47" s="181">
        <v>5</v>
      </c>
      <c r="P47" s="181">
        <v>1</v>
      </c>
      <c r="Q47" s="181">
        <v>0</v>
      </c>
      <c r="R47" s="181">
        <v>4</v>
      </c>
      <c r="S47" s="181">
        <v>2</v>
      </c>
      <c r="T47" s="181">
        <v>3</v>
      </c>
      <c r="U47" s="181">
        <v>4</v>
      </c>
      <c r="V47" s="181">
        <v>0</v>
      </c>
      <c r="W47" s="181">
        <v>0</v>
      </c>
      <c r="X47" s="181">
        <v>0</v>
      </c>
      <c r="Y47" s="181">
        <v>0</v>
      </c>
      <c r="Z47" s="181">
        <v>0</v>
      </c>
      <c r="AA47" s="181">
        <v>0</v>
      </c>
      <c r="AB47" s="181">
        <v>0</v>
      </c>
      <c r="AC47" s="181">
        <v>0</v>
      </c>
      <c r="AD47" s="181">
        <v>0</v>
      </c>
      <c r="AE47" s="181">
        <v>0</v>
      </c>
      <c r="AF47" s="181">
        <v>0</v>
      </c>
      <c r="AG47" s="181">
        <v>0</v>
      </c>
      <c r="AH47" s="181">
        <v>0</v>
      </c>
      <c r="AI47" s="181">
        <v>0</v>
      </c>
      <c r="AJ47" s="181">
        <v>0</v>
      </c>
      <c r="AK47" s="181">
        <v>0</v>
      </c>
      <c r="AL47" s="181">
        <v>0</v>
      </c>
      <c r="AM47" s="181">
        <v>0</v>
      </c>
      <c r="AN47" s="181">
        <v>0</v>
      </c>
      <c r="AO47" s="181">
        <v>0</v>
      </c>
      <c r="AP47" s="181">
        <v>0</v>
      </c>
      <c r="AQ47" s="181">
        <v>0</v>
      </c>
    </row>
    <row r="48" spans="2:43">
      <c r="B48" s="172" t="s">
        <v>7025</v>
      </c>
      <c r="C48" s="155" t="s">
        <v>8</v>
      </c>
      <c r="D48" s="156">
        <v>0</v>
      </c>
      <c r="E48" s="184">
        <v>0</v>
      </c>
      <c r="F48"/>
      <c r="G48" s="174">
        <v>0</v>
      </c>
      <c r="H48" s="174">
        <v>0</v>
      </c>
      <c r="I48" s="174">
        <v>0</v>
      </c>
      <c r="J48" s="174">
        <v>0</v>
      </c>
      <c r="K48" s="174">
        <v>0</v>
      </c>
      <c r="L48"/>
      <c r="M48" s="181">
        <v>0</v>
      </c>
      <c r="N48" s="181">
        <v>0</v>
      </c>
      <c r="O48" s="181">
        <v>0</v>
      </c>
      <c r="P48" s="181">
        <v>0</v>
      </c>
      <c r="Q48" s="181">
        <v>0</v>
      </c>
      <c r="R48" s="181">
        <v>0</v>
      </c>
      <c r="S48" s="181">
        <v>0</v>
      </c>
      <c r="T48" s="181">
        <v>0</v>
      </c>
      <c r="U48" s="181">
        <v>0</v>
      </c>
      <c r="V48" s="181">
        <v>0</v>
      </c>
      <c r="W48" s="181">
        <v>0</v>
      </c>
      <c r="X48" s="181">
        <v>0</v>
      </c>
      <c r="Y48" s="181">
        <v>0</v>
      </c>
      <c r="Z48" s="181">
        <v>0</v>
      </c>
      <c r="AA48" s="181">
        <v>0</v>
      </c>
      <c r="AB48" s="181">
        <v>0</v>
      </c>
      <c r="AC48" s="181">
        <v>0</v>
      </c>
      <c r="AD48" s="181">
        <v>0</v>
      </c>
      <c r="AE48" s="181">
        <v>0</v>
      </c>
      <c r="AF48" s="181">
        <v>0</v>
      </c>
      <c r="AG48" s="181">
        <v>0</v>
      </c>
      <c r="AH48" s="181">
        <v>0</v>
      </c>
      <c r="AI48" s="181">
        <v>0</v>
      </c>
      <c r="AJ48" s="181">
        <v>0</v>
      </c>
      <c r="AK48" s="181">
        <v>0</v>
      </c>
      <c r="AL48" s="181">
        <v>0</v>
      </c>
      <c r="AM48" s="181">
        <v>0</v>
      </c>
      <c r="AN48" s="181">
        <v>0</v>
      </c>
      <c r="AO48" s="181">
        <v>0</v>
      </c>
      <c r="AP48" s="181">
        <v>0</v>
      </c>
      <c r="AQ48" s="181">
        <v>0</v>
      </c>
    </row>
    <row r="49" spans="2:43">
      <c r="B49" s="172" t="s">
        <v>7025</v>
      </c>
      <c r="C49" s="155" t="s">
        <v>9</v>
      </c>
      <c r="D49" s="156">
        <v>0</v>
      </c>
      <c r="E49" s="184">
        <v>0</v>
      </c>
      <c r="F49"/>
      <c r="G49" s="174">
        <v>0</v>
      </c>
      <c r="H49" s="174">
        <v>0</v>
      </c>
      <c r="I49" s="174">
        <v>0</v>
      </c>
      <c r="J49" s="174">
        <v>0</v>
      </c>
      <c r="K49" s="174">
        <v>0</v>
      </c>
      <c r="L49"/>
      <c r="M49" s="181">
        <v>0</v>
      </c>
      <c r="N49" s="181">
        <v>0</v>
      </c>
      <c r="O49" s="181">
        <v>0</v>
      </c>
      <c r="P49" s="181">
        <v>0</v>
      </c>
      <c r="Q49" s="181">
        <v>0</v>
      </c>
      <c r="R49" s="181">
        <v>0</v>
      </c>
      <c r="S49" s="181">
        <v>0</v>
      </c>
      <c r="T49" s="181">
        <v>0</v>
      </c>
      <c r="U49" s="181">
        <v>0</v>
      </c>
      <c r="V49" s="181">
        <v>0</v>
      </c>
      <c r="W49" s="181">
        <v>0</v>
      </c>
      <c r="X49" s="181">
        <v>0</v>
      </c>
      <c r="Y49" s="181">
        <v>0</v>
      </c>
      <c r="Z49" s="181">
        <v>0</v>
      </c>
      <c r="AA49" s="181">
        <v>0</v>
      </c>
      <c r="AB49" s="181">
        <v>0</v>
      </c>
      <c r="AC49" s="181">
        <v>0</v>
      </c>
      <c r="AD49" s="181">
        <v>0</v>
      </c>
      <c r="AE49" s="181">
        <v>0</v>
      </c>
      <c r="AF49" s="181">
        <v>0</v>
      </c>
      <c r="AG49" s="181">
        <v>0</v>
      </c>
      <c r="AH49" s="181">
        <v>0</v>
      </c>
      <c r="AI49" s="181">
        <v>0</v>
      </c>
      <c r="AJ49" s="181">
        <v>0</v>
      </c>
      <c r="AK49" s="181">
        <v>0</v>
      </c>
      <c r="AL49" s="181">
        <v>0</v>
      </c>
      <c r="AM49" s="181">
        <v>0</v>
      </c>
      <c r="AN49" s="181">
        <v>0</v>
      </c>
      <c r="AO49" s="181">
        <v>0</v>
      </c>
      <c r="AP49" s="181">
        <v>0</v>
      </c>
      <c r="AQ49" s="181">
        <v>0</v>
      </c>
    </row>
    <row r="50" spans="2:43">
      <c r="B50" s="172" t="s">
        <v>7025</v>
      </c>
      <c r="C50" s="155" t="s">
        <v>776</v>
      </c>
      <c r="D50" s="156">
        <v>0</v>
      </c>
      <c r="E50" s="184">
        <v>0</v>
      </c>
      <c r="F50"/>
      <c r="G50" s="174">
        <v>0</v>
      </c>
      <c r="H50" s="174">
        <v>0</v>
      </c>
      <c r="I50" s="174">
        <v>0</v>
      </c>
      <c r="J50" s="174">
        <v>0</v>
      </c>
      <c r="K50" s="174">
        <v>0</v>
      </c>
      <c r="L50"/>
      <c r="M50" s="181">
        <v>0</v>
      </c>
      <c r="N50" s="181">
        <v>0</v>
      </c>
      <c r="O50" s="181">
        <v>0</v>
      </c>
      <c r="P50" s="181">
        <v>0</v>
      </c>
      <c r="Q50" s="181">
        <v>0</v>
      </c>
      <c r="R50" s="181">
        <v>0</v>
      </c>
      <c r="S50" s="181">
        <v>0</v>
      </c>
      <c r="T50" s="181">
        <v>0</v>
      </c>
      <c r="U50" s="181">
        <v>0</v>
      </c>
      <c r="V50" s="181">
        <v>0</v>
      </c>
      <c r="W50" s="181">
        <v>0</v>
      </c>
      <c r="X50" s="181">
        <v>0</v>
      </c>
      <c r="Y50" s="181">
        <v>0</v>
      </c>
      <c r="Z50" s="181">
        <v>0</v>
      </c>
      <c r="AA50" s="181">
        <v>0</v>
      </c>
      <c r="AB50" s="181">
        <v>0</v>
      </c>
      <c r="AC50" s="181">
        <v>0</v>
      </c>
      <c r="AD50" s="181">
        <v>0</v>
      </c>
      <c r="AE50" s="181">
        <v>0</v>
      </c>
      <c r="AF50" s="181">
        <v>0</v>
      </c>
      <c r="AG50" s="181">
        <v>0</v>
      </c>
      <c r="AH50" s="181">
        <v>0</v>
      </c>
      <c r="AI50" s="181">
        <v>0</v>
      </c>
      <c r="AJ50" s="181">
        <v>0</v>
      </c>
      <c r="AK50" s="181">
        <v>0</v>
      </c>
      <c r="AL50" s="181">
        <v>0</v>
      </c>
      <c r="AM50" s="181">
        <v>0</v>
      </c>
      <c r="AN50" s="181">
        <v>0</v>
      </c>
      <c r="AO50" s="181">
        <v>0</v>
      </c>
      <c r="AP50" s="181">
        <v>0</v>
      </c>
      <c r="AQ50" s="181">
        <v>0</v>
      </c>
    </row>
    <row r="51" spans="2:43">
      <c r="B51" s="172" t="s">
        <v>7025</v>
      </c>
      <c r="C51" s="155" t="s">
        <v>777</v>
      </c>
      <c r="D51" s="156">
        <v>0</v>
      </c>
      <c r="E51" s="184">
        <v>0</v>
      </c>
      <c r="F51"/>
      <c r="G51" s="174">
        <v>0</v>
      </c>
      <c r="H51" s="174">
        <v>0</v>
      </c>
      <c r="I51" s="174">
        <v>0</v>
      </c>
      <c r="J51" s="174">
        <v>0</v>
      </c>
      <c r="K51" s="174">
        <v>0</v>
      </c>
      <c r="L51"/>
      <c r="M51" s="181">
        <v>0</v>
      </c>
      <c r="N51" s="181">
        <v>0</v>
      </c>
      <c r="O51" s="181">
        <v>0</v>
      </c>
      <c r="P51" s="181">
        <v>0</v>
      </c>
      <c r="Q51" s="181">
        <v>0</v>
      </c>
      <c r="R51" s="181">
        <v>0</v>
      </c>
      <c r="S51" s="181">
        <v>0</v>
      </c>
      <c r="T51" s="181">
        <v>0</v>
      </c>
      <c r="U51" s="181">
        <v>0</v>
      </c>
      <c r="V51" s="181">
        <v>0</v>
      </c>
      <c r="W51" s="181">
        <v>0</v>
      </c>
      <c r="X51" s="181">
        <v>0</v>
      </c>
      <c r="Y51" s="181">
        <v>0</v>
      </c>
      <c r="Z51" s="181">
        <v>0</v>
      </c>
      <c r="AA51" s="181">
        <v>0</v>
      </c>
      <c r="AB51" s="181">
        <v>0</v>
      </c>
      <c r="AC51" s="181">
        <v>0</v>
      </c>
      <c r="AD51" s="181">
        <v>0</v>
      </c>
      <c r="AE51" s="181">
        <v>0</v>
      </c>
      <c r="AF51" s="181">
        <v>0</v>
      </c>
      <c r="AG51" s="181">
        <v>0</v>
      </c>
      <c r="AH51" s="181">
        <v>0</v>
      </c>
      <c r="AI51" s="181">
        <v>0</v>
      </c>
      <c r="AJ51" s="181">
        <v>0</v>
      </c>
      <c r="AK51" s="181">
        <v>0</v>
      </c>
      <c r="AL51" s="181">
        <v>0</v>
      </c>
      <c r="AM51" s="181">
        <v>0</v>
      </c>
      <c r="AN51" s="181">
        <v>0</v>
      </c>
      <c r="AO51" s="181">
        <v>0</v>
      </c>
      <c r="AP51" s="181">
        <v>0</v>
      </c>
      <c r="AQ51" s="181">
        <v>0</v>
      </c>
    </row>
    <row r="52" spans="2:43">
      <c r="B52" s="172" t="s">
        <v>7025</v>
      </c>
      <c r="C52" s="155" t="s">
        <v>9136</v>
      </c>
      <c r="D52" s="156">
        <v>36</v>
      </c>
      <c r="E52" s="184">
        <v>0.3</v>
      </c>
      <c r="F52"/>
      <c r="G52" s="174">
        <v>25</v>
      </c>
      <c r="H52" s="174">
        <v>11</v>
      </c>
      <c r="I52" s="174">
        <v>0</v>
      </c>
      <c r="J52" s="174">
        <v>0</v>
      </c>
      <c r="K52" s="174">
        <v>0</v>
      </c>
      <c r="L52"/>
      <c r="M52" s="181">
        <v>3</v>
      </c>
      <c r="N52" s="181">
        <v>8</v>
      </c>
      <c r="O52" s="181">
        <v>10</v>
      </c>
      <c r="P52" s="181">
        <v>4</v>
      </c>
      <c r="Q52" s="181">
        <v>0</v>
      </c>
      <c r="R52" s="181">
        <v>4</v>
      </c>
      <c r="S52" s="181">
        <v>2</v>
      </c>
      <c r="T52" s="181">
        <v>2</v>
      </c>
      <c r="U52" s="181">
        <v>3</v>
      </c>
      <c r="V52" s="181">
        <v>0</v>
      </c>
      <c r="W52" s="181">
        <v>0</v>
      </c>
      <c r="X52" s="181">
        <v>0</v>
      </c>
      <c r="Y52" s="181">
        <v>0</v>
      </c>
      <c r="Z52" s="181">
        <v>0</v>
      </c>
      <c r="AA52" s="181">
        <v>0</v>
      </c>
      <c r="AB52" s="181">
        <v>0</v>
      </c>
      <c r="AC52" s="181">
        <v>0</v>
      </c>
      <c r="AD52" s="181">
        <v>0</v>
      </c>
      <c r="AE52" s="181">
        <v>0</v>
      </c>
      <c r="AF52" s="181">
        <v>0</v>
      </c>
      <c r="AG52" s="181">
        <v>0</v>
      </c>
      <c r="AH52" s="181">
        <v>0</v>
      </c>
      <c r="AI52" s="181">
        <v>0</v>
      </c>
      <c r="AJ52" s="181">
        <v>0</v>
      </c>
      <c r="AK52" s="181">
        <v>0</v>
      </c>
      <c r="AL52" s="181">
        <v>0</v>
      </c>
      <c r="AM52" s="181">
        <v>0</v>
      </c>
      <c r="AN52" s="181">
        <v>0</v>
      </c>
      <c r="AO52" s="181">
        <v>0</v>
      </c>
      <c r="AP52" s="181">
        <v>0</v>
      </c>
      <c r="AQ52" s="181">
        <v>0</v>
      </c>
    </row>
    <row r="53" spans="2:43">
      <c r="B53" s="172" t="s">
        <v>7025</v>
      </c>
      <c r="C53" s="155" t="s">
        <v>9137</v>
      </c>
      <c r="D53" s="156">
        <v>22</v>
      </c>
      <c r="E53" s="184">
        <v>0.18</v>
      </c>
      <c r="F53"/>
      <c r="G53" s="174">
        <v>5</v>
      </c>
      <c r="H53" s="174">
        <v>17</v>
      </c>
      <c r="I53" s="174">
        <v>0</v>
      </c>
      <c r="J53" s="174">
        <v>0</v>
      </c>
      <c r="K53" s="174">
        <v>0</v>
      </c>
      <c r="L53"/>
      <c r="M53" s="181">
        <v>3</v>
      </c>
      <c r="N53" s="181">
        <v>0</v>
      </c>
      <c r="O53" s="181">
        <v>1</v>
      </c>
      <c r="P53" s="181">
        <v>1</v>
      </c>
      <c r="Q53" s="181">
        <v>0</v>
      </c>
      <c r="R53" s="181">
        <v>4</v>
      </c>
      <c r="S53" s="181">
        <v>5</v>
      </c>
      <c r="T53" s="181">
        <v>2</v>
      </c>
      <c r="U53" s="181">
        <v>6</v>
      </c>
      <c r="V53" s="181">
        <v>0</v>
      </c>
      <c r="W53" s="181">
        <v>0</v>
      </c>
      <c r="X53" s="181">
        <v>0</v>
      </c>
      <c r="Y53" s="181">
        <v>0</v>
      </c>
      <c r="Z53" s="181">
        <v>0</v>
      </c>
      <c r="AA53" s="181">
        <v>0</v>
      </c>
      <c r="AB53" s="181">
        <v>0</v>
      </c>
      <c r="AC53" s="181">
        <v>0</v>
      </c>
      <c r="AD53" s="181">
        <v>0</v>
      </c>
      <c r="AE53" s="181">
        <v>0</v>
      </c>
      <c r="AF53" s="181">
        <v>0</v>
      </c>
      <c r="AG53" s="181">
        <v>0</v>
      </c>
      <c r="AH53" s="181">
        <v>0</v>
      </c>
      <c r="AI53" s="181">
        <v>0</v>
      </c>
      <c r="AJ53" s="181">
        <v>0</v>
      </c>
      <c r="AK53" s="181">
        <v>0</v>
      </c>
      <c r="AL53" s="181">
        <v>0</v>
      </c>
      <c r="AM53" s="181">
        <v>0</v>
      </c>
      <c r="AN53" s="181">
        <v>0</v>
      </c>
      <c r="AO53" s="181">
        <v>0</v>
      </c>
      <c r="AP53" s="181">
        <v>0</v>
      </c>
      <c r="AQ53" s="181">
        <v>0</v>
      </c>
    </row>
    <row r="54" spans="2:43">
      <c r="B54" s="172" t="s">
        <v>7025</v>
      </c>
      <c r="C54" s="155" t="s">
        <v>775</v>
      </c>
      <c r="D54" s="156">
        <v>23</v>
      </c>
      <c r="E54" s="184">
        <v>0.19</v>
      </c>
      <c r="F54"/>
      <c r="G54" s="174">
        <v>13</v>
      </c>
      <c r="H54" s="174">
        <v>10</v>
      </c>
      <c r="I54" s="174">
        <v>0</v>
      </c>
      <c r="J54" s="174">
        <v>0</v>
      </c>
      <c r="K54" s="174">
        <v>0</v>
      </c>
      <c r="L54"/>
      <c r="M54" s="181">
        <v>6</v>
      </c>
      <c r="N54" s="181">
        <v>2</v>
      </c>
      <c r="O54" s="181">
        <v>5</v>
      </c>
      <c r="P54" s="181">
        <v>0</v>
      </c>
      <c r="Q54" s="181">
        <v>0</v>
      </c>
      <c r="R54" s="181">
        <v>1</v>
      </c>
      <c r="S54" s="181">
        <v>2</v>
      </c>
      <c r="T54" s="181">
        <v>5</v>
      </c>
      <c r="U54" s="181">
        <v>2</v>
      </c>
      <c r="V54" s="181">
        <v>0</v>
      </c>
      <c r="W54" s="181">
        <v>0</v>
      </c>
      <c r="X54" s="181">
        <v>0</v>
      </c>
      <c r="Y54" s="181">
        <v>0</v>
      </c>
      <c r="Z54" s="181">
        <v>0</v>
      </c>
      <c r="AA54" s="181">
        <v>0</v>
      </c>
      <c r="AB54" s="181">
        <v>0</v>
      </c>
      <c r="AC54" s="181">
        <v>0</v>
      </c>
      <c r="AD54" s="181">
        <v>0</v>
      </c>
      <c r="AE54" s="181">
        <v>0</v>
      </c>
      <c r="AF54" s="181">
        <v>0</v>
      </c>
      <c r="AG54" s="181">
        <v>0</v>
      </c>
      <c r="AH54" s="181">
        <v>0</v>
      </c>
      <c r="AI54" s="181">
        <v>0</v>
      </c>
      <c r="AJ54" s="181">
        <v>0</v>
      </c>
      <c r="AK54" s="181">
        <v>0</v>
      </c>
      <c r="AL54" s="181">
        <v>0</v>
      </c>
      <c r="AM54" s="181">
        <v>0</v>
      </c>
      <c r="AN54" s="181">
        <v>0</v>
      </c>
      <c r="AO54" s="181">
        <v>0</v>
      </c>
      <c r="AP54" s="181">
        <v>0</v>
      </c>
      <c r="AQ54" s="181">
        <v>0</v>
      </c>
    </row>
    <row r="55" spans="2:43">
      <c r="B55" s="172" t="s">
        <v>7025</v>
      </c>
      <c r="C55" s="155" t="s">
        <v>7017</v>
      </c>
      <c r="D55" s="156">
        <v>16</v>
      </c>
      <c r="E55" s="184">
        <v>0.13</v>
      </c>
      <c r="F55"/>
      <c r="G55" s="174">
        <v>3</v>
      </c>
      <c r="H55" s="174">
        <v>13</v>
      </c>
      <c r="I55" s="174">
        <v>0</v>
      </c>
      <c r="J55" s="174">
        <v>0</v>
      </c>
      <c r="K55" s="174">
        <v>0</v>
      </c>
      <c r="L55"/>
      <c r="M55" s="174">
        <v>0</v>
      </c>
      <c r="N55" s="181">
        <v>1</v>
      </c>
      <c r="O55" s="181">
        <v>1</v>
      </c>
      <c r="P55" s="181">
        <v>1</v>
      </c>
      <c r="Q55" s="181">
        <v>0</v>
      </c>
      <c r="R55" s="181">
        <v>5</v>
      </c>
      <c r="S55" s="181">
        <v>5</v>
      </c>
      <c r="T55" s="181">
        <v>0</v>
      </c>
      <c r="U55" s="181">
        <v>3</v>
      </c>
      <c r="V55" s="181">
        <v>0</v>
      </c>
      <c r="W55" s="181">
        <v>0</v>
      </c>
      <c r="X55" s="181">
        <v>0</v>
      </c>
      <c r="Y55" s="181">
        <v>0</v>
      </c>
      <c r="Z55" s="181">
        <v>0</v>
      </c>
      <c r="AA55" s="181">
        <v>0</v>
      </c>
      <c r="AB55" s="181">
        <v>0</v>
      </c>
      <c r="AC55" s="181">
        <v>0</v>
      </c>
      <c r="AD55" s="181">
        <v>0</v>
      </c>
      <c r="AE55" s="181">
        <v>0</v>
      </c>
      <c r="AF55" s="181">
        <v>0</v>
      </c>
      <c r="AG55" s="181">
        <v>0</v>
      </c>
      <c r="AH55" s="181">
        <v>0</v>
      </c>
      <c r="AI55" s="181">
        <v>0</v>
      </c>
      <c r="AJ55" s="181">
        <v>0</v>
      </c>
      <c r="AK55" s="181">
        <v>0</v>
      </c>
      <c r="AL55" s="181">
        <v>0</v>
      </c>
      <c r="AM55" s="181">
        <v>0</v>
      </c>
      <c r="AN55" s="181">
        <v>0</v>
      </c>
      <c r="AO55" s="181">
        <v>0</v>
      </c>
      <c r="AP55" s="181">
        <v>0</v>
      </c>
      <c r="AQ55" s="181">
        <v>0</v>
      </c>
    </row>
    <row r="56" spans="2:43">
      <c r="B56" s="173" t="s">
        <v>7025</v>
      </c>
      <c r="C56" s="157" t="s">
        <v>7018</v>
      </c>
      <c r="D56" s="158">
        <v>120</v>
      </c>
      <c r="E56" s="183">
        <v>1</v>
      </c>
      <c r="F56"/>
      <c r="G56" s="160">
        <v>56</v>
      </c>
      <c r="H56" s="160">
        <v>64</v>
      </c>
      <c r="I56" s="160">
        <v>0</v>
      </c>
      <c r="J56" s="160">
        <v>0</v>
      </c>
      <c r="K56" s="160">
        <v>0</v>
      </c>
      <c r="L56"/>
      <c r="M56" s="180">
        <v>16</v>
      </c>
      <c r="N56" s="180">
        <v>11</v>
      </c>
      <c r="O56" s="180">
        <v>22</v>
      </c>
      <c r="P56" s="180">
        <v>7</v>
      </c>
      <c r="Q56" s="180">
        <v>0</v>
      </c>
      <c r="R56" s="180">
        <v>18</v>
      </c>
      <c r="S56" s="180">
        <v>16</v>
      </c>
      <c r="T56" s="180">
        <v>12</v>
      </c>
      <c r="U56" s="180">
        <v>18</v>
      </c>
      <c r="V56" s="180">
        <v>0</v>
      </c>
      <c r="W56" s="180">
        <v>0</v>
      </c>
      <c r="X56" s="180">
        <v>0</v>
      </c>
      <c r="Y56" s="180">
        <v>0</v>
      </c>
      <c r="Z56" s="180">
        <v>0</v>
      </c>
      <c r="AA56" s="180">
        <v>0</v>
      </c>
      <c r="AB56" s="180">
        <v>0</v>
      </c>
      <c r="AC56" s="180">
        <v>0</v>
      </c>
      <c r="AD56" s="180">
        <v>0</v>
      </c>
      <c r="AE56" s="180">
        <v>0</v>
      </c>
      <c r="AF56" s="180">
        <v>0</v>
      </c>
      <c r="AG56" s="180">
        <v>0</v>
      </c>
      <c r="AH56" s="180">
        <v>0</v>
      </c>
      <c r="AI56" s="180">
        <v>0</v>
      </c>
      <c r="AJ56" s="180">
        <v>0</v>
      </c>
      <c r="AK56" s="180">
        <v>0</v>
      </c>
      <c r="AL56" s="180">
        <v>0</v>
      </c>
      <c r="AM56" s="180">
        <v>0</v>
      </c>
      <c r="AN56" s="180">
        <v>0</v>
      </c>
      <c r="AO56" s="180">
        <v>0</v>
      </c>
      <c r="AP56" s="180">
        <v>0</v>
      </c>
      <c r="AQ56" s="180">
        <v>0</v>
      </c>
    </row>
    <row r="57" spans="2:43">
      <c r="B57" s="171" t="s">
        <v>124</v>
      </c>
      <c r="C57" s="155" t="s">
        <v>774</v>
      </c>
      <c r="D57" s="156">
        <v>38</v>
      </c>
      <c r="E57" s="184">
        <v>0.32</v>
      </c>
      <c r="F57"/>
      <c r="G57" s="174">
        <v>18</v>
      </c>
      <c r="H57" s="174">
        <v>20</v>
      </c>
      <c r="I57" s="174">
        <v>0</v>
      </c>
      <c r="J57" s="174">
        <v>0</v>
      </c>
      <c r="K57" s="174">
        <v>0</v>
      </c>
      <c r="L57"/>
      <c r="M57" s="181">
        <v>6</v>
      </c>
      <c r="N57" s="181">
        <v>4</v>
      </c>
      <c r="O57" s="181">
        <v>4</v>
      </c>
      <c r="P57" s="181">
        <v>4</v>
      </c>
      <c r="Q57" s="181">
        <v>0</v>
      </c>
      <c r="R57" s="181">
        <v>9</v>
      </c>
      <c r="S57" s="181">
        <v>6</v>
      </c>
      <c r="T57" s="181">
        <v>2</v>
      </c>
      <c r="U57" s="181">
        <v>3</v>
      </c>
      <c r="V57" s="181">
        <v>0</v>
      </c>
      <c r="W57" s="181">
        <v>0</v>
      </c>
      <c r="X57" s="181">
        <v>0</v>
      </c>
      <c r="Y57" s="181">
        <v>0</v>
      </c>
      <c r="Z57" s="181">
        <v>0</v>
      </c>
      <c r="AA57" s="181">
        <v>0</v>
      </c>
      <c r="AB57" s="181">
        <v>0</v>
      </c>
      <c r="AC57" s="181">
        <v>0</v>
      </c>
      <c r="AD57" s="181">
        <v>0</v>
      </c>
      <c r="AE57" s="181">
        <v>0</v>
      </c>
      <c r="AF57" s="181">
        <v>0</v>
      </c>
      <c r="AG57" s="181">
        <v>0</v>
      </c>
      <c r="AH57" s="181">
        <v>0</v>
      </c>
      <c r="AI57" s="181">
        <v>0</v>
      </c>
      <c r="AJ57" s="181">
        <v>0</v>
      </c>
      <c r="AK57" s="181">
        <v>0</v>
      </c>
      <c r="AL57" s="181">
        <v>0</v>
      </c>
      <c r="AM57" s="181">
        <v>0</v>
      </c>
      <c r="AN57" s="181">
        <v>0</v>
      </c>
      <c r="AO57" s="181">
        <v>0</v>
      </c>
      <c r="AP57" s="181">
        <v>0</v>
      </c>
      <c r="AQ57" s="181">
        <v>0</v>
      </c>
    </row>
    <row r="58" spans="2:43">
      <c r="B58" s="172" t="s">
        <v>7026</v>
      </c>
      <c r="C58" s="155" t="s">
        <v>8</v>
      </c>
      <c r="D58" s="156">
        <v>0</v>
      </c>
      <c r="E58" s="184">
        <v>0</v>
      </c>
      <c r="F58"/>
      <c r="G58" s="174">
        <v>0</v>
      </c>
      <c r="H58" s="174">
        <v>0</v>
      </c>
      <c r="I58" s="174">
        <v>0</v>
      </c>
      <c r="J58" s="174">
        <v>0</v>
      </c>
      <c r="K58" s="174">
        <v>0</v>
      </c>
      <c r="L58"/>
      <c r="M58" s="181">
        <v>0</v>
      </c>
      <c r="N58" s="181">
        <v>0</v>
      </c>
      <c r="O58" s="181">
        <v>0</v>
      </c>
      <c r="P58" s="181">
        <v>0</v>
      </c>
      <c r="Q58" s="181">
        <v>0</v>
      </c>
      <c r="R58" s="181">
        <v>0</v>
      </c>
      <c r="S58" s="181">
        <v>0</v>
      </c>
      <c r="T58" s="181">
        <v>0</v>
      </c>
      <c r="U58" s="181">
        <v>0</v>
      </c>
      <c r="V58" s="181">
        <v>0</v>
      </c>
      <c r="W58" s="181">
        <v>0</v>
      </c>
      <c r="X58" s="181">
        <v>0</v>
      </c>
      <c r="Y58" s="181">
        <v>0</v>
      </c>
      <c r="Z58" s="181">
        <v>0</v>
      </c>
      <c r="AA58" s="181">
        <v>0</v>
      </c>
      <c r="AB58" s="181">
        <v>0</v>
      </c>
      <c r="AC58" s="181">
        <v>0</v>
      </c>
      <c r="AD58" s="181">
        <v>0</v>
      </c>
      <c r="AE58" s="181">
        <v>0</v>
      </c>
      <c r="AF58" s="181">
        <v>0</v>
      </c>
      <c r="AG58" s="181">
        <v>0</v>
      </c>
      <c r="AH58" s="181">
        <v>0</v>
      </c>
      <c r="AI58" s="181">
        <v>0</v>
      </c>
      <c r="AJ58" s="181">
        <v>0</v>
      </c>
      <c r="AK58" s="181">
        <v>0</v>
      </c>
      <c r="AL58" s="181">
        <v>0</v>
      </c>
      <c r="AM58" s="181">
        <v>0</v>
      </c>
      <c r="AN58" s="181">
        <v>0</v>
      </c>
      <c r="AO58" s="181">
        <v>0</v>
      </c>
      <c r="AP58" s="181">
        <v>0</v>
      </c>
      <c r="AQ58" s="181">
        <v>0</v>
      </c>
    </row>
    <row r="59" spans="2:43">
      <c r="B59" s="172" t="s">
        <v>7026</v>
      </c>
      <c r="C59" s="155" t="s">
        <v>9</v>
      </c>
      <c r="D59" s="156">
        <v>0</v>
      </c>
      <c r="E59" s="184">
        <v>0</v>
      </c>
      <c r="F59"/>
      <c r="G59" s="174">
        <v>0</v>
      </c>
      <c r="H59" s="174">
        <v>0</v>
      </c>
      <c r="I59" s="174">
        <v>0</v>
      </c>
      <c r="J59" s="174">
        <v>0</v>
      </c>
      <c r="K59" s="174">
        <v>0</v>
      </c>
      <c r="L59"/>
      <c r="M59" s="181">
        <v>0</v>
      </c>
      <c r="N59" s="181">
        <v>0</v>
      </c>
      <c r="O59" s="181">
        <v>0</v>
      </c>
      <c r="P59" s="181">
        <v>0</v>
      </c>
      <c r="Q59" s="181">
        <v>0</v>
      </c>
      <c r="R59" s="181">
        <v>0</v>
      </c>
      <c r="S59" s="181">
        <v>0</v>
      </c>
      <c r="T59" s="181">
        <v>0</v>
      </c>
      <c r="U59" s="181">
        <v>0</v>
      </c>
      <c r="V59" s="181">
        <v>0</v>
      </c>
      <c r="W59" s="181">
        <v>0</v>
      </c>
      <c r="X59" s="181">
        <v>0</v>
      </c>
      <c r="Y59" s="181">
        <v>0</v>
      </c>
      <c r="Z59" s="181">
        <v>0</v>
      </c>
      <c r="AA59" s="181">
        <v>0</v>
      </c>
      <c r="AB59" s="181">
        <v>0</v>
      </c>
      <c r="AC59" s="181">
        <v>0</v>
      </c>
      <c r="AD59" s="181">
        <v>0</v>
      </c>
      <c r="AE59" s="181">
        <v>0</v>
      </c>
      <c r="AF59" s="181">
        <v>0</v>
      </c>
      <c r="AG59" s="181">
        <v>0</v>
      </c>
      <c r="AH59" s="181">
        <v>0</v>
      </c>
      <c r="AI59" s="181">
        <v>0</v>
      </c>
      <c r="AJ59" s="181">
        <v>0</v>
      </c>
      <c r="AK59" s="181">
        <v>0</v>
      </c>
      <c r="AL59" s="181">
        <v>0</v>
      </c>
      <c r="AM59" s="181">
        <v>0</v>
      </c>
      <c r="AN59" s="181">
        <v>0</v>
      </c>
      <c r="AO59" s="181">
        <v>0</v>
      </c>
      <c r="AP59" s="181">
        <v>0</v>
      </c>
      <c r="AQ59" s="181">
        <v>0</v>
      </c>
    </row>
    <row r="60" spans="2:43">
      <c r="B60" s="172" t="s">
        <v>7026</v>
      </c>
      <c r="C60" s="155" t="s">
        <v>776</v>
      </c>
      <c r="D60" s="156">
        <v>0</v>
      </c>
      <c r="E60" s="184">
        <v>0</v>
      </c>
      <c r="F60"/>
      <c r="G60" s="174">
        <v>0</v>
      </c>
      <c r="H60" s="174">
        <v>0</v>
      </c>
      <c r="I60" s="174">
        <v>0</v>
      </c>
      <c r="J60" s="174">
        <v>0</v>
      </c>
      <c r="K60" s="174">
        <v>0</v>
      </c>
      <c r="L60"/>
      <c r="M60" s="181">
        <v>0</v>
      </c>
      <c r="N60" s="181">
        <v>0</v>
      </c>
      <c r="O60" s="181">
        <v>0</v>
      </c>
      <c r="P60" s="181">
        <v>0</v>
      </c>
      <c r="Q60" s="181">
        <v>0</v>
      </c>
      <c r="R60" s="181">
        <v>0</v>
      </c>
      <c r="S60" s="181">
        <v>0</v>
      </c>
      <c r="T60" s="181">
        <v>0</v>
      </c>
      <c r="U60" s="181">
        <v>0</v>
      </c>
      <c r="V60" s="181">
        <v>0</v>
      </c>
      <c r="W60" s="181">
        <v>0</v>
      </c>
      <c r="X60" s="181">
        <v>0</v>
      </c>
      <c r="Y60" s="181">
        <v>0</v>
      </c>
      <c r="Z60" s="181">
        <v>0</v>
      </c>
      <c r="AA60" s="181">
        <v>0</v>
      </c>
      <c r="AB60" s="181">
        <v>0</v>
      </c>
      <c r="AC60" s="181">
        <v>0</v>
      </c>
      <c r="AD60" s="181">
        <v>0</v>
      </c>
      <c r="AE60" s="181">
        <v>0</v>
      </c>
      <c r="AF60" s="181">
        <v>0</v>
      </c>
      <c r="AG60" s="181">
        <v>0</v>
      </c>
      <c r="AH60" s="181">
        <v>0</v>
      </c>
      <c r="AI60" s="181">
        <v>0</v>
      </c>
      <c r="AJ60" s="181">
        <v>0</v>
      </c>
      <c r="AK60" s="181">
        <v>0</v>
      </c>
      <c r="AL60" s="181">
        <v>0</v>
      </c>
      <c r="AM60" s="181">
        <v>0</v>
      </c>
      <c r="AN60" s="181">
        <v>0</v>
      </c>
      <c r="AO60" s="181">
        <v>0</v>
      </c>
      <c r="AP60" s="181">
        <v>0</v>
      </c>
      <c r="AQ60" s="181">
        <v>0</v>
      </c>
    </row>
    <row r="61" spans="2:43">
      <c r="B61" s="172" t="s">
        <v>7026</v>
      </c>
      <c r="C61" s="155" t="s">
        <v>777</v>
      </c>
      <c r="D61" s="156">
        <v>0</v>
      </c>
      <c r="E61" s="184">
        <v>0</v>
      </c>
      <c r="F61"/>
      <c r="G61" s="174">
        <v>0</v>
      </c>
      <c r="H61" s="174">
        <v>0</v>
      </c>
      <c r="I61" s="174">
        <v>0</v>
      </c>
      <c r="J61" s="174">
        <v>0</v>
      </c>
      <c r="K61" s="174">
        <v>0</v>
      </c>
      <c r="L61"/>
      <c r="M61" s="181">
        <v>0</v>
      </c>
      <c r="N61" s="181">
        <v>0</v>
      </c>
      <c r="O61" s="181">
        <v>0</v>
      </c>
      <c r="P61" s="181">
        <v>0</v>
      </c>
      <c r="Q61" s="181">
        <v>0</v>
      </c>
      <c r="R61" s="181">
        <v>0</v>
      </c>
      <c r="S61" s="181">
        <v>0</v>
      </c>
      <c r="T61" s="181">
        <v>0</v>
      </c>
      <c r="U61" s="181">
        <v>0</v>
      </c>
      <c r="V61" s="181">
        <v>0</v>
      </c>
      <c r="W61" s="181">
        <v>0</v>
      </c>
      <c r="X61" s="181">
        <v>0</v>
      </c>
      <c r="Y61" s="181">
        <v>0</v>
      </c>
      <c r="Z61" s="181">
        <v>0</v>
      </c>
      <c r="AA61" s="181">
        <v>0</v>
      </c>
      <c r="AB61" s="181">
        <v>0</v>
      </c>
      <c r="AC61" s="181">
        <v>0</v>
      </c>
      <c r="AD61" s="181">
        <v>0</v>
      </c>
      <c r="AE61" s="181">
        <v>0</v>
      </c>
      <c r="AF61" s="181">
        <v>0</v>
      </c>
      <c r="AG61" s="181">
        <v>0</v>
      </c>
      <c r="AH61" s="181">
        <v>0</v>
      </c>
      <c r="AI61" s="181">
        <v>0</v>
      </c>
      <c r="AJ61" s="181">
        <v>0</v>
      </c>
      <c r="AK61" s="181">
        <v>0</v>
      </c>
      <c r="AL61" s="181">
        <v>0</v>
      </c>
      <c r="AM61" s="181">
        <v>0</v>
      </c>
      <c r="AN61" s="181">
        <v>0</v>
      </c>
      <c r="AO61" s="181">
        <v>0</v>
      </c>
      <c r="AP61" s="181">
        <v>0</v>
      </c>
      <c r="AQ61" s="181">
        <v>0</v>
      </c>
    </row>
    <row r="62" spans="2:43">
      <c r="B62" s="172" t="s">
        <v>7026</v>
      </c>
      <c r="C62" s="155" t="s">
        <v>9136</v>
      </c>
      <c r="D62" s="156">
        <v>25</v>
      </c>
      <c r="E62" s="184">
        <v>0.21</v>
      </c>
      <c r="F62"/>
      <c r="G62" s="174">
        <v>15</v>
      </c>
      <c r="H62" s="174">
        <v>10</v>
      </c>
      <c r="I62" s="174">
        <v>0</v>
      </c>
      <c r="J62" s="174">
        <v>0</v>
      </c>
      <c r="K62" s="174">
        <v>0</v>
      </c>
      <c r="L62"/>
      <c r="M62" s="181">
        <v>4</v>
      </c>
      <c r="N62" s="181">
        <v>4</v>
      </c>
      <c r="O62" s="181">
        <v>5</v>
      </c>
      <c r="P62" s="181">
        <v>2</v>
      </c>
      <c r="Q62" s="181">
        <v>0</v>
      </c>
      <c r="R62" s="181">
        <v>3</v>
      </c>
      <c r="S62" s="181">
        <v>0</v>
      </c>
      <c r="T62" s="181">
        <v>4</v>
      </c>
      <c r="U62" s="181">
        <v>3</v>
      </c>
      <c r="V62" s="181">
        <v>0</v>
      </c>
      <c r="W62" s="181">
        <v>0</v>
      </c>
      <c r="X62" s="181">
        <v>0</v>
      </c>
      <c r="Y62" s="181">
        <v>0</v>
      </c>
      <c r="Z62" s="181">
        <v>0</v>
      </c>
      <c r="AA62" s="181">
        <v>0</v>
      </c>
      <c r="AB62" s="181">
        <v>0</v>
      </c>
      <c r="AC62" s="181">
        <v>0</v>
      </c>
      <c r="AD62" s="181">
        <v>0</v>
      </c>
      <c r="AE62" s="181">
        <v>0</v>
      </c>
      <c r="AF62" s="181">
        <v>0</v>
      </c>
      <c r="AG62" s="181">
        <v>0</v>
      </c>
      <c r="AH62" s="181">
        <v>0</v>
      </c>
      <c r="AI62" s="181">
        <v>0</v>
      </c>
      <c r="AJ62" s="181">
        <v>0</v>
      </c>
      <c r="AK62" s="181">
        <v>0</v>
      </c>
      <c r="AL62" s="181">
        <v>0</v>
      </c>
      <c r="AM62" s="181">
        <v>0</v>
      </c>
      <c r="AN62" s="181">
        <v>0</v>
      </c>
      <c r="AO62" s="181">
        <v>0</v>
      </c>
      <c r="AP62" s="181">
        <v>0</v>
      </c>
      <c r="AQ62" s="181">
        <v>0</v>
      </c>
    </row>
    <row r="63" spans="2:43">
      <c r="B63" s="172" t="s">
        <v>7026</v>
      </c>
      <c r="C63" s="155" t="s">
        <v>9137</v>
      </c>
      <c r="D63" s="156">
        <v>27</v>
      </c>
      <c r="E63" s="184">
        <v>0.23</v>
      </c>
      <c r="F63"/>
      <c r="G63" s="174">
        <v>12</v>
      </c>
      <c r="H63" s="174">
        <v>15</v>
      </c>
      <c r="I63" s="174">
        <v>0</v>
      </c>
      <c r="J63" s="174">
        <v>0</v>
      </c>
      <c r="K63" s="174">
        <v>0</v>
      </c>
      <c r="L63"/>
      <c r="M63" s="181">
        <v>3</v>
      </c>
      <c r="N63" s="181">
        <v>4</v>
      </c>
      <c r="O63" s="181">
        <v>2</v>
      </c>
      <c r="P63" s="181">
        <v>3</v>
      </c>
      <c r="Q63" s="181">
        <v>0</v>
      </c>
      <c r="R63" s="181">
        <v>6</v>
      </c>
      <c r="S63" s="181">
        <v>2</v>
      </c>
      <c r="T63" s="181">
        <v>1</v>
      </c>
      <c r="U63" s="181">
        <v>6</v>
      </c>
      <c r="V63" s="181">
        <v>0</v>
      </c>
      <c r="W63" s="181">
        <v>0</v>
      </c>
      <c r="X63" s="181">
        <v>0</v>
      </c>
      <c r="Y63" s="181">
        <v>0</v>
      </c>
      <c r="Z63" s="181">
        <v>0</v>
      </c>
      <c r="AA63" s="181">
        <v>0</v>
      </c>
      <c r="AB63" s="181">
        <v>0</v>
      </c>
      <c r="AC63" s="181">
        <v>0</v>
      </c>
      <c r="AD63" s="181">
        <v>0</v>
      </c>
      <c r="AE63" s="181">
        <v>0</v>
      </c>
      <c r="AF63" s="181">
        <v>0</v>
      </c>
      <c r="AG63" s="181">
        <v>0</v>
      </c>
      <c r="AH63" s="181">
        <v>0</v>
      </c>
      <c r="AI63" s="181">
        <v>0</v>
      </c>
      <c r="AJ63" s="181">
        <v>0</v>
      </c>
      <c r="AK63" s="181">
        <v>0</v>
      </c>
      <c r="AL63" s="181">
        <v>0</v>
      </c>
      <c r="AM63" s="181">
        <v>0</v>
      </c>
      <c r="AN63" s="181">
        <v>0</v>
      </c>
      <c r="AO63" s="181">
        <v>0</v>
      </c>
      <c r="AP63" s="181">
        <v>0</v>
      </c>
      <c r="AQ63" s="181">
        <v>0</v>
      </c>
    </row>
    <row r="64" spans="2:43">
      <c r="B64" s="172" t="s">
        <v>7026</v>
      </c>
      <c r="C64" s="155" t="s">
        <v>775</v>
      </c>
      <c r="D64" s="156">
        <v>17</v>
      </c>
      <c r="E64" s="184">
        <v>0.15</v>
      </c>
      <c r="F64"/>
      <c r="G64" s="174">
        <v>6</v>
      </c>
      <c r="H64" s="174">
        <v>11</v>
      </c>
      <c r="I64" s="174">
        <v>0</v>
      </c>
      <c r="J64" s="174">
        <v>0</v>
      </c>
      <c r="K64" s="174">
        <v>0</v>
      </c>
      <c r="L64"/>
      <c r="M64" s="181">
        <v>2</v>
      </c>
      <c r="N64" s="181">
        <v>1</v>
      </c>
      <c r="O64" s="181">
        <v>3</v>
      </c>
      <c r="P64" s="181">
        <v>0</v>
      </c>
      <c r="Q64" s="181">
        <v>0</v>
      </c>
      <c r="R64" s="181">
        <v>4</v>
      </c>
      <c r="S64" s="181">
        <v>2</v>
      </c>
      <c r="T64" s="181">
        <v>1</v>
      </c>
      <c r="U64" s="181">
        <v>4</v>
      </c>
      <c r="V64" s="181">
        <v>0</v>
      </c>
      <c r="W64" s="181">
        <v>0</v>
      </c>
      <c r="X64" s="181">
        <v>0</v>
      </c>
      <c r="Y64" s="181">
        <v>0</v>
      </c>
      <c r="Z64" s="181">
        <v>0</v>
      </c>
      <c r="AA64" s="181">
        <v>0</v>
      </c>
      <c r="AB64" s="181">
        <v>0</v>
      </c>
      <c r="AC64" s="181">
        <v>0</v>
      </c>
      <c r="AD64" s="181">
        <v>0</v>
      </c>
      <c r="AE64" s="181">
        <v>0</v>
      </c>
      <c r="AF64" s="181">
        <v>0</v>
      </c>
      <c r="AG64" s="181">
        <v>0</v>
      </c>
      <c r="AH64" s="181">
        <v>0</v>
      </c>
      <c r="AI64" s="181">
        <v>0</v>
      </c>
      <c r="AJ64" s="181">
        <v>0</v>
      </c>
      <c r="AK64" s="181">
        <v>0</v>
      </c>
      <c r="AL64" s="181">
        <v>0</v>
      </c>
      <c r="AM64" s="181">
        <v>0</v>
      </c>
      <c r="AN64" s="181">
        <v>0</v>
      </c>
      <c r="AO64" s="181">
        <v>0</v>
      </c>
      <c r="AP64" s="181">
        <v>0</v>
      </c>
      <c r="AQ64" s="181">
        <v>0</v>
      </c>
    </row>
    <row r="65" spans="2:43">
      <c r="B65" s="172" t="s">
        <v>7026</v>
      </c>
      <c r="C65" s="155" t="s">
        <v>7017</v>
      </c>
      <c r="D65" s="156">
        <v>10</v>
      </c>
      <c r="E65" s="184">
        <v>0.09</v>
      </c>
      <c r="F65"/>
      <c r="G65" s="174">
        <v>3</v>
      </c>
      <c r="H65" s="174">
        <v>7</v>
      </c>
      <c r="I65" s="174">
        <v>0</v>
      </c>
      <c r="J65" s="174">
        <v>0</v>
      </c>
      <c r="K65" s="174">
        <v>0</v>
      </c>
      <c r="L65"/>
      <c r="M65" s="174">
        <v>2</v>
      </c>
      <c r="N65" s="181">
        <v>1</v>
      </c>
      <c r="O65" s="181">
        <v>0</v>
      </c>
      <c r="P65" s="181">
        <v>0</v>
      </c>
      <c r="Q65" s="181">
        <v>0</v>
      </c>
      <c r="R65" s="181">
        <v>0</v>
      </c>
      <c r="S65" s="181">
        <v>0</v>
      </c>
      <c r="T65" s="181">
        <v>5</v>
      </c>
      <c r="U65" s="181">
        <v>2</v>
      </c>
      <c r="V65" s="181">
        <v>0</v>
      </c>
      <c r="W65" s="181">
        <v>0</v>
      </c>
      <c r="X65" s="181">
        <v>0</v>
      </c>
      <c r="Y65" s="181">
        <v>0</v>
      </c>
      <c r="Z65" s="181">
        <v>0</v>
      </c>
      <c r="AA65" s="181">
        <v>0</v>
      </c>
      <c r="AB65" s="181">
        <v>0</v>
      </c>
      <c r="AC65" s="181">
        <v>0</v>
      </c>
      <c r="AD65" s="181">
        <v>0</v>
      </c>
      <c r="AE65" s="181">
        <v>0</v>
      </c>
      <c r="AF65" s="181">
        <v>0</v>
      </c>
      <c r="AG65" s="181">
        <v>0</v>
      </c>
      <c r="AH65" s="181">
        <v>0</v>
      </c>
      <c r="AI65" s="181">
        <v>0</v>
      </c>
      <c r="AJ65" s="181">
        <v>0</v>
      </c>
      <c r="AK65" s="181">
        <v>0</v>
      </c>
      <c r="AL65" s="181">
        <v>0</v>
      </c>
      <c r="AM65" s="181">
        <v>0</v>
      </c>
      <c r="AN65" s="181">
        <v>0</v>
      </c>
      <c r="AO65" s="181">
        <v>0</v>
      </c>
      <c r="AP65" s="181">
        <v>0</v>
      </c>
      <c r="AQ65" s="181">
        <v>0</v>
      </c>
    </row>
    <row r="66" spans="2:43">
      <c r="B66" s="173" t="s">
        <v>7026</v>
      </c>
      <c r="C66" s="157" t="s">
        <v>7018</v>
      </c>
      <c r="D66" s="158">
        <v>117</v>
      </c>
      <c r="E66" s="183">
        <v>1</v>
      </c>
      <c r="F66"/>
      <c r="G66" s="160">
        <v>54</v>
      </c>
      <c r="H66" s="160">
        <v>63</v>
      </c>
      <c r="I66" s="160">
        <v>0</v>
      </c>
      <c r="J66" s="160">
        <v>0</v>
      </c>
      <c r="K66" s="160">
        <v>0</v>
      </c>
      <c r="L66"/>
      <c r="M66" s="180">
        <v>17</v>
      </c>
      <c r="N66" s="180">
        <v>14</v>
      </c>
      <c r="O66" s="180">
        <v>14</v>
      </c>
      <c r="P66" s="180">
        <v>9</v>
      </c>
      <c r="Q66" s="180">
        <v>0</v>
      </c>
      <c r="R66" s="180">
        <v>22</v>
      </c>
      <c r="S66" s="180">
        <v>10</v>
      </c>
      <c r="T66" s="180">
        <v>13</v>
      </c>
      <c r="U66" s="180">
        <v>18</v>
      </c>
      <c r="V66" s="180">
        <v>0</v>
      </c>
      <c r="W66" s="180">
        <v>0</v>
      </c>
      <c r="X66" s="180">
        <v>0</v>
      </c>
      <c r="Y66" s="180">
        <v>0</v>
      </c>
      <c r="Z66" s="180">
        <v>0</v>
      </c>
      <c r="AA66" s="180">
        <v>0</v>
      </c>
      <c r="AB66" s="180">
        <v>0</v>
      </c>
      <c r="AC66" s="180">
        <v>0</v>
      </c>
      <c r="AD66" s="180">
        <v>0</v>
      </c>
      <c r="AE66" s="180">
        <v>0</v>
      </c>
      <c r="AF66" s="180">
        <v>0</v>
      </c>
      <c r="AG66" s="180">
        <v>0</v>
      </c>
      <c r="AH66" s="180">
        <v>0</v>
      </c>
      <c r="AI66" s="180">
        <v>0</v>
      </c>
      <c r="AJ66" s="180">
        <v>0</v>
      </c>
      <c r="AK66" s="180">
        <v>0</v>
      </c>
      <c r="AL66" s="180">
        <v>0</v>
      </c>
      <c r="AM66" s="180">
        <v>0</v>
      </c>
      <c r="AN66" s="180">
        <v>0</v>
      </c>
      <c r="AO66" s="180">
        <v>0</v>
      </c>
      <c r="AP66" s="180">
        <v>0</v>
      </c>
      <c r="AQ66" s="180">
        <v>0</v>
      </c>
    </row>
    <row r="67" spans="2:43">
      <c r="B67" s="171" t="s">
        <v>125</v>
      </c>
      <c r="C67" s="155" t="s">
        <v>774</v>
      </c>
      <c r="D67" s="156">
        <v>38</v>
      </c>
      <c r="E67" s="184">
        <v>0.23</v>
      </c>
      <c r="F67"/>
      <c r="G67" s="174">
        <v>17</v>
      </c>
      <c r="H67" s="174">
        <v>21</v>
      </c>
      <c r="I67" s="174">
        <v>0</v>
      </c>
      <c r="J67" s="174">
        <v>0</v>
      </c>
      <c r="K67" s="174">
        <v>0</v>
      </c>
      <c r="L67"/>
      <c r="M67" s="181">
        <v>5</v>
      </c>
      <c r="N67" s="181">
        <v>4</v>
      </c>
      <c r="O67" s="181">
        <v>2</v>
      </c>
      <c r="P67" s="181">
        <v>5</v>
      </c>
      <c r="Q67" s="181">
        <v>1</v>
      </c>
      <c r="R67" s="181">
        <v>6</v>
      </c>
      <c r="S67" s="181">
        <v>4</v>
      </c>
      <c r="T67" s="181">
        <v>3</v>
      </c>
      <c r="U67" s="181">
        <v>8</v>
      </c>
      <c r="V67" s="181">
        <v>0</v>
      </c>
      <c r="W67" s="181">
        <v>0</v>
      </c>
      <c r="X67" s="181">
        <v>0</v>
      </c>
      <c r="Y67" s="181">
        <v>0</v>
      </c>
      <c r="Z67" s="181">
        <v>0</v>
      </c>
      <c r="AA67" s="181">
        <v>0</v>
      </c>
      <c r="AB67" s="181">
        <v>0</v>
      </c>
      <c r="AC67" s="181">
        <v>0</v>
      </c>
      <c r="AD67" s="181">
        <v>0</v>
      </c>
      <c r="AE67" s="181">
        <v>0</v>
      </c>
      <c r="AF67" s="181">
        <v>0</v>
      </c>
      <c r="AG67" s="181">
        <v>0</v>
      </c>
      <c r="AH67" s="181">
        <v>0</v>
      </c>
      <c r="AI67" s="181">
        <v>0</v>
      </c>
      <c r="AJ67" s="181">
        <v>0</v>
      </c>
      <c r="AK67" s="181">
        <v>0</v>
      </c>
      <c r="AL67" s="181">
        <v>0</v>
      </c>
      <c r="AM67" s="181">
        <v>0</v>
      </c>
      <c r="AN67" s="181">
        <v>0</v>
      </c>
      <c r="AO67" s="181">
        <v>0</v>
      </c>
      <c r="AP67" s="181">
        <v>0</v>
      </c>
      <c r="AQ67" s="181">
        <v>0</v>
      </c>
    </row>
    <row r="68" spans="2:43">
      <c r="B68" s="172" t="s">
        <v>125</v>
      </c>
      <c r="C68" s="155" t="s">
        <v>8</v>
      </c>
      <c r="D68" s="156">
        <v>0</v>
      </c>
      <c r="E68" s="184">
        <v>0</v>
      </c>
      <c r="F68"/>
      <c r="G68" s="174">
        <v>0</v>
      </c>
      <c r="H68" s="174">
        <v>0</v>
      </c>
      <c r="I68" s="174">
        <v>0</v>
      </c>
      <c r="J68" s="174">
        <v>0</v>
      </c>
      <c r="K68" s="174">
        <v>0</v>
      </c>
      <c r="L68"/>
      <c r="M68" s="181">
        <v>0</v>
      </c>
      <c r="N68" s="181">
        <v>0</v>
      </c>
      <c r="O68" s="181">
        <v>0</v>
      </c>
      <c r="P68" s="181">
        <v>0</v>
      </c>
      <c r="Q68" s="181">
        <v>0</v>
      </c>
      <c r="R68" s="181">
        <v>0</v>
      </c>
      <c r="S68" s="181">
        <v>0</v>
      </c>
      <c r="T68" s="181">
        <v>0</v>
      </c>
      <c r="U68" s="181">
        <v>0</v>
      </c>
      <c r="V68" s="181">
        <v>0</v>
      </c>
      <c r="W68" s="181">
        <v>0</v>
      </c>
      <c r="X68" s="181">
        <v>0</v>
      </c>
      <c r="Y68" s="181">
        <v>0</v>
      </c>
      <c r="Z68" s="181">
        <v>0</v>
      </c>
      <c r="AA68" s="181">
        <v>0</v>
      </c>
      <c r="AB68" s="181">
        <v>0</v>
      </c>
      <c r="AC68" s="181">
        <v>0</v>
      </c>
      <c r="AD68" s="181">
        <v>0</v>
      </c>
      <c r="AE68" s="181">
        <v>0</v>
      </c>
      <c r="AF68" s="181">
        <v>0</v>
      </c>
      <c r="AG68" s="181">
        <v>0</v>
      </c>
      <c r="AH68" s="181">
        <v>0</v>
      </c>
      <c r="AI68" s="181">
        <v>0</v>
      </c>
      <c r="AJ68" s="181">
        <v>0</v>
      </c>
      <c r="AK68" s="181">
        <v>0</v>
      </c>
      <c r="AL68" s="181">
        <v>0</v>
      </c>
      <c r="AM68" s="181">
        <v>0</v>
      </c>
      <c r="AN68" s="181">
        <v>0</v>
      </c>
      <c r="AO68" s="181">
        <v>0</v>
      </c>
      <c r="AP68" s="181">
        <v>0</v>
      </c>
      <c r="AQ68" s="181">
        <v>0</v>
      </c>
    </row>
    <row r="69" spans="2:43">
      <c r="B69" s="172" t="s">
        <v>125</v>
      </c>
      <c r="C69" s="155" t="s">
        <v>775</v>
      </c>
      <c r="D69" s="156">
        <v>22</v>
      </c>
      <c r="E69" s="184">
        <v>0.13</v>
      </c>
      <c r="F69"/>
      <c r="G69" s="174">
        <v>11</v>
      </c>
      <c r="H69" s="174">
        <v>11</v>
      </c>
      <c r="I69" s="174">
        <v>0</v>
      </c>
      <c r="J69" s="174">
        <v>0</v>
      </c>
      <c r="K69" s="174">
        <v>0</v>
      </c>
      <c r="L69"/>
      <c r="M69" s="181">
        <v>5</v>
      </c>
      <c r="N69" s="181">
        <v>2</v>
      </c>
      <c r="O69" s="181">
        <v>4</v>
      </c>
      <c r="P69" s="181">
        <v>0</v>
      </c>
      <c r="Q69" s="181">
        <v>0</v>
      </c>
      <c r="R69" s="181">
        <v>2</v>
      </c>
      <c r="S69" s="181">
        <v>4</v>
      </c>
      <c r="T69" s="181">
        <v>3</v>
      </c>
      <c r="U69" s="181">
        <v>2</v>
      </c>
      <c r="V69" s="181">
        <v>0</v>
      </c>
      <c r="W69" s="181">
        <v>0</v>
      </c>
      <c r="X69" s="181">
        <v>0</v>
      </c>
      <c r="Y69" s="181">
        <v>0</v>
      </c>
      <c r="Z69" s="181">
        <v>0</v>
      </c>
      <c r="AA69" s="181">
        <v>0</v>
      </c>
      <c r="AB69" s="181">
        <v>0</v>
      </c>
      <c r="AC69" s="181">
        <v>0</v>
      </c>
      <c r="AD69" s="181">
        <v>0</v>
      </c>
      <c r="AE69" s="181">
        <v>0</v>
      </c>
      <c r="AF69" s="181">
        <v>0</v>
      </c>
      <c r="AG69" s="181">
        <v>0</v>
      </c>
      <c r="AH69" s="181">
        <v>0</v>
      </c>
      <c r="AI69" s="181">
        <v>0</v>
      </c>
      <c r="AJ69" s="181">
        <v>0</v>
      </c>
      <c r="AK69" s="181">
        <v>0</v>
      </c>
      <c r="AL69" s="181">
        <v>0</v>
      </c>
      <c r="AM69" s="181">
        <v>0</v>
      </c>
      <c r="AN69" s="181">
        <v>0</v>
      </c>
      <c r="AO69" s="181">
        <v>0</v>
      </c>
      <c r="AP69" s="181">
        <v>0</v>
      </c>
      <c r="AQ69" s="181">
        <v>0</v>
      </c>
    </row>
    <row r="70" spans="2:43">
      <c r="B70" s="172" t="s">
        <v>125</v>
      </c>
      <c r="C70" s="155" t="s">
        <v>776</v>
      </c>
      <c r="D70" s="156">
        <v>0</v>
      </c>
      <c r="E70" s="184">
        <v>0</v>
      </c>
      <c r="F70"/>
      <c r="G70" s="174">
        <v>0</v>
      </c>
      <c r="H70" s="174">
        <v>0</v>
      </c>
      <c r="I70" s="174">
        <v>0</v>
      </c>
      <c r="J70" s="174">
        <v>0</v>
      </c>
      <c r="K70" s="174">
        <v>0</v>
      </c>
      <c r="L70"/>
      <c r="M70" s="181">
        <v>0</v>
      </c>
      <c r="N70" s="181">
        <v>0</v>
      </c>
      <c r="O70" s="181">
        <v>0</v>
      </c>
      <c r="P70" s="181">
        <v>0</v>
      </c>
      <c r="Q70" s="181">
        <v>0</v>
      </c>
      <c r="R70" s="181">
        <v>0</v>
      </c>
      <c r="S70" s="181">
        <v>0</v>
      </c>
      <c r="T70" s="181">
        <v>0</v>
      </c>
      <c r="U70" s="181">
        <v>0</v>
      </c>
      <c r="V70" s="181">
        <v>0</v>
      </c>
      <c r="W70" s="181">
        <v>0</v>
      </c>
      <c r="X70" s="181">
        <v>0</v>
      </c>
      <c r="Y70" s="181">
        <v>0</v>
      </c>
      <c r="Z70" s="181">
        <v>0</v>
      </c>
      <c r="AA70" s="181">
        <v>0</v>
      </c>
      <c r="AB70" s="181">
        <v>0</v>
      </c>
      <c r="AC70" s="181">
        <v>0</v>
      </c>
      <c r="AD70" s="181">
        <v>0</v>
      </c>
      <c r="AE70" s="181">
        <v>0</v>
      </c>
      <c r="AF70" s="181">
        <v>0</v>
      </c>
      <c r="AG70" s="181">
        <v>0</v>
      </c>
      <c r="AH70" s="181">
        <v>0</v>
      </c>
      <c r="AI70" s="181">
        <v>0</v>
      </c>
      <c r="AJ70" s="181">
        <v>0</v>
      </c>
      <c r="AK70" s="181">
        <v>0</v>
      </c>
      <c r="AL70" s="181">
        <v>0</v>
      </c>
      <c r="AM70" s="181">
        <v>0</v>
      </c>
      <c r="AN70" s="181">
        <v>0</v>
      </c>
      <c r="AO70" s="181">
        <v>0</v>
      </c>
      <c r="AP70" s="181">
        <v>0</v>
      </c>
      <c r="AQ70" s="181">
        <v>0</v>
      </c>
    </row>
    <row r="71" spans="2:43">
      <c r="B71" s="172" t="s">
        <v>125</v>
      </c>
      <c r="C71" s="155" t="s">
        <v>777</v>
      </c>
      <c r="D71" s="156">
        <v>0</v>
      </c>
      <c r="E71" s="184">
        <v>0</v>
      </c>
      <c r="F71"/>
      <c r="G71" s="174">
        <v>0</v>
      </c>
      <c r="H71" s="174">
        <v>0</v>
      </c>
      <c r="I71" s="174">
        <v>0</v>
      </c>
      <c r="J71" s="174">
        <v>0</v>
      </c>
      <c r="K71" s="174">
        <v>0</v>
      </c>
      <c r="L71"/>
      <c r="M71" s="181">
        <v>0</v>
      </c>
      <c r="N71" s="181">
        <v>0</v>
      </c>
      <c r="O71" s="181">
        <v>0</v>
      </c>
      <c r="P71" s="181">
        <v>0</v>
      </c>
      <c r="Q71" s="181">
        <v>0</v>
      </c>
      <c r="R71" s="181">
        <v>0</v>
      </c>
      <c r="S71" s="181">
        <v>0</v>
      </c>
      <c r="T71" s="181">
        <v>0</v>
      </c>
      <c r="U71" s="181">
        <v>0</v>
      </c>
      <c r="V71" s="181">
        <v>0</v>
      </c>
      <c r="W71" s="181">
        <v>0</v>
      </c>
      <c r="X71" s="181">
        <v>0</v>
      </c>
      <c r="Y71" s="181">
        <v>0</v>
      </c>
      <c r="Z71" s="181">
        <v>0</v>
      </c>
      <c r="AA71" s="181">
        <v>0</v>
      </c>
      <c r="AB71" s="181">
        <v>0</v>
      </c>
      <c r="AC71" s="181">
        <v>0</v>
      </c>
      <c r="AD71" s="181">
        <v>0</v>
      </c>
      <c r="AE71" s="181">
        <v>0</v>
      </c>
      <c r="AF71" s="181">
        <v>0</v>
      </c>
      <c r="AG71" s="181">
        <v>0</v>
      </c>
      <c r="AH71" s="181">
        <v>0</v>
      </c>
      <c r="AI71" s="181">
        <v>0</v>
      </c>
      <c r="AJ71" s="181">
        <v>0</v>
      </c>
      <c r="AK71" s="181">
        <v>0</v>
      </c>
      <c r="AL71" s="181">
        <v>0</v>
      </c>
      <c r="AM71" s="181">
        <v>0</v>
      </c>
      <c r="AN71" s="181">
        <v>0</v>
      </c>
      <c r="AO71" s="181">
        <v>0</v>
      </c>
      <c r="AP71" s="181">
        <v>0</v>
      </c>
      <c r="AQ71" s="181">
        <v>0</v>
      </c>
    </row>
    <row r="72" spans="2:43">
      <c r="B72" s="172" t="s">
        <v>125</v>
      </c>
      <c r="C72" s="155" t="s">
        <v>9136</v>
      </c>
      <c r="D72" s="156">
        <v>45</v>
      </c>
      <c r="E72" s="184">
        <v>0.28000000000000003</v>
      </c>
      <c r="F72"/>
      <c r="G72" s="174">
        <v>16</v>
      </c>
      <c r="H72" s="174">
        <v>29</v>
      </c>
      <c r="I72" s="174">
        <v>0</v>
      </c>
      <c r="J72" s="174">
        <v>0</v>
      </c>
      <c r="K72" s="174">
        <v>0</v>
      </c>
      <c r="L72"/>
      <c r="M72" s="181">
        <v>13</v>
      </c>
      <c r="N72" s="181">
        <v>2</v>
      </c>
      <c r="O72" s="181">
        <v>1</v>
      </c>
      <c r="P72" s="181">
        <v>0</v>
      </c>
      <c r="Q72" s="181">
        <v>0</v>
      </c>
      <c r="R72" s="181">
        <v>6</v>
      </c>
      <c r="S72" s="181">
        <v>7</v>
      </c>
      <c r="T72" s="181">
        <v>7</v>
      </c>
      <c r="U72" s="181">
        <v>9</v>
      </c>
      <c r="V72" s="181">
        <v>0</v>
      </c>
      <c r="W72" s="181">
        <v>0</v>
      </c>
      <c r="X72" s="181">
        <v>0</v>
      </c>
      <c r="Y72" s="181">
        <v>0</v>
      </c>
      <c r="Z72" s="181">
        <v>0</v>
      </c>
      <c r="AA72" s="181">
        <v>0</v>
      </c>
      <c r="AB72" s="181">
        <v>0</v>
      </c>
      <c r="AC72" s="181">
        <v>0</v>
      </c>
      <c r="AD72" s="181">
        <v>0</v>
      </c>
      <c r="AE72" s="181">
        <v>0</v>
      </c>
      <c r="AF72" s="181">
        <v>0</v>
      </c>
      <c r="AG72" s="181">
        <v>0</v>
      </c>
      <c r="AH72" s="181">
        <v>0</v>
      </c>
      <c r="AI72" s="181">
        <v>0</v>
      </c>
      <c r="AJ72" s="181">
        <v>0</v>
      </c>
      <c r="AK72" s="181">
        <v>0</v>
      </c>
      <c r="AL72" s="181">
        <v>0</v>
      </c>
      <c r="AM72" s="181">
        <v>0</v>
      </c>
      <c r="AN72" s="181">
        <v>0</v>
      </c>
      <c r="AO72" s="181">
        <v>0</v>
      </c>
      <c r="AP72" s="181">
        <v>0</v>
      </c>
      <c r="AQ72" s="181">
        <v>0</v>
      </c>
    </row>
    <row r="73" spans="2:43">
      <c r="B73" s="172" t="s">
        <v>125</v>
      </c>
      <c r="C73" s="155" t="s">
        <v>9137</v>
      </c>
      <c r="D73" s="156">
        <v>36</v>
      </c>
      <c r="E73" s="184">
        <v>0.22</v>
      </c>
      <c r="F73"/>
      <c r="G73" s="174">
        <v>25</v>
      </c>
      <c r="H73" s="174">
        <v>11</v>
      </c>
      <c r="I73" s="174">
        <v>0</v>
      </c>
      <c r="J73" s="174">
        <v>0</v>
      </c>
      <c r="K73" s="174">
        <v>0</v>
      </c>
      <c r="L73"/>
      <c r="M73" s="181">
        <v>3</v>
      </c>
      <c r="N73" s="181">
        <v>10</v>
      </c>
      <c r="O73" s="181">
        <v>10</v>
      </c>
      <c r="P73" s="181">
        <v>2</v>
      </c>
      <c r="Q73" s="181">
        <v>0</v>
      </c>
      <c r="R73" s="181">
        <v>3</v>
      </c>
      <c r="S73" s="181">
        <v>4</v>
      </c>
      <c r="T73" s="181">
        <v>2</v>
      </c>
      <c r="U73" s="181">
        <v>2</v>
      </c>
      <c r="V73" s="181">
        <v>0</v>
      </c>
      <c r="W73" s="181">
        <v>0</v>
      </c>
      <c r="X73" s="181">
        <v>0</v>
      </c>
      <c r="Y73" s="181">
        <v>0</v>
      </c>
      <c r="Z73" s="181">
        <v>0</v>
      </c>
      <c r="AA73" s="181">
        <v>0</v>
      </c>
      <c r="AB73" s="181">
        <v>0</v>
      </c>
      <c r="AC73" s="181">
        <v>0</v>
      </c>
      <c r="AD73" s="181">
        <v>0</v>
      </c>
      <c r="AE73" s="181">
        <v>0</v>
      </c>
      <c r="AF73" s="181">
        <v>0</v>
      </c>
      <c r="AG73" s="181">
        <v>0</v>
      </c>
      <c r="AH73" s="181">
        <v>0</v>
      </c>
      <c r="AI73" s="181">
        <v>0</v>
      </c>
      <c r="AJ73" s="181">
        <v>0</v>
      </c>
      <c r="AK73" s="181">
        <v>0</v>
      </c>
      <c r="AL73" s="181">
        <v>0</v>
      </c>
      <c r="AM73" s="181">
        <v>0</v>
      </c>
      <c r="AN73" s="181">
        <v>0</v>
      </c>
      <c r="AO73" s="181">
        <v>0</v>
      </c>
      <c r="AP73" s="181">
        <v>0</v>
      </c>
      <c r="AQ73" s="181">
        <v>0</v>
      </c>
    </row>
    <row r="74" spans="2:43">
      <c r="B74" s="172" t="s">
        <v>125</v>
      </c>
      <c r="C74" s="155" t="s">
        <v>4527</v>
      </c>
      <c r="D74" s="156">
        <v>58</v>
      </c>
      <c r="E74" s="184">
        <v>0.36</v>
      </c>
      <c r="F74"/>
      <c r="G74" s="174">
        <v>34</v>
      </c>
      <c r="H74" s="174">
        <v>24</v>
      </c>
      <c r="I74" s="174">
        <v>0</v>
      </c>
      <c r="J74" s="174">
        <v>0</v>
      </c>
      <c r="K74" s="174">
        <v>0</v>
      </c>
      <c r="L74"/>
      <c r="M74" s="174">
        <v>6</v>
      </c>
      <c r="N74" s="181">
        <v>12</v>
      </c>
      <c r="O74" s="181">
        <v>11</v>
      </c>
      <c r="P74" s="181">
        <v>4</v>
      </c>
      <c r="Q74" s="181">
        <v>1</v>
      </c>
      <c r="R74" s="181">
        <v>5</v>
      </c>
      <c r="S74" s="181">
        <v>10</v>
      </c>
      <c r="T74" s="181">
        <v>5</v>
      </c>
      <c r="U74" s="181">
        <v>4</v>
      </c>
      <c r="V74" s="181">
        <v>0</v>
      </c>
      <c r="W74" s="181">
        <v>0</v>
      </c>
      <c r="X74" s="181">
        <v>0</v>
      </c>
      <c r="Y74" s="181">
        <v>0</v>
      </c>
      <c r="Z74" s="181">
        <v>0</v>
      </c>
      <c r="AA74" s="181">
        <v>0</v>
      </c>
      <c r="AB74" s="181">
        <v>0</v>
      </c>
      <c r="AC74" s="181">
        <v>0</v>
      </c>
      <c r="AD74" s="181">
        <v>0</v>
      </c>
      <c r="AE74" s="181">
        <v>0</v>
      </c>
      <c r="AF74" s="181">
        <v>0</v>
      </c>
      <c r="AG74" s="181">
        <v>0</v>
      </c>
      <c r="AH74" s="181">
        <v>0</v>
      </c>
      <c r="AI74" s="181">
        <v>0</v>
      </c>
      <c r="AJ74" s="181">
        <v>0</v>
      </c>
      <c r="AK74" s="181">
        <v>0</v>
      </c>
      <c r="AL74" s="181">
        <v>0</v>
      </c>
      <c r="AM74" s="181">
        <v>0</v>
      </c>
      <c r="AN74" s="181">
        <v>0</v>
      </c>
      <c r="AO74" s="181">
        <v>0</v>
      </c>
      <c r="AP74" s="181">
        <v>0</v>
      </c>
      <c r="AQ74" s="181">
        <v>0</v>
      </c>
    </row>
    <row r="75" spans="2:43">
      <c r="B75" s="173" t="s">
        <v>125</v>
      </c>
      <c r="C75" s="157" t="s">
        <v>7018</v>
      </c>
      <c r="D75" s="158">
        <v>163</v>
      </c>
      <c r="E75" s="183">
        <v>1</v>
      </c>
      <c r="F75"/>
      <c r="G75" s="160">
        <v>78</v>
      </c>
      <c r="H75" s="160">
        <v>85</v>
      </c>
      <c r="I75" s="160">
        <v>0</v>
      </c>
      <c r="J75" s="160">
        <v>0</v>
      </c>
      <c r="K75" s="160">
        <v>0</v>
      </c>
      <c r="L75"/>
      <c r="M75" s="180">
        <v>29</v>
      </c>
      <c r="N75" s="180">
        <v>20</v>
      </c>
      <c r="O75" s="180">
        <v>18</v>
      </c>
      <c r="P75" s="180">
        <v>9</v>
      </c>
      <c r="Q75" s="180">
        <v>2</v>
      </c>
      <c r="R75" s="180">
        <v>19</v>
      </c>
      <c r="S75" s="180">
        <v>25</v>
      </c>
      <c r="T75" s="180">
        <v>18</v>
      </c>
      <c r="U75" s="180">
        <v>23</v>
      </c>
      <c r="V75" s="180">
        <v>0</v>
      </c>
      <c r="W75" s="180">
        <v>0</v>
      </c>
      <c r="X75" s="180">
        <v>0</v>
      </c>
      <c r="Y75" s="180">
        <v>0</v>
      </c>
      <c r="Z75" s="180">
        <v>0</v>
      </c>
      <c r="AA75" s="180">
        <v>0</v>
      </c>
      <c r="AB75" s="180">
        <v>0</v>
      </c>
      <c r="AC75" s="180">
        <v>0</v>
      </c>
      <c r="AD75" s="180">
        <v>0</v>
      </c>
      <c r="AE75" s="180">
        <v>0</v>
      </c>
      <c r="AF75" s="180">
        <v>0</v>
      </c>
      <c r="AG75" s="180">
        <v>0</v>
      </c>
      <c r="AH75" s="180">
        <v>0</v>
      </c>
      <c r="AI75" s="180">
        <v>0</v>
      </c>
      <c r="AJ75" s="180">
        <v>0</v>
      </c>
      <c r="AK75" s="180">
        <v>0</v>
      </c>
      <c r="AL75" s="180">
        <v>0</v>
      </c>
      <c r="AM75" s="180">
        <v>0</v>
      </c>
      <c r="AN75" s="180">
        <v>0</v>
      </c>
      <c r="AO75" s="180">
        <v>0</v>
      </c>
      <c r="AP75" s="180">
        <v>0</v>
      </c>
      <c r="AQ75" s="180">
        <v>0</v>
      </c>
    </row>
    <row r="76" spans="2:43">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row>
    <row r="77" spans="2:43">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row>
    <row r="78" spans="2:43">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row>
    <row r="79" spans="2:43">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row>
    <row r="80" spans="2:43">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row>
    <row r="81" spans="2:43">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row>
    <row r="82" spans="2:43">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row>
    <row r="83" spans="2:4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row>
    <row r="84" spans="2:43">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row>
    <row r="85" spans="2:43">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row>
    <row r="86" spans="2:43">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row>
    <row r="87" spans="2:43">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row>
    <row r="88" spans="2:43">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row>
    <row r="89" spans="2:43">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row>
    <row r="90" spans="2:43">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row>
    <row r="91" spans="2:43">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row>
    <row r="92" spans="2:43">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row>
    <row r="93" spans="2:4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row>
    <row r="94" spans="2:43">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row>
    <row r="95" spans="2:43">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row>
    <row r="96" spans="2:43">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row>
    <row r="97" spans="2:43">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row>
    <row r="98" spans="2:43">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row>
    <row r="99" spans="2:43">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row>
    <row r="100" spans="2:43">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row>
    <row r="101" spans="2:43">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row>
    <row r="102" spans="2:43">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row>
    <row r="103" spans="2:4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row>
  </sheetData>
  <phoneticPr fontId="1" type="noConversion"/>
  <conditionalFormatting sqref="M6:AQ7 N8:AP13">
    <cfRule type="expression" dxfId="52" priority="51">
      <formula>WEEKDAY(M$1,2)=6</formula>
    </cfRule>
    <cfRule type="expression" dxfId="51" priority="52">
      <formula>WEEKDAY(M$1,2)=7</formula>
    </cfRule>
  </conditionalFormatting>
  <conditionalFormatting sqref="M15:AP15 AQ16:AQ21">
    <cfRule type="expression" dxfId="50" priority="47">
      <formula>WEEKDAY(M$1,2)=6</formula>
    </cfRule>
    <cfRule type="expression" dxfId="49" priority="48">
      <formula>WEEKDAY(M$1,2)=7</formula>
    </cfRule>
  </conditionalFormatting>
  <conditionalFormatting sqref="M21:AP21 N16:AP20">
    <cfRule type="expression" dxfId="48" priority="49">
      <formula>WEEKDAY(M$1,2)=6</formula>
    </cfRule>
    <cfRule type="expression" dxfId="47" priority="50">
      <formula>WEEKDAY(M$1,2)=7</formula>
    </cfRule>
  </conditionalFormatting>
  <conditionalFormatting sqref="M44:AP44 M54:AP54 M64:AP64 M32:AP33 M46:AP52 N45:AP45 M56:AP62 N55:AP55 M66:AP66 N65:AP65 M25:AQ25 M26:AP28 M29:S30 U29:AP30 M35:AP42">
    <cfRule type="expression" dxfId="46" priority="45">
      <formula>WEEKDAY(M$1,2)=6</formula>
    </cfRule>
    <cfRule type="expression" dxfId="45" priority="46">
      <formula>WEEKDAY(M$1,2)=7</formula>
    </cfRule>
  </conditionalFormatting>
  <conditionalFormatting sqref="M67:AP73 M75:AP75 N74:AP74">
    <cfRule type="expression" dxfId="44" priority="43">
      <formula>WEEKDAY(M$1,2)=6</formula>
    </cfRule>
    <cfRule type="expression" dxfId="43" priority="44">
      <formula>WEEKDAY(M$1,2)=7</formula>
    </cfRule>
  </conditionalFormatting>
  <conditionalFormatting sqref="M63:AP63">
    <cfRule type="expression" dxfId="42" priority="41">
      <formula>WEEKDAY(M$1,2)=6</formula>
    </cfRule>
    <cfRule type="expression" dxfId="41" priority="42">
      <formula>WEEKDAY(M$1,2)=7</formula>
    </cfRule>
  </conditionalFormatting>
  <conditionalFormatting sqref="M53:AP53">
    <cfRule type="expression" dxfId="40" priority="39">
      <formula>WEEKDAY(M$1,2)=6</formula>
    </cfRule>
    <cfRule type="expression" dxfId="39" priority="40">
      <formula>WEEKDAY(M$1,2)=7</formula>
    </cfRule>
  </conditionalFormatting>
  <conditionalFormatting sqref="M43:AP43">
    <cfRule type="expression" dxfId="38" priority="37">
      <formula>WEEKDAY(M$1,2)=6</formula>
    </cfRule>
    <cfRule type="expression" dxfId="37" priority="38">
      <formula>WEEKDAY(M$1,2)=7</formula>
    </cfRule>
  </conditionalFormatting>
  <conditionalFormatting sqref="M31:AP31">
    <cfRule type="expression" dxfId="36" priority="35">
      <formula>WEEKDAY(M$1,2)=6</formula>
    </cfRule>
    <cfRule type="expression" dxfId="35" priority="36">
      <formula>WEEKDAY(M$1,2)=7</formula>
    </cfRule>
  </conditionalFormatting>
  <conditionalFormatting sqref="AQ8:AQ14">
    <cfRule type="expression" dxfId="34" priority="34">
      <formula>WEEKDAY(AQ$1,2)=7</formula>
    </cfRule>
  </conditionalFormatting>
  <conditionalFormatting sqref="AQ8:AQ14">
    <cfRule type="expression" dxfId="33" priority="33">
      <formula>WEEKDAY(AQ$1,2)=6</formula>
    </cfRule>
  </conditionalFormatting>
  <conditionalFormatting sqref="AQ15">
    <cfRule type="expression" dxfId="32" priority="29">
      <formula>WEEKDAY(AQ$1,2)=6</formula>
    </cfRule>
    <cfRule type="expression" dxfId="31" priority="30">
      <formula>WEEKDAY(AQ$1,2)=7</formula>
    </cfRule>
  </conditionalFormatting>
  <conditionalFormatting sqref="AQ32:AQ33 AQ44:AQ52 AQ54:AQ62 AQ64:AQ66 AQ26:AQ30 AQ35:AQ42">
    <cfRule type="expression" dxfId="30" priority="27">
      <formula>WEEKDAY(AQ$1,2)=6</formula>
    </cfRule>
    <cfRule type="expression" dxfId="29" priority="28">
      <formula>WEEKDAY(AQ$1,2)=7</formula>
    </cfRule>
  </conditionalFormatting>
  <conditionalFormatting sqref="AQ67:AQ75">
    <cfRule type="expression" dxfId="28" priority="25">
      <formula>WEEKDAY(AQ$1,2)=6</formula>
    </cfRule>
    <cfRule type="expression" dxfId="27" priority="26">
      <formula>WEEKDAY(AQ$1,2)=7</formula>
    </cfRule>
  </conditionalFormatting>
  <conditionalFormatting sqref="AQ63">
    <cfRule type="expression" dxfId="26" priority="23">
      <formula>WEEKDAY(AQ$1,2)=6</formula>
    </cfRule>
    <cfRule type="expression" dxfId="25" priority="24">
      <formula>WEEKDAY(AQ$1,2)=7</formula>
    </cfRule>
  </conditionalFormatting>
  <conditionalFormatting sqref="AQ53">
    <cfRule type="expression" dxfId="24" priority="21">
      <formula>WEEKDAY(AQ$1,2)=6</formula>
    </cfRule>
    <cfRule type="expression" dxfId="23" priority="22">
      <formula>WEEKDAY(AQ$1,2)=7</formula>
    </cfRule>
  </conditionalFormatting>
  <conditionalFormatting sqref="AQ43">
    <cfRule type="expression" dxfId="22" priority="19">
      <formula>WEEKDAY(AQ$1,2)=6</formula>
    </cfRule>
    <cfRule type="expression" dxfId="21" priority="20">
      <formula>WEEKDAY(AQ$1,2)=7</formula>
    </cfRule>
  </conditionalFormatting>
  <conditionalFormatting sqref="AQ31">
    <cfRule type="expression" dxfId="20" priority="17">
      <formula>WEEKDAY(AQ$1,2)=6</formula>
    </cfRule>
    <cfRule type="expression" dxfId="19" priority="18">
      <formula>WEEKDAY(AQ$1,2)=7</formula>
    </cfRule>
  </conditionalFormatting>
  <conditionalFormatting sqref="N14:AP14">
    <cfRule type="expression" dxfId="18" priority="16">
      <formula>WEEKDAY(N$1,2)=7</formula>
    </cfRule>
  </conditionalFormatting>
  <conditionalFormatting sqref="N14:AP14">
    <cfRule type="expression" dxfId="17" priority="15">
      <formula>WEEKDAY(N$1,2)=6</formula>
    </cfRule>
  </conditionalFormatting>
  <conditionalFormatting sqref="N34:AQ34">
    <cfRule type="expression" dxfId="16" priority="13">
      <formula>WEEKDAY(N$1,2)=6</formula>
    </cfRule>
    <cfRule type="expression" dxfId="15" priority="14">
      <formula>WEEKDAY(N$1,2)=7</formula>
    </cfRule>
  </conditionalFormatting>
  <conditionalFormatting sqref="M34">
    <cfRule type="expression" dxfId="14" priority="11">
      <formula>WEEKDAY(M$1,2)=6</formula>
    </cfRule>
    <cfRule type="expression" dxfId="13" priority="12">
      <formula>WEEKDAY(M$1,2)=7</formula>
    </cfRule>
  </conditionalFormatting>
  <conditionalFormatting sqref="M14">
    <cfRule type="expression" dxfId="12" priority="10">
      <formula>WEEKDAY(M$1,2)=7</formula>
    </cfRule>
  </conditionalFormatting>
  <conditionalFormatting sqref="M14">
    <cfRule type="expression" dxfId="11" priority="9">
      <formula>WEEKDAY(M$1,2)=6</formula>
    </cfRule>
  </conditionalFormatting>
  <conditionalFormatting sqref="M45">
    <cfRule type="expression" dxfId="10" priority="7">
      <formula>WEEKDAY(M$1,2)=6</formula>
    </cfRule>
    <cfRule type="expression" dxfId="9" priority="8">
      <formula>WEEKDAY(M$1,2)=7</formula>
    </cfRule>
  </conditionalFormatting>
  <conditionalFormatting sqref="M16:M20">
    <cfRule type="expression" dxfId="8" priority="5">
      <formula>WEEKDAY(M$1,2)=6</formula>
    </cfRule>
    <cfRule type="expression" dxfId="7" priority="6">
      <formula>WEEKDAY(M$1,2)=7</formula>
    </cfRule>
  </conditionalFormatting>
  <conditionalFormatting sqref="M8:M13">
    <cfRule type="expression" dxfId="6" priority="3">
      <formula>WEEKDAY(M$1,2)=6</formula>
    </cfRule>
    <cfRule type="expression" dxfId="5" priority="4">
      <formula>WEEKDAY(M$1,2)=7</formula>
    </cfRule>
  </conditionalFormatting>
  <conditionalFormatting sqref="T29:T30">
    <cfRule type="expression" dxfId="4" priority="1">
      <formula>WEEKDAY(T$1,2)=6</formula>
    </cfRule>
    <cfRule type="expression" dxfId="3" priority="2">
      <formula>WEEKDAY(T$1,2)=7</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58"/>
  <sheetViews>
    <sheetView showGridLines="0" tabSelected="1" topLeftCell="E1" zoomScaleNormal="100" workbookViewId="0">
      <pane ySplit="1" topLeftCell="A2" activePane="bottomLeft" state="frozen"/>
      <selection pane="bottomLeft" activeCell="F4" sqref="F4"/>
    </sheetView>
  </sheetViews>
  <sheetFormatPr defaultRowHeight="16.5"/>
  <cols>
    <col min="1" max="1" width="5.5" style="159" hidden="1" customWidth="1"/>
    <col min="2" max="2" width="11.125" style="163" bestFit="1" customWidth="1"/>
    <col min="3" max="3" width="12" style="164" bestFit="1" customWidth="1"/>
    <col min="4" max="4" width="9" style="159"/>
    <col min="5" max="5" width="126.75" style="166" customWidth="1"/>
  </cols>
  <sheetData>
    <row r="1" spans="1:5">
      <c r="A1" s="153" t="s">
        <v>126</v>
      </c>
      <c r="B1" s="161" t="s">
        <v>127</v>
      </c>
      <c r="C1" s="162" t="s">
        <v>128</v>
      </c>
      <c r="D1" s="153" t="s">
        <v>129</v>
      </c>
      <c r="E1" s="165" t="s">
        <v>130</v>
      </c>
    </row>
    <row r="2" spans="1:5">
      <c r="A2" s="159">
        <v>1</v>
      </c>
      <c r="B2" s="163">
        <v>45748</v>
      </c>
      <c r="C2" s="164">
        <v>0.90932870370370367</v>
      </c>
      <c r="D2" s="159">
        <v>10</v>
      </c>
      <c r="E2" s="166" t="s">
        <v>131</v>
      </c>
    </row>
    <row r="3" spans="1:5">
      <c r="A3" s="159">
        <v>2</v>
      </c>
      <c r="B3" s="163">
        <v>45748</v>
      </c>
      <c r="C3" s="164">
        <v>0.88916666666666666</v>
      </c>
      <c r="D3" s="159">
        <v>10</v>
      </c>
      <c r="E3" s="166" t="s">
        <v>132</v>
      </c>
    </row>
    <row r="4" spans="1:5">
      <c r="A4" s="159">
        <v>3</v>
      </c>
      <c r="B4" s="163">
        <v>45748</v>
      </c>
      <c r="C4" s="164">
        <v>0.83275462962962965</v>
      </c>
      <c r="D4" s="159">
        <v>10</v>
      </c>
      <c r="E4" s="166" t="s">
        <v>133</v>
      </c>
    </row>
    <row r="5" spans="1:5">
      <c r="A5" s="159">
        <v>4</v>
      </c>
      <c r="B5" s="163">
        <v>45748</v>
      </c>
      <c r="C5" s="164">
        <v>0.82505787037037037</v>
      </c>
      <c r="D5" s="159">
        <v>10</v>
      </c>
      <c r="E5" s="166" t="s">
        <v>134</v>
      </c>
    </row>
    <row r="6" spans="1:5">
      <c r="A6" s="159">
        <v>5</v>
      </c>
      <c r="B6" s="163">
        <v>45748</v>
      </c>
      <c r="C6" s="164">
        <v>0.81509259259259259</v>
      </c>
      <c r="D6" s="159">
        <v>10</v>
      </c>
      <c r="E6" s="166" t="s">
        <v>135</v>
      </c>
    </row>
    <row r="7" spans="1:5">
      <c r="A7" s="159">
        <v>6</v>
      </c>
      <c r="B7" s="163">
        <v>45748</v>
      </c>
      <c r="C7" s="164">
        <v>0.7772337962962963</v>
      </c>
      <c r="D7" s="159">
        <v>10</v>
      </c>
      <c r="E7" s="166" t="s">
        <v>136</v>
      </c>
    </row>
    <row r="8" spans="1:5" ht="27">
      <c r="A8" s="159">
        <v>7</v>
      </c>
      <c r="B8" s="163">
        <v>45748</v>
      </c>
      <c r="C8" s="164">
        <v>0.76637731481481486</v>
      </c>
      <c r="D8" s="159">
        <v>10</v>
      </c>
      <c r="E8" s="166" t="s">
        <v>137</v>
      </c>
    </row>
    <row r="9" spans="1:5">
      <c r="A9" s="159">
        <v>8</v>
      </c>
      <c r="B9" s="163">
        <v>45748</v>
      </c>
      <c r="C9" s="164">
        <v>0.75304398148148144</v>
      </c>
      <c r="D9" s="159">
        <v>10</v>
      </c>
      <c r="E9" s="166" t="s">
        <v>138</v>
      </c>
    </row>
    <row r="10" spans="1:5">
      <c r="A10" s="159">
        <v>9</v>
      </c>
      <c r="B10" s="163">
        <v>45748</v>
      </c>
      <c r="C10" s="164">
        <v>0.72349537037037037</v>
      </c>
      <c r="D10" s="159">
        <v>10</v>
      </c>
      <c r="E10" s="166" t="s">
        <v>139</v>
      </c>
    </row>
    <row r="11" spans="1:5">
      <c r="A11" s="159">
        <v>10</v>
      </c>
      <c r="B11" s="163">
        <v>45748</v>
      </c>
      <c r="C11" s="164">
        <v>0.71968750000000004</v>
      </c>
      <c r="D11" s="159">
        <v>10</v>
      </c>
      <c r="E11" s="166" t="s">
        <v>140</v>
      </c>
    </row>
    <row r="12" spans="1:5">
      <c r="A12" s="159">
        <v>11</v>
      </c>
      <c r="B12" s="163">
        <v>45748</v>
      </c>
      <c r="C12" s="164">
        <v>0.7041898148148148</v>
      </c>
      <c r="D12" s="159">
        <v>10</v>
      </c>
      <c r="E12" s="166" t="s">
        <v>141</v>
      </c>
    </row>
    <row r="13" spans="1:5">
      <c r="A13" s="159">
        <v>12</v>
      </c>
      <c r="B13" s="163">
        <v>45748</v>
      </c>
      <c r="C13" s="164">
        <v>0.70285879629629633</v>
      </c>
      <c r="D13" s="159">
        <v>10</v>
      </c>
      <c r="E13" s="166" t="s">
        <v>142</v>
      </c>
    </row>
    <row r="14" spans="1:5">
      <c r="A14" s="159">
        <v>13</v>
      </c>
      <c r="B14" s="163">
        <v>45748</v>
      </c>
      <c r="C14" s="164">
        <v>0.69332175925925921</v>
      </c>
      <c r="D14" s="159">
        <v>10</v>
      </c>
      <c r="E14" s="166" t="s">
        <v>143</v>
      </c>
    </row>
    <row r="15" spans="1:5">
      <c r="A15" s="159">
        <v>14</v>
      </c>
      <c r="B15" s="163">
        <v>45748</v>
      </c>
      <c r="C15" s="164">
        <v>0.67688657407407404</v>
      </c>
      <c r="D15" s="159">
        <v>10</v>
      </c>
      <c r="E15" s="166" t="s">
        <v>144</v>
      </c>
    </row>
    <row r="16" spans="1:5">
      <c r="A16" s="159">
        <v>15</v>
      </c>
      <c r="B16" s="163">
        <v>45748</v>
      </c>
      <c r="C16" s="164">
        <v>0.66464120370370372</v>
      </c>
      <c r="D16" s="159">
        <v>10</v>
      </c>
      <c r="E16" s="166" t="s">
        <v>145</v>
      </c>
    </row>
    <row r="17" spans="1:5">
      <c r="A17" s="159">
        <v>16</v>
      </c>
      <c r="B17" s="163">
        <v>45748</v>
      </c>
      <c r="C17" s="164">
        <v>0.65268518518518515</v>
      </c>
      <c r="D17" s="159">
        <v>10</v>
      </c>
      <c r="E17" s="166" t="s">
        <v>146</v>
      </c>
    </row>
    <row r="18" spans="1:5" ht="27">
      <c r="A18" s="159">
        <v>17</v>
      </c>
      <c r="B18" s="163">
        <v>45748</v>
      </c>
      <c r="C18" s="164">
        <v>0.6457060185185185</v>
      </c>
      <c r="D18" s="159">
        <v>10</v>
      </c>
      <c r="E18" s="166" t="s">
        <v>147</v>
      </c>
    </row>
    <row r="19" spans="1:5">
      <c r="A19" s="159">
        <v>18</v>
      </c>
      <c r="B19" s="163">
        <v>45748</v>
      </c>
      <c r="C19" s="164">
        <v>0.64375000000000004</v>
      </c>
      <c r="D19" s="159">
        <v>10</v>
      </c>
      <c r="E19" s="166" t="s">
        <v>148</v>
      </c>
    </row>
    <row r="20" spans="1:5" ht="27">
      <c r="A20" s="159">
        <v>19</v>
      </c>
      <c r="B20" s="163">
        <v>45748</v>
      </c>
      <c r="C20" s="164">
        <v>0.64163194444444449</v>
      </c>
      <c r="D20" s="159">
        <v>10</v>
      </c>
      <c r="E20" s="166" t="s">
        <v>149</v>
      </c>
    </row>
    <row r="21" spans="1:5">
      <c r="A21" s="159">
        <v>20</v>
      </c>
      <c r="B21" s="163">
        <v>45748</v>
      </c>
      <c r="C21" s="164">
        <v>0.63337962962962968</v>
      </c>
      <c r="D21" s="159">
        <v>10</v>
      </c>
      <c r="E21" s="166" t="s">
        <v>150</v>
      </c>
    </row>
    <row r="22" spans="1:5">
      <c r="A22" s="159">
        <v>21</v>
      </c>
      <c r="B22" s="163">
        <v>45748</v>
      </c>
      <c r="C22" s="164">
        <v>0.63137731481481485</v>
      </c>
      <c r="D22" s="159">
        <v>10</v>
      </c>
      <c r="E22" s="166" t="s">
        <v>151</v>
      </c>
    </row>
    <row r="23" spans="1:5">
      <c r="A23" s="159">
        <v>22</v>
      </c>
      <c r="B23" s="163">
        <v>45748</v>
      </c>
      <c r="C23" s="164">
        <v>0.62887731481481479</v>
      </c>
      <c r="D23" s="159">
        <v>10</v>
      </c>
      <c r="E23" s="166" t="s">
        <v>152</v>
      </c>
    </row>
    <row r="24" spans="1:5">
      <c r="A24" s="159">
        <v>23</v>
      </c>
      <c r="B24" s="163">
        <v>45748</v>
      </c>
      <c r="C24" s="164">
        <v>0.60200231481481481</v>
      </c>
      <c r="D24" s="159">
        <v>10</v>
      </c>
      <c r="E24" s="166" t="s">
        <v>153</v>
      </c>
    </row>
    <row r="25" spans="1:5">
      <c r="A25" s="159">
        <v>24</v>
      </c>
      <c r="B25" s="163">
        <v>45748</v>
      </c>
      <c r="C25" s="164">
        <v>0.58143518518518522</v>
      </c>
      <c r="D25" s="159">
        <v>10</v>
      </c>
      <c r="E25" s="166" t="s">
        <v>154</v>
      </c>
    </row>
    <row r="26" spans="1:5">
      <c r="A26" s="159">
        <v>25</v>
      </c>
      <c r="B26" s="163">
        <v>45748</v>
      </c>
      <c r="C26" s="164">
        <v>0.55709490740740741</v>
      </c>
      <c r="D26" s="159">
        <v>10</v>
      </c>
      <c r="E26" s="166" t="s">
        <v>155</v>
      </c>
    </row>
    <row r="27" spans="1:5">
      <c r="A27" s="159">
        <v>26</v>
      </c>
      <c r="B27" s="163">
        <v>45748</v>
      </c>
      <c r="C27" s="164">
        <v>0.5444444444444444</v>
      </c>
      <c r="D27" s="159">
        <v>10</v>
      </c>
      <c r="E27" s="166" t="s">
        <v>156</v>
      </c>
    </row>
    <row r="28" spans="1:5">
      <c r="A28" s="159">
        <v>27</v>
      </c>
      <c r="B28" s="163">
        <v>45748</v>
      </c>
      <c r="C28" s="164">
        <v>0.48694444444444446</v>
      </c>
      <c r="D28" s="159">
        <v>10</v>
      </c>
      <c r="E28" s="166" t="s">
        <v>157</v>
      </c>
    </row>
    <row r="29" spans="1:5">
      <c r="A29" s="159">
        <v>28</v>
      </c>
      <c r="B29" s="163">
        <v>45748</v>
      </c>
      <c r="C29" s="164">
        <v>0.46359953703703705</v>
      </c>
      <c r="D29" s="159">
        <v>10</v>
      </c>
      <c r="E29" s="166" t="s">
        <v>158</v>
      </c>
    </row>
    <row r="30" spans="1:5">
      <c r="A30" s="159">
        <v>29</v>
      </c>
      <c r="B30" s="163">
        <v>45748</v>
      </c>
      <c r="C30" s="164">
        <v>0.45723379629629629</v>
      </c>
      <c r="D30" s="159">
        <v>10</v>
      </c>
      <c r="E30" s="166" t="s">
        <v>159</v>
      </c>
    </row>
    <row r="31" spans="1:5">
      <c r="A31" s="159">
        <v>30</v>
      </c>
      <c r="B31" s="163">
        <v>45748</v>
      </c>
      <c r="C31" s="164">
        <v>0.4372800925925926</v>
      </c>
      <c r="D31" s="159">
        <v>10</v>
      </c>
      <c r="E31" s="166" t="s">
        <v>160</v>
      </c>
    </row>
    <row r="32" spans="1:5">
      <c r="A32" s="159">
        <v>31</v>
      </c>
      <c r="B32" s="163">
        <v>45748</v>
      </c>
      <c r="C32" s="164">
        <v>0.42746527777777776</v>
      </c>
      <c r="D32" s="159">
        <v>10</v>
      </c>
      <c r="E32" s="166" t="s">
        <v>161</v>
      </c>
    </row>
    <row r="33" spans="1:5">
      <c r="A33" s="159">
        <v>32</v>
      </c>
      <c r="B33" s="163">
        <v>45748</v>
      </c>
      <c r="C33" s="164">
        <v>0.39730324074074075</v>
      </c>
      <c r="D33" s="159">
        <v>10</v>
      </c>
      <c r="E33" s="166" t="s">
        <v>162</v>
      </c>
    </row>
    <row r="34" spans="1:5">
      <c r="A34" s="159">
        <v>33</v>
      </c>
      <c r="B34" s="163">
        <v>45748</v>
      </c>
      <c r="C34" s="164">
        <v>0.39469907407407406</v>
      </c>
      <c r="D34" s="159">
        <v>10</v>
      </c>
      <c r="E34" s="166" t="s">
        <v>163</v>
      </c>
    </row>
    <row r="35" spans="1:5">
      <c r="A35" s="159">
        <v>34</v>
      </c>
      <c r="B35" s="163">
        <v>45748</v>
      </c>
      <c r="C35" s="164">
        <v>0.37561342592592595</v>
      </c>
      <c r="D35" s="159">
        <v>10</v>
      </c>
      <c r="E35" s="166" t="s">
        <v>164</v>
      </c>
    </row>
    <row r="36" spans="1:5">
      <c r="A36" s="159">
        <v>35</v>
      </c>
      <c r="B36" s="163">
        <v>45749</v>
      </c>
      <c r="C36" s="164">
        <v>0.85305555555555557</v>
      </c>
      <c r="D36" s="159">
        <v>10</v>
      </c>
      <c r="E36" s="166" t="s">
        <v>165</v>
      </c>
    </row>
    <row r="37" spans="1:5">
      <c r="A37" s="159">
        <v>36</v>
      </c>
      <c r="B37" s="163">
        <v>45749</v>
      </c>
      <c r="C37" s="164">
        <v>0.79019675925925925</v>
      </c>
      <c r="D37" s="159">
        <v>10</v>
      </c>
      <c r="E37" s="166" t="s">
        <v>166</v>
      </c>
    </row>
    <row r="38" spans="1:5" ht="27">
      <c r="A38" s="159">
        <v>37</v>
      </c>
      <c r="B38" s="163">
        <v>45749</v>
      </c>
      <c r="C38" s="164">
        <v>0.77892361111111108</v>
      </c>
      <c r="D38" s="159">
        <v>10</v>
      </c>
      <c r="E38" s="166" t="s">
        <v>167</v>
      </c>
    </row>
    <row r="39" spans="1:5">
      <c r="A39" s="159">
        <v>38</v>
      </c>
      <c r="B39" s="163">
        <v>45749</v>
      </c>
      <c r="C39" s="164">
        <v>0.77366898148148144</v>
      </c>
      <c r="D39" s="159">
        <v>10</v>
      </c>
      <c r="E39" s="166" t="s">
        <v>168</v>
      </c>
    </row>
    <row r="40" spans="1:5">
      <c r="A40" s="159">
        <v>39</v>
      </c>
      <c r="B40" s="163">
        <v>45749</v>
      </c>
      <c r="C40" s="164">
        <v>0.76642361111111112</v>
      </c>
      <c r="D40" s="159">
        <v>10</v>
      </c>
      <c r="E40" s="166" t="s">
        <v>169</v>
      </c>
    </row>
    <row r="41" spans="1:5">
      <c r="A41" s="159">
        <v>40</v>
      </c>
      <c r="B41" s="163">
        <v>45749</v>
      </c>
      <c r="C41" s="164">
        <v>0.75435185185185183</v>
      </c>
      <c r="D41" s="159">
        <v>10</v>
      </c>
      <c r="E41" s="166" t="s">
        <v>170</v>
      </c>
    </row>
    <row r="42" spans="1:5">
      <c r="A42" s="159">
        <v>41</v>
      </c>
      <c r="B42" s="163">
        <v>45749</v>
      </c>
      <c r="C42" s="164">
        <v>0.74178240740740742</v>
      </c>
      <c r="D42" s="159">
        <v>10</v>
      </c>
      <c r="E42" s="166" t="s">
        <v>171</v>
      </c>
    </row>
    <row r="43" spans="1:5">
      <c r="A43" s="159">
        <v>42</v>
      </c>
      <c r="B43" s="163">
        <v>45749</v>
      </c>
      <c r="C43" s="164">
        <v>0.72993055555555553</v>
      </c>
      <c r="D43" s="159">
        <v>10</v>
      </c>
      <c r="E43" s="166" t="s">
        <v>172</v>
      </c>
    </row>
    <row r="44" spans="1:5">
      <c r="A44" s="159">
        <v>43</v>
      </c>
      <c r="B44" s="163">
        <v>45749</v>
      </c>
      <c r="C44" s="164">
        <v>0.70497685185185188</v>
      </c>
      <c r="D44" s="159">
        <v>10</v>
      </c>
      <c r="E44" s="166" t="s">
        <v>173</v>
      </c>
    </row>
    <row r="45" spans="1:5">
      <c r="A45" s="159">
        <v>44</v>
      </c>
      <c r="B45" s="163">
        <v>45749</v>
      </c>
      <c r="C45" s="164">
        <v>0.70155092592592594</v>
      </c>
      <c r="D45" s="159">
        <v>10</v>
      </c>
      <c r="E45" s="166" t="s">
        <v>174</v>
      </c>
    </row>
    <row r="46" spans="1:5">
      <c r="A46" s="159">
        <v>45</v>
      </c>
      <c r="B46" s="163">
        <v>45749</v>
      </c>
      <c r="C46" s="164">
        <v>0.67637731481481478</v>
      </c>
      <c r="D46" s="159">
        <v>10</v>
      </c>
      <c r="E46" s="166" t="s">
        <v>175</v>
      </c>
    </row>
    <row r="47" spans="1:5">
      <c r="A47" s="159">
        <v>46</v>
      </c>
      <c r="B47" s="163">
        <v>45749</v>
      </c>
      <c r="C47" s="164">
        <v>0.67177083333333332</v>
      </c>
      <c r="D47" s="159">
        <v>10</v>
      </c>
      <c r="E47" s="166" t="s">
        <v>176</v>
      </c>
    </row>
    <row r="48" spans="1:5">
      <c r="A48" s="159">
        <v>47</v>
      </c>
      <c r="B48" s="163">
        <v>45749</v>
      </c>
      <c r="C48" s="164">
        <v>0.66430555555555559</v>
      </c>
      <c r="D48" s="159">
        <v>10</v>
      </c>
      <c r="E48" s="166" t="s">
        <v>177</v>
      </c>
    </row>
    <row r="49" spans="1:5">
      <c r="A49" s="159">
        <v>48</v>
      </c>
      <c r="B49" s="163">
        <v>45749</v>
      </c>
      <c r="C49" s="164">
        <v>0.65427083333333336</v>
      </c>
      <c r="D49" s="159">
        <v>10</v>
      </c>
      <c r="E49" s="166" t="s">
        <v>178</v>
      </c>
    </row>
    <row r="50" spans="1:5">
      <c r="A50" s="159">
        <v>49</v>
      </c>
      <c r="B50" s="163">
        <v>45749</v>
      </c>
      <c r="C50" s="164">
        <v>0.64528935185185188</v>
      </c>
      <c r="D50" s="159">
        <v>10</v>
      </c>
      <c r="E50" s="166" t="s">
        <v>179</v>
      </c>
    </row>
    <row r="51" spans="1:5">
      <c r="A51" s="159">
        <v>50</v>
      </c>
      <c r="B51" s="163">
        <v>45749</v>
      </c>
      <c r="C51" s="164">
        <v>0.63380787037037034</v>
      </c>
      <c r="D51" s="159">
        <v>10</v>
      </c>
      <c r="E51" s="166" t="s">
        <v>180</v>
      </c>
    </row>
    <row r="52" spans="1:5">
      <c r="A52" s="159">
        <v>51</v>
      </c>
      <c r="B52" s="163">
        <v>45749</v>
      </c>
      <c r="C52" s="164">
        <v>0.6280324074074074</v>
      </c>
      <c r="D52" s="159">
        <v>10</v>
      </c>
      <c r="E52" s="166" t="s">
        <v>181</v>
      </c>
    </row>
    <row r="53" spans="1:5">
      <c r="A53" s="159">
        <v>52</v>
      </c>
      <c r="B53" s="163">
        <v>45749</v>
      </c>
      <c r="C53" s="164">
        <v>0.61907407407407411</v>
      </c>
      <c r="D53" s="159">
        <v>10</v>
      </c>
      <c r="E53" s="166" t="s">
        <v>182</v>
      </c>
    </row>
    <row r="54" spans="1:5">
      <c r="A54" s="159">
        <v>53</v>
      </c>
      <c r="B54" s="163">
        <v>45749</v>
      </c>
      <c r="C54" s="164">
        <v>0.60976851851851854</v>
      </c>
      <c r="D54" s="159">
        <v>10</v>
      </c>
      <c r="E54" s="166" t="s">
        <v>183</v>
      </c>
    </row>
    <row r="55" spans="1:5">
      <c r="A55" s="159">
        <v>54</v>
      </c>
      <c r="B55" s="163">
        <v>45749</v>
      </c>
      <c r="C55" s="164">
        <v>0.60153935185185181</v>
      </c>
      <c r="D55" s="159">
        <v>10</v>
      </c>
      <c r="E55" s="166" t="s">
        <v>184</v>
      </c>
    </row>
    <row r="56" spans="1:5">
      <c r="A56" s="159">
        <v>55</v>
      </c>
      <c r="B56" s="163">
        <v>45749</v>
      </c>
      <c r="C56" s="164">
        <v>0.57914351851851853</v>
      </c>
      <c r="D56" s="159">
        <v>10</v>
      </c>
      <c r="E56" s="166" t="s">
        <v>185</v>
      </c>
    </row>
    <row r="57" spans="1:5">
      <c r="A57" s="159">
        <v>56</v>
      </c>
      <c r="B57" s="163">
        <v>45749</v>
      </c>
      <c r="C57" s="164">
        <v>0.56232638888888886</v>
      </c>
      <c r="D57" s="159">
        <v>10</v>
      </c>
      <c r="E57" s="166" t="s">
        <v>132</v>
      </c>
    </row>
    <row r="58" spans="1:5">
      <c r="A58" s="159">
        <v>57</v>
      </c>
      <c r="B58" s="163">
        <v>45749</v>
      </c>
      <c r="C58" s="164">
        <v>0.50814814814814813</v>
      </c>
      <c r="D58" s="174">
        <v>10</v>
      </c>
      <c r="E58" s="166" t="s">
        <v>186</v>
      </c>
    </row>
    <row r="59" spans="1:5">
      <c r="A59" s="159">
        <v>58</v>
      </c>
      <c r="B59" s="163">
        <v>45749</v>
      </c>
      <c r="C59" s="164">
        <v>0.50707175925925929</v>
      </c>
      <c r="D59" s="174">
        <v>10</v>
      </c>
      <c r="E59" s="166" t="s">
        <v>187</v>
      </c>
    </row>
    <row r="60" spans="1:5" ht="40.5">
      <c r="A60" s="159">
        <v>59</v>
      </c>
      <c r="B60" s="163">
        <v>45749</v>
      </c>
      <c r="C60" s="164">
        <v>0.50039351851851854</v>
      </c>
      <c r="D60" s="174">
        <v>10</v>
      </c>
      <c r="E60" s="166" t="s">
        <v>188</v>
      </c>
    </row>
    <row r="61" spans="1:5">
      <c r="A61" s="159">
        <v>60</v>
      </c>
      <c r="B61" s="163">
        <v>45749</v>
      </c>
      <c r="C61" s="164">
        <v>0.49767361111111114</v>
      </c>
      <c r="D61" s="174">
        <v>10</v>
      </c>
      <c r="E61" s="166" t="s">
        <v>189</v>
      </c>
    </row>
    <row r="62" spans="1:5" ht="40.5">
      <c r="A62" s="159">
        <v>61</v>
      </c>
      <c r="B62" s="163">
        <v>45749</v>
      </c>
      <c r="C62" s="164">
        <v>0.49625000000000002</v>
      </c>
      <c r="D62" s="174">
        <v>10</v>
      </c>
      <c r="E62" s="166" t="s">
        <v>190</v>
      </c>
    </row>
    <row r="63" spans="1:5">
      <c r="A63" s="159">
        <v>62</v>
      </c>
      <c r="B63" s="163">
        <v>45749</v>
      </c>
      <c r="C63" s="164">
        <v>0.48739583333333331</v>
      </c>
      <c r="D63" s="174">
        <v>10</v>
      </c>
      <c r="E63" s="166" t="s">
        <v>191</v>
      </c>
    </row>
    <row r="64" spans="1:5">
      <c r="A64" s="159">
        <v>63</v>
      </c>
      <c r="B64" s="163">
        <v>45749</v>
      </c>
      <c r="C64" s="164">
        <v>0.47620370370370368</v>
      </c>
      <c r="D64" s="174">
        <v>10</v>
      </c>
      <c r="E64" s="166" t="s">
        <v>192</v>
      </c>
    </row>
    <row r="65" spans="1:5">
      <c r="A65" s="159">
        <v>64</v>
      </c>
      <c r="B65" s="163">
        <v>45749</v>
      </c>
      <c r="C65" s="164">
        <v>0.47554398148148147</v>
      </c>
      <c r="D65" s="174">
        <v>10</v>
      </c>
      <c r="E65" s="166" t="s">
        <v>193</v>
      </c>
    </row>
    <row r="66" spans="1:5">
      <c r="A66" s="159">
        <v>65</v>
      </c>
      <c r="B66" s="163">
        <v>45749</v>
      </c>
      <c r="C66" s="164">
        <v>0.45960648148148148</v>
      </c>
      <c r="D66" s="174">
        <v>10</v>
      </c>
      <c r="E66" s="166" t="s">
        <v>194</v>
      </c>
    </row>
    <row r="67" spans="1:5">
      <c r="A67" s="159">
        <v>66</v>
      </c>
      <c r="B67" s="163">
        <v>45749</v>
      </c>
      <c r="C67" s="164">
        <v>0.45238425925925924</v>
      </c>
      <c r="D67" s="174">
        <v>10</v>
      </c>
      <c r="E67" s="166" t="s">
        <v>195</v>
      </c>
    </row>
    <row r="68" spans="1:5">
      <c r="A68" s="159">
        <v>67</v>
      </c>
      <c r="B68" s="163">
        <v>45749</v>
      </c>
      <c r="C68" s="164">
        <v>0.44863425925925926</v>
      </c>
      <c r="D68" s="174">
        <v>10</v>
      </c>
      <c r="E68" s="166" t="s">
        <v>196</v>
      </c>
    </row>
    <row r="69" spans="1:5">
      <c r="A69" s="159">
        <v>68</v>
      </c>
      <c r="B69" s="163">
        <v>45749</v>
      </c>
      <c r="C69" s="164">
        <v>0.43299768518518517</v>
      </c>
      <c r="D69" s="174">
        <v>10</v>
      </c>
      <c r="E69" s="166" t="s">
        <v>197</v>
      </c>
    </row>
    <row r="70" spans="1:5">
      <c r="A70" s="159">
        <v>69</v>
      </c>
      <c r="B70" s="163">
        <v>45749</v>
      </c>
      <c r="C70" s="164">
        <v>0.42023148148148148</v>
      </c>
      <c r="D70" s="174">
        <v>10</v>
      </c>
      <c r="E70" s="166" t="s">
        <v>198</v>
      </c>
    </row>
    <row r="71" spans="1:5" ht="27">
      <c r="A71" s="159">
        <v>70</v>
      </c>
      <c r="B71" s="163">
        <v>45749</v>
      </c>
      <c r="C71" s="164">
        <v>0.39891203703703704</v>
      </c>
      <c r="D71" s="174">
        <v>10</v>
      </c>
      <c r="E71" s="166" t="s">
        <v>199</v>
      </c>
    </row>
    <row r="72" spans="1:5">
      <c r="A72" s="159">
        <v>71</v>
      </c>
      <c r="B72" s="163">
        <v>45750</v>
      </c>
      <c r="C72" s="164">
        <v>0.91464120370370372</v>
      </c>
      <c r="D72" s="174">
        <v>10</v>
      </c>
      <c r="E72" s="166" t="s">
        <v>200</v>
      </c>
    </row>
    <row r="73" spans="1:5">
      <c r="A73" s="159">
        <v>72</v>
      </c>
      <c r="B73" s="163">
        <v>45750</v>
      </c>
      <c r="C73" s="164">
        <v>0.89089120370370367</v>
      </c>
      <c r="D73" s="174">
        <v>10</v>
      </c>
      <c r="E73" s="166" t="s">
        <v>201</v>
      </c>
    </row>
    <row r="74" spans="1:5">
      <c r="A74" s="159">
        <v>73</v>
      </c>
      <c r="B74" s="163">
        <v>45750</v>
      </c>
      <c r="C74" s="164">
        <v>0.85098379629629628</v>
      </c>
      <c r="D74" s="174">
        <v>10</v>
      </c>
      <c r="E74" s="166" t="s">
        <v>202</v>
      </c>
    </row>
    <row r="75" spans="1:5">
      <c r="A75" s="159">
        <v>74</v>
      </c>
      <c r="B75" s="163">
        <v>45750</v>
      </c>
      <c r="C75" s="164">
        <v>0.81509259259259259</v>
      </c>
      <c r="D75" s="174">
        <v>10</v>
      </c>
      <c r="E75" s="166" t="s">
        <v>203</v>
      </c>
    </row>
    <row r="76" spans="1:5">
      <c r="A76" s="159">
        <v>75</v>
      </c>
      <c r="B76" s="163">
        <v>45750</v>
      </c>
      <c r="C76" s="164">
        <v>0.77560185185185182</v>
      </c>
      <c r="D76" s="174">
        <v>10</v>
      </c>
      <c r="E76" s="166" t="s">
        <v>204</v>
      </c>
    </row>
    <row r="77" spans="1:5">
      <c r="A77" s="159">
        <v>76</v>
      </c>
      <c r="B77" s="163">
        <v>45750</v>
      </c>
      <c r="C77" s="164">
        <v>0.7728356481481482</v>
      </c>
      <c r="D77" s="174">
        <v>10</v>
      </c>
      <c r="E77" s="166" t="s">
        <v>205</v>
      </c>
    </row>
    <row r="78" spans="1:5">
      <c r="A78" s="159">
        <v>77</v>
      </c>
      <c r="B78" s="163">
        <v>45750</v>
      </c>
      <c r="C78" s="164">
        <v>0.73239583333333336</v>
      </c>
      <c r="D78" s="174">
        <v>10</v>
      </c>
      <c r="E78" s="166" t="s">
        <v>206</v>
      </c>
    </row>
    <row r="79" spans="1:5">
      <c r="A79" s="159">
        <v>78</v>
      </c>
      <c r="B79" s="163">
        <v>45750</v>
      </c>
      <c r="C79" s="164">
        <v>0.72780092592592593</v>
      </c>
      <c r="D79" s="174">
        <v>10</v>
      </c>
      <c r="E79" s="166" t="s">
        <v>207</v>
      </c>
    </row>
    <row r="80" spans="1:5">
      <c r="A80" s="159">
        <v>79</v>
      </c>
      <c r="B80" s="163">
        <v>45750</v>
      </c>
      <c r="C80" s="164">
        <v>0.72672453703703699</v>
      </c>
      <c r="D80" s="174">
        <v>10</v>
      </c>
      <c r="E80" s="166" t="s">
        <v>208</v>
      </c>
    </row>
    <row r="81" spans="1:5">
      <c r="A81" s="159">
        <v>80</v>
      </c>
      <c r="B81" s="163">
        <v>45750</v>
      </c>
      <c r="C81" s="164">
        <v>0.71578703703703705</v>
      </c>
      <c r="D81" s="174">
        <v>10</v>
      </c>
      <c r="E81" s="166" t="s">
        <v>209</v>
      </c>
    </row>
    <row r="82" spans="1:5">
      <c r="A82" s="159">
        <v>81</v>
      </c>
      <c r="B82" s="163">
        <v>45750</v>
      </c>
      <c r="C82" s="164">
        <v>0.71269675925925924</v>
      </c>
      <c r="D82" s="174">
        <v>10</v>
      </c>
      <c r="E82" s="166" t="s">
        <v>210</v>
      </c>
    </row>
    <row r="83" spans="1:5">
      <c r="A83" s="159">
        <v>82</v>
      </c>
      <c r="B83" s="163">
        <v>45750</v>
      </c>
      <c r="C83" s="164">
        <v>0.70508101851851857</v>
      </c>
      <c r="D83" s="174">
        <v>9</v>
      </c>
      <c r="E83" s="166" t="s">
        <v>211</v>
      </c>
    </row>
    <row r="84" spans="1:5">
      <c r="A84" s="159">
        <v>83</v>
      </c>
      <c r="B84" s="163">
        <v>45750</v>
      </c>
      <c r="C84" s="164">
        <v>0.68972222222222224</v>
      </c>
      <c r="D84" s="174">
        <v>10</v>
      </c>
      <c r="E84" s="166" t="s">
        <v>212</v>
      </c>
    </row>
    <row r="85" spans="1:5">
      <c r="A85" s="159">
        <v>84</v>
      </c>
      <c r="B85" s="163">
        <v>45750</v>
      </c>
      <c r="C85" s="164">
        <v>0.6847685185185185</v>
      </c>
      <c r="D85" s="174">
        <v>10</v>
      </c>
      <c r="E85" s="166" t="s">
        <v>213</v>
      </c>
    </row>
    <row r="86" spans="1:5">
      <c r="A86" s="159">
        <v>85</v>
      </c>
      <c r="B86" s="163">
        <v>45750</v>
      </c>
      <c r="C86" s="164">
        <v>0.68376157407407412</v>
      </c>
      <c r="D86" s="174">
        <v>10</v>
      </c>
      <c r="E86" s="166" t="s">
        <v>214</v>
      </c>
    </row>
    <row r="87" spans="1:5">
      <c r="A87" s="159">
        <v>86</v>
      </c>
      <c r="B87" s="163">
        <v>45750</v>
      </c>
      <c r="C87" s="164">
        <v>0.68309027777777775</v>
      </c>
      <c r="D87" s="174">
        <v>10</v>
      </c>
      <c r="E87" s="166" t="s">
        <v>132</v>
      </c>
    </row>
    <row r="88" spans="1:5">
      <c r="A88" s="159">
        <v>87</v>
      </c>
      <c r="B88" s="163">
        <v>45750</v>
      </c>
      <c r="C88" s="164">
        <v>0.65520833333333328</v>
      </c>
      <c r="D88" s="174">
        <v>10</v>
      </c>
      <c r="E88" s="166" t="s">
        <v>215</v>
      </c>
    </row>
    <row r="89" spans="1:5">
      <c r="A89" s="159">
        <v>88</v>
      </c>
      <c r="B89" s="163">
        <v>45750</v>
      </c>
      <c r="C89" s="164">
        <v>0.65456018518518522</v>
      </c>
      <c r="D89" s="174">
        <v>10</v>
      </c>
      <c r="E89" s="166" t="s">
        <v>216</v>
      </c>
    </row>
    <row r="90" spans="1:5">
      <c r="A90" s="159">
        <v>89</v>
      </c>
      <c r="B90" s="163">
        <v>45750</v>
      </c>
      <c r="C90" s="164">
        <v>0.6539814814814815</v>
      </c>
      <c r="D90" s="174">
        <v>10</v>
      </c>
      <c r="E90" s="166" t="s">
        <v>217</v>
      </c>
    </row>
    <row r="91" spans="1:5">
      <c r="A91" s="159">
        <v>90</v>
      </c>
      <c r="B91" s="163">
        <v>45750</v>
      </c>
      <c r="C91" s="164">
        <v>0.63978009259259261</v>
      </c>
      <c r="D91" s="174">
        <v>10</v>
      </c>
      <c r="E91" s="166" t="s">
        <v>218</v>
      </c>
    </row>
    <row r="92" spans="1:5">
      <c r="A92" s="159">
        <v>91</v>
      </c>
      <c r="B92" s="163">
        <v>45750</v>
      </c>
      <c r="C92" s="164">
        <v>0.62918981481481484</v>
      </c>
      <c r="D92" s="174">
        <v>10</v>
      </c>
      <c r="E92" s="166" t="s">
        <v>219</v>
      </c>
    </row>
    <row r="93" spans="1:5">
      <c r="A93" s="159">
        <v>92</v>
      </c>
      <c r="B93" s="163">
        <v>45750</v>
      </c>
      <c r="C93" s="164">
        <v>0.62445601851851851</v>
      </c>
      <c r="D93" s="174">
        <v>10</v>
      </c>
      <c r="E93" s="166" t="s">
        <v>220</v>
      </c>
    </row>
    <row r="94" spans="1:5">
      <c r="A94" s="159">
        <v>93</v>
      </c>
      <c r="B94" s="163">
        <v>45750</v>
      </c>
      <c r="C94" s="164">
        <v>0.61812500000000004</v>
      </c>
      <c r="D94" s="174">
        <v>10</v>
      </c>
      <c r="E94" s="166" t="s">
        <v>221</v>
      </c>
    </row>
    <row r="95" spans="1:5">
      <c r="A95" s="159">
        <v>94</v>
      </c>
      <c r="B95" s="163">
        <v>45750</v>
      </c>
      <c r="C95" s="164">
        <v>0.59765046296296298</v>
      </c>
      <c r="D95" s="174">
        <v>10</v>
      </c>
      <c r="E95" s="166" t="s">
        <v>222</v>
      </c>
    </row>
    <row r="96" spans="1:5">
      <c r="A96" s="159">
        <v>95</v>
      </c>
      <c r="B96" s="163">
        <v>45750</v>
      </c>
      <c r="C96" s="164">
        <v>0.59225694444444443</v>
      </c>
      <c r="D96" s="159">
        <v>10</v>
      </c>
      <c r="E96" s="166" t="s">
        <v>223</v>
      </c>
    </row>
    <row r="97" spans="1:5">
      <c r="A97" s="159">
        <v>96</v>
      </c>
      <c r="B97" s="163">
        <v>45750</v>
      </c>
      <c r="C97" s="164">
        <v>0.55686342592592597</v>
      </c>
      <c r="D97" s="159">
        <v>10</v>
      </c>
      <c r="E97" s="166" t="s">
        <v>224</v>
      </c>
    </row>
    <row r="98" spans="1:5">
      <c r="A98" s="159">
        <v>97</v>
      </c>
      <c r="B98" s="163">
        <v>45750</v>
      </c>
      <c r="C98" s="164">
        <v>0.55171296296296302</v>
      </c>
      <c r="D98" s="159">
        <v>10</v>
      </c>
      <c r="E98" s="166" t="s">
        <v>225</v>
      </c>
    </row>
    <row r="99" spans="1:5">
      <c r="A99" s="159">
        <v>98</v>
      </c>
      <c r="B99" s="163">
        <v>45750</v>
      </c>
      <c r="C99" s="164">
        <v>0.5499074074074074</v>
      </c>
      <c r="D99" s="159">
        <v>10</v>
      </c>
      <c r="E99" s="166" t="s">
        <v>226</v>
      </c>
    </row>
    <row r="100" spans="1:5">
      <c r="A100" s="159">
        <v>99</v>
      </c>
      <c r="B100" s="163">
        <v>45750</v>
      </c>
      <c r="C100" s="164">
        <v>0.53304398148148147</v>
      </c>
      <c r="D100" s="159">
        <v>10</v>
      </c>
      <c r="E100" s="166" t="s">
        <v>227</v>
      </c>
    </row>
    <row r="101" spans="1:5">
      <c r="A101" s="159">
        <v>100</v>
      </c>
      <c r="B101" s="163">
        <v>45750</v>
      </c>
      <c r="C101" s="164">
        <v>0.50399305555555551</v>
      </c>
      <c r="D101" s="159">
        <v>10</v>
      </c>
      <c r="E101" s="166" t="s">
        <v>228</v>
      </c>
    </row>
    <row r="102" spans="1:5">
      <c r="A102" s="159">
        <v>101</v>
      </c>
      <c r="B102" s="163">
        <v>45750</v>
      </c>
      <c r="C102" s="164">
        <v>0.47018518518518521</v>
      </c>
      <c r="D102" s="159">
        <v>10</v>
      </c>
      <c r="E102" s="166" t="s">
        <v>229</v>
      </c>
    </row>
    <row r="103" spans="1:5">
      <c r="A103" s="159">
        <v>102</v>
      </c>
      <c r="B103" s="163">
        <v>45750</v>
      </c>
      <c r="C103" s="164">
        <v>0.45608796296296295</v>
      </c>
      <c r="D103" s="159">
        <v>10</v>
      </c>
      <c r="E103" s="166" t="s">
        <v>230</v>
      </c>
    </row>
    <row r="104" spans="1:5">
      <c r="A104" s="159">
        <v>103</v>
      </c>
      <c r="B104" s="163">
        <v>45750</v>
      </c>
      <c r="C104" s="164">
        <v>0.44383101851851853</v>
      </c>
      <c r="D104" s="159">
        <v>10</v>
      </c>
      <c r="E104" s="166" t="s">
        <v>231</v>
      </c>
    </row>
    <row r="105" spans="1:5">
      <c r="A105" s="159">
        <v>104</v>
      </c>
      <c r="B105" s="163">
        <v>45750</v>
      </c>
      <c r="C105" s="164">
        <v>0.41305555555555556</v>
      </c>
      <c r="D105" s="159">
        <v>10</v>
      </c>
      <c r="E105" s="166" t="s">
        <v>232</v>
      </c>
    </row>
    <row r="106" spans="1:5">
      <c r="A106" s="159">
        <v>105</v>
      </c>
      <c r="B106" s="163">
        <v>45750</v>
      </c>
      <c r="C106" s="164">
        <v>0.40653935185185186</v>
      </c>
      <c r="D106" s="159">
        <v>10</v>
      </c>
      <c r="E106" s="166" t="s">
        <v>233</v>
      </c>
    </row>
    <row r="107" spans="1:5">
      <c r="A107" s="159">
        <v>106</v>
      </c>
      <c r="B107" s="163">
        <v>45750</v>
      </c>
      <c r="C107" s="164">
        <v>0.4064699074074074</v>
      </c>
      <c r="D107" s="159">
        <v>10</v>
      </c>
      <c r="E107" s="166" t="s">
        <v>234</v>
      </c>
    </row>
    <row r="108" spans="1:5">
      <c r="A108" s="159">
        <v>107</v>
      </c>
      <c r="B108" s="163">
        <v>45750</v>
      </c>
      <c r="C108" s="164">
        <v>0.39988425925925924</v>
      </c>
      <c r="D108" s="159">
        <v>10</v>
      </c>
      <c r="E108" s="166" t="s">
        <v>235</v>
      </c>
    </row>
    <row r="109" spans="1:5">
      <c r="A109" s="159">
        <v>108</v>
      </c>
      <c r="B109" s="163">
        <v>45750</v>
      </c>
      <c r="C109" s="164">
        <v>0.39829861111111109</v>
      </c>
      <c r="D109" s="159">
        <v>10</v>
      </c>
      <c r="E109" s="166" t="s">
        <v>236</v>
      </c>
    </row>
    <row r="110" spans="1:5">
      <c r="A110" s="159">
        <v>109</v>
      </c>
      <c r="B110" s="163">
        <v>45750</v>
      </c>
      <c r="C110" s="164">
        <v>0.39496527777777779</v>
      </c>
      <c r="D110" s="159">
        <v>10</v>
      </c>
      <c r="E110" s="166" t="s">
        <v>237</v>
      </c>
    </row>
    <row r="111" spans="1:5">
      <c r="A111" s="159">
        <v>110</v>
      </c>
      <c r="B111" s="163">
        <v>45750</v>
      </c>
      <c r="C111" s="164">
        <v>0.390625</v>
      </c>
      <c r="D111" s="159">
        <v>10</v>
      </c>
      <c r="E111" s="166" t="s">
        <v>238</v>
      </c>
    </row>
    <row r="112" spans="1:5">
      <c r="A112" s="159">
        <v>111</v>
      </c>
      <c r="B112" s="163">
        <v>45750</v>
      </c>
      <c r="C112" s="164">
        <v>0.38616898148148149</v>
      </c>
      <c r="D112" s="159">
        <v>10</v>
      </c>
      <c r="E112" s="166" t="s">
        <v>239</v>
      </c>
    </row>
    <row r="113" spans="1:5">
      <c r="A113" s="159">
        <v>112</v>
      </c>
      <c r="B113" s="163">
        <v>45750</v>
      </c>
      <c r="C113" s="164">
        <v>0.3815972222222222</v>
      </c>
      <c r="D113" s="159">
        <v>10</v>
      </c>
      <c r="E113" s="166" t="s">
        <v>240</v>
      </c>
    </row>
    <row r="114" spans="1:5">
      <c r="A114" s="159">
        <v>113</v>
      </c>
      <c r="B114" s="163">
        <v>45751</v>
      </c>
      <c r="C114" s="164">
        <v>0.89093750000000005</v>
      </c>
      <c r="D114" s="159">
        <v>10</v>
      </c>
      <c r="E114" s="166" t="s">
        <v>241</v>
      </c>
    </row>
    <row r="115" spans="1:5">
      <c r="A115" s="159">
        <v>114</v>
      </c>
      <c r="B115" s="163">
        <v>45751</v>
      </c>
      <c r="C115" s="164">
        <v>0.83394675925925921</v>
      </c>
      <c r="D115" s="159">
        <v>10</v>
      </c>
      <c r="E115" s="166" t="s">
        <v>242</v>
      </c>
    </row>
    <row r="116" spans="1:5">
      <c r="A116" s="159">
        <v>115</v>
      </c>
      <c r="B116" s="163">
        <v>45751</v>
      </c>
      <c r="C116" s="164">
        <v>0.76875000000000004</v>
      </c>
      <c r="D116" s="159">
        <v>10</v>
      </c>
      <c r="E116" s="166" t="s">
        <v>243</v>
      </c>
    </row>
    <row r="117" spans="1:5">
      <c r="A117" s="159">
        <v>116</v>
      </c>
      <c r="B117" s="163">
        <v>45751</v>
      </c>
      <c r="C117" s="164">
        <v>0.76733796296296297</v>
      </c>
      <c r="D117" s="159">
        <v>10</v>
      </c>
      <c r="E117" s="166" t="s">
        <v>244</v>
      </c>
    </row>
    <row r="118" spans="1:5">
      <c r="A118" s="159">
        <v>117</v>
      </c>
      <c r="B118" s="163">
        <v>45751</v>
      </c>
      <c r="C118" s="164">
        <v>0.74820601851851853</v>
      </c>
      <c r="D118" s="159">
        <v>10</v>
      </c>
      <c r="E118" s="166" t="s">
        <v>245</v>
      </c>
    </row>
    <row r="119" spans="1:5">
      <c r="A119" s="159">
        <v>118</v>
      </c>
      <c r="B119" s="163">
        <v>45751</v>
      </c>
      <c r="C119" s="164">
        <v>0.7379282407407407</v>
      </c>
      <c r="D119" s="159">
        <v>10</v>
      </c>
      <c r="E119" s="166" t="s">
        <v>246</v>
      </c>
    </row>
    <row r="120" spans="1:5">
      <c r="A120" s="159">
        <v>119</v>
      </c>
      <c r="B120" s="163">
        <v>45751</v>
      </c>
      <c r="C120" s="164">
        <v>0.73760416666666662</v>
      </c>
      <c r="D120" s="159">
        <v>10</v>
      </c>
      <c r="E120" s="166" t="s">
        <v>247</v>
      </c>
    </row>
    <row r="121" spans="1:5">
      <c r="A121" s="159">
        <v>120</v>
      </c>
      <c r="B121" s="163">
        <v>45751</v>
      </c>
      <c r="C121" s="164">
        <v>0.7359606481481481</v>
      </c>
      <c r="D121" s="159">
        <v>10</v>
      </c>
      <c r="E121" s="166" t="s">
        <v>248</v>
      </c>
    </row>
    <row r="122" spans="1:5">
      <c r="A122" s="159">
        <v>121</v>
      </c>
      <c r="B122" s="163">
        <v>45751</v>
      </c>
      <c r="C122" s="164">
        <v>0.73266203703703703</v>
      </c>
      <c r="D122" s="159">
        <v>10</v>
      </c>
      <c r="E122" s="166" t="s">
        <v>249</v>
      </c>
    </row>
    <row r="123" spans="1:5">
      <c r="A123" s="159">
        <v>122</v>
      </c>
      <c r="B123" s="163">
        <v>45751</v>
      </c>
      <c r="C123" s="164">
        <v>0.71293981481481483</v>
      </c>
      <c r="D123" s="159">
        <v>10</v>
      </c>
      <c r="E123" s="166" t="s">
        <v>250</v>
      </c>
    </row>
    <row r="124" spans="1:5">
      <c r="A124" s="159">
        <v>123</v>
      </c>
      <c r="B124" s="163">
        <v>45751</v>
      </c>
      <c r="C124" s="164">
        <v>0.71262731481481478</v>
      </c>
      <c r="D124" s="159">
        <v>10</v>
      </c>
      <c r="E124" s="166" t="s">
        <v>251</v>
      </c>
    </row>
    <row r="125" spans="1:5">
      <c r="A125" s="159">
        <v>124</v>
      </c>
      <c r="B125" s="163">
        <v>45751</v>
      </c>
      <c r="C125" s="164">
        <v>0.71158564814814818</v>
      </c>
      <c r="D125" s="159">
        <v>10</v>
      </c>
      <c r="E125" s="166" t="s">
        <v>252</v>
      </c>
    </row>
    <row r="126" spans="1:5">
      <c r="A126" s="159">
        <v>125</v>
      </c>
      <c r="B126" s="163">
        <v>45751</v>
      </c>
      <c r="C126" s="164">
        <v>0.69702546296296297</v>
      </c>
      <c r="D126" s="159">
        <v>10</v>
      </c>
      <c r="E126" s="166" t="s">
        <v>253</v>
      </c>
    </row>
    <row r="127" spans="1:5">
      <c r="A127" s="159">
        <v>126</v>
      </c>
      <c r="B127" s="163">
        <v>45751</v>
      </c>
      <c r="C127" s="164">
        <v>0.69329861111111113</v>
      </c>
      <c r="D127" s="159">
        <v>10</v>
      </c>
      <c r="E127" s="166" t="s">
        <v>254</v>
      </c>
    </row>
    <row r="128" spans="1:5">
      <c r="A128" s="159">
        <v>127</v>
      </c>
      <c r="B128" s="163">
        <v>45751</v>
      </c>
      <c r="C128" s="164">
        <v>0.69287037037037036</v>
      </c>
      <c r="D128" s="159">
        <v>10</v>
      </c>
      <c r="E128" s="166" t="s">
        <v>255</v>
      </c>
    </row>
    <row r="129" spans="1:5">
      <c r="A129" s="159">
        <v>128</v>
      </c>
      <c r="B129" s="163">
        <v>45751</v>
      </c>
      <c r="C129" s="164">
        <v>0.69108796296296293</v>
      </c>
      <c r="D129" s="159">
        <v>10</v>
      </c>
      <c r="E129" s="166" t="s">
        <v>256</v>
      </c>
    </row>
    <row r="130" spans="1:5">
      <c r="A130" s="159">
        <v>129</v>
      </c>
      <c r="B130" s="163">
        <v>45751</v>
      </c>
      <c r="C130" s="164">
        <v>0.68943287037037038</v>
      </c>
      <c r="D130" s="159">
        <v>10</v>
      </c>
      <c r="E130" s="166" t="s">
        <v>257</v>
      </c>
    </row>
    <row r="131" spans="1:5">
      <c r="A131" s="159">
        <v>130</v>
      </c>
      <c r="B131" s="163">
        <v>45751</v>
      </c>
      <c r="C131" s="164">
        <v>0.68859953703703702</v>
      </c>
      <c r="D131" s="159">
        <v>10</v>
      </c>
      <c r="E131" s="166" t="s">
        <v>258</v>
      </c>
    </row>
    <row r="132" spans="1:5">
      <c r="A132" s="159">
        <v>131</v>
      </c>
      <c r="B132" s="163">
        <v>45751</v>
      </c>
      <c r="C132" s="164">
        <v>0.68531249999999999</v>
      </c>
      <c r="D132" s="159">
        <v>10</v>
      </c>
      <c r="E132" s="166" t="s">
        <v>259</v>
      </c>
    </row>
    <row r="133" spans="1:5" ht="27">
      <c r="A133" s="159">
        <v>132</v>
      </c>
      <c r="B133" s="163">
        <v>45751</v>
      </c>
      <c r="C133" s="164">
        <v>0.67581018518518521</v>
      </c>
      <c r="D133" s="159">
        <v>10</v>
      </c>
      <c r="E133" s="166" t="s">
        <v>260</v>
      </c>
    </row>
    <row r="134" spans="1:5">
      <c r="A134" s="159">
        <v>133</v>
      </c>
      <c r="B134" s="163">
        <v>45751</v>
      </c>
      <c r="C134" s="164">
        <v>0.66949074074074078</v>
      </c>
      <c r="D134" s="159">
        <v>10</v>
      </c>
      <c r="E134" s="166" t="s">
        <v>261</v>
      </c>
    </row>
    <row r="135" spans="1:5">
      <c r="A135" s="159">
        <v>134</v>
      </c>
      <c r="B135" s="163">
        <v>45751</v>
      </c>
      <c r="C135" s="164">
        <v>0.66519675925925925</v>
      </c>
      <c r="D135" s="159">
        <v>10</v>
      </c>
      <c r="E135" s="166" t="s">
        <v>262</v>
      </c>
    </row>
    <row r="136" spans="1:5">
      <c r="A136" s="159">
        <v>135</v>
      </c>
      <c r="B136" s="163">
        <v>45751</v>
      </c>
      <c r="C136" s="164">
        <v>0.65366898148148145</v>
      </c>
      <c r="D136" s="159">
        <v>10</v>
      </c>
      <c r="E136" s="166" t="s">
        <v>263</v>
      </c>
    </row>
    <row r="137" spans="1:5">
      <c r="A137" s="159">
        <v>136</v>
      </c>
      <c r="B137" s="163">
        <v>45751</v>
      </c>
      <c r="C137" s="164">
        <v>0.64215277777777779</v>
      </c>
      <c r="D137" s="159">
        <v>10</v>
      </c>
      <c r="E137" s="166" t="s">
        <v>264</v>
      </c>
    </row>
    <row r="138" spans="1:5">
      <c r="A138" s="159">
        <v>137</v>
      </c>
      <c r="B138" s="163">
        <v>45751</v>
      </c>
      <c r="C138" s="164">
        <v>0.62449074074074074</v>
      </c>
      <c r="D138" s="159">
        <v>10</v>
      </c>
      <c r="E138" s="166" t="s">
        <v>265</v>
      </c>
    </row>
    <row r="139" spans="1:5">
      <c r="A139" s="159">
        <v>138</v>
      </c>
      <c r="B139" s="163">
        <v>45751</v>
      </c>
      <c r="C139" s="164">
        <v>0.61019675925925931</v>
      </c>
      <c r="D139" s="159">
        <v>10</v>
      </c>
      <c r="E139" s="166" t="s">
        <v>266</v>
      </c>
    </row>
    <row r="140" spans="1:5">
      <c r="A140" s="159">
        <v>139</v>
      </c>
      <c r="B140" s="163">
        <v>45751</v>
      </c>
      <c r="C140" s="164">
        <v>0.60326388888888893</v>
      </c>
      <c r="D140" s="159">
        <v>10</v>
      </c>
      <c r="E140" s="166" t="s">
        <v>267</v>
      </c>
    </row>
    <row r="141" spans="1:5">
      <c r="A141" s="159">
        <v>140</v>
      </c>
      <c r="B141" s="163">
        <v>45751</v>
      </c>
      <c r="C141" s="164">
        <v>0.58049768518518519</v>
      </c>
      <c r="D141" s="159">
        <v>10</v>
      </c>
      <c r="E141" s="166" t="s">
        <v>268</v>
      </c>
    </row>
    <row r="142" spans="1:5">
      <c r="A142" s="159">
        <v>141</v>
      </c>
      <c r="B142" s="163">
        <v>45751</v>
      </c>
      <c r="C142" s="164">
        <v>0.56094907407407413</v>
      </c>
      <c r="D142" s="159">
        <v>10</v>
      </c>
      <c r="E142" s="166" t="s">
        <v>269</v>
      </c>
    </row>
    <row r="143" spans="1:5">
      <c r="A143" s="159">
        <v>142</v>
      </c>
      <c r="B143" s="163">
        <v>45751</v>
      </c>
      <c r="C143" s="164">
        <v>0.53361111111111115</v>
      </c>
      <c r="D143" s="159">
        <v>10</v>
      </c>
      <c r="E143" s="166" t="s">
        <v>270</v>
      </c>
    </row>
    <row r="144" spans="1:5">
      <c r="A144" s="159">
        <v>143</v>
      </c>
      <c r="B144" s="163">
        <v>45751</v>
      </c>
      <c r="C144" s="164">
        <v>0.5287384259259259</v>
      </c>
      <c r="D144" s="159">
        <v>10</v>
      </c>
      <c r="E144" s="166" t="s">
        <v>271</v>
      </c>
    </row>
    <row r="145" spans="1:5" ht="27">
      <c r="A145" s="159">
        <v>144</v>
      </c>
      <c r="B145" s="163">
        <v>45751</v>
      </c>
      <c r="C145" s="164">
        <v>0.5138194444444445</v>
      </c>
      <c r="D145" s="159">
        <v>10</v>
      </c>
      <c r="E145" s="166" t="s">
        <v>272</v>
      </c>
    </row>
    <row r="146" spans="1:5">
      <c r="A146" s="159">
        <v>145</v>
      </c>
      <c r="B146" s="163">
        <v>45751</v>
      </c>
      <c r="C146" s="164">
        <v>0.50539351851851855</v>
      </c>
      <c r="D146" s="159">
        <v>10</v>
      </c>
      <c r="E146" s="166" t="s">
        <v>273</v>
      </c>
    </row>
    <row r="147" spans="1:5">
      <c r="A147" s="159">
        <v>146</v>
      </c>
      <c r="B147" s="163">
        <v>45751</v>
      </c>
      <c r="C147" s="164">
        <v>0.50149305555555557</v>
      </c>
      <c r="D147" s="159">
        <v>10</v>
      </c>
      <c r="E147" s="166" t="s">
        <v>274</v>
      </c>
    </row>
    <row r="148" spans="1:5">
      <c r="A148" s="159">
        <v>147</v>
      </c>
      <c r="B148" s="163">
        <v>45751</v>
      </c>
      <c r="C148" s="164">
        <v>0.49859953703703702</v>
      </c>
      <c r="D148" s="159">
        <v>10</v>
      </c>
      <c r="E148" s="166" t="s">
        <v>275</v>
      </c>
    </row>
    <row r="149" spans="1:5">
      <c r="A149" s="159">
        <v>148</v>
      </c>
      <c r="B149" s="163">
        <v>45751</v>
      </c>
      <c r="C149" s="164">
        <v>0.48884259259259261</v>
      </c>
      <c r="D149" s="159">
        <v>10</v>
      </c>
      <c r="E149" s="166" t="s">
        <v>276</v>
      </c>
    </row>
    <row r="150" spans="1:5">
      <c r="A150" s="159">
        <v>149</v>
      </c>
      <c r="B150" s="163">
        <v>45751</v>
      </c>
      <c r="C150" s="164">
        <v>0.48266203703703703</v>
      </c>
      <c r="D150" s="159">
        <v>10</v>
      </c>
      <c r="E150" s="166" t="s">
        <v>277</v>
      </c>
    </row>
    <row r="151" spans="1:5">
      <c r="A151" s="159">
        <v>150</v>
      </c>
      <c r="B151" s="163">
        <v>45751</v>
      </c>
      <c r="C151" s="164">
        <v>0.45878472222222222</v>
      </c>
      <c r="D151" s="159">
        <v>10</v>
      </c>
      <c r="E151" s="166" t="s">
        <v>278</v>
      </c>
    </row>
    <row r="152" spans="1:5">
      <c r="A152" s="159">
        <v>151</v>
      </c>
      <c r="B152" s="163">
        <v>45751</v>
      </c>
      <c r="C152" s="164">
        <v>0.45385416666666667</v>
      </c>
      <c r="D152" s="159">
        <v>10</v>
      </c>
      <c r="E152" s="166" t="s">
        <v>279</v>
      </c>
    </row>
    <row r="153" spans="1:5">
      <c r="A153" s="159">
        <v>152</v>
      </c>
      <c r="B153" s="163">
        <v>45751</v>
      </c>
      <c r="C153" s="164">
        <v>0.45035879629629627</v>
      </c>
      <c r="D153" s="159">
        <v>10</v>
      </c>
      <c r="E153" s="166" t="s">
        <v>280</v>
      </c>
    </row>
    <row r="154" spans="1:5">
      <c r="A154" s="159">
        <v>153</v>
      </c>
      <c r="B154" s="163">
        <v>45751</v>
      </c>
      <c r="C154" s="164">
        <v>0.45033564814814814</v>
      </c>
      <c r="D154" s="159">
        <v>10</v>
      </c>
      <c r="E154" s="166" t="s">
        <v>281</v>
      </c>
    </row>
    <row r="155" spans="1:5">
      <c r="A155" s="159">
        <v>154</v>
      </c>
      <c r="B155" s="163">
        <v>45751</v>
      </c>
      <c r="C155" s="164">
        <v>0.43853009259259257</v>
      </c>
      <c r="D155" s="159">
        <v>10</v>
      </c>
      <c r="E155" s="166" t="s">
        <v>282</v>
      </c>
    </row>
    <row r="156" spans="1:5" ht="40.5">
      <c r="A156" s="159">
        <v>155</v>
      </c>
      <c r="B156" s="163">
        <v>45751</v>
      </c>
      <c r="C156" s="164">
        <v>0.40847222222222224</v>
      </c>
      <c r="D156" s="159">
        <v>10</v>
      </c>
      <c r="E156" s="166" t="s">
        <v>283</v>
      </c>
    </row>
    <row r="157" spans="1:5">
      <c r="A157" s="159">
        <v>156</v>
      </c>
      <c r="B157" s="163">
        <v>45751</v>
      </c>
      <c r="C157" s="164">
        <v>0.40806712962962965</v>
      </c>
      <c r="D157" s="159">
        <v>10</v>
      </c>
      <c r="E157" s="166" t="s">
        <v>284</v>
      </c>
    </row>
    <row r="158" spans="1:5">
      <c r="A158" s="159">
        <v>157</v>
      </c>
      <c r="B158" s="163">
        <v>45751</v>
      </c>
      <c r="C158" s="164">
        <v>0.40230324074074075</v>
      </c>
      <c r="D158" s="159">
        <v>10</v>
      </c>
      <c r="E158" s="166" t="s">
        <v>246</v>
      </c>
    </row>
    <row r="159" spans="1:5">
      <c r="A159" s="159">
        <v>158</v>
      </c>
      <c r="B159" s="163">
        <v>45751</v>
      </c>
      <c r="C159" s="164">
        <v>0.40137731481481481</v>
      </c>
      <c r="D159" s="159">
        <v>10</v>
      </c>
      <c r="E159" s="166" t="s">
        <v>285</v>
      </c>
    </row>
    <row r="160" spans="1:5">
      <c r="A160" s="159">
        <v>159</v>
      </c>
      <c r="B160" s="163">
        <v>45751</v>
      </c>
      <c r="C160" s="164">
        <v>0.39991898148148147</v>
      </c>
      <c r="D160" s="159">
        <v>10</v>
      </c>
      <c r="E160" s="166" t="s">
        <v>286</v>
      </c>
    </row>
    <row r="161" spans="1:5" ht="27">
      <c r="A161" s="159">
        <v>160</v>
      </c>
      <c r="B161" s="163">
        <v>45751</v>
      </c>
      <c r="C161" s="164">
        <v>0.39359953703703704</v>
      </c>
      <c r="D161" s="159">
        <v>10</v>
      </c>
      <c r="E161" s="166" t="s">
        <v>287</v>
      </c>
    </row>
    <row r="162" spans="1:5">
      <c r="A162" s="159">
        <v>161</v>
      </c>
      <c r="B162" s="163">
        <v>45751</v>
      </c>
      <c r="C162" s="164">
        <v>0.38590277777777776</v>
      </c>
      <c r="D162" s="159">
        <v>10</v>
      </c>
      <c r="E162" s="166" t="s">
        <v>244</v>
      </c>
    </row>
    <row r="163" spans="1:5">
      <c r="A163" s="159">
        <v>162</v>
      </c>
      <c r="B163" s="163">
        <v>45751</v>
      </c>
      <c r="C163" s="164">
        <v>0.38043981481481481</v>
      </c>
      <c r="D163" s="159">
        <v>10</v>
      </c>
      <c r="E163" s="166" t="s">
        <v>288</v>
      </c>
    </row>
    <row r="164" spans="1:5">
      <c r="A164" s="159">
        <v>163</v>
      </c>
      <c r="B164" s="163">
        <v>45751</v>
      </c>
      <c r="C164" s="164">
        <v>0.37834490740740739</v>
      </c>
      <c r="D164" s="159">
        <v>10</v>
      </c>
      <c r="E164" s="166" t="s">
        <v>289</v>
      </c>
    </row>
    <row r="165" spans="1:5">
      <c r="A165" s="159">
        <v>164</v>
      </c>
      <c r="B165" s="163">
        <v>45752</v>
      </c>
      <c r="C165" s="164">
        <v>0.72351851851851856</v>
      </c>
      <c r="D165" s="159">
        <v>10</v>
      </c>
      <c r="E165" s="166" t="s">
        <v>290</v>
      </c>
    </row>
    <row r="166" spans="1:5">
      <c r="A166" s="159">
        <v>165</v>
      </c>
      <c r="B166" s="163">
        <v>45752</v>
      </c>
      <c r="C166" s="164">
        <v>0.72328703703703701</v>
      </c>
      <c r="D166" s="159">
        <v>10</v>
      </c>
      <c r="E166" s="166" t="s">
        <v>291</v>
      </c>
    </row>
    <row r="167" spans="1:5">
      <c r="A167" s="159">
        <v>166</v>
      </c>
      <c r="B167" s="163">
        <v>45752</v>
      </c>
      <c r="C167" s="164">
        <v>0.70704861111111106</v>
      </c>
      <c r="D167" s="159">
        <v>10</v>
      </c>
      <c r="E167" s="166" t="s">
        <v>292</v>
      </c>
    </row>
    <row r="168" spans="1:5">
      <c r="A168" s="159">
        <v>167</v>
      </c>
      <c r="B168" s="163">
        <v>45752</v>
      </c>
      <c r="C168" s="164">
        <v>0.69273148148148145</v>
      </c>
      <c r="D168" s="159">
        <v>10</v>
      </c>
      <c r="E168" s="166" t="s">
        <v>148</v>
      </c>
    </row>
    <row r="169" spans="1:5">
      <c r="A169" s="159">
        <v>168</v>
      </c>
      <c r="B169" s="163">
        <v>45752</v>
      </c>
      <c r="C169" s="164">
        <v>0.68557870370370366</v>
      </c>
      <c r="D169" s="159">
        <v>10</v>
      </c>
      <c r="E169" s="166" t="s">
        <v>293</v>
      </c>
    </row>
    <row r="170" spans="1:5">
      <c r="A170" s="159">
        <v>169</v>
      </c>
      <c r="B170" s="163">
        <v>45752</v>
      </c>
      <c r="C170" s="164">
        <v>0.67945601851851856</v>
      </c>
      <c r="D170" s="159">
        <v>10</v>
      </c>
      <c r="E170" s="166" t="s">
        <v>294</v>
      </c>
    </row>
    <row r="171" spans="1:5">
      <c r="A171" s="159">
        <v>170</v>
      </c>
      <c r="B171" s="163">
        <v>45752</v>
      </c>
      <c r="C171" s="164">
        <v>0.63960648148148147</v>
      </c>
      <c r="D171" s="159">
        <v>10</v>
      </c>
      <c r="E171" s="166" t="s">
        <v>295</v>
      </c>
    </row>
    <row r="172" spans="1:5">
      <c r="A172" s="159">
        <v>171</v>
      </c>
      <c r="B172" s="163">
        <v>45752</v>
      </c>
      <c r="C172" s="164">
        <v>0.62105324074074075</v>
      </c>
      <c r="D172" s="159">
        <v>10</v>
      </c>
      <c r="E172" s="166" t="s">
        <v>296</v>
      </c>
    </row>
    <row r="173" spans="1:5">
      <c r="A173" s="159">
        <v>172</v>
      </c>
      <c r="B173" s="163">
        <v>45752</v>
      </c>
      <c r="C173" s="164">
        <v>0.61509259259259264</v>
      </c>
      <c r="D173" s="159">
        <v>10</v>
      </c>
      <c r="E173" s="166" t="s">
        <v>297</v>
      </c>
    </row>
    <row r="174" spans="1:5">
      <c r="A174" s="159">
        <v>173</v>
      </c>
      <c r="B174" s="163">
        <v>45752</v>
      </c>
      <c r="C174" s="164">
        <v>0.61062499999999997</v>
      </c>
      <c r="D174" s="159">
        <v>10</v>
      </c>
      <c r="E174" s="166" t="s">
        <v>298</v>
      </c>
    </row>
    <row r="175" spans="1:5">
      <c r="A175" s="159">
        <v>174</v>
      </c>
      <c r="B175" s="163">
        <v>45752</v>
      </c>
      <c r="C175" s="164">
        <v>0.5685069444444445</v>
      </c>
      <c r="D175" s="159">
        <v>10</v>
      </c>
      <c r="E175" s="166" t="s">
        <v>299</v>
      </c>
    </row>
    <row r="176" spans="1:5">
      <c r="A176" s="159">
        <v>175</v>
      </c>
      <c r="B176" s="163">
        <v>45752</v>
      </c>
      <c r="C176" s="164">
        <v>0.55145833333333338</v>
      </c>
      <c r="D176" s="159">
        <v>10</v>
      </c>
      <c r="E176" s="166" t="s">
        <v>300</v>
      </c>
    </row>
    <row r="177" spans="1:5">
      <c r="A177" s="159">
        <v>176</v>
      </c>
      <c r="B177" s="163">
        <v>45752</v>
      </c>
      <c r="C177" s="164">
        <v>0.45591435185185186</v>
      </c>
      <c r="D177" s="159">
        <v>10</v>
      </c>
      <c r="E177" s="166" t="s">
        <v>301</v>
      </c>
    </row>
    <row r="178" spans="1:5">
      <c r="A178" s="159">
        <v>177</v>
      </c>
      <c r="B178" s="163">
        <v>45754</v>
      </c>
      <c r="C178" s="164">
        <v>0.88716435185185183</v>
      </c>
      <c r="D178" s="159">
        <v>10</v>
      </c>
      <c r="E178" s="166" t="s">
        <v>302</v>
      </c>
    </row>
    <row r="179" spans="1:5">
      <c r="A179" s="159">
        <v>178</v>
      </c>
      <c r="B179" s="163">
        <v>45754</v>
      </c>
      <c r="C179" s="164">
        <v>0.8863657407407407</v>
      </c>
      <c r="D179" s="159">
        <v>1</v>
      </c>
      <c r="E179" s="166" t="s">
        <v>303</v>
      </c>
    </row>
    <row r="180" spans="1:5">
      <c r="A180" s="159">
        <v>179</v>
      </c>
      <c r="B180" s="163">
        <v>45754</v>
      </c>
      <c r="C180" s="164">
        <v>0.87782407407407403</v>
      </c>
      <c r="D180" s="159">
        <v>10</v>
      </c>
      <c r="E180" s="166" t="s">
        <v>304</v>
      </c>
    </row>
    <row r="181" spans="1:5">
      <c r="A181" s="159">
        <v>180</v>
      </c>
      <c r="B181" s="163">
        <v>45754</v>
      </c>
      <c r="C181" s="164">
        <v>0.85791666666666666</v>
      </c>
      <c r="D181" s="159">
        <v>10</v>
      </c>
      <c r="E181" s="166" t="s">
        <v>305</v>
      </c>
    </row>
    <row r="182" spans="1:5">
      <c r="A182" s="159">
        <v>181</v>
      </c>
      <c r="B182" s="163">
        <v>45754</v>
      </c>
      <c r="C182" s="164">
        <v>0.83616898148148144</v>
      </c>
      <c r="D182" s="159">
        <v>10</v>
      </c>
      <c r="E182" s="166" t="s">
        <v>306</v>
      </c>
    </row>
    <row r="183" spans="1:5">
      <c r="A183" s="159">
        <v>182</v>
      </c>
      <c r="B183" s="163">
        <v>45754</v>
      </c>
      <c r="C183" s="164">
        <v>0.82223379629629634</v>
      </c>
      <c r="D183" s="159">
        <v>10</v>
      </c>
      <c r="E183" s="166" t="s">
        <v>307</v>
      </c>
    </row>
    <row r="184" spans="1:5">
      <c r="A184" s="159">
        <v>183</v>
      </c>
      <c r="B184" s="163">
        <v>45754</v>
      </c>
      <c r="C184" s="164">
        <v>0.7902893518518519</v>
      </c>
      <c r="D184" s="159">
        <v>10</v>
      </c>
      <c r="E184" s="166" t="s">
        <v>308</v>
      </c>
    </row>
    <row r="185" spans="1:5" ht="27">
      <c r="A185" s="159">
        <v>184</v>
      </c>
      <c r="B185" s="163">
        <v>45754</v>
      </c>
      <c r="C185" s="164">
        <v>0.7847453703703704</v>
      </c>
      <c r="D185" s="159">
        <v>10</v>
      </c>
      <c r="E185" s="166" t="s">
        <v>309</v>
      </c>
    </row>
    <row r="186" spans="1:5">
      <c r="A186" s="159">
        <v>185</v>
      </c>
      <c r="B186" s="163">
        <v>45754</v>
      </c>
      <c r="C186" s="164">
        <v>0.77840277777777778</v>
      </c>
      <c r="D186" s="159">
        <v>10</v>
      </c>
      <c r="E186" s="166" t="s">
        <v>310</v>
      </c>
    </row>
    <row r="187" spans="1:5">
      <c r="A187" s="159">
        <v>186</v>
      </c>
      <c r="B187" s="163">
        <v>45754</v>
      </c>
      <c r="C187" s="164">
        <v>0.75094907407407407</v>
      </c>
      <c r="D187" s="159">
        <v>10</v>
      </c>
      <c r="E187" s="166" t="s">
        <v>311</v>
      </c>
    </row>
    <row r="188" spans="1:5">
      <c r="A188" s="159">
        <v>187</v>
      </c>
      <c r="B188" s="163">
        <v>45754</v>
      </c>
      <c r="C188" s="164">
        <v>0.74888888888888894</v>
      </c>
      <c r="D188" s="159">
        <v>10</v>
      </c>
      <c r="E188" s="166" t="s">
        <v>312</v>
      </c>
    </row>
    <row r="189" spans="1:5">
      <c r="A189" s="159">
        <v>188</v>
      </c>
      <c r="B189" s="163">
        <v>45754</v>
      </c>
      <c r="C189" s="164">
        <v>0.74790509259259264</v>
      </c>
      <c r="D189" s="159">
        <v>10</v>
      </c>
      <c r="E189" s="166" t="s">
        <v>313</v>
      </c>
    </row>
    <row r="190" spans="1:5">
      <c r="A190" s="159">
        <v>189</v>
      </c>
      <c r="B190" s="163">
        <v>45754</v>
      </c>
      <c r="C190" s="164">
        <v>0.74626157407407412</v>
      </c>
      <c r="D190" s="159">
        <v>10</v>
      </c>
      <c r="E190" s="166" t="s">
        <v>314</v>
      </c>
    </row>
    <row r="191" spans="1:5">
      <c r="A191" s="159">
        <v>190</v>
      </c>
      <c r="B191" s="163">
        <v>45754</v>
      </c>
      <c r="C191" s="164">
        <v>0.73972222222222217</v>
      </c>
      <c r="D191" s="159">
        <v>10</v>
      </c>
      <c r="E191" s="166" t="s">
        <v>315</v>
      </c>
    </row>
    <row r="192" spans="1:5">
      <c r="A192" s="159">
        <v>191</v>
      </c>
      <c r="B192" s="163">
        <v>45754</v>
      </c>
      <c r="C192" s="164">
        <v>0.72408564814814813</v>
      </c>
      <c r="D192" s="159">
        <v>10</v>
      </c>
      <c r="E192" s="166" t="s">
        <v>316</v>
      </c>
    </row>
    <row r="193" spans="1:5" ht="27">
      <c r="A193" s="159">
        <v>192</v>
      </c>
      <c r="B193" s="163">
        <v>45754</v>
      </c>
      <c r="C193" s="164">
        <v>0.72207175925925926</v>
      </c>
      <c r="D193" s="159">
        <v>10</v>
      </c>
      <c r="E193" s="166" t="s">
        <v>317</v>
      </c>
    </row>
    <row r="194" spans="1:5">
      <c r="A194" s="159">
        <v>193</v>
      </c>
      <c r="B194" s="163">
        <v>45754</v>
      </c>
      <c r="C194" s="164">
        <v>0.72192129629629631</v>
      </c>
      <c r="D194" s="159">
        <v>10</v>
      </c>
      <c r="E194" s="166" t="s">
        <v>318</v>
      </c>
    </row>
    <row r="195" spans="1:5">
      <c r="A195" s="159">
        <v>194</v>
      </c>
      <c r="B195" s="163">
        <v>45754</v>
      </c>
      <c r="C195" s="164">
        <v>0.72016203703703707</v>
      </c>
      <c r="D195" s="159">
        <v>10</v>
      </c>
      <c r="E195" s="166" t="s">
        <v>319</v>
      </c>
    </row>
    <row r="196" spans="1:5">
      <c r="A196" s="159">
        <v>195</v>
      </c>
      <c r="B196" s="163">
        <v>45754</v>
      </c>
      <c r="C196" s="164">
        <v>0.7185300925925926</v>
      </c>
      <c r="D196" s="159">
        <v>10</v>
      </c>
      <c r="E196" s="166" t="s">
        <v>320</v>
      </c>
    </row>
    <row r="197" spans="1:5">
      <c r="A197" s="159">
        <v>196</v>
      </c>
      <c r="B197" s="163">
        <v>45754</v>
      </c>
      <c r="C197" s="164">
        <v>0.70945601851851847</v>
      </c>
      <c r="D197" s="159">
        <v>10</v>
      </c>
      <c r="E197" s="166" t="s">
        <v>321</v>
      </c>
    </row>
    <row r="198" spans="1:5">
      <c r="A198" s="159">
        <v>197</v>
      </c>
      <c r="B198" s="163">
        <v>45754</v>
      </c>
      <c r="C198" s="164">
        <v>0.69103009259259263</v>
      </c>
      <c r="D198" s="159">
        <v>10</v>
      </c>
      <c r="E198" s="166" t="s">
        <v>322</v>
      </c>
    </row>
    <row r="199" spans="1:5">
      <c r="A199" s="159">
        <v>198</v>
      </c>
      <c r="B199" s="163">
        <v>45754</v>
      </c>
      <c r="C199" s="164">
        <v>0.6733217592592593</v>
      </c>
      <c r="D199" s="159">
        <v>9</v>
      </c>
      <c r="E199" s="166" t="s">
        <v>323</v>
      </c>
    </row>
    <row r="200" spans="1:5">
      <c r="A200" s="159">
        <v>199</v>
      </c>
      <c r="B200" s="163">
        <v>45754</v>
      </c>
      <c r="C200" s="164">
        <v>0.67016203703703703</v>
      </c>
      <c r="D200" s="159">
        <v>10</v>
      </c>
      <c r="E200" s="166" t="s">
        <v>324</v>
      </c>
    </row>
    <row r="201" spans="1:5">
      <c r="A201" s="159">
        <v>200</v>
      </c>
      <c r="B201" s="163">
        <v>45754</v>
      </c>
      <c r="C201" s="164">
        <v>0.64288194444444446</v>
      </c>
      <c r="D201" s="159">
        <v>10</v>
      </c>
      <c r="E201" s="166" t="s">
        <v>325</v>
      </c>
    </row>
    <row r="202" spans="1:5">
      <c r="A202" s="159">
        <v>201</v>
      </c>
      <c r="B202" s="163">
        <v>45754</v>
      </c>
      <c r="C202" s="164">
        <v>0.64170138888888884</v>
      </c>
      <c r="D202" s="159">
        <v>10</v>
      </c>
      <c r="E202" s="166" t="s">
        <v>313</v>
      </c>
    </row>
    <row r="203" spans="1:5">
      <c r="A203" s="159">
        <v>202</v>
      </c>
      <c r="B203" s="163">
        <v>45754</v>
      </c>
      <c r="C203" s="164">
        <v>0.63587962962962963</v>
      </c>
      <c r="D203" s="159">
        <v>10</v>
      </c>
      <c r="E203" s="166" t="s">
        <v>326</v>
      </c>
    </row>
    <row r="204" spans="1:5">
      <c r="A204" s="159">
        <v>203</v>
      </c>
      <c r="B204" s="163">
        <v>45754</v>
      </c>
      <c r="C204" s="164">
        <v>0.63293981481481476</v>
      </c>
      <c r="D204" s="159">
        <v>10</v>
      </c>
      <c r="E204" s="166" t="s">
        <v>327</v>
      </c>
    </row>
    <row r="205" spans="1:5">
      <c r="A205" s="159">
        <v>204</v>
      </c>
      <c r="B205" s="163">
        <v>45754</v>
      </c>
      <c r="C205" s="164">
        <v>0.62436342592592597</v>
      </c>
      <c r="D205" s="159">
        <v>10</v>
      </c>
      <c r="E205" s="166" t="s">
        <v>328</v>
      </c>
    </row>
    <row r="206" spans="1:5">
      <c r="A206" s="159">
        <v>205</v>
      </c>
      <c r="B206" s="163">
        <v>45754</v>
      </c>
      <c r="C206" s="164">
        <v>0.61427083333333332</v>
      </c>
      <c r="D206" s="159">
        <v>10</v>
      </c>
      <c r="E206" s="166" t="s">
        <v>329</v>
      </c>
    </row>
    <row r="207" spans="1:5">
      <c r="A207" s="159">
        <v>206</v>
      </c>
      <c r="B207" s="163">
        <v>45754</v>
      </c>
      <c r="C207" s="164">
        <v>0.60574074074074069</v>
      </c>
      <c r="D207" s="159">
        <v>10</v>
      </c>
      <c r="E207" s="166" t="s">
        <v>330</v>
      </c>
    </row>
    <row r="208" spans="1:5">
      <c r="A208" s="159">
        <v>207</v>
      </c>
      <c r="B208" s="163">
        <v>45754</v>
      </c>
      <c r="C208" s="164">
        <v>0.59747685185185184</v>
      </c>
      <c r="D208" s="159">
        <v>10</v>
      </c>
      <c r="E208" s="166" t="s">
        <v>331</v>
      </c>
    </row>
    <row r="209" spans="1:5">
      <c r="A209" s="159">
        <v>208</v>
      </c>
      <c r="B209" s="163">
        <v>45754</v>
      </c>
      <c r="C209" s="164">
        <v>0.59741898148148154</v>
      </c>
      <c r="D209" s="159">
        <v>10</v>
      </c>
      <c r="E209" s="166" t="s">
        <v>332</v>
      </c>
    </row>
    <row r="210" spans="1:5" ht="27">
      <c r="A210" s="159">
        <v>209</v>
      </c>
      <c r="B210" s="163">
        <v>45754</v>
      </c>
      <c r="C210" s="164">
        <v>0.59145833333333331</v>
      </c>
      <c r="D210" s="159">
        <v>10</v>
      </c>
      <c r="E210" s="166" t="s">
        <v>333</v>
      </c>
    </row>
    <row r="211" spans="1:5">
      <c r="A211" s="159">
        <v>210</v>
      </c>
      <c r="B211" s="163">
        <v>45754</v>
      </c>
      <c r="C211" s="164">
        <v>0.57851851851851854</v>
      </c>
      <c r="D211" s="159">
        <v>10</v>
      </c>
      <c r="E211" s="166" t="s">
        <v>334</v>
      </c>
    </row>
    <row r="212" spans="1:5">
      <c r="A212" s="159">
        <v>211</v>
      </c>
      <c r="B212" s="163">
        <v>45754</v>
      </c>
      <c r="C212" s="164">
        <v>0.56664351851851846</v>
      </c>
      <c r="D212" s="159">
        <v>10</v>
      </c>
      <c r="E212" s="166" t="s">
        <v>335</v>
      </c>
    </row>
    <row r="213" spans="1:5">
      <c r="A213" s="159">
        <v>212</v>
      </c>
      <c r="B213" s="163">
        <v>45754</v>
      </c>
      <c r="C213" s="164">
        <v>0.5581828703703704</v>
      </c>
      <c r="D213" s="159">
        <v>10</v>
      </c>
      <c r="E213" s="166" t="s">
        <v>336</v>
      </c>
    </row>
    <row r="214" spans="1:5">
      <c r="A214" s="159">
        <v>213</v>
      </c>
      <c r="B214" s="163">
        <v>45754</v>
      </c>
      <c r="C214" s="164">
        <v>0.55385416666666665</v>
      </c>
      <c r="D214" s="159">
        <v>10</v>
      </c>
      <c r="E214" s="166" t="s">
        <v>337</v>
      </c>
    </row>
    <row r="215" spans="1:5">
      <c r="A215" s="159">
        <v>214</v>
      </c>
      <c r="B215" s="163">
        <v>45754</v>
      </c>
      <c r="C215" s="164">
        <v>0.49542824074074077</v>
      </c>
      <c r="D215" s="159">
        <v>10</v>
      </c>
      <c r="E215" s="166" t="s">
        <v>338</v>
      </c>
    </row>
    <row r="216" spans="1:5">
      <c r="A216" s="159">
        <v>215</v>
      </c>
      <c r="B216" s="163">
        <v>45754</v>
      </c>
      <c r="C216" s="164">
        <v>0.49307870370370371</v>
      </c>
      <c r="D216" s="159">
        <v>10</v>
      </c>
      <c r="E216" s="166" t="s">
        <v>339</v>
      </c>
    </row>
    <row r="217" spans="1:5">
      <c r="A217" s="159">
        <v>216</v>
      </c>
      <c r="B217" s="163">
        <v>45754</v>
      </c>
      <c r="C217" s="164">
        <v>0.48541666666666666</v>
      </c>
      <c r="D217" s="159">
        <v>10</v>
      </c>
      <c r="E217" s="166" t="s">
        <v>340</v>
      </c>
    </row>
    <row r="218" spans="1:5">
      <c r="A218" s="159">
        <v>217</v>
      </c>
      <c r="B218" s="163">
        <v>45754</v>
      </c>
      <c r="C218" s="164">
        <v>0.44018518518518518</v>
      </c>
      <c r="D218" s="159">
        <v>10</v>
      </c>
      <c r="E218" s="166" t="s">
        <v>341</v>
      </c>
    </row>
    <row r="219" spans="1:5">
      <c r="A219" s="159">
        <v>218</v>
      </c>
      <c r="B219" s="163">
        <v>45754</v>
      </c>
      <c r="C219" s="164">
        <v>0.43353009259259262</v>
      </c>
      <c r="D219" s="159">
        <v>10</v>
      </c>
      <c r="E219" s="166" t="s">
        <v>342</v>
      </c>
    </row>
    <row r="220" spans="1:5">
      <c r="A220" s="159">
        <v>219</v>
      </c>
      <c r="B220" s="163">
        <v>45754</v>
      </c>
      <c r="C220" s="164">
        <v>0.43135416666666665</v>
      </c>
      <c r="D220" s="159">
        <v>10</v>
      </c>
      <c r="E220" s="166" t="s">
        <v>343</v>
      </c>
    </row>
    <row r="221" spans="1:5">
      <c r="A221" s="159">
        <v>220</v>
      </c>
      <c r="B221" s="163">
        <v>45754</v>
      </c>
      <c r="C221" s="164">
        <v>0.42866898148148147</v>
      </c>
      <c r="D221" s="159">
        <v>10</v>
      </c>
      <c r="E221" s="166" t="s">
        <v>344</v>
      </c>
    </row>
    <row r="222" spans="1:5">
      <c r="A222" s="159">
        <v>221</v>
      </c>
      <c r="B222" s="163">
        <v>45754</v>
      </c>
      <c r="C222" s="164">
        <v>0.41980324074074077</v>
      </c>
      <c r="D222" s="159">
        <v>10</v>
      </c>
      <c r="E222" s="166" t="s">
        <v>345</v>
      </c>
    </row>
    <row r="223" spans="1:5">
      <c r="A223" s="159">
        <v>222</v>
      </c>
      <c r="B223" s="163">
        <v>45754</v>
      </c>
      <c r="C223" s="164">
        <v>0.41028935185185184</v>
      </c>
      <c r="D223" s="159">
        <v>9</v>
      </c>
      <c r="E223" s="166" t="s">
        <v>346</v>
      </c>
    </row>
    <row r="224" spans="1:5">
      <c r="A224" s="159">
        <v>223</v>
      </c>
      <c r="B224" s="163">
        <v>45754</v>
      </c>
      <c r="C224" s="164">
        <v>0.40214120370370371</v>
      </c>
      <c r="D224" s="159">
        <v>10</v>
      </c>
      <c r="E224" s="166" t="s">
        <v>347</v>
      </c>
    </row>
    <row r="225" spans="1:5">
      <c r="A225" s="159">
        <v>224</v>
      </c>
      <c r="B225" s="163">
        <v>45754</v>
      </c>
      <c r="C225" s="164">
        <v>0.40144675925925927</v>
      </c>
      <c r="D225" s="159">
        <v>10</v>
      </c>
      <c r="E225" s="166" t="s">
        <v>348</v>
      </c>
    </row>
    <row r="226" spans="1:5">
      <c r="A226" s="159">
        <v>225</v>
      </c>
      <c r="B226" s="163">
        <v>45754</v>
      </c>
      <c r="C226" s="164">
        <v>0.395625</v>
      </c>
      <c r="D226" s="159">
        <v>10</v>
      </c>
      <c r="E226" s="166" t="s">
        <v>349</v>
      </c>
    </row>
    <row r="227" spans="1:5">
      <c r="A227" s="159">
        <v>226</v>
      </c>
      <c r="B227" s="163">
        <v>45754</v>
      </c>
      <c r="C227" s="164">
        <v>0.39532407407407405</v>
      </c>
      <c r="D227" s="159">
        <v>10</v>
      </c>
      <c r="E227" s="166" t="s">
        <v>350</v>
      </c>
    </row>
    <row r="228" spans="1:5">
      <c r="A228" s="159">
        <v>227</v>
      </c>
      <c r="B228" s="163">
        <v>45754</v>
      </c>
      <c r="C228" s="164">
        <v>0.3812962962962963</v>
      </c>
      <c r="D228" s="159">
        <v>10</v>
      </c>
      <c r="E228" s="166" t="s">
        <v>351</v>
      </c>
    </row>
    <row r="229" spans="1:5">
      <c r="A229" s="159">
        <v>228</v>
      </c>
      <c r="B229" s="163">
        <v>45754</v>
      </c>
      <c r="C229" s="164">
        <v>0.38072916666666667</v>
      </c>
      <c r="D229" s="159">
        <v>10</v>
      </c>
      <c r="E229" s="166" t="s">
        <v>352</v>
      </c>
    </row>
    <row r="230" spans="1:5">
      <c r="A230" s="159">
        <v>229</v>
      </c>
      <c r="B230" s="163">
        <v>45755</v>
      </c>
      <c r="C230" s="164">
        <v>0.75091435185185185</v>
      </c>
      <c r="D230" s="159">
        <v>10</v>
      </c>
      <c r="E230" s="166" t="s">
        <v>353</v>
      </c>
    </row>
    <row r="231" spans="1:5">
      <c r="A231" s="159">
        <v>230</v>
      </c>
      <c r="B231" s="163">
        <v>45755</v>
      </c>
      <c r="C231" s="164">
        <v>0.74087962962962961</v>
      </c>
      <c r="D231" s="159">
        <v>10</v>
      </c>
      <c r="E231" s="166" t="s">
        <v>354</v>
      </c>
    </row>
    <row r="232" spans="1:5">
      <c r="A232" s="159">
        <v>231</v>
      </c>
      <c r="B232" s="163">
        <v>45755</v>
      </c>
      <c r="C232" s="164">
        <v>0.73982638888888885</v>
      </c>
      <c r="D232" s="159">
        <v>10</v>
      </c>
      <c r="E232" s="166" t="s">
        <v>355</v>
      </c>
    </row>
    <row r="233" spans="1:5">
      <c r="A233" s="159">
        <v>232</v>
      </c>
      <c r="B233" s="163">
        <v>45755</v>
      </c>
      <c r="C233" s="164">
        <v>0.73503472222222221</v>
      </c>
      <c r="D233" s="159">
        <v>10</v>
      </c>
      <c r="E233" s="166" t="s">
        <v>356</v>
      </c>
    </row>
    <row r="234" spans="1:5">
      <c r="A234" s="159">
        <v>233</v>
      </c>
      <c r="B234" s="163">
        <v>45755</v>
      </c>
      <c r="C234" s="164">
        <v>0.73228009259259264</v>
      </c>
      <c r="D234" s="159">
        <v>10</v>
      </c>
      <c r="E234" s="166" t="s">
        <v>357</v>
      </c>
    </row>
    <row r="235" spans="1:5">
      <c r="A235" s="159">
        <v>234</v>
      </c>
      <c r="B235" s="163">
        <v>45755</v>
      </c>
      <c r="C235" s="164">
        <v>0.71815972222222224</v>
      </c>
      <c r="D235" s="159">
        <v>10</v>
      </c>
      <c r="E235" s="166" t="s">
        <v>358</v>
      </c>
    </row>
    <row r="236" spans="1:5">
      <c r="A236" s="159">
        <v>235</v>
      </c>
      <c r="B236" s="163">
        <v>45755</v>
      </c>
      <c r="C236" s="164">
        <v>0.70693287037037034</v>
      </c>
      <c r="D236" s="159">
        <v>10</v>
      </c>
      <c r="E236" s="166" t="s">
        <v>359</v>
      </c>
    </row>
    <row r="237" spans="1:5">
      <c r="A237" s="159">
        <v>236</v>
      </c>
      <c r="B237" s="163">
        <v>45755</v>
      </c>
      <c r="C237" s="164">
        <v>0.69820601851851849</v>
      </c>
      <c r="D237" s="159">
        <v>10</v>
      </c>
      <c r="E237" s="166" t="s">
        <v>360</v>
      </c>
    </row>
    <row r="238" spans="1:5">
      <c r="A238" s="159">
        <v>237</v>
      </c>
      <c r="B238" s="163">
        <v>45755</v>
      </c>
      <c r="C238" s="164">
        <v>0.6933449074074074</v>
      </c>
      <c r="D238" s="159">
        <v>10</v>
      </c>
      <c r="E238" s="166" t="s">
        <v>361</v>
      </c>
    </row>
    <row r="239" spans="1:5">
      <c r="A239" s="159">
        <v>238</v>
      </c>
      <c r="B239" s="163">
        <v>45755</v>
      </c>
      <c r="C239" s="164">
        <v>0.69238425925925928</v>
      </c>
      <c r="D239" s="159">
        <v>10</v>
      </c>
      <c r="E239" s="166" t="s">
        <v>362</v>
      </c>
    </row>
    <row r="240" spans="1:5">
      <c r="A240" s="159">
        <v>239</v>
      </c>
      <c r="B240" s="163">
        <v>45755</v>
      </c>
      <c r="C240" s="164">
        <v>0.68686342592592597</v>
      </c>
      <c r="D240" s="159">
        <v>10</v>
      </c>
      <c r="E240" s="166" t="s">
        <v>132</v>
      </c>
    </row>
    <row r="241" spans="1:5">
      <c r="A241" s="159">
        <v>240</v>
      </c>
      <c r="B241" s="163">
        <v>45755</v>
      </c>
      <c r="C241" s="164">
        <v>0.68650462962962966</v>
      </c>
      <c r="D241" s="159">
        <v>10</v>
      </c>
      <c r="E241" s="166" t="s">
        <v>363</v>
      </c>
    </row>
    <row r="242" spans="1:5">
      <c r="A242" s="159">
        <v>241</v>
      </c>
      <c r="B242" s="163">
        <v>45755</v>
      </c>
      <c r="C242" s="164">
        <v>0.68391203703703707</v>
      </c>
      <c r="D242" s="159">
        <v>10</v>
      </c>
      <c r="E242" s="166" t="s">
        <v>364</v>
      </c>
    </row>
    <row r="243" spans="1:5">
      <c r="A243" s="159">
        <v>242</v>
      </c>
      <c r="B243" s="163">
        <v>45755</v>
      </c>
      <c r="C243" s="164">
        <v>0.68228009259259259</v>
      </c>
      <c r="D243" s="159">
        <v>10</v>
      </c>
      <c r="E243" s="166" t="s">
        <v>365</v>
      </c>
    </row>
    <row r="244" spans="1:5">
      <c r="A244" s="159">
        <v>243</v>
      </c>
      <c r="B244" s="163">
        <v>45755</v>
      </c>
      <c r="C244" s="164">
        <v>0.68135416666666671</v>
      </c>
      <c r="D244" s="159">
        <v>10</v>
      </c>
      <c r="E244" s="166" t="s">
        <v>366</v>
      </c>
    </row>
    <row r="245" spans="1:5">
      <c r="A245" s="159">
        <v>244</v>
      </c>
      <c r="B245" s="163">
        <v>45755</v>
      </c>
      <c r="C245" s="164">
        <v>0.67864583333333328</v>
      </c>
      <c r="D245" s="159">
        <v>10</v>
      </c>
      <c r="E245" s="166" t="s">
        <v>244</v>
      </c>
    </row>
    <row r="246" spans="1:5">
      <c r="A246" s="159">
        <v>245</v>
      </c>
      <c r="B246" s="163">
        <v>45755</v>
      </c>
      <c r="C246" s="164">
        <v>0.66763888888888889</v>
      </c>
      <c r="D246" s="159">
        <v>10</v>
      </c>
      <c r="E246" s="166" t="s">
        <v>367</v>
      </c>
    </row>
    <row r="247" spans="1:5">
      <c r="A247" s="159">
        <v>246</v>
      </c>
      <c r="B247" s="163">
        <v>45755</v>
      </c>
      <c r="C247" s="164">
        <v>0.66071759259259255</v>
      </c>
      <c r="D247" s="159">
        <v>10</v>
      </c>
      <c r="E247" s="166" t="s">
        <v>368</v>
      </c>
    </row>
    <row r="248" spans="1:5">
      <c r="A248" s="159">
        <v>247</v>
      </c>
      <c r="B248" s="163">
        <v>45755</v>
      </c>
      <c r="C248" s="164">
        <v>0.63800925925925922</v>
      </c>
      <c r="D248" s="159">
        <v>10</v>
      </c>
      <c r="E248" s="166" t="s">
        <v>369</v>
      </c>
    </row>
    <row r="249" spans="1:5">
      <c r="A249" s="159">
        <v>248</v>
      </c>
      <c r="B249" s="163">
        <v>45755</v>
      </c>
      <c r="C249" s="164">
        <v>0.63732638888888893</v>
      </c>
      <c r="D249" s="159">
        <v>10</v>
      </c>
      <c r="E249" s="166" t="s">
        <v>370</v>
      </c>
    </row>
    <row r="250" spans="1:5">
      <c r="A250" s="159">
        <v>249</v>
      </c>
      <c r="B250" s="163">
        <v>45755</v>
      </c>
      <c r="C250" s="164">
        <v>0.62329861111111107</v>
      </c>
      <c r="D250" s="159">
        <v>10</v>
      </c>
      <c r="E250" s="166" t="s">
        <v>371</v>
      </c>
    </row>
    <row r="251" spans="1:5">
      <c r="A251" s="159">
        <v>250</v>
      </c>
      <c r="B251" s="163">
        <v>45755</v>
      </c>
      <c r="C251" s="164">
        <v>0.62004629629629626</v>
      </c>
      <c r="D251" s="159">
        <v>10</v>
      </c>
      <c r="E251" s="166" t="s">
        <v>372</v>
      </c>
    </row>
    <row r="252" spans="1:5">
      <c r="A252" s="159">
        <v>251</v>
      </c>
      <c r="B252" s="163">
        <v>45755</v>
      </c>
      <c r="C252" s="164">
        <v>0.61724537037037042</v>
      </c>
      <c r="D252" s="159">
        <v>10</v>
      </c>
      <c r="E252" s="166" t="s">
        <v>373</v>
      </c>
    </row>
    <row r="253" spans="1:5">
      <c r="A253" s="159">
        <v>252</v>
      </c>
      <c r="B253" s="163">
        <v>45755</v>
      </c>
      <c r="C253" s="164">
        <v>0.59950231481481486</v>
      </c>
      <c r="D253" s="159">
        <v>10</v>
      </c>
      <c r="E253" s="166" t="s">
        <v>374</v>
      </c>
    </row>
    <row r="254" spans="1:5">
      <c r="A254" s="159">
        <v>253</v>
      </c>
      <c r="B254" s="163">
        <v>45755</v>
      </c>
      <c r="C254" s="164">
        <v>0.59890046296296295</v>
      </c>
      <c r="D254" s="159">
        <v>10</v>
      </c>
      <c r="E254" s="166" t="s">
        <v>375</v>
      </c>
    </row>
    <row r="255" spans="1:5">
      <c r="A255" s="159">
        <v>254</v>
      </c>
      <c r="B255" s="163">
        <v>45755</v>
      </c>
      <c r="C255" s="164">
        <v>0.58368055555555554</v>
      </c>
      <c r="D255" s="159">
        <v>10</v>
      </c>
      <c r="E255" s="166" t="s">
        <v>376</v>
      </c>
    </row>
    <row r="256" spans="1:5">
      <c r="A256" s="159">
        <v>255</v>
      </c>
      <c r="B256" s="163">
        <v>45755</v>
      </c>
      <c r="C256" s="164">
        <v>0.5834259259259259</v>
      </c>
      <c r="D256" s="159">
        <v>10</v>
      </c>
      <c r="E256" s="166" t="s">
        <v>377</v>
      </c>
    </row>
    <row r="257" spans="1:5">
      <c r="A257" s="159">
        <v>256</v>
      </c>
      <c r="B257" s="163">
        <v>45755</v>
      </c>
      <c r="C257" s="164">
        <v>0.5773611111111111</v>
      </c>
      <c r="D257" s="159">
        <v>10</v>
      </c>
      <c r="E257" s="166" t="s">
        <v>378</v>
      </c>
    </row>
    <row r="258" spans="1:5">
      <c r="A258" s="159">
        <v>257</v>
      </c>
      <c r="B258" s="163">
        <v>45755</v>
      </c>
      <c r="C258" s="164">
        <v>0.57148148148148148</v>
      </c>
      <c r="D258" s="159">
        <v>10</v>
      </c>
      <c r="E258" s="166" t="s">
        <v>379</v>
      </c>
    </row>
    <row r="259" spans="1:5">
      <c r="A259" s="159">
        <v>258</v>
      </c>
      <c r="B259" s="163">
        <v>45755</v>
      </c>
      <c r="C259" s="164">
        <v>0.56807870370370372</v>
      </c>
      <c r="D259" s="159">
        <v>10</v>
      </c>
      <c r="E259" s="166" t="s">
        <v>380</v>
      </c>
    </row>
    <row r="260" spans="1:5">
      <c r="A260" s="159">
        <v>259</v>
      </c>
      <c r="B260" s="163">
        <v>45755</v>
      </c>
      <c r="C260" s="164">
        <v>0.56303240740740745</v>
      </c>
      <c r="D260" s="159">
        <v>10</v>
      </c>
      <c r="E260" s="166" t="s">
        <v>246</v>
      </c>
    </row>
    <row r="261" spans="1:5">
      <c r="A261" s="159">
        <v>260</v>
      </c>
      <c r="B261" s="163">
        <v>45755</v>
      </c>
      <c r="C261" s="164">
        <v>0.54844907407407406</v>
      </c>
      <c r="D261" s="159">
        <v>10</v>
      </c>
      <c r="E261" s="166" t="s">
        <v>381</v>
      </c>
    </row>
    <row r="262" spans="1:5">
      <c r="A262" s="159">
        <v>261</v>
      </c>
      <c r="B262" s="163">
        <v>45755</v>
      </c>
      <c r="C262" s="164">
        <v>0.54481481481481486</v>
      </c>
      <c r="D262" s="159">
        <v>10</v>
      </c>
      <c r="E262" s="166" t="s">
        <v>382</v>
      </c>
    </row>
    <row r="263" spans="1:5" ht="40.5">
      <c r="A263" s="159">
        <v>262</v>
      </c>
      <c r="B263" s="163">
        <v>45755</v>
      </c>
      <c r="C263" s="164">
        <v>0.49413194444444447</v>
      </c>
      <c r="D263" s="159">
        <v>10</v>
      </c>
      <c r="E263" s="166" t="s">
        <v>383</v>
      </c>
    </row>
    <row r="264" spans="1:5">
      <c r="A264" s="159">
        <v>263</v>
      </c>
      <c r="B264" s="163">
        <v>45755</v>
      </c>
      <c r="C264" s="164">
        <v>0.48472222222222222</v>
      </c>
      <c r="D264" s="159">
        <v>10</v>
      </c>
      <c r="E264" s="166" t="s">
        <v>384</v>
      </c>
    </row>
    <row r="265" spans="1:5">
      <c r="A265" s="159">
        <v>264</v>
      </c>
      <c r="B265" s="163">
        <v>45755</v>
      </c>
      <c r="C265" s="164">
        <v>0.47278935185185184</v>
      </c>
      <c r="D265" s="159">
        <v>10</v>
      </c>
      <c r="E265" s="166" t="s">
        <v>385</v>
      </c>
    </row>
    <row r="266" spans="1:5">
      <c r="A266" s="159">
        <v>265</v>
      </c>
      <c r="B266" s="163">
        <v>45755</v>
      </c>
      <c r="C266" s="164">
        <v>0.46187499999999998</v>
      </c>
      <c r="D266" s="159">
        <v>10</v>
      </c>
      <c r="E266" s="166" t="s">
        <v>386</v>
      </c>
    </row>
    <row r="267" spans="1:5">
      <c r="A267" s="159">
        <v>266</v>
      </c>
      <c r="B267" s="163">
        <v>45755</v>
      </c>
      <c r="C267" s="164">
        <v>0.43582175925925926</v>
      </c>
      <c r="D267" s="159">
        <v>9</v>
      </c>
      <c r="E267" s="166" t="s">
        <v>387</v>
      </c>
    </row>
    <row r="268" spans="1:5">
      <c r="A268" s="159">
        <v>267</v>
      </c>
      <c r="B268" s="163">
        <v>45755</v>
      </c>
      <c r="C268" s="164">
        <v>0.43550925925925926</v>
      </c>
      <c r="D268" s="159">
        <v>10</v>
      </c>
      <c r="E268" s="166" t="s">
        <v>388</v>
      </c>
    </row>
    <row r="269" spans="1:5">
      <c r="A269" s="159">
        <v>268</v>
      </c>
      <c r="B269" s="163">
        <v>45755</v>
      </c>
      <c r="C269" s="164">
        <v>0.41394675925925928</v>
      </c>
      <c r="D269" s="159">
        <v>10</v>
      </c>
      <c r="E269" s="166" t="s">
        <v>389</v>
      </c>
    </row>
    <row r="270" spans="1:5">
      <c r="A270" s="159">
        <v>269</v>
      </c>
      <c r="B270" s="163">
        <v>45755</v>
      </c>
      <c r="C270" s="164">
        <v>0.40278935185185183</v>
      </c>
      <c r="D270" s="159">
        <v>10</v>
      </c>
      <c r="E270" s="166" t="s">
        <v>390</v>
      </c>
    </row>
    <row r="271" spans="1:5">
      <c r="A271" s="159">
        <v>270</v>
      </c>
      <c r="B271" s="163">
        <v>45755</v>
      </c>
      <c r="C271" s="164">
        <v>0.38648148148148148</v>
      </c>
      <c r="D271" s="159">
        <v>10</v>
      </c>
      <c r="E271" s="166" t="s">
        <v>391</v>
      </c>
    </row>
    <row r="272" spans="1:5">
      <c r="A272" s="159">
        <v>271</v>
      </c>
      <c r="B272" s="163">
        <v>45756</v>
      </c>
      <c r="C272" s="164">
        <v>0.85621527777777773</v>
      </c>
      <c r="D272" s="159">
        <v>10</v>
      </c>
      <c r="E272" s="166" t="s">
        <v>392</v>
      </c>
    </row>
    <row r="273" spans="1:5">
      <c r="A273" s="159">
        <v>272</v>
      </c>
      <c r="B273" s="163">
        <v>45756</v>
      </c>
      <c r="C273" s="164">
        <v>0.84515046296296292</v>
      </c>
      <c r="D273" s="159">
        <v>10</v>
      </c>
      <c r="E273" s="166" t="s">
        <v>393</v>
      </c>
    </row>
    <row r="274" spans="1:5">
      <c r="A274" s="159">
        <v>273</v>
      </c>
      <c r="B274" s="163">
        <v>45756</v>
      </c>
      <c r="C274" s="164">
        <v>0.80714120370370368</v>
      </c>
      <c r="D274" s="159">
        <v>10</v>
      </c>
      <c r="E274" s="166" t="s">
        <v>394</v>
      </c>
    </row>
    <row r="275" spans="1:5">
      <c r="A275" s="159">
        <v>274</v>
      </c>
      <c r="B275" s="163">
        <v>45756</v>
      </c>
      <c r="C275" s="164">
        <v>0.80098379629629635</v>
      </c>
      <c r="D275" s="159">
        <v>10</v>
      </c>
      <c r="E275" s="166" t="s">
        <v>395</v>
      </c>
    </row>
    <row r="276" spans="1:5">
      <c r="A276" s="159">
        <v>275</v>
      </c>
      <c r="B276" s="163">
        <v>45756</v>
      </c>
      <c r="C276" s="164">
        <v>0.80005787037037035</v>
      </c>
      <c r="D276" s="159">
        <v>10</v>
      </c>
      <c r="E276" s="166" t="s">
        <v>244</v>
      </c>
    </row>
    <row r="277" spans="1:5">
      <c r="A277" s="159">
        <v>276</v>
      </c>
      <c r="B277" s="163">
        <v>45756</v>
      </c>
      <c r="C277" s="164">
        <v>0.74787037037037041</v>
      </c>
      <c r="D277" s="159">
        <v>10</v>
      </c>
      <c r="E277" s="166" t="s">
        <v>132</v>
      </c>
    </row>
    <row r="278" spans="1:5">
      <c r="A278" s="159">
        <v>277</v>
      </c>
      <c r="B278" s="163">
        <v>45756</v>
      </c>
      <c r="C278" s="164">
        <v>0.74494212962962958</v>
      </c>
      <c r="D278" s="159">
        <v>10</v>
      </c>
      <c r="E278" s="166" t="s">
        <v>396</v>
      </c>
    </row>
    <row r="279" spans="1:5">
      <c r="A279" s="159">
        <v>278</v>
      </c>
      <c r="B279" s="163">
        <v>45756</v>
      </c>
      <c r="C279" s="164">
        <v>0.74409722222222219</v>
      </c>
      <c r="D279" s="159">
        <v>10</v>
      </c>
      <c r="E279" s="166" t="s">
        <v>397</v>
      </c>
    </row>
    <row r="280" spans="1:5">
      <c r="A280" s="159">
        <v>279</v>
      </c>
      <c r="B280" s="163">
        <v>45756</v>
      </c>
      <c r="C280" s="164">
        <v>0.73714120370370373</v>
      </c>
      <c r="D280" s="159">
        <v>10</v>
      </c>
      <c r="E280" s="166" t="s">
        <v>132</v>
      </c>
    </row>
    <row r="281" spans="1:5">
      <c r="A281" s="159">
        <v>280</v>
      </c>
      <c r="B281" s="163">
        <v>45756</v>
      </c>
      <c r="C281" s="164">
        <v>0.72140046296296301</v>
      </c>
      <c r="D281" s="159">
        <v>10</v>
      </c>
      <c r="E281" s="166" t="s">
        <v>398</v>
      </c>
    </row>
    <row r="282" spans="1:5">
      <c r="A282" s="159">
        <v>281</v>
      </c>
      <c r="B282" s="163">
        <v>45756</v>
      </c>
      <c r="C282" s="164">
        <v>0.72090277777777778</v>
      </c>
      <c r="D282" s="159">
        <v>10</v>
      </c>
      <c r="E282" s="166" t="s">
        <v>399</v>
      </c>
    </row>
    <row r="283" spans="1:5">
      <c r="A283" s="159">
        <v>282</v>
      </c>
      <c r="B283" s="163">
        <v>45756</v>
      </c>
      <c r="C283" s="164">
        <v>0.70673611111111112</v>
      </c>
      <c r="D283" s="159">
        <v>10</v>
      </c>
      <c r="E283" s="166" t="s">
        <v>400</v>
      </c>
    </row>
    <row r="284" spans="1:5" ht="27">
      <c r="A284" s="159">
        <v>283</v>
      </c>
      <c r="B284" s="163">
        <v>45756</v>
      </c>
      <c r="C284" s="164">
        <v>0.70656249999999998</v>
      </c>
      <c r="D284" s="159">
        <v>10</v>
      </c>
      <c r="E284" s="166" t="s">
        <v>401</v>
      </c>
    </row>
    <row r="285" spans="1:5">
      <c r="A285" s="159">
        <v>284</v>
      </c>
      <c r="B285" s="163">
        <v>45756</v>
      </c>
      <c r="C285" s="164">
        <v>0.70142361111111107</v>
      </c>
      <c r="D285" s="159">
        <v>10</v>
      </c>
      <c r="E285" s="166" t="s">
        <v>402</v>
      </c>
    </row>
    <row r="286" spans="1:5">
      <c r="A286" s="159">
        <v>285</v>
      </c>
      <c r="B286" s="163">
        <v>45756</v>
      </c>
      <c r="C286" s="164">
        <v>0.68501157407407409</v>
      </c>
      <c r="D286" s="159">
        <v>10</v>
      </c>
      <c r="E286" s="166" t="s">
        <v>403</v>
      </c>
    </row>
    <row r="287" spans="1:5">
      <c r="A287" s="159">
        <v>286</v>
      </c>
      <c r="B287" s="163">
        <v>45756</v>
      </c>
      <c r="C287" s="164">
        <v>0.65815972222222219</v>
      </c>
      <c r="D287" s="159">
        <v>10</v>
      </c>
      <c r="E287" s="166" t="s">
        <v>404</v>
      </c>
    </row>
    <row r="288" spans="1:5">
      <c r="A288" s="159">
        <v>287</v>
      </c>
      <c r="B288" s="163">
        <v>45756</v>
      </c>
      <c r="C288" s="164">
        <v>0.62712962962962959</v>
      </c>
      <c r="D288" s="159">
        <v>10</v>
      </c>
      <c r="E288" s="166" t="s">
        <v>405</v>
      </c>
    </row>
    <row r="289" spans="1:5">
      <c r="A289" s="159">
        <v>288</v>
      </c>
      <c r="B289" s="163">
        <v>45756</v>
      </c>
      <c r="C289" s="164">
        <v>0.6149768518518518</v>
      </c>
      <c r="D289" s="159">
        <v>10</v>
      </c>
      <c r="E289" s="166" t="s">
        <v>406</v>
      </c>
    </row>
    <row r="290" spans="1:5">
      <c r="A290" s="159">
        <v>289</v>
      </c>
      <c r="B290" s="163">
        <v>45756</v>
      </c>
      <c r="C290" s="164">
        <v>0.61450231481481477</v>
      </c>
      <c r="D290" s="159">
        <v>10</v>
      </c>
      <c r="E290" s="166" t="s">
        <v>407</v>
      </c>
    </row>
    <row r="291" spans="1:5">
      <c r="A291" s="159">
        <v>290</v>
      </c>
      <c r="B291" s="163">
        <v>45756</v>
      </c>
      <c r="C291" s="164">
        <v>0.59523148148148153</v>
      </c>
      <c r="D291" s="159">
        <v>10</v>
      </c>
      <c r="E291" s="166" t="s">
        <v>408</v>
      </c>
    </row>
    <row r="292" spans="1:5">
      <c r="A292" s="159">
        <v>291</v>
      </c>
      <c r="B292" s="163">
        <v>45756</v>
      </c>
      <c r="C292" s="164">
        <v>0.56125000000000003</v>
      </c>
      <c r="D292" s="159">
        <v>10</v>
      </c>
      <c r="E292" s="166" t="s">
        <v>409</v>
      </c>
    </row>
    <row r="293" spans="1:5">
      <c r="A293" s="159">
        <v>292</v>
      </c>
      <c r="B293" s="163">
        <v>45756</v>
      </c>
      <c r="C293" s="164">
        <v>0.56071759259259257</v>
      </c>
      <c r="D293" s="159">
        <v>10</v>
      </c>
      <c r="E293" s="166" t="s">
        <v>410</v>
      </c>
    </row>
    <row r="294" spans="1:5">
      <c r="A294" s="159">
        <v>293</v>
      </c>
      <c r="B294" s="163">
        <v>45756</v>
      </c>
      <c r="C294" s="164">
        <v>0.55807870370370372</v>
      </c>
      <c r="D294" s="159">
        <v>10</v>
      </c>
      <c r="E294" s="166" t="s">
        <v>132</v>
      </c>
    </row>
    <row r="295" spans="1:5">
      <c r="A295" s="159">
        <v>294</v>
      </c>
      <c r="B295" s="163">
        <v>45756</v>
      </c>
      <c r="C295" s="164">
        <v>0.55126157407407406</v>
      </c>
      <c r="D295" s="159">
        <v>10</v>
      </c>
      <c r="E295" s="166" t="s">
        <v>411</v>
      </c>
    </row>
    <row r="296" spans="1:5">
      <c r="A296" s="159">
        <v>295</v>
      </c>
      <c r="B296" s="163">
        <v>45756</v>
      </c>
      <c r="C296" s="164">
        <v>0.54015046296296299</v>
      </c>
      <c r="D296" s="159">
        <v>10</v>
      </c>
      <c r="E296" s="166" t="s">
        <v>412</v>
      </c>
    </row>
    <row r="297" spans="1:5">
      <c r="A297" s="159">
        <v>296</v>
      </c>
      <c r="B297" s="163">
        <v>45756</v>
      </c>
      <c r="C297" s="164">
        <v>0.51689814814814816</v>
      </c>
      <c r="D297" s="159">
        <v>10</v>
      </c>
      <c r="E297" s="166" t="s">
        <v>413</v>
      </c>
    </row>
    <row r="298" spans="1:5">
      <c r="A298" s="159">
        <v>297</v>
      </c>
      <c r="B298" s="163">
        <v>45756</v>
      </c>
      <c r="C298" s="164">
        <v>0.50275462962962958</v>
      </c>
      <c r="D298" s="159">
        <v>10</v>
      </c>
      <c r="E298" s="166" t="s">
        <v>414</v>
      </c>
    </row>
    <row r="299" spans="1:5">
      <c r="A299" s="159">
        <v>298</v>
      </c>
      <c r="B299" s="163">
        <v>45756</v>
      </c>
      <c r="C299" s="164">
        <v>0.49642361111111111</v>
      </c>
      <c r="D299" s="159">
        <v>10</v>
      </c>
      <c r="E299" s="166" t="s">
        <v>415</v>
      </c>
    </row>
    <row r="300" spans="1:5">
      <c r="A300" s="159">
        <v>299</v>
      </c>
      <c r="B300" s="163">
        <v>45756</v>
      </c>
      <c r="C300" s="164">
        <v>0.49304398148148149</v>
      </c>
      <c r="D300" s="159">
        <v>10</v>
      </c>
      <c r="E300" s="166" t="s">
        <v>416</v>
      </c>
    </row>
    <row r="301" spans="1:5" ht="27">
      <c r="A301" s="159">
        <v>300</v>
      </c>
      <c r="B301" s="163">
        <v>45756</v>
      </c>
      <c r="C301" s="164">
        <v>0.48803240740740739</v>
      </c>
      <c r="D301" s="159">
        <v>10</v>
      </c>
      <c r="E301" s="166" t="s">
        <v>417</v>
      </c>
    </row>
    <row r="302" spans="1:5">
      <c r="A302" s="159">
        <v>301</v>
      </c>
      <c r="B302" s="163">
        <v>45756</v>
      </c>
      <c r="C302" s="164">
        <v>0.47885416666666669</v>
      </c>
      <c r="D302" s="159">
        <v>10</v>
      </c>
      <c r="E302" s="166" t="s">
        <v>418</v>
      </c>
    </row>
    <row r="303" spans="1:5">
      <c r="A303" s="159">
        <v>302</v>
      </c>
      <c r="B303" s="163">
        <v>45756</v>
      </c>
      <c r="C303" s="164">
        <v>0.47511574074074076</v>
      </c>
      <c r="D303" s="159">
        <v>10</v>
      </c>
      <c r="E303" s="166" t="s">
        <v>419</v>
      </c>
    </row>
    <row r="304" spans="1:5">
      <c r="A304" s="159">
        <v>303</v>
      </c>
      <c r="B304" s="163">
        <v>45756</v>
      </c>
      <c r="C304" s="164">
        <v>0.46130787037037035</v>
      </c>
      <c r="D304" s="159">
        <v>10</v>
      </c>
      <c r="E304" s="166" t="s">
        <v>420</v>
      </c>
    </row>
    <row r="305" spans="1:5">
      <c r="A305" s="159">
        <v>304</v>
      </c>
      <c r="B305" s="163">
        <v>45756</v>
      </c>
      <c r="C305" s="164">
        <v>0.45221064814814815</v>
      </c>
      <c r="D305" s="159">
        <v>10</v>
      </c>
      <c r="E305" s="166" t="s">
        <v>132</v>
      </c>
    </row>
    <row r="306" spans="1:5">
      <c r="A306" s="159">
        <v>305</v>
      </c>
      <c r="B306" s="163">
        <v>45756</v>
      </c>
      <c r="C306" s="164">
        <v>0.4458449074074074</v>
      </c>
      <c r="D306" s="159">
        <v>10</v>
      </c>
      <c r="E306" s="166" t="s">
        <v>421</v>
      </c>
    </row>
    <row r="307" spans="1:5">
      <c r="A307" s="159">
        <v>306</v>
      </c>
      <c r="B307" s="163">
        <v>45756</v>
      </c>
      <c r="C307" s="164">
        <v>0.44505787037037037</v>
      </c>
      <c r="D307" s="159">
        <v>10</v>
      </c>
      <c r="E307" s="166" t="s">
        <v>422</v>
      </c>
    </row>
    <row r="308" spans="1:5">
      <c r="A308" s="159">
        <v>307</v>
      </c>
      <c r="B308" s="163">
        <v>45756</v>
      </c>
      <c r="C308" s="164">
        <v>0.44275462962962964</v>
      </c>
      <c r="D308" s="159">
        <v>10</v>
      </c>
      <c r="E308" s="166" t="s">
        <v>423</v>
      </c>
    </row>
    <row r="309" spans="1:5">
      <c r="A309" s="159">
        <v>308</v>
      </c>
      <c r="B309" s="163">
        <v>45756</v>
      </c>
      <c r="C309" s="164">
        <v>0.4397685185185185</v>
      </c>
      <c r="D309" s="159">
        <v>10</v>
      </c>
      <c r="E309" s="166" t="s">
        <v>424</v>
      </c>
    </row>
    <row r="310" spans="1:5">
      <c r="A310" s="159">
        <v>309</v>
      </c>
      <c r="B310" s="163">
        <v>45756</v>
      </c>
      <c r="C310" s="164">
        <v>0.43282407407407408</v>
      </c>
      <c r="D310" s="159">
        <v>10</v>
      </c>
      <c r="E310" s="166" t="s">
        <v>425</v>
      </c>
    </row>
    <row r="311" spans="1:5">
      <c r="A311" s="159">
        <v>310</v>
      </c>
      <c r="B311" s="163">
        <v>45756</v>
      </c>
      <c r="C311" s="164">
        <v>0.42040509259259257</v>
      </c>
      <c r="D311" s="159">
        <v>10</v>
      </c>
      <c r="E311" s="166" t="s">
        <v>426</v>
      </c>
    </row>
    <row r="312" spans="1:5">
      <c r="A312" s="159">
        <v>311</v>
      </c>
      <c r="B312" s="163">
        <v>45756</v>
      </c>
      <c r="C312" s="164">
        <v>0.38767361111111109</v>
      </c>
      <c r="D312" s="159">
        <v>10</v>
      </c>
      <c r="E312" s="166" t="s">
        <v>427</v>
      </c>
    </row>
    <row r="313" spans="1:5">
      <c r="A313" s="159">
        <v>312</v>
      </c>
      <c r="B313" s="163">
        <v>45756</v>
      </c>
      <c r="C313" s="164">
        <v>0.38041666666666668</v>
      </c>
      <c r="D313" s="159">
        <v>10</v>
      </c>
      <c r="E313" s="166" t="s">
        <v>428</v>
      </c>
    </row>
    <row r="314" spans="1:5">
      <c r="A314" s="159">
        <v>313</v>
      </c>
      <c r="B314" s="163">
        <v>45757</v>
      </c>
      <c r="C314" s="164">
        <v>0.88293981481481476</v>
      </c>
      <c r="D314" s="159">
        <v>10</v>
      </c>
      <c r="E314" s="166" t="s">
        <v>429</v>
      </c>
    </row>
    <row r="315" spans="1:5">
      <c r="A315" s="159">
        <v>314</v>
      </c>
      <c r="B315" s="163">
        <v>45757</v>
      </c>
      <c r="C315" s="164">
        <v>0.81277777777777782</v>
      </c>
      <c r="D315" s="159">
        <v>10</v>
      </c>
      <c r="E315" s="166" t="s">
        <v>430</v>
      </c>
    </row>
    <row r="316" spans="1:5">
      <c r="A316" s="159">
        <v>315</v>
      </c>
      <c r="B316" s="163">
        <v>45757</v>
      </c>
      <c r="C316" s="164">
        <v>0.80174768518518513</v>
      </c>
      <c r="D316" s="159">
        <v>10</v>
      </c>
      <c r="E316" s="166" t="s">
        <v>431</v>
      </c>
    </row>
    <row r="317" spans="1:5" ht="27">
      <c r="A317" s="159">
        <v>316</v>
      </c>
      <c r="B317" s="163">
        <v>45757</v>
      </c>
      <c r="C317" s="164">
        <v>0.79664351851851856</v>
      </c>
      <c r="D317" s="159">
        <v>10</v>
      </c>
      <c r="E317" s="166" t="s">
        <v>432</v>
      </c>
    </row>
    <row r="318" spans="1:5">
      <c r="A318" s="159">
        <v>317</v>
      </c>
      <c r="B318" s="163">
        <v>45757</v>
      </c>
      <c r="C318" s="164">
        <v>0.77672453703703703</v>
      </c>
      <c r="D318" s="159">
        <v>10</v>
      </c>
      <c r="E318" s="166" t="s">
        <v>433</v>
      </c>
    </row>
    <row r="319" spans="1:5">
      <c r="A319" s="159">
        <v>318</v>
      </c>
      <c r="B319" s="163">
        <v>45757</v>
      </c>
      <c r="C319" s="164">
        <v>0.77093750000000005</v>
      </c>
      <c r="D319" s="159">
        <v>10</v>
      </c>
      <c r="E319" s="166" t="s">
        <v>434</v>
      </c>
    </row>
    <row r="320" spans="1:5">
      <c r="A320" s="159">
        <v>319</v>
      </c>
      <c r="B320" s="163">
        <v>45757</v>
      </c>
      <c r="C320" s="164">
        <v>0.7493981481481482</v>
      </c>
      <c r="D320" s="159">
        <v>10</v>
      </c>
      <c r="E320" s="166" t="s">
        <v>244</v>
      </c>
    </row>
    <row r="321" spans="1:5">
      <c r="A321" s="159">
        <v>320</v>
      </c>
      <c r="B321" s="163">
        <v>45757</v>
      </c>
      <c r="C321" s="164">
        <v>0.74920138888888888</v>
      </c>
      <c r="D321" s="159">
        <v>10</v>
      </c>
      <c r="E321" s="166" t="s">
        <v>435</v>
      </c>
    </row>
    <row r="322" spans="1:5">
      <c r="A322" s="159">
        <v>321</v>
      </c>
      <c r="B322" s="163">
        <v>45757</v>
      </c>
      <c r="C322" s="164">
        <v>0.7486342592592593</v>
      </c>
      <c r="D322" s="159">
        <v>10</v>
      </c>
      <c r="E322" s="166" t="s">
        <v>436</v>
      </c>
    </row>
    <row r="323" spans="1:5" ht="27">
      <c r="A323" s="159">
        <v>322</v>
      </c>
      <c r="B323" s="163">
        <v>45757</v>
      </c>
      <c r="C323" s="164">
        <v>0.74452546296296296</v>
      </c>
      <c r="D323" s="159">
        <v>10</v>
      </c>
      <c r="E323" s="166" t="s">
        <v>437</v>
      </c>
    </row>
    <row r="324" spans="1:5">
      <c r="A324" s="159">
        <v>323</v>
      </c>
      <c r="B324" s="163">
        <v>45757</v>
      </c>
      <c r="C324" s="164">
        <v>0.74106481481481479</v>
      </c>
      <c r="D324" s="159">
        <v>10</v>
      </c>
      <c r="E324" s="166" t="s">
        <v>438</v>
      </c>
    </row>
    <row r="325" spans="1:5">
      <c r="A325" s="159">
        <v>324</v>
      </c>
      <c r="B325" s="163">
        <v>45757</v>
      </c>
      <c r="C325" s="164">
        <v>0.73972222222222217</v>
      </c>
      <c r="D325" s="159">
        <v>10</v>
      </c>
      <c r="E325" s="166" t="s">
        <v>439</v>
      </c>
    </row>
    <row r="326" spans="1:5">
      <c r="A326" s="159">
        <v>325</v>
      </c>
      <c r="B326" s="163">
        <v>45757</v>
      </c>
      <c r="C326" s="164">
        <v>0.73715277777777777</v>
      </c>
      <c r="D326" s="159">
        <v>10</v>
      </c>
      <c r="E326" s="166" t="s">
        <v>440</v>
      </c>
    </row>
    <row r="327" spans="1:5">
      <c r="A327" s="159">
        <v>326</v>
      </c>
      <c r="B327" s="163">
        <v>45757</v>
      </c>
      <c r="C327" s="164">
        <v>0.7271643518518518</v>
      </c>
      <c r="D327" s="159">
        <v>10</v>
      </c>
      <c r="E327" s="166" t="s">
        <v>441</v>
      </c>
    </row>
    <row r="328" spans="1:5">
      <c r="A328" s="159">
        <v>327</v>
      </c>
      <c r="B328" s="163">
        <v>45757</v>
      </c>
      <c r="C328" s="164">
        <v>0.72545138888888894</v>
      </c>
      <c r="D328" s="159">
        <v>10</v>
      </c>
      <c r="E328" s="166" t="s">
        <v>442</v>
      </c>
    </row>
    <row r="329" spans="1:5">
      <c r="A329" s="159">
        <v>328</v>
      </c>
      <c r="B329" s="163">
        <v>45757</v>
      </c>
      <c r="C329" s="164">
        <v>0.71836805555555561</v>
      </c>
      <c r="D329" s="159">
        <v>10</v>
      </c>
      <c r="E329" s="166" t="s">
        <v>443</v>
      </c>
    </row>
    <row r="330" spans="1:5">
      <c r="A330" s="159">
        <v>329</v>
      </c>
      <c r="B330" s="163">
        <v>45757</v>
      </c>
      <c r="C330" s="164">
        <v>0.71393518518518517</v>
      </c>
      <c r="D330" s="159">
        <v>10</v>
      </c>
      <c r="E330" s="166" t="s">
        <v>444</v>
      </c>
    </row>
    <row r="331" spans="1:5">
      <c r="A331" s="159">
        <v>330</v>
      </c>
      <c r="B331" s="163">
        <v>45757</v>
      </c>
      <c r="C331" s="164">
        <v>0.71178240740740739</v>
      </c>
      <c r="D331" s="159">
        <v>10</v>
      </c>
      <c r="E331" s="166" t="s">
        <v>445</v>
      </c>
    </row>
    <row r="332" spans="1:5">
      <c r="A332" s="159">
        <v>331</v>
      </c>
      <c r="B332" s="163">
        <v>45757</v>
      </c>
      <c r="C332" s="164">
        <v>0.70921296296296299</v>
      </c>
      <c r="D332" s="159">
        <v>10</v>
      </c>
      <c r="E332" s="166" t="s">
        <v>446</v>
      </c>
    </row>
    <row r="333" spans="1:5">
      <c r="A333" s="159">
        <v>332</v>
      </c>
      <c r="B333" s="163">
        <v>45757</v>
      </c>
      <c r="C333" s="164">
        <v>0.70732638888888888</v>
      </c>
      <c r="D333" s="159">
        <v>10</v>
      </c>
      <c r="E333" s="166" t="s">
        <v>447</v>
      </c>
    </row>
    <row r="334" spans="1:5">
      <c r="A334" s="159">
        <v>333</v>
      </c>
      <c r="B334" s="163">
        <v>45757</v>
      </c>
      <c r="C334" s="164">
        <v>0.70467592592592587</v>
      </c>
      <c r="D334" s="159">
        <v>10</v>
      </c>
      <c r="E334" s="166" t="s">
        <v>448</v>
      </c>
    </row>
    <row r="335" spans="1:5">
      <c r="A335" s="159">
        <v>334</v>
      </c>
      <c r="B335" s="163">
        <v>45757</v>
      </c>
      <c r="C335" s="164">
        <v>0.70106481481481486</v>
      </c>
      <c r="D335" s="159">
        <v>10</v>
      </c>
      <c r="E335" s="166" t="s">
        <v>449</v>
      </c>
    </row>
    <row r="336" spans="1:5">
      <c r="A336" s="159">
        <v>335</v>
      </c>
      <c r="B336" s="163">
        <v>45757</v>
      </c>
      <c r="C336" s="164">
        <v>0.68215277777777783</v>
      </c>
      <c r="D336" s="159">
        <v>10</v>
      </c>
      <c r="E336" s="166" t="s">
        <v>450</v>
      </c>
    </row>
    <row r="337" spans="1:5">
      <c r="A337" s="159">
        <v>336</v>
      </c>
      <c r="B337" s="163">
        <v>45757</v>
      </c>
      <c r="C337" s="164">
        <v>0.67949074074074078</v>
      </c>
      <c r="D337" s="159">
        <v>10</v>
      </c>
      <c r="E337" s="166" t="s">
        <v>451</v>
      </c>
    </row>
    <row r="338" spans="1:5">
      <c r="A338" s="159">
        <v>337</v>
      </c>
      <c r="B338" s="163">
        <v>45757</v>
      </c>
      <c r="C338" s="164">
        <v>0.67351851851851852</v>
      </c>
      <c r="D338" s="159">
        <v>10</v>
      </c>
      <c r="E338" s="166" t="s">
        <v>452</v>
      </c>
    </row>
    <row r="339" spans="1:5">
      <c r="A339" s="159">
        <v>338</v>
      </c>
      <c r="B339" s="163">
        <v>45757</v>
      </c>
      <c r="C339" s="164">
        <v>0.67182870370370373</v>
      </c>
      <c r="D339" s="159">
        <v>10</v>
      </c>
      <c r="E339" s="166" t="s">
        <v>453</v>
      </c>
    </row>
    <row r="340" spans="1:5">
      <c r="A340" s="159">
        <v>339</v>
      </c>
      <c r="B340" s="163">
        <v>45757</v>
      </c>
      <c r="C340" s="164">
        <v>0.66893518518518513</v>
      </c>
      <c r="D340" s="159">
        <v>10</v>
      </c>
      <c r="E340" s="166" t="s">
        <v>454</v>
      </c>
    </row>
    <row r="341" spans="1:5">
      <c r="A341" s="159">
        <v>340</v>
      </c>
      <c r="B341" s="163">
        <v>45757</v>
      </c>
      <c r="C341" s="164">
        <v>0.64997685185185183</v>
      </c>
      <c r="D341" s="159">
        <v>8</v>
      </c>
      <c r="E341" s="166" t="s">
        <v>455</v>
      </c>
    </row>
    <row r="342" spans="1:5">
      <c r="A342" s="159">
        <v>341</v>
      </c>
      <c r="B342" s="163">
        <v>45757</v>
      </c>
      <c r="C342" s="164">
        <v>0.64505787037037032</v>
      </c>
      <c r="D342" s="159">
        <v>10</v>
      </c>
      <c r="E342" s="166" t="s">
        <v>456</v>
      </c>
    </row>
    <row r="343" spans="1:5">
      <c r="A343" s="159">
        <v>342</v>
      </c>
      <c r="B343" s="163">
        <v>45757</v>
      </c>
      <c r="C343" s="164">
        <v>0.62414351851851857</v>
      </c>
      <c r="D343" s="159">
        <v>10</v>
      </c>
      <c r="E343" s="166" t="s">
        <v>457</v>
      </c>
    </row>
    <row r="344" spans="1:5" ht="27">
      <c r="A344" s="159">
        <v>343</v>
      </c>
      <c r="B344" s="163">
        <v>45757</v>
      </c>
      <c r="C344" s="164">
        <v>0.62065972222222221</v>
      </c>
      <c r="D344" s="159">
        <v>10</v>
      </c>
      <c r="E344" s="166" t="s">
        <v>458</v>
      </c>
    </row>
    <row r="345" spans="1:5">
      <c r="A345" s="159">
        <v>344</v>
      </c>
      <c r="B345" s="163">
        <v>45757</v>
      </c>
      <c r="C345" s="164">
        <v>0.61486111111111108</v>
      </c>
      <c r="D345" s="159">
        <v>10</v>
      </c>
      <c r="E345" s="166" t="s">
        <v>459</v>
      </c>
    </row>
    <row r="346" spans="1:5">
      <c r="A346" s="159">
        <v>345</v>
      </c>
      <c r="B346" s="163">
        <v>45757</v>
      </c>
      <c r="C346" s="164">
        <v>0.58104166666666668</v>
      </c>
      <c r="D346" s="159">
        <v>10</v>
      </c>
      <c r="E346" s="166" t="s">
        <v>460</v>
      </c>
    </row>
    <row r="347" spans="1:5">
      <c r="A347" s="159">
        <v>346</v>
      </c>
      <c r="B347" s="163">
        <v>45757</v>
      </c>
      <c r="C347" s="164">
        <v>0.57663194444444443</v>
      </c>
      <c r="D347" s="159">
        <v>10</v>
      </c>
      <c r="E347" s="166" t="s">
        <v>461</v>
      </c>
    </row>
    <row r="348" spans="1:5">
      <c r="A348" s="159">
        <v>347</v>
      </c>
      <c r="B348" s="163">
        <v>45757</v>
      </c>
      <c r="C348" s="164">
        <v>0.5730439814814815</v>
      </c>
      <c r="D348" s="159">
        <v>10</v>
      </c>
      <c r="E348" s="166" t="s">
        <v>462</v>
      </c>
    </row>
    <row r="349" spans="1:5">
      <c r="A349" s="159">
        <v>348</v>
      </c>
      <c r="B349" s="163">
        <v>45757</v>
      </c>
      <c r="C349" s="164">
        <v>0.55805555555555553</v>
      </c>
      <c r="D349" s="159">
        <v>10</v>
      </c>
      <c r="E349" s="166" t="s">
        <v>463</v>
      </c>
    </row>
    <row r="350" spans="1:5" ht="27">
      <c r="A350" s="159">
        <v>349</v>
      </c>
      <c r="B350" s="163">
        <v>45757</v>
      </c>
      <c r="C350" s="164">
        <v>0.53774305555555557</v>
      </c>
      <c r="D350" s="159">
        <v>10</v>
      </c>
      <c r="E350" s="166" t="s">
        <v>464</v>
      </c>
    </row>
    <row r="351" spans="1:5">
      <c r="A351" s="159">
        <v>350</v>
      </c>
      <c r="B351" s="163">
        <v>45757</v>
      </c>
      <c r="C351" s="164">
        <v>0.52127314814814818</v>
      </c>
      <c r="D351" s="159">
        <v>10</v>
      </c>
      <c r="E351" s="166" t="s">
        <v>465</v>
      </c>
    </row>
    <row r="352" spans="1:5">
      <c r="A352" s="159">
        <v>351</v>
      </c>
      <c r="B352" s="163">
        <v>45757</v>
      </c>
      <c r="C352" s="164">
        <v>0.48214120370370372</v>
      </c>
      <c r="D352" s="159">
        <v>10</v>
      </c>
      <c r="E352" s="166" t="s">
        <v>466</v>
      </c>
    </row>
    <row r="353" spans="1:5">
      <c r="A353" s="159">
        <v>352</v>
      </c>
      <c r="B353" s="163">
        <v>45757</v>
      </c>
      <c r="C353" s="164">
        <v>0.46672453703703703</v>
      </c>
      <c r="D353" s="159">
        <v>10</v>
      </c>
      <c r="E353" s="166" t="s">
        <v>467</v>
      </c>
    </row>
    <row r="354" spans="1:5">
      <c r="A354" s="159">
        <v>353</v>
      </c>
      <c r="B354" s="163">
        <v>45757</v>
      </c>
      <c r="C354" s="164">
        <v>0.44500000000000001</v>
      </c>
      <c r="D354" s="159">
        <v>10</v>
      </c>
      <c r="E354" s="166" t="s">
        <v>468</v>
      </c>
    </row>
    <row r="355" spans="1:5">
      <c r="A355" s="159">
        <v>354</v>
      </c>
      <c r="B355" s="163">
        <v>45757</v>
      </c>
      <c r="C355" s="164">
        <v>0.43637731481481479</v>
      </c>
      <c r="D355" s="159">
        <v>10</v>
      </c>
      <c r="E355" s="166" t="s">
        <v>469</v>
      </c>
    </row>
    <row r="356" spans="1:5">
      <c r="A356" s="159">
        <v>355</v>
      </c>
      <c r="B356" s="163">
        <v>45757</v>
      </c>
      <c r="C356" s="164">
        <v>0.43474537037037037</v>
      </c>
      <c r="D356" s="159">
        <v>10</v>
      </c>
      <c r="E356" s="166" t="s">
        <v>470</v>
      </c>
    </row>
    <row r="357" spans="1:5">
      <c r="A357" s="159">
        <v>356</v>
      </c>
      <c r="B357" s="163">
        <v>45757</v>
      </c>
      <c r="C357" s="164">
        <v>0.42662037037037037</v>
      </c>
      <c r="D357" s="159">
        <v>10</v>
      </c>
      <c r="E357" s="166" t="s">
        <v>471</v>
      </c>
    </row>
    <row r="358" spans="1:5">
      <c r="A358" s="159">
        <v>357</v>
      </c>
      <c r="B358" s="163">
        <v>45757</v>
      </c>
      <c r="C358" s="164">
        <v>0.4045023148148148</v>
      </c>
      <c r="D358" s="159">
        <v>10</v>
      </c>
      <c r="E358" s="166" t="s">
        <v>354</v>
      </c>
    </row>
    <row r="359" spans="1:5">
      <c r="A359" s="159">
        <v>358</v>
      </c>
      <c r="B359" s="163">
        <v>45757</v>
      </c>
      <c r="C359" s="164">
        <v>0.39046296296296296</v>
      </c>
      <c r="D359" s="159">
        <v>10</v>
      </c>
      <c r="E359" s="166" t="s">
        <v>472</v>
      </c>
    </row>
    <row r="360" spans="1:5">
      <c r="A360" s="159">
        <v>359</v>
      </c>
      <c r="B360" s="163">
        <v>45758</v>
      </c>
      <c r="C360" s="164">
        <v>0.86583333333333334</v>
      </c>
      <c r="D360" s="159">
        <v>10</v>
      </c>
      <c r="E360" s="166" t="s">
        <v>473</v>
      </c>
    </row>
    <row r="361" spans="1:5">
      <c r="A361" s="159">
        <v>360</v>
      </c>
      <c r="B361" s="163">
        <v>45758</v>
      </c>
      <c r="C361" s="164">
        <v>0.85895833333333338</v>
      </c>
      <c r="D361" s="159">
        <v>10</v>
      </c>
      <c r="E361" s="166" t="s">
        <v>474</v>
      </c>
    </row>
    <row r="362" spans="1:5">
      <c r="A362" s="159">
        <v>361</v>
      </c>
      <c r="B362" s="163">
        <v>45758</v>
      </c>
      <c r="C362" s="164">
        <v>0.7958912037037037</v>
      </c>
      <c r="D362" s="159">
        <v>10</v>
      </c>
      <c r="E362" s="166" t="s">
        <v>475</v>
      </c>
    </row>
    <row r="363" spans="1:5">
      <c r="A363" s="159">
        <v>362</v>
      </c>
      <c r="B363" s="163">
        <v>45758</v>
      </c>
      <c r="C363" s="164">
        <v>0.76103009259259258</v>
      </c>
      <c r="D363" s="159">
        <v>10</v>
      </c>
      <c r="E363" s="166" t="s">
        <v>476</v>
      </c>
    </row>
    <row r="364" spans="1:5">
      <c r="A364" s="159">
        <v>363</v>
      </c>
      <c r="B364" s="163">
        <v>45758</v>
      </c>
      <c r="C364" s="164">
        <v>0.73813657407407407</v>
      </c>
      <c r="D364" s="159">
        <v>10</v>
      </c>
      <c r="E364" s="166" t="s">
        <v>477</v>
      </c>
    </row>
    <row r="365" spans="1:5">
      <c r="A365" s="159">
        <v>364</v>
      </c>
      <c r="B365" s="163">
        <v>45758</v>
      </c>
      <c r="C365" s="164">
        <v>0.73274305555555552</v>
      </c>
      <c r="D365" s="159">
        <v>10</v>
      </c>
      <c r="E365" s="166" t="s">
        <v>284</v>
      </c>
    </row>
    <row r="366" spans="1:5">
      <c r="A366" s="159">
        <v>365</v>
      </c>
      <c r="B366" s="163">
        <v>45758</v>
      </c>
      <c r="C366" s="164">
        <v>0.67947916666666663</v>
      </c>
      <c r="D366" s="159">
        <v>10</v>
      </c>
      <c r="E366" s="166" t="s">
        <v>478</v>
      </c>
    </row>
    <row r="367" spans="1:5">
      <c r="A367" s="159">
        <v>366</v>
      </c>
      <c r="B367" s="163">
        <v>45758</v>
      </c>
      <c r="C367" s="164">
        <v>0.67137731481481477</v>
      </c>
      <c r="D367" s="159">
        <v>10</v>
      </c>
      <c r="E367" s="166" t="s">
        <v>288</v>
      </c>
    </row>
    <row r="368" spans="1:5">
      <c r="A368" s="159">
        <v>367</v>
      </c>
      <c r="B368" s="163">
        <v>45758</v>
      </c>
      <c r="C368" s="164">
        <v>0.67178240740740736</v>
      </c>
      <c r="D368" s="159">
        <v>10</v>
      </c>
      <c r="E368" s="166" t="s">
        <v>479</v>
      </c>
    </row>
    <row r="369" spans="1:5">
      <c r="A369" s="159">
        <v>368</v>
      </c>
      <c r="B369" s="163">
        <v>45758</v>
      </c>
      <c r="C369" s="164">
        <v>0.66240740740740744</v>
      </c>
      <c r="D369" s="159">
        <v>8</v>
      </c>
      <c r="E369" s="166" t="s">
        <v>480</v>
      </c>
    </row>
    <row r="370" spans="1:5">
      <c r="A370" s="159">
        <v>369</v>
      </c>
      <c r="B370" s="163">
        <v>45758</v>
      </c>
      <c r="C370" s="164">
        <v>0.66160879629629632</v>
      </c>
      <c r="D370" s="159">
        <v>10</v>
      </c>
      <c r="E370" s="166" t="s">
        <v>481</v>
      </c>
    </row>
    <row r="371" spans="1:5">
      <c r="A371" s="159">
        <v>370</v>
      </c>
      <c r="B371" s="163">
        <v>45758</v>
      </c>
      <c r="C371" s="164">
        <v>0.64587962962962964</v>
      </c>
      <c r="D371" s="159">
        <v>10</v>
      </c>
      <c r="E371" s="166" t="s">
        <v>482</v>
      </c>
    </row>
    <row r="372" spans="1:5">
      <c r="A372" s="159">
        <v>371</v>
      </c>
      <c r="B372" s="163">
        <v>45758</v>
      </c>
      <c r="C372" s="164">
        <v>0.63952546296296298</v>
      </c>
      <c r="D372" s="159">
        <v>10</v>
      </c>
      <c r="E372" s="166" t="s">
        <v>483</v>
      </c>
    </row>
    <row r="373" spans="1:5">
      <c r="A373" s="159">
        <v>372</v>
      </c>
      <c r="B373" s="163">
        <v>45758</v>
      </c>
      <c r="C373" s="164">
        <v>0.62475694444444441</v>
      </c>
      <c r="D373" s="159">
        <v>10</v>
      </c>
      <c r="E373" s="166" t="s">
        <v>484</v>
      </c>
    </row>
    <row r="374" spans="1:5">
      <c r="A374" s="159">
        <v>373</v>
      </c>
      <c r="B374" s="163">
        <v>45758</v>
      </c>
      <c r="C374" s="164">
        <v>0.61166666666666669</v>
      </c>
      <c r="D374" s="159">
        <v>10</v>
      </c>
      <c r="E374" s="166" t="s">
        <v>485</v>
      </c>
    </row>
    <row r="375" spans="1:5">
      <c r="A375" s="159">
        <v>374</v>
      </c>
      <c r="B375" s="163">
        <v>45758</v>
      </c>
      <c r="C375" s="164">
        <v>0.60076388888888888</v>
      </c>
      <c r="D375" s="159">
        <v>10</v>
      </c>
      <c r="E375" s="166" t="s">
        <v>486</v>
      </c>
    </row>
    <row r="376" spans="1:5">
      <c r="A376" s="159">
        <v>375</v>
      </c>
      <c r="B376" s="163">
        <v>45758</v>
      </c>
      <c r="C376" s="164">
        <v>0.59150462962962957</v>
      </c>
      <c r="D376" s="159">
        <v>10</v>
      </c>
      <c r="E376" s="166" t="s">
        <v>487</v>
      </c>
    </row>
    <row r="377" spans="1:5">
      <c r="A377" s="159">
        <v>376</v>
      </c>
      <c r="B377" s="163">
        <v>45758</v>
      </c>
      <c r="C377" s="164">
        <v>0.58378472222222222</v>
      </c>
      <c r="D377" s="159">
        <v>10</v>
      </c>
      <c r="E377" s="166" t="s">
        <v>488</v>
      </c>
    </row>
    <row r="378" spans="1:5">
      <c r="A378" s="159">
        <v>377</v>
      </c>
      <c r="B378" s="163">
        <v>45758</v>
      </c>
      <c r="C378" s="164">
        <v>0.58111111111111113</v>
      </c>
      <c r="D378" s="159">
        <v>10</v>
      </c>
      <c r="E378" s="166" t="s">
        <v>489</v>
      </c>
    </row>
    <row r="379" spans="1:5">
      <c r="A379" s="159">
        <v>378</v>
      </c>
      <c r="B379" s="163">
        <v>45758</v>
      </c>
      <c r="C379" s="164">
        <v>0.5755555555555556</v>
      </c>
      <c r="D379" s="159">
        <v>10</v>
      </c>
      <c r="E379" s="166" t="s">
        <v>490</v>
      </c>
    </row>
    <row r="380" spans="1:5">
      <c r="A380" s="159">
        <v>379</v>
      </c>
      <c r="B380" s="163">
        <v>45758</v>
      </c>
      <c r="C380" s="164">
        <v>0.56827546296296294</v>
      </c>
      <c r="D380" s="159">
        <v>10</v>
      </c>
      <c r="E380" s="166" t="s">
        <v>132</v>
      </c>
    </row>
    <row r="381" spans="1:5">
      <c r="A381" s="159">
        <v>380</v>
      </c>
      <c r="B381" s="163">
        <v>45758</v>
      </c>
      <c r="C381" s="164">
        <v>0.56556712962962963</v>
      </c>
      <c r="D381" s="159">
        <v>10</v>
      </c>
      <c r="E381" s="166" t="s">
        <v>491</v>
      </c>
    </row>
    <row r="382" spans="1:5">
      <c r="A382" s="159">
        <v>381</v>
      </c>
      <c r="B382" s="163">
        <v>45758</v>
      </c>
      <c r="C382" s="164">
        <v>0.56305555555555553</v>
      </c>
      <c r="D382" s="159">
        <v>10</v>
      </c>
      <c r="E382" s="166" t="s">
        <v>492</v>
      </c>
    </row>
    <row r="383" spans="1:5">
      <c r="A383" s="159">
        <v>382</v>
      </c>
      <c r="B383" s="163">
        <v>45758</v>
      </c>
      <c r="C383" s="164">
        <v>0.55803240740740745</v>
      </c>
      <c r="D383" s="159">
        <v>10</v>
      </c>
      <c r="E383" s="166" t="s">
        <v>493</v>
      </c>
    </row>
    <row r="384" spans="1:5">
      <c r="A384" s="159">
        <v>383</v>
      </c>
      <c r="B384" s="163">
        <v>45758</v>
      </c>
      <c r="C384" s="164">
        <v>0.55336805555555557</v>
      </c>
      <c r="D384" s="159">
        <v>10</v>
      </c>
      <c r="E384" s="166" t="s">
        <v>494</v>
      </c>
    </row>
    <row r="385" spans="1:5">
      <c r="A385" s="159">
        <v>384</v>
      </c>
      <c r="B385" s="163">
        <v>45758</v>
      </c>
      <c r="C385" s="164">
        <v>0.55208333333333337</v>
      </c>
      <c r="D385" s="159">
        <v>10</v>
      </c>
      <c r="E385" s="166" t="s">
        <v>495</v>
      </c>
    </row>
    <row r="386" spans="1:5">
      <c r="A386" s="159">
        <v>385</v>
      </c>
      <c r="B386" s="163">
        <v>45758</v>
      </c>
      <c r="C386" s="164">
        <v>0.55050925925925931</v>
      </c>
      <c r="D386" s="159">
        <v>10</v>
      </c>
      <c r="E386" s="166" t="s">
        <v>288</v>
      </c>
    </row>
    <row r="387" spans="1:5">
      <c r="A387" s="159">
        <v>386</v>
      </c>
      <c r="B387" s="163">
        <v>45758</v>
      </c>
      <c r="C387" s="164">
        <v>0.55065972222222226</v>
      </c>
      <c r="D387" s="159">
        <v>10</v>
      </c>
      <c r="E387" s="166" t="s">
        <v>496</v>
      </c>
    </row>
    <row r="388" spans="1:5" ht="27">
      <c r="A388" s="159">
        <v>387</v>
      </c>
      <c r="B388" s="163">
        <v>45758</v>
      </c>
      <c r="C388" s="164">
        <v>0.48484953703703704</v>
      </c>
      <c r="D388" s="159">
        <v>10</v>
      </c>
      <c r="E388" s="166" t="s">
        <v>497</v>
      </c>
    </row>
    <row r="389" spans="1:5">
      <c r="A389" s="159">
        <v>388</v>
      </c>
      <c r="B389" s="163">
        <v>45758</v>
      </c>
      <c r="C389" s="164">
        <v>0.48406250000000001</v>
      </c>
      <c r="D389" s="159">
        <v>10</v>
      </c>
      <c r="E389" s="166" t="s">
        <v>498</v>
      </c>
    </row>
    <row r="390" spans="1:5">
      <c r="A390" s="159">
        <v>389</v>
      </c>
      <c r="B390" s="163">
        <v>45758</v>
      </c>
      <c r="C390" s="164">
        <v>0.48375000000000001</v>
      </c>
      <c r="D390" s="159">
        <v>10</v>
      </c>
      <c r="E390" s="166" t="s">
        <v>499</v>
      </c>
    </row>
    <row r="391" spans="1:5">
      <c r="A391" s="159">
        <v>390</v>
      </c>
      <c r="B391" s="163">
        <v>45758</v>
      </c>
      <c r="C391" s="164">
        <v>0.48219907407407409</v>
      </c>
      <c r="D391" s="159">
        <v>10</v>
      </c>
      <c r="E391" s="166" t="s">
        <v>500</v>
      </c>
    </row>
    <row r="392" spans="1:5">
      <c r="A392" s="159">
        <v>391</v>
      </c>
      <c r="B392" s="163">
        <v>45758</v>
      </c>
      <c r="C392" s="164">
        <v>0.47996527777777775</v>
      </c>
      <c r="D392" s="159">
        <v>10</v>
      </c>
      <c r="E392" s="166" t="s">
        <v>501</v>
      </c>
    </row>
    <row r="393" spans="1:5" ht="27">
      <c r="A393" s="159">
        <v>392</v>
      </c>
      <c r="B393" s="163">
        <v>45758</v>
      </c>
      <c r="C393" s="164">
        <v>0.45800925925925928</v>
      </c>
      <c r="D393" s="159">
        <v>10</v>
      </c>
      <c r="E393" s="166" t="s">
        <v>502</v>
      </c>
    </row>
    <row r="394" spans="1:5">
      <c r="A394" s="159">
        <v>393</v>
      </c>
      <c r="B394" s="163">
        <v>45758</v>
      </c>
      <c r="C394" s="164">
        <v>0.43762731481481482</v>
      </c>
      <c r="D394" s="159">
        <v>10</v>
      </c>
      <c r="E394" s="166" t="s">
        <v>503</v>
      </c>
    </row>
    <row r="395" spans="1:5">
      <c r="A395" s="159">
        <v>394</v>
      </c>
      <c r="B395" s="163">
        <v>45758</v>
      </c>
      <c r="C395" s="164">
        <v>0.43215277777777777</v>
      </c>
      <c r="D395" s="159">
        <v>10</v>
      </c>
      <c r="E395" s="166" t="s">
        <v>504</v>
      </c>
    </row>
    <row r="396" spans="1:5">
      <c r="A396" s="159">
        <v>395</v>
      </c>
      <c r="B396" s="163">
        <v>45758</v>
      </c>
      <c r="C396" s="164">
        <v>0.43018518518518517</v>
      </c>
      <c r="D396" s="159">
        <v>10</v>
      </c>
      <c r="E396" s="166" t="s">
        <v>505</v>
      </c>
    </row>
    <row r="397" spans="1:5">
      <c r="A397" s="159">
        <v>396</v>
      </c>
      <c r="B397" s="163">
        <v>45758</v>
      </c>
      <c r="C397" s="164">
        <v>0.40685185185185185</v>
      </c>
      <c r="D397" s="159">
        <v>10</v>
      </c>
      <c r="E397" s="166" t="s">
        <v>506</v>
      </c>
    </row>
    <row r="398" spans="1:5">
      <c r="A398" s="159">
        <v>397</v>
      </c>
      <c r="B398" s="163">
        <v>45758</v>
      </c>
      <c r="C398" s="164">
        <v>0.40667824074074072</v>
      </c>
      <c r="D398" s="159">
        <v>10</v>
      </c>
      <c r="E398" s="166" t="s">
        <v>507</v>
      </c>
    </row>
    <row r="399" spans="1:5">
      <c r="A399" s="159">
        <v>398</v>
      </c>
      <c r="B399" s="163">
        <v>45758</v>
      </c>
      <c r="C399" s="164">
        <v>0.38912037037037039</v>
      </c>
      <c r="D399" s="159">
        <v>10</v>
      </c>
      <c r="E399" s="166" t="s">
        <v>508</v>
      </c>
    </row>
    <row r="400" spans="1:5">
      <c r="A400" s="159">
        <v>399</v>
      </c>
      <c r="B400" s="163">
        <v>45759</v>
      </c>
      <c r="C400" s="164">
        <v>0.72871527777777778</v>
      </c>
      <c r="D400" s="159">
        <v>10</v>
      </c>
      <c r="E400" s="166" t="s">
        <v>509</v>
      </c>
    </row>
    <row r="401" spans="1:5">
      <c r="A401" s="159">
        <v>400</v>
      </c>
      <c r="B401" s="163">
        <v>45759</v>
      </c>
      <c r="C401" s="164">
        <v>0.6203819444444445</v>
      </c>
      <c r="D401" s="159">
        <v>10</v>
      </c>
      <c r="E401" s="166" t="s">
        <v>510</v>
      </c>
    </row>
    <row r="402" spans="1:5">
      <c r="A402" s="159">
        <v>401</v>
      </c>
      <c r="B402" s="163">
        <v>45759</v>
      </c>
      <c r="C402" s="164">
        <v>0.4752777777777778</v>
      </c>
      <c r="D402" s="159">
        <v>10</v>
      </c>
      <c r="E402" s="166" t="s">
        <v>511</v>
      </c>
    </row>
    <row r="403" spans="1:5">
      <c r="A403" s="159">
        <v>402</v>
      </c>
      <c r="B403" s="163">
        <v>45759</v>
      </c>
      <c r="C403" s="164">
        <v>0.43388888888888888</v>
      </c>
      <c r="D403" s="159">
        <v>10</v>
      </c>
      <c r="E403" s="166" t="s">
        <v>512</v>
      </c>
    </row>
    <row r="404" spans="1:5">
      <c r="A404" s="159">
        <v>403</v>
      </c>
      <c r="B404" s="163">
        <v>45759</v>
      </c>
      <c r="C404" s="164">
        <v>0.4206597222222222</v>
      </c>
      <c r="D404" s="159">
        <v>10</v>
      </c>
      <c r="E404" s="166" t="s">
        <v>513</v>
      </c>
    </row>
    <row r="405" spans="1:5">
      <c r="A405" s="159">
        <v>404</v>
      </c>
      <c r="B405" s="163">
        <v>45759</v>
      </c>
      <c r="C405" s="164">
        <v>0.41843750000000002</v>
      </c>
      <c r="D405" s="159">
        <v>10</v>
      </c>
      <c r="E405" s="166" t="s">
        <v>514</v>
      </c>
    </row>
    <row r="406" spans="1:5">
      <c r="A406" s="159">
        <v>405</v>
      </c>
      <c r="B406" s="163">
        <v>45759</v>
      </c>
      <c r="C406" s="164">
        <v>0.40334490740740742</v>
      </c>
      <c r="D406" s="159">
        <v>10</v>
      </c>
      <c r="E406" s="166" t="s">
        <v>515</v>
      </c>
    </row>
    <row r="407" spans="1:5">
      <c r="A407" s="159">
        <v>406</v>
      </c>
      <c r="B407" s="163">
        <v>45759</v>
      </c>
      <c r="C407" s="164">
        <v>0.38273148148148151</v>
      </c>
      <c r="D407" s="159">
        <v>1</v>
      </c>
      <c r="E407" s="166" t="s">
        <v>516</v>
      </c>
    </row>
    <row r="408" spans="1:5">
      <c r="A408" s="159">
        <v>407</v>
      </c>
      <c r="B408" s="163">
        <v>45761</v>
      </c>
      <c r="C408" s="164">
        <v>0.89094907407407409</v>
      </c>
      <c r="D408" s="159">
        <v>10</v>
      </c>
      <c r="E408" s="166" t="s">
        <v>517</v>
      </c>
    </row>
    <row r="409" spans="1:5">
      <c r="A409" s="159">
        <v>408</v>
      </c>
      <c r="B409" s="163">
        <v>45761</v>
      </c>
      <c r="C409" s="164">
        <v>0.7404398148148148</v>
      </c>
      <c r="D409" s="159">
        <v>10</v>
      </c>
      <c r="E409" s="166" t="s">
        <v>518</v>
      </c>
    </row>
    <row r="410" spans="1:5">
      <c r="A410" s="159">
        <v>409</v>
      </c>
      <c r="B410" s="163">
        <v>45761</v>
      </c>
      <c r="C410" s="164">
        <v>0.72741898148148143</v>
      </c>
      <c r="D410" s="159">
        <v>10</v>
      </c>
      <c r="E410" s="166" t="s">
        <v>519</v>
      </c>
    </row>
    <row r="411" spans="1:5">
      <c r="A411" s="159">
        <v>410</v>
      </c>
      <c r="B411" s="163">
        <v>45761</v>
      </c>
      <c r="C411" s="164">
        <v>0.72627314814814814</v>
      </c>
      <c r="D411" s="159">
        <v>10</v>
      </c>
      <c r="E411" s="166" t="s">
        <v>520</v>
      </c>
    </row>
    <row r="412" spans="1:5">
      <c r="A412" s="159">
        <v>411</v>
      </c>
      <c r="B412" s="163">
        <v>45761</v>
      </c>
      <c r="C412" s="164">
        <v>0.71947916666666667</v>
      </c>
      <c r="D412" s="159">
        <v>10</v>
      </c>
      <c r="E412" s="166" t="s">
        <v>521</v>
      </c>
    </row>
    <row r="413" spans="1:5">
      <c r="A413" s="159">
        <v>412</v>
      </c>
      <c r="B413" s="163">
        <v>45761</v>
      </c>
      <c r="C413" s="164">
        <v>0.71109953703703699</v>
      </c>
      <c r="D413" s="159">
        <v>10</v>
      </c>
      <c r="E413" s="166" t="s">
        <v>522</v>
      </c>
    </row>
    <row r="414" spans="1:5">
      <c r="A414" s="159">
        <v>413</v>
      </c>
      <c r="B414" s="163">
        <v>45761</v>
      </c>
      <c r="C414" s="164">
        <v>0.70430555555555552</v>
      </c>
      <c r="D414" s="159">
        <v>10</v>
      </c>
      <c r="E414" s="166" t="s">
        <v>523</v>
      </c>
    </row>
    <row r="415" spans="1:5">
      <c r="A415" s="159">
        <v>414</v>
      </c>
      <c r="B415" s="163">
        <v>45761</v>
      </c>
      <c r="C415" s="164">
        <v>0.69</v>
      </c>
      <c r="D415" s="159">
        <v>10</v>
      </c>
      <c r="E415" s="166" t="s">
        <v>524</v>
      </c>
    </row>
    <row r="416" spans="1:5">
      <c r="A416" s="159">
        <v>415</v>
      </c>
      <c r="B416" s="163">
        <v>45761</v>
      </c>
      <c r="C416" s="164">
        <v>0.68086805555555552</v>
      </c>
      <c r="D416" s="159">
        <v>10</v>
      </c>
      <c r="E416" s="166" t="s">
        <v>525</v>
      </c>
    </row>
    <row r="417" spans="1:5">
      <c r="A417" s="159">
        <v>416</v>
      </c>
      <c r="B417" s="163">
        <v>45761</v>
      </c>
      <c r="C417" s="164">
        <v>0.67560185185185184</v>
      </c>
      <c r="D417" s="159">
        <v>10</v>
      </c>
      <c r="E417" s="166" t="s">
        <v>526</v>
      </c>
    </row>
    <row r="418" spans="1:5">
      <c r="A418" s="159">
        <v>417</v>
      </c>
      <c r="B418" s="163">
        <v>45761</v>
      </c>
      <c r="C418" s="164">
        <v>0.66675925925925927</v>
      </c>
      <c r="D418" s="159">
        <v>10</v>
      </c>
      <c r="E418" s="166" t="s">
        <v>527</v>
      </c>
    </row>
    <row r="419" spans="1:5">
      <c r="A419" s="159">
        <v>418</v>
      </c>
      <c r="B419" s="163">
        <v>45761</v>
      </c>
      <c r="C419" s="164">
        <v>0.66395833333333332</v>
      </c>
      <c r="D419" s="159">
        <v>10</v>
      </c>
      <c r="E419" s="166" t="s">
        <v>528</v>
      </c>
    </row>
    <row r="420" spans="1:5">
      <c r="A420" s="159">
        <v>419</v>
      </c>
      <c r="B420" s="163">
        <v>45761</v>
      </c>
      <c r="C420" s="164">
        <v>0.65931712962962963</v>
      </c>
      <c r="D420" s="159">
        <v>10</v>
      </c>
      <c r="E420" s="166" t="s">
        <v>529</v>
      </c>
    </row>
    <row r="421" spans="1:5">
      <c r="A421" s="159">
        <v>420</v>
      </c>
      <c r="B421" s="163">
        <v>45761</v>
      </c>
      <c r="C421" s="164">
        <v>0.65297453703703701</v>
      </c>
      <c r="D421" s="159">
        <v>10</v>
      </c>
      <c r="E421" s="166" t="s">
        <v>201</v>
      </c>
    </row>
    <row r="422" spans="1:5">
      <c r="A422" s="159">
        <v>421</v>
      </c>
      <c r="B422" s="163">
        <v>45761</v>
      </c>
      <c r="C422" s="164">
        <v>0.64736111111111116</v>
      </c>
      <c r="D422" s="159">
        <v>10</v>
      </c>
      <c r="E422" s="166" t="s">
        <v>530</v>
      </c>
    </row>
    <row r="423" spans="1:5">
      <c r="A423" s="159">
        <v>422</v>
      </c>
      <c r="B423" s="163">
        <v>45761</v>
      </c>
      <c r="C423" s="164">
        <v>0.63561342592592596</v>
      </c>
      <c r="D423" s="159">
        <v>10</v>
      </c>
      <c r="E423" s="166" t="s">
        <v>531</v>
      </c>
    </row>
    <row r="424" spans="1:5">
      <c r="A424" s="159">
        <v>423</v>
      </c>
      <c r="B424" s="163">
        <v>45761</v>
      </c>
      <c r="C424" s="164">
        <v>0.63118055555555552</v>
      </c>
      <c r="D424" s="159">
        <v>10</v>
      </c>
      <c r="E424" s="166" t="s">
        <v>532</v>
      </c>
    </row>
    <row r="425" spans="1:5">
      <c r="A425" s="159">
        <v>424</v>
      </c>
      <c r="B425" s="163">
        <v>45761</v>
      </c>
      <c r="C425" s="164">
        <v>0.60443287037037041</v>
      </c>
      <c r="D425" s="159">
        <v>10</v>
      </c>
      <c r="E425" s="166" t="s">
        <v>533</v>
      </c>
    </row>
    <row r="426" spans="1:5">
      <c r="A426" s="159">
        <v>425</v>
      </c>
      <c r="B426" s="163">
        <v>45761</v>
      </c>
      <c r="C426" s="164">
        <v>0.60091435185185182</v>
      </c>
      <c r="D426" s="159">
        <v>10</v>
      </c>
      <c r="E426" s="166" t="s">
        <v>534</v>
      </c>
    </row>
    <row r="427" spans="1:5">
      <c r="A427" s="159">
        <v>426</v>
      </c>
      <c r="B427" s="163">
        <v>45761</v>
      </c>
      <c r="C427" s="164">
        <v>0.59267361111111116</v>
      </c>
      <c r="D427" s="159">
        <v>10</v>
      </c>
      <c r="E427" s="166" t="s">
        <v>535</v>
      </c>
    </row>
    <row r="428" spans="1:5">
      <c r="A428" s="159">
        <v>427</v>
      </c>
      <c r="B428" s="163">
        <v>45761</v>
      </c>
      <c r="C428" s="164">
        <v>0.58483796296296298</v>
      </c>
      <c r="D428" s="159">
        <v>10</v>
      </c>
      <c r="E428" s="166" t="s">
        <v>536</v>
      </c>
    </row>
    <row r="429" spans="1:5">
      <c r="A429" s="159">
        <v>428</v>
      </c>
      <c r="B429" s="163">
        <v>45761</v>
      </c>
      <c r="C429" s="164">
        <v>0.5839699074074074</v>
      </c>
      <c r="D429" s="159">
        <v>10</v>
      </c>
      <c r="E429" s="166" t="s">
        <v>537</v>
      </c>
    </row>
    <row r="430" spans="1:5">
      <c r="A430" s="159">
        <v>429</v>
      </c>
      <c r="B430" s="163">
        <v>45761</v>
      </c>
      <c r="C430" s="164">
        <v>0.58194444444444449</v>
      </c>
      <c r="D430" s="159">
        <v>10</v>
      </c>
      <c r="E430" s="166" t="s">
        <v>538</v>
      </c>
    </row>
    <row r="431" spans="1:5">
      <c r="A431" s="159">
        <v>430</v>
      </c>
      <c r="B431" s="163">
        <v>45761</v>
      </c>
      <c r="C431" s="164">
        <v>0.58170138888888889</v>
      </c>
      <c r="D431" s="159">
        <v>10</v>
      </c>
      <c r="E431" s="166" t="s">
        <v>539</v>
      </c>
    </row>
    <row r="432" spans="1:5">
      <c r="A432" s="159">
        <v>431</v>
      </c>
      <c r="B432" s="163">
        <v>45761</v>
      </c>
      <c r="C432" s="164">
        <v>0.58031250000000001</v>
      </c>
      <c r="D432" s="159">
        <v>10</v>
      </c>
      <c r="E432" s="166" t="s">
        <v>540</v>
      </c>
    </row>
    <row r="433" spans="1:5">
      <c r="A433" s="159">
        <v>432</v>
      </c>
      <c r="B433" s="163">
        <v>45761</v>
      </c>
      <c r="C433" s="164">
        <v>0.5728819444444444</v>
      </c>
      <c r="D433" s="159">
        <v>10</v>
      </c>
      <c r="E433" s="166" t="s">
        <v>541</v>
      </c>
    </row>
    <row r="434" spans="1:5">
      <c r="A434" s="159">
        <v>433</v>
      </c>
      <c r="B434" s="163">
        <v>45761</v>
      </c>
      <c r="C434" s="164">
        <v>0.57238425925925929</v>
      </c>
      <c r="D434" s="159">
        <v>10</v>
      </c>
      <c r="E434" s="166" t="s">
        <v>542</v>
      </c>
    </row>
    <row r="435" spans="1:5" ht="40.5">
      <c r="A435" s="159">
        <v>434</v>
      </c>
      <c r="B435" s="163">
        <v>45761</v>
      </c>
      <c r="C435" s="164">
        <v>0.57069444444444439</v>
      </c>
      <c r="D435" s="159">
        <v>10</v>
      </c>
      <c r="E435" s="166" t="s">
        <v>543</v>
      </c>
    </row>
    <row r="436" spans="1:5">
      <c r="A436" s="159">
        <v>435</v>
      </c>
      <c r="B436" s="163">
        <v>45761</v>
      </c>
      <c r="C436" s="164">
        <v>0.57020833333333332</v>
      </c>
      <c r="D436" s="159">
        <v>10</v>
      </c>
      <c r="E436" s="166" t="s">
        <v>544</v>
      </c>
    </row>
    <row r="437" spans="1:5">
      <c r="A437" s="159">
        <v>436</v>
      </c>
      <c r="B437" s="163">
        <v>45761</v>
      </c>
      <c r="C437" s="164">
        <v>0.56893518518518515</v>
      </c>
      <c r="D437" s="159">
        <v>10</v>
      </c>
      <c r="E437" s="166" t="s">
        <v>545</v>
      </c>
    </row>
    <row r="438" spans="1:5">
      <c r="A438" s="159">
        <v>437</v>
      </c>
      <c r="B438" s="163">
        <v>45761</v>
      </c>
      <c r="C438" s="164">
        <v>0.55431712962962965</v>
      </c>
      <c r="D438" s="159">
        <v>10</v>
      </c>
      <c r="E438" s="166" t="s">
        <v>546</v>
      </c>
    </row>
    <row r="439" spans="1:5">
      <c r="A439" s="159">
        <v>438</v>
      </c>
      <c r="B439" s="163">
        <v>45761</v>
      </c>
      <c r="C439" s="164">
        <v>0.55008101851851854</v>
      </c>
      <c r="D439" s="159">
        <v>10</v>
      </c>
      <c r="E439" s="166" t="s">
        <v>547</v>
      </c>
    </row>
    <row r="440" spans="1:5">
      <c r="A440" s="159">
        <v>439</v>
      </c>
      <c r="B440" s="163">
        <v>45761</v>
      </c>
      <c r="C440" s="164">
        <v>0.51137731481481485</v>
      </c>
      <c r="D440" s="159">
        <v>10</v>
      </c>
      <c r="E440" s="166" t="s">
        <v>548</v>
      </c>
    </row>
    <row r="441" spans="1:5">
      <c r="A441" s="159">
        <v>440</v>
      </c>
      <c r="B441" s="163">
        <v>45761</v>
      </c>
      <c r="C441" s="164">
        <v>0.500462962962963</v>
      </c>
      <c r="D441" s="159">
        <v>10</v>
      </c>
      <c r="E441" s="166" t="s">
        <v>549</v>
      </c>
    </row>
    <row r="442" spans="1:5">
      <c r="A442" s="159">
        <v>441</v>
      </c>
      <c r="B442" s="163">
        <v>45761</v>
      </c>
      <c r="C442" s="164">
        <v>0.48773148148148149</v>
      </c>
      <c r="D442" s="159">
        <v>10</v>
      </c>
      <c r="E442" s="166" t="s">
        <v>132</v>
      </c>
    </row>
    <row r="443" spans="1:5">
      <c r="A443" s="159">
        <v>442</v>
      </c>
      <c r="B443" s="163">
        <v>45761</v>
      </c>
      <c r="C443" s="164">
        <v>0.48561342592592593</v>
      </c>
      <c r="D443" s="159">
        <v>10</v>
      </c>
      <c r="E443" s="166" t="s">
        <v>179</v>
      </c>
    </row>
    <row r="444" spans="1:5">
      <c r="A444" s="159">
        <v>443</v>
      </c>
      <c r="B444" s="163">
        <v>45761</v>
      </c>
      <c r="C444" s="164">
        <v>0.48212962962962963</v>
      </c>
      <c r="D444" s="159">
        <v>10</v>
      </c>
      <c r="E444" s="166" t="s">
        <v>550</v>
      </c>
    </row>
    <row r="445" spans="1:5">
      <c r="A445" s="159">
        <v>444</v>
      </c>
      <c r="B445" s="163">
        <v>45761</v>
      </c>
      <c r="C445" s="164">
        <v>0.47927083333333331</v>
      </c>
      <c r="D445" s="159">
        <v>10</v>
      </c>
      <c r="E445" s="166" t="s">
        <v>551</v>
      </c>
    </row>
    <row r="446" spans="1:5">
      <c r="A446" s="159">
        <v>445</v>
      </c>
      <c r="B446" s="163">
        <v>45761</v>
      </c>
      <c r="C446" s="164">
        <v>0.46921296296296294</v>
      </c>
      <c r="D446" s="159">
        <v>10</v>
      </c>
      <c r="E446" s="166" t="s">
        <v>552</v>
      </c>
    </row>
    <row r="447" spans="1:5">
      <c r="A447" s="159">
        <v>446</v>
      </c>
      <c r="B447" s="163">
        <v>45761</v>
      </c>
      <c r="C447" s="164">
        <v>0.46863425925925928</v>
      </c>
      <c r="D447" s="159">
        <v>10</v>
      </c>
      <c r="E447" s="166" t="s">
        <v>553</v>
      </c>
    </row>
    <row r="448" spans="1:5">
      <c r="A448" s="159">
        <v>447</v>
      </c>
      <c r="B448" s="163">
        <v>45761</v>
      </c>
      <c r="C448" s="164">
        <v>0.45902777777777776</v>
      </c>
      <c r="D448" s="159">
        <v>10</v>
      </c>
      <c r="E448" s="166" t="s">
        <v>554</v>
      </c>
    </row>
    <row r="449" spans="1:5">
      <c r="A449" s="159">
        <v>448</v>
      </c>
      <c r="B449" s="163">
        <v>45761</v>
      </c>
      <c r="C449" s="164">
        <v>0.45078703703703704</v>
      </c>
      <c r="D449" s="159">
        <v>10</v>
      </c>
      <c r="E449" s="166" t="s">
        <v>555</v>
      </c>
    </row>
    <row r="450" spans="1:5">
      <c r="A450" s="159">
        <v>449</v>
      </c>
      <c r="B450" s="163">
        <v>45761</v>
      </c>
      <c r="C450" s="164">
        <v>0.44994212962962965</v>
      </c>
      <c r="D450" s="159">
        <v>10</v>
      </c>
      <c r="E450" s="166" t="s">
        <v>556</v>
      </c>
    </row>
    <row r="451" spans="1:5">
      <c r="A451" s="159">
        <v>450</v>
      </c>
      <c r="B451" s="163">
        <v>45761</v>
      </c>
      <c r="C451" s="164">
        <v>0.4457638888888889</v>
      </c>
      <c r="D451" s="159">
        <v>10</v>
      </c>
      <c r="E451" s="166" t="s">
        <v>557</v>
      </c>
    </row>
    <row r="452" spans="1:5">
      <c r="A452" s="159">
        <v>451</v>
      </c>
      <c r="B452" s="163">
        <v>45761</v>
      </c>
      <c r="C452" s="164">
        <v>0.39679398148148148</v>
      </c>
      <c r="D452" s="159">
        <v>10</v>
      </c>
      <c r="E452" s="166" t="s">
        <v>558</v>
      </c>
    </row>
    <row r="453" spans="1:5">
      <c r="A453" s="159">
        <v>452</v>
      </c>
      <c r="B453" s="163">
        <v>45762</v>
      </c>
      <c r="C453" s="164">
        <v>0.91037037037037039</v>
      </c>
      <c r="D453" s="159">
        <v>10</v>
      </c>
      <c r="E453" s="166" t="s">
        <v>559</v>
      </c>
    </row>
    <row r="454" spans="1:5">
      <c r="A454" s="159">
        <v>453</v>
      </c>
      <c r="B454" s="163">
        <v>45762</v>
      </c>
      <c r="C454" s="164">
        <v>0.85501157407407402</v>
      </c>
      <c r="D454" s="159">
        <v>10</v>
      </c>
      <c r="E454" s="166" t="s">
        <v>560</v>
      </c>
    </row>
    <row r="455" spans="1:5">
      <c r="A455" s="159">
        <v>454</v>
      </c>
      <c r="B455" s="163">
        <v>45762</v>
      </c>
      <c r="C455" s="164">
        <v>0.84152777777777776</v>
      </c>
      <c r="D455" s="159">
        <v>10</v>
      </c>
      <c r="E455" s="166" t="s">
        <v>132</v>
      </c>
    </row>
    <row r="456" spans="1:5">
      <c r="A456" s="159">
        <v>455</v>
      </c>
      <c r="B456" s="163">
        <v>45762</v>
      </c>
      <c r="C456" s="164">
        <v>0.83025462962962959</v>
      </c>
      <c r="D456" s="159">
        <v>10</v>
      </c>
      <c r="E456" s="166" t="s">
        <v>561</v>
      </c>
    </row>
    <row r="457" spans="1:5">
      <c r="A457" s="159">
        <v>456</v>
      </c>
      <c r="B457" s="163">
        <v>45762</v>
      </c>
      <c r="C457" s="164">
        <v>0.82486111111111116</v>
      </c>
      <c r="D457" s="159">
        <v>10</v>
      </c>
      <c r="E457" s="166" t="s">
        <v>562</v>
      </c>
    </row>
    <row r="458" spans="1:5">
      <c r="A458" s="159">
        <v>457</v>
      </c>
      <c r="B458" s="163">
        <v>45762</v>
      </c>
      <c r="C458" s="164">
        <v>0.81812499999999999</v>
      </c>
      <c r="D458" s="159">
        <v>10</v>
      </c>
      <c r="E458" s="166" t="s">
        <v>273</v>
      </c>
    </row>
    <row r="459" spans="1:5">
      <c r="A459" s="159">
        <v>458</v>
      </c>
      <c r="B459" s="163">
        <v>45762</v>
      </c>
      <c r="C459" s="164">
        <v>0.78143518518518518</v>
      </c>
      <c r="D459" s="159">
        <v>10</v>
      </c>
      <c r="E459" s="166" t="s">
        <v>563</v>
      </c>
    </row>
    <row r="460" spans="1:5">
      <c r="A460" s="159">
        <v>459</v>
      </c>
      <c r="B460" s="163">
        <v>45762</v>
      </c>
      <c r="C460" s="164">
        <v>0.7767708333333333</v>
      </c>
      <c r="D460" s="159">
        <v>10</v>
      </c>
      <c r="E460" s="166" t="s">
        <v>564</v>
      </c>
    </row>
    <row r="461" spans="1:5">
      <c r="A461" s="159">
        <v>460</v>
      </c>
      <c r="B461" s="163">
        <v>45762</v>
      </c>
      <c r="C461" s="164">
        <v>0.73546296296296299</v>
      </c>
      <c r="D461" s="159">
        <v>10</v>
      </c>
      <c r="E461" s="166" t="s">
        <v>565</v>
      </c>
    </row>
    <row r="462" spans="1:5">
      <c r="A462" s="159">
        <v>461</v>
      </c>
      <c r="B462" s="163">
        <v>45762</v>
      </c>
      <c r="C462" s="164">
        <v>0.73130787037037037</v>
      </c>
      <c r="D462" s="159">
        <v>10</v>
      </c>
      <c r="E462" s="166" t="s">
        <v>566</v>
      </c>
    </row>
    <row r="463" spans="1:5">
      <c r="A463" s="159">
        <v>462</v>
      </c>
      <c r="B463" s="163">
        <v>45762</v>
      </c>
      <c r="C463" s="164">
        <v>0.72863425925925929</v>
      </c>
      <c r="D463" s="159">
        <v>10</v>
      </c>
      <c r="E463" s="166" t="s">
        <v>567</v>
      </c>
    </row>
    <row r="464" spans="1:5">
      <c r="A464" s="159">
        <v>463</v>
      </c>
      <c r="B464" s="163">
        <v>45762</v>
      </c>
      <c r="C464" s="164">
        <v>0.7286111111111111</v>
      </c>
      <c r="D464" s="159">
        <v>10</v>
      </c>
      <c r="E464" s="166" t="s">
        <v>568</v>
      </c>
    </row>
    <row r="465" spans="1:5">
      <c r="A465" s="159">
        <v>464</v>
      </c>
      <c r="B465" s="163">
        <v>45762</v>
      </c>
      <c r="C465" s="164">
        <v>0.72837962962962965</v>
      </c>
      <c r="D465" s="159">
        <v>10</v>
      </c>
      <c r="E465" s="166" t="s">
        <v>569</v>
      </c>
    </row>
    <row r="466" spans="1:5">
      <c r="A466" s="159">
        <v>465</v>
      </c>
      <c r="B466" s="163">
        <v>45762</v>
      </c>
      <c r="C466" s="164">
        <v>0.72658564814814819</v>
      </c>
      <c r="D466" s="159">
        <v>10</v>
      </c>
      <c r="E466" s="166" t="s">
        <v>570</v>
      </c>
    </row>
    <row r="467" spans="1:5">
      <c r="A467" s="159">
        <v>466</v>
      </c>
      <c r="B467" s="163">
        <v>45762</v>
      </c>
      <c r="C467" s="164">
        <v>0.71247685185185183</v>
      </c>
      <c r="D467" s="159">
        <v>10</v>
      </c>
      <c r="E467" s="166" t="s">
        <v>571</v>
      </c>
    </row>
    <row r="468" spans="1:5">
      <c r="A468" s="159">
        <v>467</v>
      </c>
      <c r="B468" s="163">
        <v>45762</v>
      </c>
      <c r="C468" s="164">
        <v>0.70135416666666661</v>
      </c>
      <c r="D468" s="159">
        <v>10</v>
      </c>
      <c r="E468" s="166" t="s">
        <v>572</v>
      </c>
    </row>
    <row r="469" spans="1:5">
      <c r="A469" s="159">
        <v>468</v>
      </c>
      <c r="B469" s="163">
        <v>45762</v>
      </c>
      <c r="C469" s="164">
        <v>0.6905324074074074</v>
      </c>
      <c r="D469" s="159">
        <v>10</v>
      </c>
      <c r="E469" s="166" t="s">
        <v>573</v>
      </c>
    </row>
    <row r="470" spans="1:5">
      <c r="A470" s="159">
        <v>469</v>
      </c>
      <c r="B470" s="163">
        <v>45762</v>
      </c>
      <c r="C470" s="164">
        <v>0.68072916666666672</v>
      </c>
      <c r="D470" s="159">
        <v>10</v>
      </c>
      <c r="E470" s="166" t="s">
        <v>574</v>
      </c>
    </row>
    <row r="471" spans="1:5">
      <c r="A471" s="159">
        <v>470</v>
      </c>
      <c r="B471" s="163">
        <v>45762</v>
      </c>
      <c r="C471" s="164">
        <v>0.6731018518518519</v>
      </c>
      <c r="D471" s="159">
        <v>10</v>
      </c>
      <c r="E471" s="166" t="s">
        <v>575</v>
      </c>
    </row>
    <row r="472" spans="1:5">
      <c r="A472" s="159">
        <v>471</v>
      </c>
      <c r="B472" s="163">
        <v>45762</v>
      </c>
      <c r="C472" s="164">
        <v>0.67138888888888892</v>
      </c>
      <c r="D472" s="159">
        <v>10</v>
      </c>
      <c r="E472" s="166" t="s">
        <v>576</v>
      </c>
    </row>
    <row r="473" spans="1:5">
      <c r="A473" s="159">
        <v>472</v>
      </c>
      <c r="B473" s="163">
        <v>45762</v>
      </c>
      <c r="C473" s="164">
        <v>0.6684606481481481</v>
      </c>
      <c r="D473" s="159">
        <v>10</v>
      </c>
      <c r="E473" s="166" t="s">
        <v>577</v>
      </c>
    </row>
    <row r="474" spans="1:5">
      <c r="A474" s="159">
        <v>473</v>
      </c>
      <c r="B474" s="163">
        <v>45762</v>
      </c>
      <c r="C474" s="164">
        <v>0.66829861111111111</v>
      </c>
      <c r="D474" s="159">
        <v>10</v>
      </c>
      <c r="E474" s="166" t="s">
        <v>578</v>
      </c>
    </row>
    <row r="475" spans="1:5">
      <c r="A475" s="159">
        <v>474</v>
      </c>
      <c r="B475" s="163">
        <v>45762</v>
      </c>
      <c r="C475" s="164">
        <v>0.66673611111111108</v>
      </c>
      <c r="D475" s="159">
        <v>10</v>
      </c>
      <c r="E475" s="166" t="s">
        <v>579</v>
      </c>
    </row>
    <row r="476" spans="1:5">
      <c r="A476" s="159">
        <v>475</v>
      </c>
      <c r="B476" s="163">
        <v>45762</v>
      </c>
      <c r="C476" s="164">
        <v>0.66197916666666667</v>
      </c>
      <c r="D476" s="159">
        <v>9</v>
      </c>
      <c r="E476" s="166" t="s">
        <v>580</v>
      </c>
    </row>
    <row r="477" spans="1:5">
      <c r="A477" s="159">
        <v>476</v>
      </c>
      <c r="B477" s="163">
        <v>45762</v>
      </c>
      <c r="C477" s="164">
        <v>0.64803240740740742</v>
      </c>
      <c r="D477" s="159">
        <v>10</v>
      </c>
      <c r="E477" s="166" t="s">
        <v>581</v>
      </c>
    </row>
    <row r="478" spans="1:5">
      <c r="A478" s="159">
        <v>477</v>
      </c>
      <c r="B478" s="163">
        <v>45762</v>
      </c>
      <c r="C478" s="164">
        <v>0.64078703703703699</v>
      </c>
      <c r="D478" s="159">
        <v>10</v>
      </c>
      <c r="E478" s="166" t="s">
        <v>346</v>
      </c>
    </row>
    <row r="479" spans="1:5">
      <c r="A479" s="159">
        <v>478</v>
      </c>
      <c r="B479" s="163">
        <v>45762</v>
      </c>
      <c r="C479" s="164">
        <v>0.64024305555555561</v>
      </c>
      <c r="D479" s="159">
        <v>10</v>
      </c>
      <c r="E479" s="166" t="s">
        <v>582</v>
      </c>
    </row>
    <row r="480" spans="1:5">
      <c r="A480" s="159">
        <v>479</v>
      </c>
      <c r="B480" s="163">
        <v>45762</v>
      </c>
      <c r="C480" s="164">
        <v>0.63627314814814817</v>
      </c>
      <c r="D480" s="159">
        <v>10</v>
      </c>
      <c r="E480" s="166" t="s">
        <v>583</v>
      </c>
    </row>
    <row r="481" spans="1:5">
      <c r="A481" s="159">
        <v>480</v>
      </c>
      <c r="B481" s="163">
        <v>45762</v>
      </c>
      <c r="C481" s="164">
        <v>0.63151620370370365</v>
      </c>
      <c r="D481" s="159">
        <v>10</v>
      </c>
      <c r="E481" s="166" t="s">
        <v>584</v>
      </c>
    </row>
    <row r="482" spans="1:5">
      <c r="A482" s="159">
        <v>481</v>
      </c>
      <c r="B482" s="163">
        <v>45762</v>
      </c>
      <c r="C482" s="164">
        <v>0.62287037037037041</v>
      </c>
      <c r="D482" s="159">
        <v>10</v>
      </c>
      <c r="E482" s="166" t="s">
        <v>585</v>
      </c>
    </row>
    <row r="483" spans="1:5">
      <c r="A483" s="159">
        <v>482</v>
      </c>
      <c r="B483" s="163">
        <v>45762</v>
      </c>
      <c r="C483" s="164">
        <v>0.62109953703703702</v>
      </c>
      <c r="D483" s="159">
        <v>10</v>
      </c>
      <c r="E483" s="166" t="s">
        <v>313</v>
      </c>
    </row>
    <row r="484" spans="1:5">
      <c r="A484" s="159">
        <v>483</v>
      </c>
      <c r="B484" s="163">
        <v>45762</v>
      </c>
      <c r="C484" s="164">
        <v>0.62026620370370367</v>
      </c>
      <c r="D484" s="159">
        <v>10</v>
      </c>
      <c r="E484" s="166" t="s">
        <v>586</v>
      </c>
    </row>
    <row r="485" spans="1:5">
      <c r="A485" s="159">
        <v>484</v>
      </c>
      <c r="B485" s="163">
        <v>45762</v>
      </c>
      <c r="C485" s="164">
        <v>0.61652777777777779</v>
      </c>
      <c r="D485" s="159">
        <v>10</v>
      </c>
      <c r="E485" s="166" t="s">
        <v>587</v>
      </c>
    </row>
    <row r="486" spans="1:5">
      <c r="A486" s="159">
        <v>485</v>
      </c>
      <c r="B486" s="163">
        <v>45762</v>
      </c>
      <c r="C486" s="164">
        <v>0.61020833333333335</v>
      </c>
      <c r="D486" s="159">
        <v>10</v>
      </c>
      <c r="E486" s="166" t="s">
        <v>588</v>
      </c>
    </row>
    <row r="487" spans="1:5" ht="27">
      <c r="A487" s="159">
        <v>486</v>
      </c>
      <c r="B487" s="163">
        <v>45762</v>
      </c>
      <c r="C487" s="164">
        <v>0.60231481481481486</v>
      </c>
      <c r="D487" s="159">
        <v>10</v>
      </c>
      <c r="E487" s="166" t="s">
        <v>589</v>
      </c>
    </row>
    <row r="488" spans="1:5">
      <c r="A488" s="159">
        <v>487</v>
      </c>
      <c r="B488" s="163">
        <v>45762</v>
      </c>
      <c r="C488" s="164">
        <v>0.59987268518518522</v>
      </c>
      <c r="D488" s="159">
        <v>10</v>
      </c>
      <c r="E488" s="166" t="s">
        <v>418</v>
      </c>
    </row>
    <row r="489" spans="1:5" ht="27">
      <c r="A489" s="159">
        <v>488</v>
      </c>
      <c r="B489" s="163">
        <v>45762</v>
      </c>
      <c r="C489" s="164">
        <v>0.59074074074074079</v>
      </c>
      <c r="D489" s="159">
        <v>10</v>
      </c>
      <c r="E489" s="166" t="s">
        <v>590</v>
      </c>
    </row>
    <row r="490" spans="1:5">
      <c r="A490" s="159">
        <v>489</v>
      </c>
      <c r="B490" s="163">
        <v>45762</v>
      </c>
      <c r="C490" s="164">
        <v>0.5818402777777778</v>
      </c>
      <c r="D490" s="159">
        <v>10</v>
      </c>
      <c r="E490" s="166" t="s">
        <v>591</v>
      </c>
    </row>
    <row r="491" spans="1:5">
      <c r="A491" s="159">
        <v>490</v>
      </c>
      <c r="B491" s="163">
        <v>45762</v>
      </c>
      <c r="C491" s="164">
        <v>0.5602314814814815</v>
      </c>
      <c r="D491" s="159">
        <v>10</v>
      </c>
      <c r="E491" s="166" t="s">
        <v>592</v>
      </c>
    </row>
    <row r="492" spans="1:5">
      <c r="A492" s="159">
        <v>491</v>
      </c>
      <c r="B492" s="163">
        <v>45762</v>
      </c>
      <c r="C492" s="164">
        <v>0.49087962962962961</v>
      </c>
      <c r="D492" s="159">
        <v>10</v>
      </c>
      <c r="E492" s="166" t="s">
        <v>593</v>
      </c>
    </row>
    <row r="493" spans="1:5" ht="135">
      <c r="A493" s="159">
        <v>492</v>
      </c>
      <c r="B493" s="163">
        <v>45762</v>
      </c>
      <c r="C493" s="164">
        <v>0.47787037037037039</v>
      </c>
      <c r="D493" s="159">
        <v>10</v>
      </c>
      <c r="E493" s="166" t="s">
        <v>594</v>
      </c>
    </row>
    <row r="494" spans="1:5">
      <c r="A494" s="159">
        <v>493</v>
      </c>
      <c r="B494" s="163">
        <v>45762</v>
      </c>
      <c r="C494" s="164">
        <v>0.47489583333333335</v>
      </c>
      <c r="D494" s="159">
        <v>10</v>
      </c>
      <c r="E494" s="166" t="s">
        <v>595</v>
      </c>
    </row>
    <row r="495" spans="1:5">
      <c r="A495" s="159">
        <v>494</v>
      </c>
      <c r="B495" s="163">
        <v>45762</v>
      </c>
      <c r="C495" s="164">
        <v>0.47359953703703705</v>
      </c>
      <c r="D495" s="159">
        <v>10</v>
      </c>
      <c r="E495" s="166" t="s">
        <v>596</v>
      </c>
    </row>
    <row r="496" spans="1:5">
      <c r="A496" s="159">
        <v>495</v>
      </c>
      <c r="B496" s="163">
        <v>45762</v>
      </c>
      <c r="C496" s="164">
        <v>0.47215277777777775</v>
      </c>
      <c r="D496" s="159">
        <v>10</v>
      </c>
      <c r="E496" s="166" t="s">
        <v>597</v>
      </c>
    </row>
    <row r="497" spans="1:5">
      <c r="A497" s="159">
        <v>496</v>
      </c>
      <c r="B497" s="163">
        <v>45762</v>
      </c>
      <c r="C497" s="164">
        <v>0.45490740740740743</v>
      </c>
      <c r="D497" s="159">
        <v>10</v>
      </c>
      <c r="E497" s="166" t="s">
        <v>598</v>
      </c>
    </row>
    <row r="498" spans="1:5">
      <c r="A498" s="159">
        <v>497</v>
      </c>
      <c r="B498" s="163">
        <v>45762</v>
      </c>
      <c r="C498" s="164">
        <v>0.44578703703703704</v>
      </c>
      <c r="D498" s="159">
        <v>10</v>
      </c>
      <c r="E498" s="166" t="s">
        <v>599</v>
      </c>
    </row>
    <row r="499" spans="1:5">
      <c r="A499" s="159">
        <v>498</v>
      </c>
      <c r="B499" s="163">
        <v>45762</v>
      </c>
      <c r="C499" s="164">
        <v>0.43534722222222222</v>
      </c>
      <c r="D499" s="159">
        <v>10</v>
      </c>
      <c r="E499" s="166" t="s">
        <v>600</v>
      </c>
    </row>
    <row r="500" spans="1:5" ht="27">
      <c r="A500" s="159">
        <v>499</v>
      </c>
      <c r="B500" s="163">
        <v>45762</v>
      </c>
      <c r="C500" s="164">
        <v>0.41516203703703702</v>
      </c>
      <c r="D500" s="159">
        <v>10</v>
      </c>
      <c r="E500" s="166" t="s">
        <v>601</v>
      </c>
    </row>
    <row r="501" spans="1:5">
      <c r="A501" s="159">
        <f t="shared" ref="A501:A564" si="0">ROW()-1</f>
        <v>500</v>
      </c>
      <c r="B501" s="163">
        <v>45763</v>
      </c>
      <c r="C501" s="164">
        <v>0.91290509259259256</v>
      </c>
      <c r="D501" s="159">
        <v>10</v>
      </c>
      <c r="E501" s="166" t="s">
        <v>602</v>
      </c>
    </row>
    <row r="502" spans="1:5" ht="27">
      <c r="A502" s="159">
        <f t="shared" si="0"/>
        <v>501</v>
      </c>
      <c r="B502" s="163">
        <v>45763</v>
      </c>
      <c r="C502" s="164">
        <v>0.89567129629629627</v>
      </c>
      <c r="D502" s="159">
        <v>10</v>
      </c>
      <c r="E502" s="166" t="s">
        <v>603</v>
      </c>
    </row>
    <row r="503" spans="1:5">
      <c r="A503" s="159">
        <f t="shared" si="0"/>
        <v>502</v>
      </c>
      <c r="B503" s="163">
        <v>45763</v>
      </c>
      <c r="C503" s="164">
        <v>0.88576388888888891</v>
      </c>
      <c r="D503" s="159">
        <v>10</v>
      </c>
      <c r="E503" s="166" t="s">
        <v>604</v>
      </c>
    </row>
    <row r="504" spans="1:5">
      <c r="A504" s="159">
        <f t="shared" si="0"/>
        <v>503</v>
      </c>
      <c r="B504" s="163">
        <v>45763</v>
      </c>
      <c r="C504" s="164">
        <v>0.85848379629629634</v>
      </c>
      <c r="D504" s="159">
        <v>10</v>
      </c>
      <c r="E504" s="166" t="s">
        <v>605</v>
      </c>
    </row>
    <row r="505" spans="1:5">
      <c r="A505" s="159">
        <f t="shared" si="0"/>
        <v>504</v>
      </c>
      <c r="B505" s="163">
        <v>45763</v>
      </c>
      <c r="C505" s="164">
        <v>0.83939814814814817</v>
      </c>
      <c r="D505" s="159">
        <v>10</v>
      </c>
      <c r="E505" s="166" t="s">
        <v>606</v>
      </c>
    </row>
    <row r="506" spans="1:5">
      <c r="A506" s="159">
        <f t="shared" si="0"/>
        <v>505</v>
      </c>
      <c r="B506" s="163">
        <v>45763</v>
      </c>
      <c r="C506" s="164">
        <v>0.83958333333333335</v>
      </c>
      <c r="D506" s="159">
        <v>10</v>
      </c>
      <c r="E506" s="166" t="s">
        <v>607</v>
      </c>
    </row>
    <row r="507" spans="1:5">
      <c r="A507" s="159">
        <f t="shared" si="0"/>
        <v>506</v>
      </c>
      <c r="B507" s="163">
        <v>45763</v>
      </c>
      <c r="C507" s="164">
        <v>0.83041666666666669</v>
      </c>
      <c r="D507" s="159">
        <v>10</v>
      </c>
      <c r="E507" s="166" t="s">
        <v>608</v>
      </c>
    </row>
    <row r="508" spans="1:5">
      <c r="A508" s="159">
        <f t="shared" si="0"/>
        <v>507</v>
      </c>
      <c r="B508" s="163">
        <v>45763</v>
      </c>
      <c r="C508" s="164">
        <v>0.78920138888888891</v>
      </c>
      <c r="D508" s="159">
        <v>10</v>
      </c>
      <c r="E508" s="166" t="s">
        <v>609</v>
      </c>
    </row>
    <row r="509" spans="1:5">
      <c r="A509" s="159">
        <f t="shared" si="0"/>
        <v>508</v>
      </c>
      <c r="B509" s="163">
        <v>45763</v>
      </c>
      <c r="C509" s="164">
        <v>0.75027777777777782</v>
      </c>
      <c r="D509" s="159">
        <v>10</v>
      </c>
      <c r="E509" s="166" t="s">
        <v>610</v>
      </c>
    </row>
    <row r="510" spans="1:5" ht="27">
      <c r="A510" s="159">
        <f t="shared" si="0"/>
        <v>509</v>
      </c>
      <c r="B510" s="163">
        <v>45763</v>
      </c>
      <c r="C510" s="164">
        <v>0.74763888888888885</v>
      </c>
      <c r="D510" s="159">
        <v>10</v>
      </c>
      <c r="E510" s="166" t="s">
        <v>611</v>
      </c>
    </row>
    <row r="511" spans="1:5">
      <c r="A511" s="159">
        <f t="shared" si="0"/>
        <v>510</v>
      </c>
      <c r="B511" s="163">
        <v>45763</v>
      </c>
      <c r="C511" s="164">
        <v>0.74048611111111107</v>
      </c>
      <c r="D511" s="159">
        <v>10</v>
      </c>
      <c r="E511" s="166" t="s">
        <v>612</v>
      </c>
    </row>
    <row r="512" spans="1:5">
      <c r="A512" s="159">
        <f t="shared" si="0"/>
        <v>511</v>
      </c>
      <c r="B512" s="163">
        <v>45763</v>
      </c>
      <c r="C512" s="164">
        <v>0.72493055555555552</v>
      </c>
      <c r="D512" s="159">
        <v>10</v>
      </c>
      <c r="E512" s="166" t="s">
        <v>613</v>
      </c>
    </row>
    <row r="513" spans="1:5">
      <c r="A513" s="159">
        <f t="shared" si="0"/>
        <v>512</v>
      </c>
      <c r="B513" s="163">
        <v>45763</v>
      </c>
      <c r="C513" s="164">
        <v>0.70657407407407402</v>
      </c>
      <c r="D513" s="159">
        <v>10</v>
      </c>
      <c r="E513" s="166" t="s">
        <v>614</v>
      </c>
    </row>
    <row r="514" spans="1:5" ht="40.5">
      <c r="A514" s="159">
        <f t="shared" si="0"/>
        <v>513</v>
      </c>
      <c r="B514" s="163">
        <v>45763</v>
      </c>
      <c r="C514" s="164">
        <v>0.70159722222222221</v>
      </c>
      <c r="D514" s="159">
        <v>10</v>
      </c>
      <c r="E514" s="166" t="s">
        <v>615</v>
      </c>
    </row>
    <row r="515" spans="1:5">
      <c r="A515" s="159">
        <f t="shared" si="0"/>
        <v>514</v>
      </c>
      <c r="B515" s="163">
        <v>45763</v>
      </c>
      <c r="C515" s="164">
        <v>0.70082175925925927</v>
      </c>
      <c r="D515" s="159">
        <v>10</v>
      </c>
      <c r="E515" s="166" t="s">
        <v>616</v>
      </c>
    </row>
    <row r="516" spans="1:5">
      <c r="A516" s="159">
        <f t="shared" si="0"/>
        <v>515</v>
      </c>
      <c r="B516" s="163">
        <v>45763</v>
      </c>
      <c r="C516" s="164">
        <v>0.69369212962962967</v>
      </c>
      <c r="D516" s="159">
        <v>10</v>
      </c>
      <c r="E516" s="166" t="s">
        <v>617</v>
      </c>
    </row>
    <row r="517" spans="1:5">
      <c r="A517" s="159">
        <f t="shared" si="0"/>
        <v>516</v>
      </c>
      <c r="B517" s="163">
        <v>45763</v>
      </c>
      <c r="C517" s="164">
        <v>0.6897106481481482</v>
      </c>
      <c r="D517" s="159">
        <v>10</v>
      </c>
      <c r="E517" s="166" t="s">
        <v>618</v>
      </c>
    </row>
    <row r="518" spans="1:5">
      <c r="A518" s="159">
        <f t="shared" si="0"/>
        <v>517</v>
      </c>
      <c r="B518" s="163">
        <v>45763</v>
      </c>
      <c r="C518" s="164">
        <v>0.6802083333333333</v>
      </c>
      <c r="D518" s="159">
        <v>10</v>
      </c>
      <c r="E518" s="166" t="s">
        <v>619</v>
      </c>
    </row>
    <row r="519" spans="1:5">
      <c r="A519" s="159">
        <f t="shared" si="0"/>
        <v>518</v>
      </c>
      <c r="B519" s="163">
        <v>45763</v>
      </c>
      <c r="C519" s="164">
        <v>0.67917824074074074</v>
      </c>
      <c r="D519" s="159">
        <v>10</v>
      </c>
      <c r="E519" s="166" t="s">
        <v>620</v>
      </c>
    </row>
    <row r="520" spans="1:5">
      <c r="A520" s="159">
        <f t="shared" si="0"/>
        <v>519</v>
      </c>
      <c r="B520" s="163">
        <v>45763</v>
      </c>
      <c r="C520" s="164">
        <v>0.6755902777777778</v>
      </c>
      <c r="D520" s="159">
        <v>10</v>
      </c>
      <c r="E520" s="166" t="s">
        <v>621</v>
      </c>
    </row>
    <row r="521" spans="1:5">
      <c r="A521" s="159">
        <f t="shared" si="0"/>
        <v>520</v>
      </c>
      <c r="B521" s="163">
        <v>45763</v>
      </c>
      <c r="C521" s="164">
        <v>0.66136574074074073</v>
      </c>
      <c r="D521" s="159">
        <v>10</v>
      </c>
      <c r="E521" s="166" t="s">
        <v>622</v>
      </c>
    </row>
    <row r="522" spans="1:5">
      <c r="A522" s="159">
        <f t="shared" si="0"/>
        <v>521</v>
      </c>
      <c r="B522" s="163">
        <v>45763</v>
      </c>
      <c r="C522" s="164">
        <v>0.66089120370370369</v>
      </c>
      <c r="D522" s="159">
        <v>10</v>
      </c>
      <c r="E522" s="166" t="s">
        <v>623</v>
      </c>
    </row>
    <row r="523" spans="1:5">
      <c r="A523" s="159">
        <f t="shared" si="0"/>
        <v>522</v>
      </c>
      <c r="B523" s="163">
        <v>45763</v>
      </c>
      <c r="C523" s="164">
        <v>0.65425925925925921</v>
      </c>
      <c r="D523" s="159">
        <v>10</v>
      </c>
      <c r="E523" s="166" t="s">
        <v>624</v>
      </c>
    </row>
    <row r="524" spans="1:5" ht="27">
      <c r="A524" s="159">
        <f t="shared" si="0"/>
        <v>523</v>
      </c>
      <c r="B524" s="163">
        <v>45763</v>
      </c>
      <c r="C524" s="164">
        <v>0.63438657407407406</v>
      </c>
      <c r="D524" s="159">
        <v>10</v>
      </c>
      <c r="E524" s="166" t="s">
        <v>625</v>
      </c>
    </row>
    <row r="525" spans="1:5">
      <c r="A525" s="159">
        <f t="shared" si="0"/>
        <v>524</v>
      </c>
      <c r="B525" s="163">
        <v>45763</v>
      </c>
      <c r="C525" s="164">
        <v>0.6215856481481481</v>
      </c>
      <c r="D525" s="159">
        <v>10</v>
      </c>
      <c r="E525" s="166" t="s">
        <v>626</v>
      </c>
    </row>
    <row r="526" spans="1:5">
      <c r="A526" s="159">
        <f t="shared" si="0"/>
        <v>525</v>
      </c>
      <c r="B526" s="163">
        <v>45763</v>
      </c>
      <c r="C526" s="164">
        <v>0.61909722222222219</v>
      </c>
      <c r="D526" s="159">
        <v>10</v>
      </c>
      <c r="E526" s="166" t="s">
        <v>627</v>
      </c>
    </row>
    <row r="527" spans="1:5">
      <c r="A527" s="159">
        <f t="shared" si="0"/>
        <v>526</v>
      </c>
      <c r="B527" s="163">
        <v>45763</v>
      </c>
      <c r="C527" s="164">
        <v>0.61239583333333336</v>
      </c>
      <c r="D527" s="159">
        <v>10</v>
      </c>
      <c r="E527" s="166" t="s">
        <v>628</v>
      </c>
    </row>
    <row r="528" spans="1:5" ht="27">
      <c r="A528" s="159">
        <f t="shared" si="0"/>
        <v>527</v>
      </c>
      <c r="B528" s="163">
        <v>45763</v>
      </c>
      <c r="C528" s="164">
        <v>0.60763888888888884</v>
      </c>
      <c r="D528" s="159">
        <v>10</v>
      </c>
      <c r="E528" s="166" t="s">
        <v>629</v>
      </c>
    </row>
    <row r="529" spans="1:5">
      <c r="A529" s="159">
        <f t="shared" si="0"/>
        <v>528</v>
      </c>
      <c r="B529" s="163">
        <v>45763</v>
      </c>
      <c r="C529" s="164">
        <v>0.60311342592592587</v>
      </c>
      <c r="D529" s="159">
        <v>10</v>
      </c>
      <c r="E529" s="166" t="s">
        <v>630</v>
      </c>
    </row>
    <row r="530" spans="1:5">
      <c r="A530" s="159">
        <f t="shared" si="0"/>
        <v>529</v>
      </c>
      <c r="B530" s="163">
        <v>45763</v>
      </c>
      <c r="C530" s="164">
        <v>0.60105324074074074</v>
      </c>
      <c r="D530" s="159">
        <v>10</v>
      </c>
      <c r="E530" s="166" t="s">
        <v>631</v>
      </c>
    </row>
    <row r="531" spans="1:5">
      <c r="A531" s="159">
        <f t="shared" si="0"/>
        <v>530</v>
      </c>
      <c r="B531" s="163">
        <v>45763</v>
      </c>
      <c r="C531" s="164">
        <v>0.59912037037037036</v>
      </c>
      <c r="D531" s="159">
        <v>10</v>
      </c>
      <c r="E531" s="166" t="s">
        <v>632</v>
      </c>
    </row>
    <row r="532" spans="1:5">
      <c r="A532" s="159">
        <f t="shared" si="0"/>
        <v>531</v>
      </c>
      <c r="B532" s="163">
        <v>45763</v>
      </c>
      <c r="C532" s="164">
        <v>0.59589120370370374</v>
      </c>
      <c r="D532" s="159">
        <v>10</v>
      </c>
      <c r="E532" s="166" t="s">
        <v>633</v>
      </c>
    </row>
    <row r="533" spans="1:5">
      <c r="A533" s="159">
        <f t="shared" si="0"/>
        <v>532</v>
      </c>
      <c r="B533" s="163">
        <v>45763</v>
      </c>
      <c r="C533" s="164">
        <v>0.58140046296296299</v>
      </c>
      <c r="D533" s="159">
        <v>10</v>
      </c>
      <c r="E533" s="166" t="s">
        <v>634</v>
      </c>
    </row>
    <row r="534" spans="1:5">
      <c r="A534" s="159">
        <f t="shared" si="0"/>
        <v>533</v>
      </c>
      <c r="B534" s="163">
        <v>45763</v>
      </c>
      <c r="C534" s="164">
        <v>0.57898148148148143</v>
      </c>
      <c r="D534" s="159">
        <v>10</v>
      </c>
      <c r="E534" s="166" t="s">
        <v>635</v>
      </c>
    </row>
    <row r="535" spans="1:5">
      <c r="A535" s="159">
        <f t="shared" si="0"/>
        <v>534</v>
      </c>
      <c r="B535" s="163">
        <v>45763</v>
      </c>
      <c r="C535" s="164">
        <v>0.57800925925925928</v>
      </c>
      <c r="D535" s="159">
        <v>10</v>
      </c>
      <c r="E535" s="166" t="s">
        <v>636</v>
      </c>
    </row>
    <row r="536" spans="1:5">
      <c r="A536" s="159">
        <f t="shared" si="0"/>
        <v>535</v>
      </c>
      <c r="B536" s="163">
        <v>45763</v>
      </c>
      <c r="C536" s="164">
        <v>0.56179398148148152</v>
      </c>
      <c r="D536" s="159">
        <v>10</v>
      </c>
      <c r="E536" s="166" t="s">
        <v>637</v>
      </c>
    </row>
    <row r="537" spans="1:5">
      <c r="A537" s="159">
        <f t="shared" si="0"/>
        <v>536</v>
      </c>
      <c r="B537" s="163">
        <v>45763</v>
      </c>
      <c r="C537" s="164">
        <v>0.55017361111111107</v>
      </c>
      <c r="D537" s="159">
        <v>10</v>
      </c>
      <c r="E537" s="166" t="s">
        <v>638</v>
      </c>
    </row>
    <row r="538" spans="1:5">
      <c r="A538" s="159">
        <f t="shared" si="0"/>
        <v>537</v>
      </c>
      <c r="B538" s="163">
        <v>45763</v>
      </c>
      <c r="C538" s="164">
        <v>0.50040509259259258</v>
      </c>
      <c r="D538" s="159">
        <v>10</v>
      </c>
      <c r="E538" s="166" t="s">
        <v>639</v>
      </c>
    </row>
    <row r="539" spans="1:5">
      <c r="A539" s="159">
        <f t="shared" si="0"/>
        <v>538</v>
      </c>
      <c r="B539" s="163">
        <v>45763</v>
      </c>
      <c r="C539" s="164">
        <v>0.48878472222222225</v>
      </c>
      <c r="D539" s="159">
        <v>10</v>
      </c>
      <c r="E539" s="166" t="s">
        <v>640</v>
      </c>
    </row>
    <row r="540" spans="1:5">
      <c r="A540" s="159">
        <f t="shared" si="0"/>
        <v>539</v>
      </c>
      <c r="B540" s="163">
        <v>45763</v>
      </c>
      <c r="C540" s="164">
        <v>0.48854166666666665</v>
      </c>
      <c r="D540" s="159">
        <v>10</v>
      </c>
      <c r="E540" s="166" t="s">
        <v>448</v>
      </c>
    </row>
    <row r="541" spans="1:5">
      <c r="A541" s="159">
        <f t="shared" si="0"/>
        <v>540</v>
      </c>
      <c r="B541" s="163">
        <v>45763</v>
      </c>
      <c r="C541" s="164">
        <v>0.4758101851851852</v>
      </c>
      <c r="D541" s="159">
        <v>10</v>
      </c>
      <c r="E541" s="166" t="s">
        <v>641</v>
      </c>
    </row>
    <row r="542" spans="1:5">
      <c r="A542" s="159">
        <f t="shared" si="0"/>
        <v>541</v>
      </c>
      <c r="B542" s="163">
        <v>45763</v>
      </c>
      <c r="C542" s="164">
        <v>0.45998842592592593</v>
      </c>
      <c r="D542" s="159">
        <v>10</v>
      </c>
      <c r="E542" s="166" t="s">
        <v>642</v>
      </c>
    </row>
    <row r="543" spans="1:5">
      <c r="A543" s="159">
        <f t="shared" si="0"/>
        <v>542</v>
      </c>
      <c r="B543" s="163">
        <v>45763</v>
      </c>
      <c r="C543" s="164">
        <v>0.44936342592592593</v>
      </c>
      <c r="D543" s="159">
        <v>10</v>
      </c>
      <c r="E543" s="166" t="s">
        <v>643</v>
      </c>
    </row>
    <row r="544" spans="1:5">
      <c r="A544" s="159">
        <f t="shared" si="0"/>
        <v>543</v>
      </c>
      <c r="B544" s="163">
        <v>45763</v>
      </c>
      <c r="C544" s="164">
        <v>0.44707175925925924</v>
      </c>
      <c r="D544" s="159">
        <v>10</v>
      </c>
      <c r="E544" s="166" t="s">
        <v>644</v>
      </c>
    </row>
    <row r="545" spans="1:5">
      <c r="A545" s="159">
        <f t="shared" si="0"/>
        <v>544</v>
      </c>
      <c r="B545" s="163">
        <v>45763</v>
      </c>
      <c r="C545" s="164">
        <v>0.44590277777777776</v>
      </c>
      <c r="D545" s="159">
        <v>10</v>
      </c>
      <c r="E545" s="166" t="s">
        <v>645</v>
      </c>
    </row>
    <row r="546" spans="1:5">
      <c r="A546" s="159">
        <f t="shared" si="0"/>
        <v>545</v>
      </c>
      <c r="B546" s="163">
        <v>45763</v>
      </c>
      <c r="C546" s="164">
        <v>0.43261574074074072</v>
      </c>
      <c r="D546" s="159">
        <v>10</v>
      </c>
      <c r="E546" s="166" t="s">
        <v>646</v>
      </c>
    </row>
    <row r="547" spans="1:5">
      <c r="A547" s="159">
        <f t="shared" si="0"/>
        <v>546</v>
      </c>
      <c r="B547" s="163">
        <v>45763</v>
      </c>
      <c r="C547" s="164">
        <v>0.41394675925925928</v>
      </c>
      <c r="D547" s="159">
        <v>10</v>
      </c>
      <c r="E547" s="166" t="s">
        <v>647</v>
      </c>
    </row>
    <row r="548" spans="1:5">
      <c r="A548" s="159">
        <f t="shared" si="0"/>
        <v>547</v>
      </c>
      <c r="B548" s="163">
        <v>45763</v>
      </c>
      <c r="C548" s="164">
        <v>0.40846064814814814</v>
      </c>
      <c r="D548" s="159">
        <v>10</v>
      </c>
      <c r="E548" s="166" t="s">
        <v>648</v>
      </c>
    </row>
    <row r="549" spans="1:5">
      <c r="A549" s="159">
        <f t="shared" si="0"/>
        <v>548</v>
      </c>
      <c r="B549" s="163">
        <v>45763</v>
      </c>
      <c r="C549" s="164">
        <v>0.38598379629629631</v>
      </c>
      <c r="D549" s="159">
        <v>10</v>
      </c>
      <c r="E549" s="166" t="s">
        <v>649</v>
      </c>
    </row>
    <row r="550" spans="1:5">
      <c r="A550" s="159">
        <f t="shared" si="0"/>
        <v>549</v>
      </c>
      <c r="B550" s="163">
        <v>45764</v>
      </c>
      <c r="C550" s="164">
        <v>0.80693287037037043</v>
      </c>
      <c r="D550" s="159">
        <v>10</v>
      </c>
      <c r="E550" s="166" t="s">
        <v>650</v>
      </c>
    </row>
    <row r="551" spans="1:5">
      <c r="A551" s="159">
        <f t="shared" si="0"/>
        <v>550</v>
      </c>
      <c r="B551" s="163">
        <v>45764</v>
      </c>
      <c r="C551" s="164">
        <v>0.79341435185185183</v>
      </c>
      <c r="D551" s="159">
        <v>10</v>
      </c>
      <c r="E551" s="166" t="s">
        <v>651</v>
      </c>
    </row>
    <row r="552" spans="1:5">
      <c r="A552" s="159">
        <f t="shared" si="0"/>
        <v>551</v>
      </c>
      <c r="B552" s="163">
        <v>45764</v>
      </c>
      <c r="C552" s="164">
        <v>0.77347222222222223</v>
      </c>
      <c r="D552" s="159">
        <v>10</v>
      </c>
      <c r="E552" s="166" t="s">
        <v>652</v>
      </c>
    </row>
    <row r="553" spans="1:5">
      <c r="A553" s="159">
        <f t="shared" si="0"/>
        <v>552</v>
      </c>
      <c r="B553" s="163">
        <v>45764</v>
      </c>
      <c r="C553" s="164">
        <v>0.76278935185185182</v>
      </c>
      <c r="D553" s="159">
        <v>10</v>
      </c>
      <c r="E553" s="166" t="s">
        <v>653</v>
      </c>
    </row>
    <row r="554" spans="1:5">
      <c r="A554" s="159">
        <f t="shared" si="0"/>
        <v>553</v>
      </c>
      <c r="B554" s="163">
        <v>45764</v>
      </c>
      <c r="C554" s="164">
        <v>0.74912037037037038</v>
      </c>
      <c r="D554" s="159">
        <v>10</v>
      </c>
      <c r="E554" s="166" t="s">
        <v>654</v>
      </c>
    </row>
    <row r="555" spans="1:5">
      <c r="A555" s="159">
        <f t="shared" si="0"/>
        <v>554</v>
      </c>
      <c r="B555" s="163">
        <v>45764</v>
      </c>
      <c r="C555" s="164">
        <v>0.71651620370370372</v>
      </c>
      <c r="D555" s="159">
        <v>10</v>
      </c>
      <c r="E555" s="166" t="s">
        <v>273</v>
      </c>
    </row>
    <row r="556" spans="1:5">
      <c r="A556" s="159">
        <f t="shared" si="0"/>
        <v>555</v>
      </c>
      <c r="B556" s="163">
        <v>45764</v>
      </c>
      <c r="C556" s="164">
        <v>0.71585648148148151</v>
      </c>
      <c r="D556" s="159">
        <v>10</v>
      </c>
      <c r="E556" s="166" t="s">
        <v>655</v>
      </c>
    </row>
    <row r="557" spans="1:5">
      <c r="A557" s="159">
        <f t="shared" si="0"/>
        <v>556</v>
      </c>
      <c r="B557" s="163">
        <v>45764</v>
      </c>
      <c r="C557" s="164">
        <v>0.70943287037037039</v>
      </c>
      <c r="D557" s="159">
        <v>10</v>
      </c>
      <c r="E557" s="166" t="s">
        <v>656</v>
      </c>
    </row>
    <row r="558" spans="1:5">
      <c r="A558" s="159">
        <f t="shared" si="0"/>
        <v>557</v>
      </c>
      <c r="B558" s="163">
        <v>45764</v>
      </c>
      <c r="C558" s="164">
        <v>0.69641203703703702</v>
      </c>
      <c r="D558" s="159">
        <v>10</v>
      </c>
      <c r="E558" s="166" t="s">
        <v>657</v>
      </c>
    </row>
    <row r="559" spans="1:5">
      <c r="A559" s="159">
        <f t="shared" si="0"/>
        <v>558</v>
      </c>
      <c r="B559" s="163">
        <v>45764</v>
      </c>
      <c r="C559" s="164">
        <v>0.69537037037037042</v>
      </c>
      <c r="D559" s="159">
        <v>10</v>
      </c>
      <c r="E559" s="166" t="s">
        <v>658</v>
      </c>
    </row>
    <row r="560" spans="1:5">
      <c r="A560" s="159">
        <f t="shared" si="0"/>
        <v>559</v>
      </c>
      <c r="B560" s="163">
        <v>45764</v>
      </c>
      <c r="C560" s="164">
        <v>0.69093749999999998</v>
      </c>
      <c r="D560" s="159">
        <v>1</v>
      </c>
      <c r="E560" s="166" t="s">
        <v>659</v>
      </c>
    </row>
    <row r="561" spans="1:5">
      <c r="A561" s="159">
        <f t="shared" si="0"/>
        <v>560</v>
      </c>
      <c r="B561" s="163">
        <v>45764</v>
      </c>
      <c r="C561" s="164">
        <v>0.67752314814814818</v>
      </c>
      <c r="D561" s="159">
        <v>10</v>
      </c>
      <c r="E561" s="166" t="s">
        <v>660</v>
      </c>
    </row>
    <row r="562" spans="1:5">
      <c r="A562" s="159">
        <f t="shared" si="0"/>
        <v>561</v>
      </c>
      <c r="B562" s="163">
        <v>45764</v>
      </c>
      <c r="C562" s="164">
        <v>0.66263888888888889</v>
      </c>
      <c r="D562" s="159">
        <v>10</v>
      </c>
      <c r="E562" s="166" t="s">
        <v>661</v>
      </c>
    </row>
    <row r="563" spans="1:5">
      <c r="A563" s="159">
        <f t="shared" si="0"/>
        <v>562</v>
      </c>
      <c r="B563" s="163">
        <v>45764</v>
      </c>
      <c r="C563" s="164">
        <v>0.6567708333333333</v>
      </c>
      <c r="D563" s="159">
        <v>10</v>
      </c>
      <c r="E563" s="166" t="s">
        <v>662</v>
      </c>
    </row>
    <row r="564" spans="1:5">
      <c r="A564" s="159">
        <f t="shared" si="0"/>
        <v>563</v>
      </c>
      <c r="B564" s="163">
        <v>45764</v>
      </c>
      <c r="C564" s="164">
        <v>0.65045138888888887</v>
      </c>
      <c r="D564" s="159">
        <v>10</v>
      </c>
      <c r="E564" s="166" t="s">
        <v>663</v>
      </c>
    </row>
    <row r="565" spans="1:5">
      <c r="A565" s="159">
        <f t="shared" ref="A565:A628" si="1">ROW()-1</f>
        <v>564</v>
      </c>
      <c r="B565" s="163">
        <v>45764</v>
      </c>
      <c r="C565" s="164">
        <v>0.64609953703703704</v>
      </c>
      <c r="D565" s="159">
        <v>10</v>
      </c>
      <c r="E565" s="166" t="s">
        <v>664</v>
      </c>
    </row>
    <row r="566" spans="1:5">
      <c r="A566" s="159">
        <f t="shared" si="1"/>
        <v>565</v>
      </c>
      <c r="B566" s="163">
        <v>45764</v>
      </c>
      <c r="C566" s="164">
        <v>0.64021990740740742</v>
      </c>
      <c r="D566" s="159">
        <v>10</v>
      </c>
      <c r="E566" s="166" t="s">
        <v>665</v>
      </c>
    </row>
    <row r="567" spans="1:5">
      <c r="A567" s="159">
        <f t="shared" si="1"/>
        <v>566</v>
      </c>
      <c r="B567" s="163">
        <v>45764</v>
      </c>
      <c r="C567" s="164">
        <v>0.62468749999999995</v>
      </c>
      <c r="D567" s="159">
        <v>10</v>
      </c>
      <c r="E567" s="166" t="s">
        <v>244</v>
      </c>
    </row>
    <row r="568" spans="1:5">
      <c r="A568" s="159">
        <f t="shared" si="1"/>
        <v>567</v>
      </c>
      <c r="B568" s="163">
        <v>45764</v>
      </c>
      <c r="C568" s="164">
        <v>0.61717592592592596</v>
      </c>
      <c r="D568" s="159">
        <v>10</v>
      </c>
      <c r="E568" s="166" t="s">
        <v>494</v>
      </c>
    </row>
    <row r="569" spans="1:5">
      <c r="A569" s="159">
        <f t="shared" si="1"/>
        <v>568</v>
      </c>
      <c r="B569" s="163">
        <v>45764</v>
      </c>
      <c r="C569" s="164">
        <v>0.6047569444444445</v>
      </c>
      <c r="D569" s="159">
        <v>10</v>
      </c>
      <c r="E569" s="166" t="s">
        <v>666</v>
      </c>
    </row>
    <row r="570" spans="1:5">
      <c r="A570" s="159">
        <f t="shared" si="1"/>
        <v>569</v>
      </c>
      <c r="B570" s="163">
        <v>45764</v>
      </c>
      <c r="C570" s="164">
        <v>0.59923611111111108</v>
      </c>
      <c r="D570" s="159">
        <v>10</v>
      </c>
      <c r="E570" s="166" t="s">
        <v>667</v>
      </c>
    </row>
    <row r="571" spans="1:5">
      <c r="A571" s="159">
        <f t="shared" si="1"/>
        <v>570</v>
      </c>
      <c r="B571" s="163">
        <v>45764</v>
      </c>
      <c r="C571" s="164">
        <v>0.58394675925925921</v>
      </c>
      <c r="D571" s="159">
        <v>10</v>
      </c>
      <c r="E571" s="166" t="s">
        <v>668</v>
      </c>
    </row>
    <row r="572" spans="1:5">
      <c r="A572" s="159">
        <f t="shared" si="1"/>
        <v>571</v>
      </c>
      <c r="B572" s="163">
        <v>45764</v>
      </c>
      <c r="C572" s="164">
        <v>0.58003472222222219</v>
      </c>
      <c r="D572" s="159">
        <v>10</v>
      </c>
      <c r="E572" s="166" t="s">
        <v>669</v>
      </c>
    </row>
    <row r="573" spans="1:5">
      <c r="A573" s="159">
        <f t="shared" si="1"/>
        <v>572</v>
      </c>
      <c r="B573" s="163">
        <v>45764</v>
      </c>
      <c r="C573" s="164">
        <v>0.56428240740740743</v>
      </c>
      <c r="D573" s="159">
        <v>10</v>
      </c>
      <c r="E573" s="166" t="s">
        <v>670</v>
      </c>
    </row>
    <row r="574" spans="1:5">
      <c r="A574" s="159">
        <f t="shared" si="1"/>
        <v>573</v>
      </c>
      <c r="B574" s="163">
        <v>45764</v>
      </c>
      <c r="C574" s="164">
        <v>0.55314814814814817</v>
      </c>
      <c r="D574" s="159">
        <v>10</v>
      </c>
      <c r="E574" s="166" t="s">
        <v>671</v>
      </c>
    </row>
    <row r="575" spans="1:5">
      <c r="A575" s="159">
        <f t="shared" si="1"/>
        <v>574</v>
      </c>
      <c r="B575" s="163">
        <v>45764</v>
      </c>
      <c r="C575" s="164">
        <v>0.55052083333333335</v>
      </c>
      <c r="D575" s="159">
        <v>10</v>
      </c>
      <c r="E575" s="166" t="s">
        <v>672</v>
      </c>
    </row>
    <row r="576" spans="1:5">
      <c r="A576" s="159">
        <f t="shared" si="1"/>
        <v>575</v>
      </c>
      <c r="B576" s="163">
        <v>45764</v>
      </c>
      <c r="C576" s="164">
        <v>0.48120370370370369</v>
      </c>
      <c r="D576" s="159">
        <v>10</v>
      </c>
      <c r="E576" s="166" t="s">
        <v>673</v>
      </c>
    </row>
    <row r="577" spans="1:5">
      <c r="A577" s="159">
        <f t="shared" si="1"/>
        <v>576</v>
      </c>
      <c r="B577" s="163">
        <v>45764</v>
      </c>
      <c r="C577" s="164">
        <v>0.4674652777777778</v>
      </c>
      <c r="D577" s="159">
        <v>10</v>
      </c>
      <c r="E577" s="166" t="s">
        <v>674</v>
      </c>
    </row>
    <row r="578" spans="1:5">
      <c r="A578" s="159">
        <f t="shared" si="1"/>
        <v>577</v>
      </c>
      <c r="B578" s="163">
        <v>45764</v>
      </c>
      <c r="C578" s="164">
        <v>0.46326388888888886</v>
      </c>
      <c r="D578" s="159">
        <v>10</v>
      </c>
      <c r="E578" s="166" t="s">
        <v>675</v>
      </c>
    </row>
    <row r="579" spans="1:5">
      <c r="A579" s="159">
        <f t="shared" si="1"/>
        <v>578</v>
      </c>
      <c r="B579" s="163">
        <v>45764</v>
      </c>
      <c r="C579" s="164">
        <v>0.46199074074074076</v>
      </c>
      <c r="D579" s="159">
        <v>10</v>
      </c>
      <c r="E579" s="166" t="s">
        <v>676</v>
      </c>
    </row>
    <row r="580" spans="1:5">
      <c r="A580" s="159">
        <f t="shared" si="1"/>
        <v>579</v>
      </c>
      <c r="B580" s="163">
        <v>45764</v>
      </c>
      <c r="C580" s="164">
        <v>0.42078703703703701</v>
      </c>
      <c r="D580" s="159">
        <v>10</v>
      </c>
      <c r="E580" s="166" t="s">
        <v>677</v>
      </c>
    </row>
    <row r="581" spans="1:5">
      <c r="A581" s="159">
        <f t="shared" si="1"/>
        <v>580</v>
      </c>
      <c r="B581" s="163">
        <v>45764</v>
      </c>
      <c r="C581" s="164">
        <v>0.41153935185185186</v>
      </c>
      <c r="D581" s="159">
        <v>10</v>
      </c>
      <c r="E581" s="166" t="s">
        <v>678</v>
      </c>
    </row>
    <row r="582" spans="1:5">
      <c r="A582" s="159">
        <f t="shared" si="1"/>
        <v>581</v>
      </c>
      <c r="B582" s="163">
        <v>45764</v>
      </c>
      <c r="C582" s="164">
        <v>0.38287037037037036</v>
      </c>
      <c r="D582" s="159">
        <v>10</v>
      </c>
      <c r="E582" s="166" t="s">
        <v>679</v>
      </c>
    </row>
    <row r="583" spans="1:5">
      <c r="A583" s="159">
        <f t="shared" si="1"/>
        <v>582</v>
      </c>
      <c r="B583" s="163">
        <v>45764</v>
      </c>
      <c r="C583" s="164">
        <v>0.37974537037037037</v>
      </c>
      <c r="D583" s="159">
        <v>10</v>
      </c>
      <c r="E583" s="166" t="s">
        <v>680</v>
      </c>
    </row>
    <row r="584" spans="1:5">
      <c r="A584" s="159">
        <f t="shared" si="1"/>
        <v>583</v>
      </c>
      <c r="B584" s="163">
        <v>45765</v>
      </c>
      <c r="C584" s="164">
        <v>0.88503472222222224</v>
      </c>
      <c r="D584" s="159">
        <v>10</v>
      </c>
      <c r="E584" s="166" t="s">
        <v>681</v>
      </c>
    </row>
    <row r="585" spans="1:5">
      <c r="A585" s="159">
        <f t="shared" si="1"/>
        <v>584</v>
      </c>
      <c r="B585" s="163">
        <v>45765</v>
      </c>
      <c r="C585" s="164">
        <v>0.86753472222222228</v>
      </c>
      <c r="D585" s="159">
        <v>10</v>
      </c>
      <c r="E585" s="166" t="s">
        <v>682</v>
      </c>
    </row>
    <row r="586" spans="1:5">
      <c r="A586" s="159">
        <f t="shared" si="1"/>
        <v>585</v>
      </c>
      <c r="B586" s="163">
        <v>45765</v>
      </c>
      <c r="C586" s="164">
        <v>0.86239583333333336</v>
      </c>
      <c r="D586" s="159">
        <v>10</v>
      </c>
      <c r="E586" s="166" t="s">
        <v>683</v>
      </c>
    </row>
    <row r="587" spans="1:5">
      <c r="A587" s="159">
        <f t="shared" si="1"/>
        <v>586</v>
      </c>
      <c r="B587" s="163">
        <v>45765</v>
      </c>
      <c r="C587" s="164">
        <v>0.83875</v>
      </c>
      <c r="D587" s="159">
        <v>10</v>
      </c>
      <c r="E587" s="166" t="s">
        <v>684</v>
      </c>
    </row>
    <row r="588" spans="1:5">
      <c r="A588" s="159">
        <f t="shared" si="1"/>
        <v>587</v>
      </c>
      <c r="B588" s="163">
        <v>45765</v>
      </c>
      <c r="C588" s="164">
        <v>0.7835185185185185</v>
      </c>
      <c r="D588" s="159">
        <v>10</v>
      </c>
      <c r="E588" s="166" t="s">
        <v>685</v>
      </c>
    </row>
    <row r="589" spans="1:5">
      <c r="A589" s="159">
        <f t="shared" si="1"/>
        <v>588</v>
      </c>
      <c r="B589" s="163">
        <v>45765</v>
      </c>
      <c r="C589" s="164">
        <v>0.778900462962963</v>
      </c>
      <c r="D589" s="159">
        <v>10</v>
      </c>
      <c r="E589" s="166" t="s">
        <v>686</v>
      </c>
    </row>
    <row r="590" spans="1:5">
      <c r="A590" s="159">
        <f t="shared" si="1"/>
        <v>589</v>
      </c>
      <c r="B590" s="163">
        <v>45765</v>
      </c>
      <c r="C590" s="164">
        <v>0.77645833333333336</v>
      </c>
      <c r="D590" s="159">
        <v>10</v>
      </c>
      <c r="E590" s="166" t="s">
        <v>557</v>
      </c>
    </row>
    <row r="591" spans="1:5">
      <c r="A591" s="159">
        <f t="shared" si="1"/>
        <v>590</v>
      </c>
      <c r="B591" s="163">
        <v>45765</v>
      </c>
      <c r="C591" s="164">
        <v>0.7619097222222222</v>
      </c>
      <c r="D591" s="159">
        <v>10</v>
      </c>
      <c r="E591" s="166" t="s">
        <v>687</v>
      </c>
    </row>
    <row r="592" spans="1:5">
      <c r="A592" s="159">
        <f t="shared" si="1"/>
        <v>591</v>
      </c>
      <c r="B592" s="163">
        <v>45765</v>
      </c>
      <c r="C592" s="164">
        <v>0.73608796296296297</v>
      </c>
      <c r="D592" s="159">
        <v>10</v>
      </c>
      <c r="E592" s="166" t="s">
        <v>688</v>
      </c>
    </row>
    <row r="593" spans="1:5">
      <c r="A593" s="159">
        <f t="shared" si="1"/>
        <v>592</v>
      </c>
      <c r="B593" s="163">
        <v>45765</v>
      </c>
      <c r="C593" s="164">
        <v>0.72873842592592597</v>
      </c>
      <c r="D593" s="159">
        <v>10</v>
      </c>
      <c r="E593" s="166" t="s">
        <v>689</v>
      </c>
    </row>
    <row r="594" spans="1:5">
      <c r="A594" s="159">
        <f t="shared" si="1"/>
        <v>593</v>
      </c>
      <c r="B594" s="163">
        <v>45765</v>
      </c>
      <c r="C594" s="164">
        <v>0.72821759259259256</v>
      </c>
      <c r="D594" s="159">
        <v>10</v>
      </c>
      <c r="E594" s="166" t="s">
        <v>690</v>
      </c>
    </row>
    <row r="595" spans="1:5">
      <c r="A595" s="159">
        <f t="shared" si="1"/>
        <v>594</v>
      </c>
      <c r="B595" s="163">
        <v>45765</v>
      </c>
      <c r="C595" s="164">
        <v>0.72672453703703699</v>
      </c>
      <c r="D595" s="159">
        <v>10</v>
      </c>
      <c r="E595" s="166" t="s">
        <v>691</v>
      </c>
    </row>
    <row r="596" spans="1:5">
      <c r="A596" s="159">
        <f t="shared" si="1"/>
        <v>595</v>
      </c>
      <c r="B596" s="163">
        <v>45765</v>
      </c>
      <c r="C596" s="164">
        <v>0.7252777777777778</v>
      </c>
      <c r="D596" s="159">
        <v>10</v>
      </c>
      <c r="E596" s="166" t="s">
        <v>692</v>
      </c>
    </row>
    <row r="597" spans="1:5">
      <c r="A597" s="159">
        <f t="shared" si="1"/>
        <v>596</v>
      </c>
      <c r="B597" s="163">
        <v>45765</v>
      </c>
      <c r="C597" s="164">
        <v>0.71979166666666672</v>
      </c>
      <c r="D597" s="159">
        <v>10</v>
      </c>
      <c r="E597" s="166" t="s">
        <v>693</v>
      </c>
    </row>
    <row r="598" spans="1:5">
      <c r="A598" s="159">
        <f t="shared" si="1"/>
        <v>597</v>
      </c>
      <c r="B598" s="163">
        <v>45765</v>
      </c>
      <c r="C598" s="164">
        <v>0.71818287037037032</v>
      </c>
      <c r="D598" s="159">
        <v>10</v>
      </c>
      <c r="E598" s="166" t="s">
        <v>694</v>
      </c>
    </row>
    <row r="599" spans="1:5">
      <c r="A599" s="159">
        <f t="shared" si="1"/>
        <v>598</v>
      </c>
      <c r="B599" s="163">
        <v>45765</v>
      </c>
      <c r="C599" s="164">
        <v>0.71189814814814811</v>
      </c>
      <c r="D599" s="159">
        <v>10</v>
      </c>
      <c r="E599" s="166" t="s">
        <v>695</v>
      </c>
    </row>
    <row r="600" spans="1:5">
      <c r="A600" s="159">
        <f t="shared" si="1"/>
        <v>599</v>
      </c>
      <c r="B600" s="163">
        <v>45765</v>
      </c>
      <c r="C600" s="164">
        <v>0.70105324074074071</v>
      </c>
      <c r="D600" s="159">
        <v>10</v>
      </c>
      <c r="E600" s="166" t="s">
        <v>696</v>
      </c>
    </row>
    <row r="601" spans="1:5">
      <c r="A601" s="159">
        <f t="shared" si="1"/>
        <v>600</v>
      </c>
      <c r="B601" s="163">
        <v>45765</v>
      </c>
      <c r="C601" s="164">
        <v>0.69517361111111109</v>
      </c>
      <c r="D601" s="159">
        <v>10</v>
      </c>
      <c r="E601" s="166" t="s">
        <v>697</v>
      </c>
    </row>
    <row r="602" spans="1:5">
      <c r="A602" s="159">
        <f t="shared" si="1"/>
        <v>601</v>
      </c>
      <c r="B602" s="163">
        <v>45765</v>
      </c>
      <c r="C602" s="164">
        <v>0.69241898148148151</v>
      </c>
      <c r="D602" s="159">
        <v>9</v>
      </c>
      <c r="E602" s="166" t="s">
        <v>698</v>
      </c>
    </row>
    <row r="603" spans="1:5">
      <c r="A603" s="159">
        <f t="shared" si="1"/>
        <v>602</v>
      </c>
      <c r="B603" s="163">
        <v>45765</v>
      </c>
      <c r="C603" s="164">
        <v>0.69171296296296292</v>
      </c>
      <c r="D603" s="159">
        <v>10</v>
      </c>
      <c r="E603" s="166" t="s">
        <v>448</v>
      </c>
    </row>
    <row r="604" spans="1:5">
      <c r="A604" s="159">
        <f t="shared" si="1"/>
        <v>603</v>
      </c>
      <c r="B604" s="163">
        <v>45765</v>
      </c>
      <c r="C604" s="164">
        <v>0.68563657407407408</v>
      </c>
      <c r="D604" s="159">
        <v>10</v>
      </c>
      <c r="E604" s="166" t="s">
        <v>699</v>
      </c>
    </row>
    <row r="605" spans="1:5">
      <c r="A605" s="159">
        <f t="shared" si="1"/>
        <v>604</v>
      </c>
      <c r="B605" s="163">
        <v>45765</v>
      </c>
      <c r="C605" s="164">
        <v>0.6832407407407407</v>
      </c>
      <c r="D605" s="159">
        <v>10</v>
      </c>
      <c r="E605" s="166" t="s">
        <v>700</v>
      </c>
    </row>
    <row r="606" spans="1:5">
      <c r="A606" s="159">
        <f t="shared" si="1"/>
        <v>605</v>
      </c>
      <c r="B606" s="163">
        <v>45765</v>
      </c>
      <c r="C606" s="164">
        <v>0.67697916666666669</v>
      </c>
      <c r="D606" s="159">
        <v>10</v>
      </c>
      <c r="E606" s="166" t="s">
        <v>701</v>
      </c>
    </row>
    <row r="607" spans="1:5">
      <c r="A607" s="159">
        <f t="shared" si="1"/>
        <v>606</v>
      </c>
      <c r="B607" s="163">
        <v>45765</v>
      </c>
      <c r="C607" s="164">
        <v>0.67164351851851856</v>
      </c>
      <c r="D607" s="159">
        <v>10</v>
      </c>
      <c r="E607" s="166" t="s">
        <v>702</v>
      </c>
    </row>
    <row r="608" spans="1:5">
      <c r="A608" s="159">
        <f t="shared" si="1"/>
        <v>607</v>
      </c>
      <c r="B608" s="163">
        <v>45765</v>
      </c>
      <c r="C608" s="164">
        <v>0.6642824074074074</v>
      </c>
      <c r="D608" s="159">
        <v>10</v>
      </c>
      <c r="E608" s="166" t="s">
        <v>703</v>
      </c>
    </row>
    <row r="609" spans="1:5">
      <c r="A609" s="159">
        <f t="shared" si="1"/>
        <v>608</v>
      </c>
      <c r="B609" s="163">
        <v>45765</v>
      </c>
      <c r="C609" s="164">
        <v>0.6618518518518518</v>
      </c>
      <c r="D609" s="159">
        <v>10</v>
      </c>
      <c r="E609" s="166" t="s">
        <v>704</v>
      </c>
    </row>
    <row r="610" spans="1:5">
      <c r="A610" s="159">
        <f t="shared" si="1"/>
        <v>609</v>
      </c>
      <c r="B610" s="163">
        <v>45765</v>
      </c>
      <c r="C610" s="164">
        <v>0.65811342592592592</v>
      </c>
      <c r="D610" s="159">
        <v>10</v>
      </c>
      <c r="E610" s="166" t="s">
        <v>705</v>
      </c>
    </row>
    <row r="611" spans="1:5">
      <c r="A611" s="159">
        <f t="shared" si="1"/>
        <v>610</v>
      </c>
      <c r="B611" s="163">
        <v>45765</v>
      </c>
      <c r="C611" s="164">
        <v>0.65541666666666665</v>
      </c>
      <c r="D611" s="159">
        <v>10</v>
      </c>
      <c r="E611" s="166" t="s">
        <v>706</v>
      </c>
    </row>
    <row r="612" spans="1:5" ht="27">
      <c r="A612" s="159">
        <f t="shared" si="1"/>
        <v>611</v>
      </c>
      <c r="B612" s="163">
        <v>45765</v>
      </c>
      <c r="C612" s="164">
        <v>0.65300925925925923</v>
      </c>
      <c r="D612" s="159">
        <v>10</v>
      </c>
      <c r="E612" s="166" t="s">
        <v>707</v>
      </c>
    </row>
    <row r="613" spans="1:5">
      <c r="A613" s="159">
        <f t="shared" si="1"/>
        <v>612</v>
      </c>
      <c r="B613" s="163">
        <v>45765</v>
      </c>
      <c r="C613" s="164">
        <v>0.65158564814814812</v>
      </c>
      <c r="D613" s="159">
        <v>10</v>
      </c>
      <c r="E613" s="166" t="s">
        <v>708</v>
      </c>
    </row>
    <row r="614" spans="1:5">
      <c r="A614" s="159">
        <f t="shared" si="1"/>
        <v>613</v>
      </c>
      <c r="B614" s="163">
        <v>45765</v>
      </c>
      <c r="C614" s="164">
        <v>0.6412268518518518</v>
      </c>
      <c r="D614" s="159">
        <v>10</v>
      </c>
      <c r="E614" s="166" t="s">
        <v>709</v>
      </c>
    </row>
    <row r="615" spans="1:5">
      <c r="A615" s="159">
        <f t="shared" si="1"/>
        <v>614</v>
      </c>
      <c r="B615" s="163">
        <v>45765</v>
      </c>
      <c r="C615" s="164">
        <v>0.63751157407407411</v>
      </c>
      <c r="D615" s="159">
        <v>10</v>
      </c>
      <c r="E615" s="166" t="s">
        <v>710</v>
      </c>
    </row>
    <row r="616" spans="1:5">
      <c r="A616" s="159">
        <f t="shared" si="1"/>
        <v>615</v>
      </c>
      <c r="B616" s="163">
        <v>45765</v>
      </c>
      <c r="C616" s="164">
        <v>0.61254629629629631</v>
      </c>
      <c r="D616" s="159">
        <v>10</v>
      </c>
      <c r="E616" s="166" t="s">
        <v>711</v>
      </c>
    </row>
    <row r="617" spans="1:5">
      <c r="A617" s="159">
        <f t="shared" si="1"/>
        <v>616</v>
      </c>
      <c r="B617" s="163">
        <v>45765</v>
      </c>
      <c r="C617" s="164">
        <v>0.57891203703703709</v>
      </c>
      <c r="D617" s="159">
        <v>10</v>
      </c>
      <c r="E617" s="166" t="s">
        <v>313</v>
      </c>
    </row>
    <row r="618" spans="1:5">
      <c r="A618" s="159">
        <f t="shared" si="1"/>
        <v>617</v>
      </c>
      <c r="B618" s="163">
        <v>45765</v>
      </c>
      <c r="C618" s="164">
        <v>0.57339120370370367</v>
      </c>
      <c r="D618" s="159">
        <v>10</v>
      </c>
      <c r="E618" s="166" t="s">
        <v>712</v>
      </c>
    </row>
    <row r="619" spans="1:5">
      <c r="A619" s="159">
        <f t="shared" si="1"/>
        <v>618</v>
      </c>
      <c r="B619" s="163">
        <v>45765</v>
      </c>
      <c r="C619" s="164">
        <v>0.54982638888888891</v>
      </c>
      <c r="D619" s="159">
        <v>10</v>
      </c>
      <c r="E619" s="166" t="s">
        <v>713</v>
      </c>
    </row>
    <row r="620" spans="1:5">
      <c r="A620" s="159">
        <f t="shared" si="1"/>
        <v>619</v>
      </c>
      <c r="B620" s="163">
        <v>45765</v>
      </c>
      <c r="C620" s="164">
        <v>0.4954513888888889</v>
      </c>
      <c r="D620" s="159">
        <v>10</v>
      </c>
      <c r="E620" s="166" t="s">
        <v>714</v>
      </c>
    </row>
    <row r="621" spans="1:5">
      <c r="A621" s="159">
        <f t="shared" si="1"/>
        <v>620</v>
      </c>
      <c r="B621" s="163">
        <v>45765</v>
      </c>
      <c r="C621" s="164">
        <v>0.48317129629629629</v>
      </c>
      <c r="D621" s="159">
        <v>10</v>
      </c>
      <c r="E621" s="166" t="s">
        <v>715</v>
      </c>
    </row>
    <row r="622" spans="1:5">
      <c r="A622" s="159">
        <f t="shared" si="1"/>
        <v>621</v>
      </c>
      <c r="B622" s="163">
        <v>45765</v>
      </c>
      <c r="C622" s="164">
        <v>0.46784722222222225</v>
      </c>
      <c r="D622" s="159">
        <v>10</v>
      </c>
      <c r="E622" s="166" t="s">
        <v>716</v>
      </c>
    </row>
    <row r="623" spans="1:5">
      <c r="A623" s="159">
        <f t="shared" si="1"/>
        <v>622</v>
      </c>
      <c r="B623" s="163">
        <v>45765</v>
      </c>
      <c r="C623" s="164">
        <v>0.44640046296296299</v>
      </c>
      <c r="D623" s="159">
        <v>10</v>
      </c>
      <c r="E623" s="166" t="s">
        <v>717</v>
      </c>
    </row>
    <row r="624" spans="1:5">
      <c r="A624" s="159">
        <f t="shared" si="1"/>
        <v>623</v>
      </c>
      <c r="B624" s="163">
        <v>45765</v>
      </c>
      <c r="C624" s="164">
        <v>0.44400462962962961</v>
      </c>
      <c r="D624" s="159">
        <v>10</v>
      </c>
      <c r="E624" s="166" t="s">
        <v>718</v>
      </c>
    </row>
    <row r="625" spans="1:5">
      <c r="A625" s="159">
        <f t="shared" si="1"/>
        <v>624</v>
      </c>
      <c r="B625" s="163">
        <v>45765</v>
      </c>
      <c r="C625" s="164">
        <v>0.4420486111111111</v>
      </c>
      <c r="D625" s="159">
        <v>10</v>
      </c>
      <c r="E625" s="166" t="s">
        <v>719</v>
      </c>
    </row>
    <row r="626" spans="1:5">
      <c r="A626" s="159">
        <f t="shared" si="1"/>
        <v>625</v>
      </c>
      <c r="B626" s="163">
        <v>45765</v>
      </c>
      <c r="C626" s="164">
        <v>0.43025462962962963</v>
      </c>
      <c r="D626" s="159">
        <v>10</v>
      </c>
      <c r="E626" s="166" t="s">
        <v>132</v>
      </c>
    </row>
    <row r="627" spans="1:5">
      <c r="A627" s="159">
        <f t="shared" si="1"/>
        <v>626</v>
      </c>
      <c r="B627" s="163">
        <v>45765</v>
      </c>
      <c r="C627" s="164">
        <v>0.42465277777777777</v>
      </c>
      <c r="D627" s="159">
        <v>10</v>
      </c>
      <c r="E627" s="166" t="s">
        <v>720</v>
      </c>
    </row>
    <row r="628" spans="1:5">
      <c r="A628" s="159">
        <f t="shared" si="1"/>
        <v>627</v>
      </c>
      <c r="B628" s="163">
        <v>45765</v>
      </c>
      <c r="C628" s="164">
        <v>0.42017361111111112</v>
      </c>
      <c r="D628" s="159">
        <v>10</v>
      </c>
      <c r="E628" s="166" t="s">
        <v>721</v>
      </c>
    </row>
    <row r="629" spans="1:5" ht="27">
      <c r="A629" s="159">
        <f t="shared" ref="A629:A692" si="2">ROW()-1</f>
        <v>628</v>
      </c>
      <c r="B629" s="163">
        <v>45765</v>
      </c>
      <c r="C629" s="164">
        <v>0.41392361111111109</v>
      </c>
      <c r="D629" s="159">
        <v>10</v>
      </c>
      <c r="E629" s="166" t="s">
        <v>722</v>
      </c>
    </row>
    <row r="630" spans="1:5">
      <c r="A630" s="159">
        <f t="shared" si="2"/>
        <v>629</v>
      </c>
      <c r="B630" s="163">
        <v>45765</v>
      </c>
      <c r="C630" s="164">
        <v>0.40476851851851853</v>
      </c>
      <c r="D630" s="159">
        <v>10</v>
      </c>
      <c r="E630" s="166" t="s">
        <v>244</v>
      </c>
    </row>
    <row r="631" spans="1:5">
      <c r="A631" s="159">
        <f t="shared" si="2"/>
        <v>630</v>
      </c>
      <c r="B631" s="163">
        <v>45765</v>
      </c>
      <c r="C631" s="164">
        <v>0.39083333333333331</v>
      </c>
      <c r="D631" s="159">
        <v>7</v>
      </c>
      <c r="E631" s="166" t="s">
        <v>723</v>
      </c>
    </row>
    <row r="632" spans="1:5" ht="27">
      <c r="A632" s="159">
        <f t="shared" si="2"/>
        <v>631</v>
      </c>
      <c r="B632" s="163">
        <v>45766</v>
      </c>
      <c r="C632" s="164">
        <v>0.65785879629629629</v>
      </c>
      <c r="D632" s="159">
        <v>10</v>
      </c>
      <c r="E632" s="166" t="s">
        <v>724</v>
      </c>
    </row>
    <row r="633" spans="1:5">
      <c r="A633" s="159">
        <f t="shared" si="2"/>
        <v>632</v>
      </c>
      <c r="B633" s="163">
        <v>45766</v>
      </c>
      <c r="C633" s="164">
        <v>0.53512731481481479</v>
      </c>
      <c r="D633" s="159">
        <v>10</v>
      </c>
      <c r="E633" s="166" t="s">
        <v>725</v>
      </c>
    </row>
    <row r="634" spans="1:5">
      <c r="A634" s="159">
        <f t="shared" si="2"/>
        <v>633</v>
      </c>
      <c r="B634" s="163">
        <v>45766</v>
      </c>
      <c r="C634" s="164">
        <v>0.51489583333333333</v>
      </c>
      <c r="D634" s="159">
        <v>10</v>
      </c>
      <c r="E634" s="166" t="s">
        <v>726</v>
      </c>
    </row>
    <row r="635" spans="1:5">
      <c r="A635" s="159">
        <f t="shared" si="2"/>
        <v>634</v>
      </c>
      <c r="B635" s="163">
        <v>45766</v>
      </c>
      <c r="C635" s="164">
        <v>0.38418981481481479</v>
      </c>
      <c r="D635" s="159">
        <v>10</v>
      </c>
      <c r="E635" s="166" t="s">
        <v>727</v>
      </c>
    </row>
    <row r="636" spans="1:5">
      <c r="A636" s="159">
        <f t="shared" si="2"/>
        <v>635</v>
      </c>
      <c r="B636" s="163">
        <v>45768</v>
      </c>
      <c r="C636" s="164">
        <v>0.39333333333333331</v>
      </c>
      <c r="D636" s="159">
        <v>10</v>
      </c>
      <c r="E636" s="166" t="s">
        <v>728</v>
      </c>
    </row>
    <row r="637" spans="1:5">
      <c r="A637" s="159">
        <f t="shared" si="2"/>
        <v>636</v>
      </c>
      <c r="B637" s="163">
        <v>45768</v>
      </c>
      <c r="C637" s="164">
        <v>0.3908449074074074</v>
      </c>
      <c r="D637" s="159">
        <v>10</v>
      </c>
      <c r="E637" s="166" t="s">
        <v>729</v>
      </c>
    </row>
    <row r="638" spans="1:5">
      <c r="A638" s="159">
        <f t="shared" si="2"/>
        <v>637</v>
      </c>
      <c r="B638" s="163">
        <v>45768</v>
      </c>
      <c r="C638" s="164">
        <v>0.38960648148148147</v>
      </c>
      <c r="D638" s="159">
        <v>10</v>
      </c>
      <c r="E638" s="166" t="s">
        <v>730</v>
      </c>
    </row>
    <row r="639" spans="1:5">
      <c r="A639" s="159">
        <f t="shared" si="2"/>
        <v>638</v>
      </c>
      <c r="B639" s="163">
        <v>45768</v>
      </c>
      <c r="C639" s="164">
        <v>0.37800925925925927</v>
      </c>
      <c r="D639" s="159">
        <v>10</v>
      </c>
      <c r="E639" s="166" t="s">
        <v>731</v>
      </c>
    </row>
    <row r="640" spans="1:5">
      <c r="A640" s="159">
        <f t="shared" si="2"/>
        <v>639</v>
      </c>
      <c r="B640" s="163">
        <v>45768</v>
      </c>
      <c r="C640" s="164">
        <v>0.37464120370370368</v>
      </c>
      <c r="D640" s="159">
        <v>10</v>
      </c>
      <c r="E640" s="166" t="s">
        <v>732</v>
      </c>
    </row>
    <row r="641" spans="1:5" ht="27">
      <c r="A641" s="159">
        <f t="shared" si="2"/>
        <v>640</v>
      </c>
      <c r="B641" s="163">
        <v>45768</v>
      </c>
      <c r="C641" s="164">
        <v>0.36792824074074071</v>
      </c>
      <c r="D641" s="159">
        <v>10</v>
      </c>
      <c r="E641" s="166" t="s">
        <v>733</v>
      </c>
    </row>
    <row r="642" spans="1:5">
      <c r="A642" s="159">
        <f t="shared" si="2"/>
        <v>641</v>
      </c>
      <c r="B642" s="163">
        <v>45768</v>
      </c>
      <c r="C642" s="164">
        <v>0.36489583333333336</v>
      </c>
      <c r="D642" s="159">
        <v>10</v>
      </c>
      <c r="E642" s="166" t="s">
        <v>734</v>
      </c>
    </row>
    <row r="643" spans="1:5">
      <c r="A643" s="159">
        <f t="shared" si="2"/>
        <v>642</v>
      </c>
      <c r="B643" s="163">
        <v>45768</v>
      </c>
      <c r="C643" s="164">
        <v>0.34604166666666664</v>
      </c>
      <c r="D643" s="159">
        <v>10</v>
      </c>
      <c r="E643" s="166" t="s">
        <v>735</v>
      </c>
    </row>
    <row r="644" spans="1:5">
      <c r="A644" s="159">
        <f t="shared" si="2"/>
        <v>643</v>
      </c>
      <c r="B644" s="163">
        <v>45768</v>
      </c>
      <c r="C644" s="164">
        <v>0.3457986111111111</v>
      </c>
      <c r="D644" s="159">
        <v>10</v>
      </c>
      <c r="E644" s="166" t="s">
        <v>736</v>
      </c>
    </row>
    <row r="645" spans="1:5">
      <c r="A645" s="159">
        <f t="shared" si="2"/>
        <v>644</v>
      </c>
      <c r="B645" s="163">
        <v>45768</v>
      </c>
      <c r="C645" s="164">
        <v>0.31726851851851851</v>
      </c>
      <c r="D645" s="159">
        <v>10</v>
      </c>
      <c r="E645" s="166" t="s">
        <v>737</v>
      </c>
    </row>
    <row r="646" spans="1:5">
      <c r="A646" s="159">
        <f t="shared" si="2"/>
        <v>645</v>
      </c>
      <c r="B646" s="163">
        <v>45768</v>
      </c>
      <c r="C646" s="164">
        <v>0.29778935185185185</v>
      </c>
      <c r="D646" s="159">
        <v>10</v>
      </c>
      <c r="E646" s="166" t="s">
        <v>738</v>
      </c>
    </row>
    <row r="647" spans="1:5">
      <c r="A647" s="159">
        <f t="shared" si="2"/>
        <v>646</v>
      </c>
      <c r="B647" s="163">
        <v>45768</v>
      </c>
      <c r="C647" s="164">
        <v>0.29675925925925922</v>
      </c>
      <c r="D647" s="159">
        <v>10</v>
      </c>
      <c r="E647" s="166" t="s">
        <v>494</v>
      </c>
    </row>
    <row r="648" spans="1:5">
      <c r="A648" s="159">
        <f t="shared" si="2"/>
        <v>647</v>
      </c>
      <c r="B648" s="163">
        <v>45768</v>
      </c>
      <c r="C648" s="164">
        <v>0.25964120370370369</v>
      </c>
      <c r="D648" s="159">
        <v>10</v>
      </c>
      <c r="E648" s="166" t="s">
        <v>739</v>
      </c>
    </row>
    <row r="649" spans="1:5">
      <c r="A649" s="159">
        <f t="shared" si="2"/>
        <v>648</v>
      </c>
      <c r="B649" s="163">
        <v>45768</v>
      </c>
      <c r="C649" s="164">
        <v>0.22872685185185185</v>
      </c>
      <c r="D649" s="159">
        <v>10</v>
      </c>
      <c r="E649" s="166" t="s">
        <v>740</v>
      </c>
    </row>
    <row r="650" spans="1:5">
      <c r="A650" s="159">
        <f t="shared" si="2"/>
        <v>649</v>
      </c>
      <c r="B650" s="163">
        <v>45768</v>
      </c>
      <c r="C650" s="164">
        <v>0.22372685185185184</v>
      </c>
      <c r="D650" s="159">
        <v>10</v>
      </c>
      <c r="E650" s="166" t="s">
        <v>741</v>
      </c>
    </row>
    <row r="651" spans="1:5">
      <c r="A651" s="159">
        <f t="shared" si="2"/>
        <v>650</v>
      </c>
      <c r="B651" s="163">
        <v>45768</v>
      </c>
      <c r="C651" s="164">
        <v>0.22103009259259257</v>
      </c>
      <c r="D651" s="159">
        <v>10</v>
      </c>
      <c r="E651" s="166" t="s">
        <v>742</v>
      </c>
    </row>
    <row r="652" spans="1:5">
      <c r="A652" s="159">
        <f t="shared" si="2"/>
        <v>651</v>
      </c>
      <c r="B652" s="163">
        <v>45768</v>
      </c>
      <c r="C652" s="164">
        <v>0.21409722222222224</v>
      </c>
      <c r="D652" s="159">
        <v>10</v>
      </c>
      <c r="E652" s="166" t="s">
        <v>743</v>
      </c>
    </row>
    <row r="653" spans="1:5">
      <c r="A653" s="159">
        <f t="shared" si="2"/>
        <v>652</v>
      </c>
      <c r="B653" s="163">
        <v>45768</v>
      </c>
      <c r="C653" s="164">
        <v>0.19226851851851853</v>
      </c>
      <c r="D653" s="159">
        <v>10</v>
      </c>
      <c r="E653" s="166" t="s">
        <v>744</v>
      </c>
    </row>
    <row r="654" spans="1:5">
      <c r="A654" s="159">
        <f t="shared" si="2"/>
        <v>653</v>
      </c>
      <c r="B654" s="163">
        <v>45768</v>
      </c>
      <c r="C654" s="164">
        <v>0.19190972222222222</v>
      </c>
      <c r="D654" s="159">
        <v>10</v>
      </c>
      <c r="E654" s="166" t="s">
        <v>745</v>
      </c>
    </row>
    <row r="655" spans="1:5">
      <c r="A655" s="159">
        <f t="shared" si="2"/>
        <v>654</v>
      </c>
      <c r="B655" s="163">
        <v>45768</v>
      </c>
      <c r="C655" s="164">
        <v>0.18930555555555553</v>
      </c>
      <c r="D655" s="159">
        <v>10</v>
      </c>
      <c r="E655" s="166" t="s">
        <v>746</v>
      </c>
    </row>
    <row r="656" spans="1:5">
      <c r="A656" s="159">
        <f t="shared" si="2"/>
        <v>655</v>
      </c>
      <c r="B656" s="163">
        <v>45768</v>
      </c>
      <c r="C656" s="164">
        <v>0.18858796296296296</v>
      </c>
      <c r="D656" s="159">
        <v>10</v>
      </c>
      <c r="E656" s="166" t="s">
        <v>747</v>
      </c>
    </row>
    <row r="657" spans="1:5">
      <c r="A657" s="159">
        <f t="shared" si="2"/>
        <v>656</v>
      </c>
      <c r="B657" s="163">
        <v>45768</v>
      </c>
      <c r="C657" s="164">
        <v>0.18613425925925928</v>
      </c>
      <c r="D657" s="159">
        <v>10</v>
      </c>
      <c r="E657" s="166" t="s">
        <v>748</v>
      </c>
    </row>
    <row r="658" spans="1:5">
      <c r="A658" s="159">
        <f t="shared" si="2"/>
        <v>657</v>
      </c>
      <c r="B658" s="163">
        <v>45768</v>
      </c>
      <c r="C658" s="164">
        <v>0.18068287037037037</v>
      </c>
      <c r="D658" s="159">
        <v>10</v>
      </c>
      <c r="E658" s="166" t="s">
        <v>749</v>
      </c>
    </row>
    <row r="659" spans="1:5">
      <c r="A659" s="159">
        <f t="shared" si="2"/>
        <v>658</v>
      </c>
      <c r="B659" s="163">
        <v>45768</v>
      </c>
      <c r="C659" s="164">
        <v>0.17023148148148148</v>
      </c>
      <c r="D659" s="159">
        <v>10</v>
      </c>
      <c r="E659" s="166" t="s">
        <v>344</v>
      </c>
    </row>
    <row r="660" spans="1:5">
      <c r="A660" s="159">
        <f t="shared" si="2"/>
        <v>659</v>
      </c>
      <c r="B660" s="163">
        <v>45768</v>
      </c>
      <c r="C660" s="164">
        <v>0.16119212962962962</v>
      </c>
      <c r="D660" s="159">
        <v>8</v>
      </c>
      <c r="E660" s="166" t="s">
        <v>433</v>
      </c>
    </row>
    <row r="661" spans="1:5">
      <c r="A661" s="159">
        <f t="shared" si="2"/>
        <v>660</v>
      </c>
      <c r="B661" s="163">
        <v>45768</v>
      </c>
      <c r="C661" s="164">
        <v>0.15577546296296296</v>
      </c>
      <c r="D661" s="159">
        <v>10</v>
      </c>
      <c r="E661" s="166" t="s">
        <v>750</v>
      </c>
    </row>
    <row r="662" spans="1:5">
      <c r="A662" s="159">
        <f t="shared" si="2"/>
        <v>661</v>
      </c>
      <c r="B662" s="163">
        <v>45768</v>
      </c>
      <c r="C662" s="164">
        <v>0.15480324074074073</v>
      </c>
      <c r="D662" s="159">
        <v>10</v>
      </c>
      <c r="E662" s="166" t="s">
        <v>751</v>
      </c>
    </row>
    <row r="663" spans="1:5">
      <c r="A663" s="159">
        <f t="shared" si="2"/>
        <v>662</v>
      </c>
      <c r="B663" s="163">
        <v>45768</v>
      </c>
      <c r="C663" s="164">
        <v>0.15096064814814816</v>
      </c>
      <c r="D663" s="159">
        <v>9</v>
      </c>
      <c r="E663" s="166" t="s">
        <v>752</v>
      </c>
    </row>
    <row r="664" spans="1:5">
      <c r="A664" s="159">
        <f t="shared" si="2"/>
        <v>663</v>
      </c>
      <c r="B664" s="163">
        <v>45768</v>
      </c>
      <c r="C664" s="164">
        <v>0.1499537037037037</v>
      </c>
      <c r="D664" s="159">
        <v>10</v>
      </c>
      <c r="E664" s="166" t="s">
        <v>753</v>
      </c>
    </row>
    <row r="665" spans="1:5">
      <c r="A665" s="159">
        <f t="shared" si="2"/>
        <v>664</v>
      </c>
      <c r="B665" s="163">
        <v>45768</v>
      </c>
      <c r="C665" s="164">
        <v>0.12964120370370372</v>
      </c>
      <c r="D665" s="159">
        <v>10</v>
      </c>
      <c r="E665" s="166" t="s">
        <v>754</v>
      </c>
    </row>
    <row r="666" spans="1:5" ht="40.5">
      <c r="A666" s="159">
        <f t="shared" si="2"/>
        <v>665</v>
      </c>
      <c r="B666" s="163">
        <v>45768</v>
      </c>
      <c r="C666" s="164">
        <v>0.12450231481481482</v>
      </c>
      <c r="D666" s="159">
        <v>10</v>
      </c>
      <c r="E666" s="166" t="s">
        <v>755</v>
      </c>
    </row>
    <row r="667" spans="1:5">
      <c r="A667" s="159">
        <f t="shared" si="2"/>
        <v>666</v>
      </c>
      <c r="B667" s="163">
        <v>45768</v>
      </c>
      <c r="C667" s="164">
        <v>0.12251157407407408</v>
      </c>
      <c r="D667" s="159">
        <v>10</v>
      </c>
      <c r="E667" s="166" t="s">
        <v>756</v>
      </c>
    </row>
    <row r="668" spans="1:5">
      <c r="A668" s="159">
        <f t="shared" si="2"/>
        <v>667</v>
      </c>
      <c r="B668" s="163">
        <v>45768</v>
      </c>
      <c r="C668" s="164">
        <v>0.10958333333333332</v>
      </c>
      <c r="D668" s="159">
        <v>10</v>
      </c>
      <c r="E668" s="166" t="s">
        <v>757</v>
      </c>
    </row>
    <row r="669" spans="1:5">
      <c r="A669" s="159">
        <f t="shared" si="2"/>
        <v>668</v>
      </c>
      <c r="B669" s="163">
        <v>45768</v>
      </c>
      <c r="C669" s="164">
        <v>0.10450231481481481</v>
      </c>
      <c r="D669" s="159">
        <v>10</v>
      </c>
      <c r="E669" s="166" t="s">
        <v>758</v>
      </c>
    </row>
    <row r="670" spans="1:5" ht="40.5">
      <c r="A670" s="159">
        <f t="shared" si="2"/>
        <v>669</v>
      </c>
      <c r="B670" s="163">
        <v>45768</v>
      </c>
      <c r="C670" s="164">
        <v>9.9664351851851851E-2</v>
      </c>
      <c r="D670" s="159">
        <v>10</v>
      </c>
      <c r="E670" s="166" t="s">
        <v>773</v>
      </c>
    </row>
    <row r="671" spans="1:5" ht="27">
      <c r="A671" s="159">
        <f t="shared" si="2"/>
        <v>670</v>
      </c>
      <c r="B671" s="163">
        <v>45768</v>
      </c>
      <c r="C671" s="164">
        <v>8.9629629629629629E-2</v>
      </c>
      <c r="D671" s="159">
        <v>10</v>
      </c>
      <c r="E671" s="166" t="s">
        <v>759</v>
      </c>
    </row>
    <row r="672" spans="1:5">
      <c r="A672" s="159">
        <f t="shared" si="2"/>
        <v>671</v>
      </c>
      <c r="B672" s="163">
        <v>45768</v>
      </c>
      <c r="C672" s="164">
        <v>8.2361111111111107E-2</v>
      </c>
      <c r="D672" s="159">
        <v>10</v>
      </c>
      <c r="E672" s="166" t="s">
        <v>760</v>
      </c>
    </row>
    <row r="673" spans="1:5">
      <c r="A673" s="159">
        <f t="shared" si="2"/>
        <v>672</v>
      </c>
      <c r="B673" s="163">
        <v>45768</v>
      </c>
      <c r="C673" s="164">
        <v>7.2800925925925922E-2</v>
      </c>
      <c r="D673" s="159">
        <v>10</v>
      </c>
      <c r="E673" s="166" t="s">
        <v>179</v>
      </c>
    </row>
    <row r="674" spans="1:5">
      <c r="A674" s="159">
        <f t="shared" si="2"/>
        <v>673</v>
      </c>
      <c r="B674" s="163">
        <v>45768</v>
      </c>
      <c r="C674" s="164">
        <v>6.732638888888888E-2</v>
      </c>
      <c r="D674" s="159">
        <v>10</v>
      </c>
      <c r="E674" s="166" t="s">
        <v>761</v>
      </c>
    </row>
    <row r="675" spans="1:5">
      <c r="A675" s="159">
        <f t="shared" si="2"/>
        <v>674</v>
      </c>
      <c r="B675" s="163">
        <v>45768</v>
      </c>
      <c r="C675" s="164">
        <v>6.5347222222222223E-2</v>
      </c>
      <c r="D675" s="159">
        <v>10</v>
      </c>
      <c r="E675" s="166" t="s">
        <v>214</v>
      </c>
    </row>
    <row r="676" spans="1:5">
      <c r="A676" s="159">
        <f t="shared" si="2"/>
        <v>675</v>
      </c>
      <c r="B676" s="163">
        <v>45768</v>
      </c>
      <c r="C676" s="164">
        <v>5.409722222222222E-2</v>
      </c>
      <c r="D676" s="159">
        <v>10</v>
      </c>
      <c r="E676" s="166" t="s">
        <v>762</v>
      </c>
    </row>
    <row r="677" spans="1:5">
      <c r="A677" s="159">
        <f t="shared" si="2"/>
        <v>676</v>
      </c>
      <c r="B677" s="163">
        <v>45768</v>
      </c>
      <c r="C677" s="164">
        <v>0.50265046296296301</v>
      </c>
      <c r="D677" s="159">
        <v>10</v>
      </c>
      <c r="E677" s="166" t="s">
        <v>763</v>
      </c>
    </row>
    <row r="678" spans="1:5" ht="27">
      <c r="A678" s="159">
        <f t="shared" si="2"/>
        <v>677</v>
      </c>
      <c r="B678" s="163">
        <v>45768</v>
      </c>
      <c r="C678" s="164">
        <v>0.49755787037037041</v>
      </c>
      <c r="D678" s="159">
        <v>10</v>
      </c>
      <c r="E678" s="166" t="s">
        <v>764</v>
      </c>
    </row>
    <row r="679" spans="1:5" ht="27">
      <c r="A679" s="159">
        <f t="shared" si="2"/>
        <v>678</v>
      </c>
      <c r="B679" s="163">
        <v>45768</v>
      </c>
      <c r="C679" s="164">
        <v>0.46810185185185182</v>
      </c>
      <c r="D679" s="159">
        <v>10</v>
      </c>
      <c r="E679" s="166" t="s">
        <v>772</v>
      </c>
    </row>
    <row r="680" spans="1:5">
      <c r="A680" s="159">
        <f t="shared" si="2"/>
        <v>679</v>
      </c>
      <c r="B680" s="163">
        <v>45768</v>
      </c>
      <c r="C680" s="164">
        <v>0.46081018518518518</v>
      </c>
      <c r="D680" s="159">
        <v>10</v>
      </c>
      <c r="E680" s="166" t="s">
        <v>765</v>
      </c>
    </row>
    <row r="681" spans="1:5">
      <c r="A681" s="159">
        <f t="shared" si="2"/>
        <v>680</v>
      </c>
      <c r="B681" s="163">
        <v>45768</v>
      </c>
      <c r="C681" s="164">
        <v>0.45037037037037037</v>
      </c>
      <c r="D681" s="159">
        <v>10</v>
      </c>
      <c r="E681" s="166" t="s">
        <v>766</v>
      </c>
    </row>
    <row r="682" spans="1:5">
      <c r="A682" s="159">
        <f t="shared" si="2"/>
        <v>681</v>
      </c>
      <c r="B682" s="163">
        <v>45768</v>
      </c>
      <c r="C682" s="164">
        <v>0.44760416666666664</v>
      </c>
      <c r="D682" s="159">
        <v>10</v>
      </c>
      <c r="E682" s="166" t="s">
        <v>767</v>
      </c>
    </row>
    <row r="683" spans="1:5">
      <c r="A683" s="159">
        <f t="shared" si="2"/>
        <v>682</v>
      </c>
      <c r="B683" s="163">
        <v>45768</v>
      </c>
      <c r="C683" s="164">
        <v>0.44468749999999996</v>
      </c>
      <c r="D683" s="159">
        <v>10</v>
      </c>
      <c r="E683" s="166" t="s">
        <v>768</v>
      </c>
    </row>
    <row r="684" spans="1:5">
      <c r="A684" s="159">
        <f t="shared" si="2"/>
        <v>683</v>
      </c>
      <c r="B684" s="163">
        <v>45768</v>
      </c>
      <c r="C684" s="164">
        <v>0.42283564814814811</v>
      </c>
      <c r="D684" s="159">
        <v>10</v>
      </c>
      <c r="E684" s="166" t="s">
        <v>769</v>
      </c>
    </row>
    <row r="685" spans="1:5">
      <c r="A685" s="159">
        <f t="shared" si="2"/>
        <v>684</v>
      </c>
      <c r="B685" s="163">
        <v>45768</v>
      </c>
      <c r="C685" s="164">
        <v>0.41177083333333336</v>
      </c>
      <c r="D685" s="159">
        <v>10</v>
      </c>
      <c r="E685" s="166" t="s">
        <v>770</v>
      </c>
    </row>
    <row r="686" spans="1:5">
      <c r="A686" s="159">
        <f t="shared" si="2"/>
        <v>685</v>
      </c>
      <c r="B686" s="163">
        <v>45768</v>
      </c>
      <c r="C686" s="164">
        <v>0.38687500000000002</v>
      </c>
      <c r="D686" s="159">
        <v>10</v>
      </c>
      <c r="E686" s="166" t="s">
        <v>771</v>
      </c>
    </row>
    <row r="687" spans="1:5">
      <c r="A687" s="159">
        <f t="shared" si="2"/>
        <v>686</v>
      </c>
      <c r="B687" s="163">
        <v>45769</v>
      </c>
      <c r="C687" s="164">
        <v>0.87559027777777787</v>
      </c>
      <c r="D687" s="159">
        <v>10</v>
      </c>
      <c r="E687" s="166" t="s">
        <v>494</v>
      </c>
    </row>
    <row r="688" spans="1:5">
      <c r="A688" s="159">
        <f t="shared" si="2"/>
        <v>687</v>
      </c>
      <c r="B688" s="163">
        <v>45769</v>
      </c>
      <c r="C688" s="164">
        <v>0.85450231481481476</v>
      </c>
      <c r="D688" s="159">
        <v>10</v>
      </c>
      <c r="E688" s="166" t="s">
        <v>778</v>
      </c>
    </row>
    <row r="689" spans="1:5">
      <c r="A689" s="159">
        <f t="shared" si="2"/>
        <v>688</v>
      </c>
      <c r="B689" s="163">
        <v>45769</v>
      </c>
      <c r="C689" s="164">
        <v>0.8416203703703703</v>
      </c>
      <c r="D689" s="159">
        <v>10</v>
      </c>
      <c r="E689" s="166" t="s">
        <v>779</v>
      </c>
    </row>
    <row r="690" spans="1:5">
      <c r="A690" s="159">
        <f t="shared" si="2"/>
        <v>689</v>
      </c>
      <c r="B690" s="163">
        <v>45769</v>
      </c>
      <c r="C690" s="164">
        <v>0.82017361111111109</v>
      </c>
      <c r="D690" s="159">
        <v>10</v>
      </c>
      <c r="E690" s="166" t="s">
        <v>780</v>
      </c>
    </row>
    <row r="691" spans="1:5">
      <c r="A691" s="159">
        <f t="shared" si="2"/>
        <v>690</v>
      </c>
      <c r="B691" s="163">
        <v>45769</v>
      </c>
      <c r="C691" s="164">
        <v>0.77069444444444446</v>
      </c>
      <c r="D691" s="159">
        <v>10</v>
      </c>
      <c r="E691" s="166" t="s">
        <v>781</v>
      </c>
    </row>
    <row r="692" spans="1:5">
      <c r="A692" s="159">
        <f t="shared" si="2"/>
        <v>691</v>
      </c>
      <c r="B692" s="163">
        <v>45769</v>
      </c>
      <c r="C692" s="164">
        <v>0.75997685185185182</v>
      </c>
      <c r="D692" s="159">
        <v>10</v>
      </c>
      <c r="E692" s="166" t="s">
        <v>782</v>
      </c>
    </row>
    <row r="693" spans="1:5">
      <c r="A693" s="159">
        <f t="shared" ref="A693:A756" si="3">ROW()-1</f>
        <v>692</v>
      </c>
      <c r="B693" s="163">
        <v>45769</v>
      </c>
      <c r="C693" s="164">
        <v>0.75936342592592598</v>
      </c>
      <c r="D693" s="159">
        <v>10</v>
      </c>
      <c r="E693" s="166" t="s">
        <v>783</v>
      </c>
    </row>
    <row r="694" spans="1:5">
      <c r="A694" s="159">
        <f t="shared" si="3"/>
        <v>693</v>
      </c>
      <c r="B694" s="163">
        <v>45769</v>
      </c>
      <c r="C694" s="164">
        <v>0.73540509259259268</v>
      </c>
      <c r="D694" s="159">
        <v>10</v>
      </c>
      <c r="E694" s="166" t="s">
        <v>784</v>
      </c>
    </row>
    <row r="695" spans="1:5">
      <c r="A695" s="159">
        <f t="shared" si="3"/>
        <v>694</v>
      </c>
      <c r="B695" s="163">
        <v>45769</v>
      </c>
      <c r="C695" s="164">
        <v>0.7353587962962963</v>
      </c>
      <c r="D695" s="159">
        <v>10</v>
      </c>
      <c r="E695" s="166" t="s">
        <v>785</v>
      </c>
    </row>
    <row r="696" spans="1:5">
      <c r="A696" s="159">
        <f t="shared" si="3"/>
        <v>695</v>
      </c>
      <c r="B696" s="163">
        <v>45769</v>
      </c>
      <c r="C696" s="164">
        <v>0.70655092592592583</v>
      </c>
      <c r="D696" s="159">
        <v>10</v>
      </c>
      <c r="E696" s="166" t="s">
        <v>132</v>
      </c>
    </row>
    <row r="697" spans="1:5">
      <c r="A697" s="159">
        <f t="shared" si="3"/>
        <v>696</v>
      </c>
      <c r="B697" s="163">
        <v>45769</v>
      </c>
      <c r="C697" s="164">
        <v>0.70335648148148155</v>
      </c>
      <c r="D697" s="159">
        <v>10</v>
      </c>
      <c r="E697" s="166" t="s">
        <v>786</v>
      </c>
    </row>
    <row r="698" spans="1:5">
      <c r="A698" s="159">
        <f t="shared" si="3"/>
        <v>697</v>
      </c>
      <c r="B698" s="163">
        <v>45769</v>
      </c>
      <c r="C698" s="164">
        <v>0.69986111111111116</v>
      </c>
      <c r="D698" s="159">
        <v>10</v>
      </c>
      <c r="E698" s="166" t="s">
        <v>565</v>
      </c>
    </row>
    <row r="699" spans="1:5">
      <c r="A699" s="159">
        <f t="shared" si="3"/>
        <v>698</v>
      </c>
      <c r="B699" s="163">
        <v>45769</v>
      </c>
      <c r="C699" s="164">
        <v>0.69912037037037045</v>
      </c>
      <c r="D699" s="159">
        <v>10</v>
      </c>
      <c r="E699" s="166" t="s">
        <v>787</v>
      </c>
    </row>
    <row r="700" spans="1:5">
      <c r="A700" s="159">
        <f t="shared" si="3"/>
        <v>699</v>
      </c>
      <c r="B700" s="163">
        <v>45769</v>
      </c>
      <c r="C700" s="164">
        <v>0.68405092592592587</v>
      </c>
      <c r="D700" s="159">
        <v>10</v>
      </c>
      <c r="E700" s="166" t="s">
        <v>788</v>
      </c>
    </row>
    <row r="701" spans="1:5">
      <c r="A701" s="159">
        <f t="shared" si="3"/>
        <v>700</v>
      </c>
      <c r="B701" s="163">
        <v>45769</v>
      </c>
      <c r="C701" s="164">
        <v>0.67496527777777782</v>
      </c>
      <c r="D701" s="159">
        <v>10</v>
      </c>
      <c r="E701" s="166" t="s">
        <v>789</v>
      </c>
    </row>
    <row r="702" spans="1:5">
      <c r="A702" s="159">
        <f t="shared" si="3"/>
        <v>701</v>
      </c>
      <c r="B702" s="163">
        <v>45769</v>
      </c>
      <c r="C702" s="164">
        <v>0.67268518518518527</v>
      </c>
      <c r="D702" s="159">
        <v>10</v>
      </c>
      <c r="E702" s="166" t="s">
        <v>790</v>
      </c>
    </row>
    <row r="703" spans="1:5">
      <c r="A703" s="159">
        <f t="shared" si="3"/>
        <v>702</v>
      </c>
      <c r="B703" s="163">
        <v>45769</v>
      </c>
      <c r="C703" s="164">
        <v>0.66048611111111111</v>
      </c>
      <c r="D703" s="159">
        <v>10</v>
      </c>
      <c r="E703" s="166" t="s">
        <v>791</v>
      </c>
    </row>
    <row r="704" spans="1:5">
      <c r="A704" s="159">
        <f t="shared" si="3"/>
        <v>703</v>
      </c>
      <c r="B704" s="163">
        <v>45769</v>
      </c>
      <c r="C704" s="164">
        <v>0.65391203703703704</v>
      </c>
      <c r="D704" s="159">
        <v>10</v>
      </c>
      <c r="E704" s="166" t="s">
        <v>792</v>
      </c>
    </row>
    <row r="705" spans="1:5">
      <c r="A705" s="159">
        <f t="shared" si="3"/>
        <v>704</v>
      </c>
      <c r="B705" s="163">
        <v>45769</v>
      </c>
      <c r="C705" s="164">
        <v>0.65113425925925927</v>
      </c>
      <c r="D705" s="159">
        <v>10</v>
      </c>
      <c r="E705" s="166" t="s">
        <v>793</v>
      </c>
    </row>
    <row r="706" spans="1:5">
      <c r="A706" s="159">
        <f t="shared" si="3"/>
        <v>705</v>
      </c>
      <c r="B706" s="163">
        <v>45769</v>
      </c>
      <c r="C706" s="164">
        <v>0.6497222222222222</v>
      </c>
      <c r="D706" s="159">
        <v>10</v>
      </c>
      <c r="E706" s="166" t="s">
        <v>794</v>
      </c>
    </row>
    <row r="707" spans="1:5">
      <c r="A707" s="159">
        <f t="shared" si="3"/>
        <v>706</v>
      </c>
      <c r="B707" s="163">
        <v>45769</v>
      </c>
      <c r="C707" s="164">
        <v>0.64318287037037036</v>
      </c>
      <c r="D707" s="159">
        <v>10</v>
      </c>
      <c r="E707" s="166" t="s">
        <v>795</v>
      </c>
    </row>
    <row r="708" spans="1:5">
      <c r="A708" s="159">
        <f t="shared" si="3"/>
        <v>707</v>
      </c>
      <c r="B708" s="163">
        <v>45769</v>
      </c>
      <c r="C708" s="164">
        <v>0.6428356481481482</v>
      </c>
      <c r="D708" s="159">
        <v>10</v>
      </c>
      <c r="E708" s="166" t="s">
        <v>796</v>
      </c>
    </row>
    <row r="709" spans="1:5" ht="27">
      <c r="A709" s="159">
        <f t="shared" si="3"/>
        <v>708</v>
      </c>
      <c r="B709" s="163">
        <v>45769</v>
      </c>
      <c r="C709" s="164">
        <v>0.63726851851851851</v>
      </c>
      <c r="D709" s="159">
        <v>10</v>
      </c>
      <c r="E709" s="166" t="s">
        <v>797</v>
      </c>
    </row>
    <row r="710" spans="1:5">
      <c r="A710" s="159">
        <f t="shared" si="3"/>
        <v>709</v>
      </c>
      <c r="B710" s="163">
        <v>45769</v>
      </c>
      <c r="C710" s="164">
        <v>0.63255787037037037</v>
      </c>
      <c r="D710" s="159">
        <v>10</v>
      </c>
      <c r="E710" s="166" t="s">
        <v>798</v>
      </c>
    </row>
    <row r="711" spans="1:5">
      <c r="A711" s="159">
        <f t="shared" si="3"/>
        <v>710</v>
      </c>
      <c r="B711" s="163">
        <v>45769</v>
      </c>
      <c r="C711" s="164">
        <v>0.61655092592592597</v>
      </c>
      <c r="D711" s="159">
        <v>10</v>
      </c>
      <c r="E711" s="166" t="s">
        <v>448</v>
      </c>
    </row>
    <row r="712" spans="1:5">
      <c r="A712" s="159">
        <f t="shared" si="3"/>
        <v>711</v>
      </c>
      <c r="B712" s="163">
        <v>45769</v>
      </c>
      <c r="C712" s="164">
        <v>0.6080092592592593</v>
      </c>
      <c r="D712" s="159">
        <v>10</v>
      </c>
      <c r="E712" s="166" t="s">
        <v>799</v>
      </c>
    </row>
    <row r="713" spans="1:5">
      <c r="A713" s="159">
        <f t="shared" si="3"/>
        <v>712</v>
      </c>
      <c r="B713" s="163">
        <v>45769</v>
      </c>
      <c r="C713" s="164">
        <v>0.59924768518518523</v>
      </c>
      <c r="D713" s="159">
        <v>10</v>
      </c>
      <c r="E713" s="166" t="s">
        <v>800</v>
      </c>
    </row>
    <row r="714" spans="1:5">
      <c r="A714" s="159">
        <f t="shared" si="3"/>
        <v>713</v>
      </c>
      <c r="B714" s="163">
        <v>45769</v>
      </c>
      <c r="C714" s="164">
        <v>0.58847222222222217</v>
      </c>
      <c r="D714" s="159">
        <v>10</v>
      </c>
      <c r="E714" s="166" t="s">
        <v>801</v>
      </c>
    </row>
    <row r="715" spans="1:5">
      <c r="A715" s="159">
        <f t="shared" si="3"/>
        <v>714</v>
      </c>
      <c r="B715" s="163">
        <v>45769</v>
      </c>
      <c r="C715" s="164">
        <v>0.58362268518518523</v>
      </c>
      <c r="D715" s="159">
        <v>10</v>
      </c>
      <c r="E715" s="166" t="s">
        <v>802</v>
      </c>
    </row>
    <row r="716" spans="1:5">
      <c r="A716" s="159">
        <f t="shared" si="3"/>
        <v>715</v>
      </c>
      <c r="B716" s="163">
        <v>45769</v>
      </c>
      <c r="C716" s="164">
        <v>0.57471064814814821</v>
      </c>
      <c r="D716" s="159">
        <v>10</v>
      </c>
      <c r="E716" s="166" t="s">
        <v>448</v>
      </c>
    </row>
    <row r="717" spans="1:5">
      <c r="A717" s="159">
        <f t="shared" si="3"/>
        <v>716</v>
      </c>
      <c r="B717" s="163">
        <v>45769</v>
      </c>
      <c r="C717" s="164">
        <v>0.56677083333333333</v>
      </c>
      <c r="D717" s="159">
        <v>10</v>
      </c>
      <c r="E717" s="166" t="s">
        <v>803</v>
      </c>
    </row>
    <row r="718" spans="1:5" ht="27">
      <c r="A718" s="159">
        <f t="shared" si="3"/>
        <v>717</v>
      </c>
      <c r="B718" s="163">
        <v>45769</v>
      </c>
      <c r="C718" s="164">
        <v>0.56299768518518511</v>
      </c>
      <c r="D718" s="159">
        <v>10</v>
      </c>
      <c r="E718" s="166" t="s">
        <v>804</v>
      </c>
    </row>
    <row r="719" spans="1:5">
      <c r="A719" s="159">
        <f t="shared" si="3"/>
        <v>718</v>
      </c>
      <c r="B719" s="163">
        <v>45769</v>
      </c>
      <c r="C719" s="164">
        <v>0.55237268518518523</v>
      </c>
      <c r="D719" s="159">
        <v>10</v>
      </c>
      <c r="E719" s="166" t="s">
        <v>805</v>
      </c>
    </row>
    <row r="720" spans="1:5">
      <c r="A720" s="159">
        <f t="shared" si="3"/>
        <v>719</v>
      </c>
      <c r="B720" s="163">
        <v>45769</v>
      </c>
      <c r="C720" s="164">
        <v>0.49020833333333336</v>
      </c>
      <c r="D720" s="159">
        <v>10</v>
      </c>
      <c r="E720" s="166" t="s">
        <v>806</v>
      </c>
    </row>
    <row r="721" spans="1:5">
      <c r="A721" s="159">
        <f t="shared" si="3"/>
        <v>720</v>
      </c>
      <c r="B721" s="163">
        <v>45769</v>
      </c>
      <c r="C721" s="164">
        <v>0.47684027777777777</v>
      </c>
      <c r="D721" s="159">
        <v>10</v>
      </c>
      <c r="E721" s="166" t="s">
        <v>807</v>
      </c>
    </row>
    <row r="722" spans="1:5">
      <c r="A722" s="159">
        <f t="shared" si="3"/>
        <v>721</v>
      </c>
      <c r="B722" s="163">
        <v>45769</v>
      </c>
      <c r="C722" s="164">
        <v>0.46990740740740744</v>
      </c>
      <c r="D722" s="159">
        <v>10</v>
      </c>
      <c r="E722" s="166" t="s">
        <v>808</v>
      </c>
    </row>
    <row r="723" spans="1:5">
      <c r="A723" s="159">
        <f t="shared" si="3"/>
        <v>722</v>
      </c>
      <c r="B723" s="163">
        <v>45769</v>
      </c>
      <c r="C723" s="164">
        <v>0.46369212962962963</v>
      </c>
      <c r="D723" s="159">
        <v>10</v>
      </c>
      <c r="E723" s="166" t="s">
        <v>809</v>
      </c>
    </row>
    <row r="724" spans="1:5">
      <c r="A724" s="159">
        <f t="shared" si="3"/>
        <v>723</v>
      </c>
      <c r="B724" s="163">
        <v>45769</v>
      </c>
      <c r="C724" s="164">
        <v>0.45405092592592594</v>
      </c>
      <c r="D724" s="159">
        <v>10</v>
      </c>
      <c r="E724" s="166" t="s">
        <v>810</v>
      </c>
    </row>
    <row r="725" spans="1:5">
      <c r="A725" s="159">
        <f t="shared" si="3"/>
        <v>724</v>
      </c>
      <c r="B725" s="163">
        <v>45769</v>
      </c>
      <c r="C725" s="164">
        <v>0.45306712962962964</v>
      </c>
      <c r="D725" s="159">
        <v>8</v>
      </c>
      <c r="E725" s="166" t="s">
        <v>811</v>
      </c>
    </row>
    <row r="726" spans="1:5">
      <c r="A726" s="159">
        <f t="shared" si="3"/>
        <v>725</v>
      </c>
      <c r="B726" s="163">
        <v>45769</v>
      </c>
      <c r="C726" s="164">
        <v>0.45224537037037038</v>
      </c>
      <c r="D726" s="159">
        <v>10</v>
      </c>
      <c r="E726" s="166" t="s">
        <v>812</v>
      </c>
    </row>
    <row r="727" spans="1:5" ht="27">
      <c r="A727" s="159">
        <f t="shared" si="3"/>
        <v>726</v>
      </c>
      <c r="B727" s="163">
        <v>45769</v>
      </c>
      <c r="C727" s="164">
        <v>0.44556712962962958</v>
      </c>
      <c r="D727" s="159">
        <v>10</v>
      </c>
      <c r="E727" s="166" t="s">
        <v>823</v>
      </c>
    </row>
    <row r="728" spans="1:5">
      <c r="A728" s="159">
        <f t="shared" si="3"/>
        <v>727</v>
      </c>
      <c r="B728" s="163">
        <v>45769</v>
      </c>
      <c r="C728" s="164">
        <v>0.44094907407407408</v>
      </c>
      <c r="D728" s="159">
        <v>10</v>
      </c>
      <c r="E728" s="166" t="s">
        <v>813</v>
      </c>
    </row>
    <row r="729" spans="1:5">
      <c r="A729" s="159">
        <f t="shared" si="3"/>
        <v>728</v>
      </c>
      <c r="B729" s="163">
        <v>45769</v>
      </c>
      <c r="C729" s="164">
        <v>0.44016203703703699</v>
      </c>
      <c r="D729" s="159">
        <v>10</v>
      </c>
      <c r="E729" s="166" t="s">
        <v>814</v>
      </c>
    </row>
    <row r="730" spans="1:5" ht="40.5">
      <c r="A730" s="159">
        <f t="shared" si="3"/>
        <v>729</v>
      </c>
      <c r="B730" s="163">
        <v>45769</v>
      </c>
      <c r="C730" s="164">
        <v>0.43216435185185187</v>
      </c>
      <c r="D730" s="159">
        <v>10</v>
      </c>
      <c r="E730" s="166" t="s">
        <v>822</v>
      </c>
    </row>
    <row r="731" spans="1:5">
      <c r="A731" s="159">
        <f t="shared" si="3"/>
        <v>730</v>
      </c>
      <c r="B731" s="163">
        <v>45769</v>
      </c>
      <c r="C731" s="164">
        <v>0.43175925925925923</v>
      </c>
      <c r="D731" s="159">
        <v>10</v>
      </c>
      <c r="E731" s="166" t="s">
        <v>815</v>
      </c>
    </row>
    <row r="732" spans="1:5">
      <c r="A732" s="159">
        <f t="shared" si="3"/>
        <v>731</v>
      </c>
      <c r="B732" s="163">
        <v>45769</v>
      </c>
      <c r="C732" s="164">
        <v>0.42570601851851847</v>
      </c>
      <c r="D732" s="159">
        <v>10</v>
      </c>
      <c r="E732" s="166" t="s">
        <v>816</v>
      </c>
    </row>
    <row r="733" spans="1:5">
      <c r="A733" s="159">
        <f t="shared" si="3"/>
        <v>732</v>
      </c>
      <c r="B733" s="163">
        <v>45769</v>
      </c>
      <c r="C733" s="164">
        <v>0.41434027777777777</v>
      </c>
      <c r="D733" s="159">
        <v>10</v>
      </c>
      <c r="E733" s="166" t="s">
        <v>817</v>
      </c>
    </row>
    <row r="734" spans="1:5">
      <c r="A734" s="159">
        <f t="shared" si="3"/>
        <v>733</v>
      </c>
      <c r="B734" s="163">
        <v>45769</v>
      </c>
      <c r="C734" s="164">
        <v>0.39940972222222221</v>
      </c>
      <c r="D734" s="159">
        <v>10</v>
      </c>
      <c r="E734" s="166" t="s">
        <v>818</v>
      </c>
    </row>
    <row r="735" spans="1:5">
      <c r="A735" s="159">
        <f t="shared" si="3"/>
        <v>734</v>
      </c>
      <c r="B735" s="163">
        <v>45769</v>
      </c>
      <c r="C735" s="164">
        <v>0.38723379629629634</v>
      </c>
      <c r="D735" s="159">
        <v>10</v>
      </c>
      <c r="E735" s="166" t="s">
        <v>821</v>
      </c>
    </row>
    <row r="736" spans="1:5">
      <c r="A736" s="159">
        <f t="shared" si="3"/>
        <v>735</v>
      </c>
      <c r="B736" s="163">
        <v>45769</v>
      </c>
      <c r="C736" s="164">
        <v>0.38381944444444444</v>
      </c>
      <c r="D736" s="159">
        <v>10</v>
      </c>
      <c r="E736" s="166" t="s">
        <v>819</v>
      </c>
    </row>
    <row r="737" spans="1:5">
      <c r="A737" s="159">
        <f t="shared" si="3"/>
        <v>736</v>
      </c>
      <c r="B737" s="163">
        <v>45769</v>
      </c>
      <c r="C737" s="164">
        <v>0.38148148148148148</v>
      </c>
      <c r="D737" s="159">
        <v>10</v>
      </c>
      <c r="E737" s="166" t="s">
        <v>820</v>
      </c>
    </row>
    <row r="738" spans="1:5" ht="27">
      <c r="A738" s="159">
        <f t="shared" si="3"/>
        <v>737</v>
      </c>
      <c r="B738" s="163">
        <v>45770</v>
      </c>
      <c r="C738" s="164">
        <v>0.86048611111111117</v>
      </c>
      <c r="D738" s="159">
        <v>10</v>
      </c>
      <c r="E738" s="166" t="s">
        <v>824</v>
      </c>
    </row>
    <row r="739" spans="1:5">
      <c r="A739" s="159">
        <f t="shared" si="3"/>
        <v>738</v>
      </c>
      <c r="B739" s="163">
        <v>45770</v>
      </c>
      <c r="C739" s="164">
        <v>0.8580902777777778</v>
      </c>
      <c r="D739" s="159">
        <v>10</v>
      </c>
      <c r="E739" s="166" t="s">
        <v>825</v>
      </c>
    </row>
    <row r="740" spans="1:5" ht="27">
      <c r="A740" s="159">
        <f t="shared" si="3"/>
        <v>739</v>
      </c>
      <c r="B740" s="163">
        <v>45770</v>
      </c>
      <c r="C740" s="164">
        <v>0.85174768518518518</v>
      </c>
      <c r="D740" s="159">
        <v>10</v>
      </c>
      <c r="E740" s="166" t="s">
        <v>863</v>
      </c>
    </row>
    <row r="741" spans="1:5">
      <c r="A741" s="159">
        <f t="shared" si="3"/>
        <v>740</v>
      </c>
      <c r="B741" s="163">
        <v>45770</v>
      </c>
      <c r="C741" s="164">
        <v>0.84380787037037042</v>
      </c>
      <c r="D741" s="159">
        <v>10</v>
      </c>
      <c r="E741" s="166" t="s">
        <v>826</v>
      </c>
    </row>
    <row r="742" spans="1:5">
      <c r="A742" s="159">
        <f t="shared" si="3"/>
        <v>741</v>
      </c>
      <c r="B742" s="163">
        <v>45770</v>
      </c>
      <c r="C742" s="164">
        <v>0.82240740740740748</v>
      </c>
      <c r="D742" s="159">
        <v>10</v>
      </c>
      <c r="E742" s="166" t="s">
        <v>827</v>
      </c>
    </row>
    <row r="743" spans="1:5">
      <c r="A743" s="159">
        <f t="shared" si="3"/>
        <v>742</v>
      </c>
      <c r="B743" s="163">
        <v>45770</v>
      </c>
      <c r="C743" s="164">
        <v>0.78656250000000005</v>
      </c>
      <c r="D743" s="159">
        <v>10</v>
      </c>
      <c r="E743" s="166" t="s">
        <v>828</v>
      </c>
    </row>
    <row r="744" spans="1:5">
      <c r="A744" s="159">
        <f t="shared" si="3"/>
        <v>743</v>
      </c>
      <c r="B744" s="163">
        <v>45770</v>
      </c>
      <c r="C744" s="164">
        <v>0.76820601851851855</v>
      </c>
      <c r="D744" s="159">
        <v>10</v>
      </c>
      <c r="E744" s="166" t="s">
        <v>829</v>
      </c>
    </row>
    <row r="745" spans="1:5">
      <c r="A745" s="159">
        <f t="shared" si="3"/>
        <v>744</v>
      </c>
      <c r="B745" s="163">
        <v>45770</v>
      </c>
      <c r="C745" s="164">
        <v>0.75378472222222215</v>
      </c>
      <c r="D745" s="159">
        <v>10</v>
      </c>
      <c r="E745" s="166" t="s">
        <v>830</v>
      </c>
    </row>
    <row r="746" spans="1:5">
      <c r="A746" s="159">
        <f t="shared" si="3"/>
        <v>745</v>
      </c>
      <c r="B746" s="163">
        <v>45770</v>
      </c>
      <c r="C746" s="164">
        <v>0.75350694444444455</v>
      </c>
      <c r="D746" s="159">
        <v>10</v>
      </c>
      <c r="E746" s="166" t="s">
        <v>831</v>
      </c>
    </row>
    <row r="747" spans="1:5">
      <c r="A747" s="159">
        <f t="shared" si="3"/>
        <v>746</v>
      </c>
      <c r="B747" s="163">
        <v>45770</v>
      </c>
      <c r="C747" s="164">
        <v>0.7521296296296297</v>
      </c>
      <c r="D747" s="159">
        <v>10</v>
      </c>
      <c r="E747" s="166" t="s">
        <v>832</v>
      </c>
    </row>
    <row r="748" spans="1:5">
      <c r="A748" s="159">
        <f t="shared" si="3"/>
        <v>747</v>
      </c>
      <c r="B748" s="163">
        <v>45770</v>
      </c>
      <c r="C748" s="164">
        <v>0.74824074074074076</v>
      </c>
      <c r="D748" s="159">
        <v>10</v>
      </c>
      <c r="E748" s="166" t="s">
        <v>833</v>
      </c>
    </row>
    <row r="749" spans="1:5">
      <c r="A749" s="159">
        <f t="shared" si="3"/>
        <v>748</v>
      </c>
      <c r="B749" s="163">
        <v>45770</v>
      </c>
      <c r="C749" s="164">
        <v>0.74143518518518514</v>
      </c>
      <c r="D749" s="159">
        <v>10</v>
      </c>
      <c r="E749" s="166" t="s">
        <v>834</v>
      </c>
    </row>
    <row r="750" spans="1:5">
      <c r="A750" s="159">
        <f t="shared" si="3"/>
        <v>749</v>
      </c>
      <c r="B750" s="163">
        <v>45770</v>
      </c>
      <c r="C750" s="164">
        <v>0.70976851851851841</v>
      </c>
      <c r="D750" s="159">
        <v>10</v>
      </c>
      <c r="E750" s="166" t="s">
        <v>835</v>
      </c>
    </row>
    <row r="751" spans="1:5">
      <c r="A751" s="159">
        <f t="shared" si="3"/>
        <v>750</v>
      </c>
      <c r="B751" s="163">
        <v>45770</v>
      </c>
      <c r="C751" s="164">
        <v>0.70699074074074064</v>
      </c>
      <c r="D751" s="159">
        <v>10</v>
      </c>
      <c r="E751" s="166" t="s">
        <v>836</v>
      </c>
    </row>
    <row r="752" spans="1:5">
      <c r="A752" s="159">
        <f t="shared" si="3"/>
        <v>751</v>
      </c>
      <c r="B752" s="163">
        <v>45770</v>
      </c>
      <c r="C752" s="164">
        <v>0.68489583333333337</v>
      </c>
      <c r="D752" s="159">
        <v>10</v>
      </c>
      <c r="E752" s="166" t="s">
        <v>837</v>
      </c>
    </row>
    <row r="753" spans="1:5">
      <c r="A753" s="159">
        <f t="shared" si="3"/>
        <v>752</v>
      </c>
      <c r="B753" s="163">
        <v>45770</v>
      </c>
      <c r="C753" s="164">
        <v>0.67733796296296289</v>
      </c>
      <c r="D753" s="159">
        <v>10</v>
      </c>
      <c r="E753" s="166" t="s">
        <v>838</v>
      </c>
    </row>
    <row r="754" spans="1:5">
      <c r="A754" s="159">
        <f t="shared" si="3"/>
        <v>753</v>
      </c>
      <c r="B754" s="163">
        <v>45770</v>
      </c>
      <c r="C754" s="164">
        <v>0.66285879629629629</v>
      </c>
      <c r="D754" s="159">
        <v>10</v>
      </c>
      <c r="E754" s="166" t="s">
        <v>839</v>
      </c>
    </row>
    <row r="755" spans="1:5">
      <c r="A755" s="159">
        <f t="shared" si="3"/>
        <v>754</v>
      </c>
      <c r="B755" s="163">
        <v>45770</v>
      </c>
      <c r="C755" s="164">
        <v>0.63518518518518519</v>
      </c>
      <c r="D755" s="159">
        <v>10</v>
      </c>
      <c r="E755" s="166" t="s">
        <v>840</v>
      </c>
    </row>
    <row r="756" spans="1:5">
      <c r="A756" s="159">
        <f t="shared" si="3"/>
        <v>755</v>
      </c>
      <c r="B756" s="163">
        <v>45770</v>
      </c>
      <c r="C756" s="164">
        <v>0.63164351851851852</v>
      </c>
      <c r="D756" s="159">
        <v>10</v>
      </c>
      <c r="E756" s="166" t="s">
        <v>841</v>
      </c>
    </row>
    <row r="757" spans="1:5">
      <c r="A757" s="159">
        <f t="shared" ref="A757:A820" si="4">ROW()-1</f>
        <v>756</v>
      </c>
      <c r="B757" s="163">
        <v>45770</v>
      </c>
      <c r="C757" s="164">
        <v>0.62405092592592593</v>
      </c>
      <c r="D757" s="159">
        <v>10</v>
      </c>
      <c r="E757" s="166" t="s">
        <v>842</v>
      </c>
    </row>
    <row r="758" spans="1:5">
      <c r="A758" s="159">
        <f t="shared" si="4"/>
        <v>757</v>
      </c>
      <c r="B758" s="163">
        <v>45770</v>
      </c>
      <c r="C758" s="164">
        <v>0.60620370370370369</v>
      </c>
      <c r="D758" s="159">
        <v>10</v>
      </c>
      <c r="E758" s="166" t="s">
        <v>843</v>
      </c>
    </row>
    <row r="759" spans="1:5" ht="27">
      <c r="A759" s="159">
        <f t="shared" si="4"/>
        <v>758</v>
      </c>
      <c r="B759" s="163">
        <v>45770</v>
      </c>
      <c r="C759" s="164">
        <v>0.59543981481481478</v>
      </c>
      <c r="D759" s="159">
        <v>10</v>
      </c>
      <c r="E759" s="166" t="s">
        <v>862</v>
      </c>
    </row>
    <row r="760" spans="1:5">
      <c r="A760" s="159">
        <f t="shared" si="4"/>
        <v>759</v>
      </c>
      <c r="B760" s="163">
        <v>45770</v>
      </c>
      <c r="C760" s="164">
        <v>0.58893518518518517</v>
      </c>
      <c r="D760" s="159">
        <v>10</v>
      </c>
      <c r="E760" s="166" t="s">
        <v>844</v>
      </c>
    </row>
    <row r="761" spans="1:5">
      <c r="A761" s="159">
        <f t="shared" si="4"/>
        <v>760</v>
      </c>
      <c r="B761" s="163">
        <v>45770</v>
      </c>
      <c r="C761" s="164">
        <v>0.57874999999999999</v>
      </c>
      <c r="D761" s="159">
        <v>10</v>
      </c>
      <c r="E761" s="166" t="s">
        <v>845</v>
      </c>
    </row>
    <row r="762" spans="1:5">
      <c r="A762" s="159">
        <f t="shared" si="4"/>
        <v>761</v>
      </c>
      <c r="B762" s="163">
        <v>45770</v>
      </c>
      <c r="C762" s="164">
        <v>0.56774305555555549</v>
      </c>
      <c r="D762" s="159">
        <v>10</v>
      </c>
      <c r="E762" s="166" t="s">
        <v>846</v>
      </c>
    </row>
    <row r="763" spans="1:5">
      <c r="A763" s="159">
        <f t="shared" si="4"/>
        <v>762</v>
      </c>
      <c r="B763" s="163">
        <v>45770</v>
      </c>
      <c r="C763" s="164">
        <v>0.56126157407407407</v>
      </c>
      <c r="D763" s="159">
        <v>10</v>
      </c>
      <c r="E763" s="166" t="s">
        <v>847</v>
      </c>
    </row>
    <row r="764" spans="1:5">
      <c r="A764" s="159">
        <f t="shared" si="4"/>
        <v>763</v>
      </c>
      <c r="B764" s="163">
        <v>45770</v>
      </c>
      <c r="C764" s="164">
        <v>0.55622685185185183</v>
      </c>
      <c r="D764" s="159">
        <v>10</v>
      </c>
      <c r="E764" s="166" t="s">
        <v>848</v>
      </c>
    </row>
    <row r="765" spans="1:5">
      <c r="A765" s="159">
        <f t="shared" si="4"/>
        <v>764</v>
      </c>
      <c r="B765" s="163">
        <v>45770</v>
      </c>
      <c r="C765" s="164">
        <v>0.54986111111111113</v>
      </c>
      <c r="D765" s="159">
        <v>10</v>
      </c>
      <c r="E765" s="166" t="s">
        <v>849</v>
      </c>
    </row>
    <row r="766" spans="1:5">
      <c r="A766" s="159">
        <f t="shared" si="4"/>
        <v>765</v>
      </c>
      <c r="B766" s="163">
        <v>45770</v>
      </c>
      <c r="C766" s="164">
        <v>0.49134259259259255</v>
      </c>
      <c r="D766" s="159">
        <v>10</v>
      </c>
      <c r="E766" s="166" t="s">
        <v>850</v>
      </c>
    </row>
    <row r="767" spans="1:5">
      <c r="A767" s="159">
        <f t="shared" si="4"/>
        <v>766</v>
      </c>
      <c r="B767" s="163">
        <v>45770</v>
      </c>
      <c r="C767" s="164">
        <v>0.48934027777777778</v>
      </c>
      <c r="D767" s="159">
        <v>10</v>
      </c>
      <c r="E767" s="166" t="s">
        <v>851</v>
      </c>
    </row>
    <row r="768" spans="1:5">
      <c r="A768" s="159">
        <f t="shared" si="4"/>
        <v>767</v>
      </c>
      <c r="B768" s="163">
        <v>45770</v>
      </c>
      <c r="C768" s="164">
        <v>0.48740740740740746</v>
      </c>
      <c r="D768" s="159">
        <v>10</v>
      </c>
      <c r="E768" s="166" t="s">
        <v>852</v>
      </c>
    </row>
    <row r="769" spans="1:5">
      <c r="A769" s="159">
        <f t="shared" si="4"/>
        <v>768</v>
      </c>
      <c r="B769" s="163">
        <v>45770</v>
      </c>
      <c r="C769" s="164">
        <v>0.48693287037037036</v>
      </c>
      <c r="D769" s="159">
        <v>10</v>
      </c>
      <c r="E769" s="166" t="s">
        <v>853</v>
      </c>
    </row>
    <row r="770" spans="1:5">
      <c r="A770" s="159">
        <f t="shared" si="4"/>
        <v>769</v>
      </c>
      <c r="B770" s="163">
        <v>45770</v>
      </c>
      <c r="C770" s="164">
        <v>0.48685185185185187</v>
      </c>
      <c r="D770" s="159">
        <v>10</v>
      </c>
      <c r="E770" s="166" t="s">
        <v>854</v>
      </c>
    </row>
    <row r="771" spans="1:5">
      <c r="A771" s="159">
        <f t="shared" si="4"/>
        <v>770</v>
      </c>
      <c r="B771" s="163">
        <v>45770</v>
      </c>
      <c r="C771" s="164">
        <v>0.46907407407407403</v>
      </c>
      <c r="D771" s="159">
        <v>10</v>
      </c>
      <c r="E771" s="166" t="s">
        <v>855</v>
      </c>
    </row>
    <row r="772" spans="1:5">
      <c r="A772" s="159">
        <f t="shared" si="4"/>
        <v>771</v>
      </c>
      <c r="B772" s="163">
        <v>45770</v>
      </c>
      <c r="C772" s="164">
        <v>0.4635185185185185</v>
      </c>
      <c r="D772" s="159">
        <v>10</v>
      </c>
      <c r="E772" s="166" t="s">
        <v>856</v>
      </c>
    </row>
    <row r="773" spans="1:5">
      <c r="A773" s="159">
        <f t="shared" si="4"/>
        <v>772</v>
      </c>
      <c r="B773" s="163">
        <v>45770</v>
      </c>
      <c r="C773" s="164">
        <v>0.46262731481481478</v>
      </c>
      <c r="D773" s="159">
        <v>10</v>
      </c>
      <c r="E773" s="166" t="s">
        <v>857</v>
      </c>
    </row>
    <row r="774" spans="1:5" ht="27">
      <c r="A774" s="159">
        <f t="shared" si="4"/>
        <v>773</v>
      </c>
      <c r="B774" s="163">
        <v>45770</v>
      </c>
      <c r="C774" s="164">
        <v>0.45895833333333336</v>
      </c>
      <c r="D774" s="159">
        <v>10</v>
      </c>
      <c r="E774" s="166" t="s">
        <v>861</v>
      </c>
    </row>
    <row r="775" spans="1:5">
      <c r="A775" s="159">
        <f t="shared" si="4"/>
        <v>774</v>
      </c>
      <c r="B775" s="163">
        <v>45770</v>
      </c>
      <c r="C775" s="164">
        <v>0.43590277777777775</v>
      </c>
      <c r="D775" s="159">
        <v>10</v>
      </c>
      <c r="E775" s="166" t="s">
        <v>858</v>
      </c>
    </row>
    <row r="776" spans="1:5">
      <c r="A776" s="159">
        <f t="shared" si="4"/>
        <v>775</v>
      </c>
      <c r="B776" s="163">
        <v>45770</v>
      </c>
      <c r="C776" s="164">
        <v>0.43001157407407403</v>
      </c>
      <c r="D776" s="159">
        <v>10</v>
      </c>
      <c r="E776" s="166" t="s">
        <v>859</v>
      </c>
    </row>
    <row r="777" spans="1:5">
      <c r="A777" s="159">
        <f t="shared" si="4"/>
        <v>776</v>
      </c>
      <c r="B777" s="163">
        <v>45770</v>
      </c>
      <c r="C777" s="164">
        <v>0.42855324074074069</v>
      </c>
      <c r="D777" s="159">
        <v>10</v>
      </c>
      <c r="E777" s="166" t="s">
        <v>860</v>
      </c>
    </row>
    <row r="778" spans="1:5">
      <c r="A778" s="159">
        <f t="shared" si="4"/>
        <v>777</v>
      </c>
      <c r="B778" s="163">
        <v>45770</v>
      </c>
      <c r="C778" s="164">
        <v>0.42479166666666668</v>
      </c>
      <c r="D778" s="159">
        <v>10</v>
      </c>
      <c r="E778" s="166" t="s">
        <v>896</v>
      </c>
    </row>
    <row r="779" spans="1:5">
      <c r="A779" s="159">
        <f t="shared" si="4"/>
        <v>778</v>
      </c>
      <c r="B779" s="163">
        <v>45771</v>
      </c>
      <c r="C779" s="164">
        <v>0.89310185185185187</v>
      </c>
      <c r="D779" s="159">
        <v>10</v>
      </c>
      <c r="E779" s="166" t="s">
        <v>864</v>
      </c>
    </row>
    <row r="780" spans="1:5">
      <c r="A780" s="159">
        <f t="shared" si="4"/>
        <v>779</v>
      </c>
      <c r="B780" s="163">
        <v>45771</v>
      </c>
      <c r="C780" s="164">
        <v>0.89074074074074072</v>
      </c>
      <c r="D780" s="159">
        <v>10</v>
      </c>
      <c r="E780" s="166" t="s">
        <v>865</v>
      </c>
    </row>
    <row r="781" spans="1:5">
      <c r="A781" s="159">
        <f t="shared" si="4"/>
        <v>780</v>
      </c>
      <c r="B781" s="163">
        <v>45771</v>
      </c>
      <c r="C781" s="164">
        <v>0.79877314814814815</v>
      </c>
      <c r="D781" s="159">
        <v>10</v>
      </c>
      <c r="E781" s="166" t="s">
        <v>866</v>
      </c>
    </row>
    <row r="782" spans="1:5">
      <c r="A782" s="159">
        <f t="shared" si="4"/>
        <v>781</v>
      </c>
      <c r="B782" s="163">
        <v>45771</v>
      </c>
      <c r="C782" s="164">
        <v>0.7273263888888889</v>
      </c>
      <c r="D782" s="159">
        <v>10</v>
      </c>
      <c r="E782" s="166" t="s">
        <v>897</v>
      </c>
    </row>
    <row r="783" spans="1:5">
      <c r="A783" s="159">
        <f t="shared" si="4"/>
        <v>782</v>
      </c>
      <c r="B783" s="163">
        <v>45771</v>
      </c>
      <c r="C783" s="164">
        <v>0.72045138888888882</v>
      </c>
      <c r="D783" s="159">
        <v>10</v>
      </c>
      <c r="E783" s="166" t="s">
        <v>867</v>
      </c>
    </row>
    <row r="784" spans="1:5">
      <c r="A784" s="159">
        <f t="shared" si="4"/>
        <v>783</v>
      </c>
      <c r="B784" s="163">
        <v>45771</v>
      </c>
      <c r="C784" s="164">
        <v>0.70512731481481483</v>
      </c>
      <c r="D784" s="159">
        <v>10</v>
      </c>
      <c r="E784" s="166" t="s">
        <v>868</v>
      </c>
    </row>
    <row r="785" spans="1:5">
      <c r="A785" s="159">
        <f t="shared" si="4"/>
        <v>784</v>
      </c>
      <c r="B785" s="163">
        <v>45771</v>
      </c>
      <c r="C785" s="164">
        <v>0.7041087962962963</v>
      </c>
      <c r="D785" s="159">
        <v>10</v>
      </c>
      <c r="E785" s="166" t="s">
        <v>869</v>
      </c>
    </row>
    <row r="786" spans="1:5">
      <c r="A786" s="159">
        <f t="shared" si="4"/>
        <v>785</v>
      </c>
      <c r="B786" s="163">
        <v>45771</v>
      </c>
      <c r="C786" s="164">
        <v>0.70199074074074075</v>
      </c>
      <c r="D786" s="159">
        <v>10</v>
      </c>
      <c r="E786" s="166" t="s">
        <v>870</v>
      </c>
    </row>
    <row r="787" spans="1:5">
      <c r="A787" s="159">
        <f t="shared" si="4"/>
        <v>786</v>
      </c>
      <c r="B787" s="163">
        <v>45771</v>
      </c>
      <c r="C787" s="164">
        <v>0.70149305555555552</v>
      </c>
      <c r="D787" s="159">
        <v>10</v>
      </c>
      <c r="E787" s="166" t="s">
        <v>749</v>
      </c>
    </row>
    <row r="788" spans="1:5">
      <c r="A788" s="159">
        <f t="shared" si="4"/>
        <v>787</v>
      </c>
      <c r="B788" s="163">
        <v>45771</v>
      </c>
      <c r="C788" s="164">
        <v>0.69827546296296295</v>
      </c>
      <c r="D788" s="159">
        <v>10</v>
      </c>
      <c r="E788" s="166" t="s">
        <v>132</v>
      </c>
    </row>
    <row r="789" spans="1:5">
      <c r="A789" s="159">
        <f t="shared" si="4"/>
        <v>788</v>
      </c>
      <c r="B789" s="163">
        <v>45771</v>
      </c>
      <c r="C789" s="164">
        <v>0.68773148148148155</v>
      </c>
      <c r="D789" s="159">
        <v>10</v>
      </c>
      <c r="E789" s="166" t="s">
        <v>871</v>
      </c>
    </row>
    <row r="790" spans="1:5">
      <c r="A790" s="159">
        <f t="shared" si="4"/>
        <v>789</v>
      </c>
      <c r="B790" s="163">
        <v>45771</v>
      </c>
      <c r="C790" s="164">
        <v>0.68503472222222228</v>
      </c>
      <c r="D790" s="159">
        <v>10</v>
      </c>
      <c r="E790" s="166" t="s">
        <v>872</v>
      </c>
    </row>
    <row r="791" spans="1:5">
      <c r="A791" s="159">
        <f t="shared" si="4"/>
        <v>790</v>
      </c>
      <c r="B791" s="163">
        <v>45771</v>
      </c>
      <c r="C791" s="164">
        <v>0.67523148148148149</v>
      </c>
      <c r="D791" s="159">
        <v>10</v>
      </c>
      <c r="E791" s="166" t="s">
        <v>873</v>
      </c>
    </row>
    <row r="792" spans="1:5">
      <c r="A792" s="159">
        <f t="shared" si="4"/>
        <v>791</v>
      </c>
      <c r="B792" s="163">
        <v>45771</v>
      </c>
      <c r="C792" s="164">
        <v>0.66818287037037039</v>
      </c>
      <c r="D792" s="159">
        <v>10</v>
      </c>
      <c r="E792" s="166" t="s">
        <v>874</v>
      </c>
    </row>
    <row r="793" spans="1:5">
      <c r="A793" s="159">
        <f t="shared" si="4"/>
        <v>792</v>
      </c>
      <c r="B793" s="163">
        <v>45771</v>
      </c>
      <c r="C793" s="164">
        <v>0.66591435185185188</v>
      </c>
      <c r="D793" s="159">
        <v>10</v>
      </c>
      <c r="E793" s="166" t="s">
        <v>244</v>
      </c>
    </row>
    <row r="794" spans="1:5">
      <c r="A794" s="159">
        <f t="shared" si="4"/>
        <v>793</v>
      </c>
      <c r="B794" s="163">
        <v>45771</v>
      </c>
      <c r="C794" s="164">
        <v>0.66339120370370364</v>
      </c>
      <c r="D794" s="159">
        <v>10</v>
      </c>
      <c r="E794" s="166" t="s">
        <v>875</v>
      </c>
    </row>
    <row r="795" spans="1:5">
      <c r="A795" s="159">
        <f t="shared" si="4"/>
        <v>794</v>
      </c>
      <c r="B795" s="163">
        <v>45771</v>
      </c>
      <c r="C795" s="164">
        <v>0.65946759259259258</v>
      </c>
      <c r="D795" s="159">
        <v>10</v>
      </c>
      <c r="E795" s="166" t="s">
        <v>876</v>
      </c>
    </row>
    <row r="796" spans="1:5">
      <c r="A796" s="159">
        <f t="shared" si="4"/>
        <v>795</v>
      </c>
      <c r="B796" s="163">
        <v>45771</v>
      </c>
      <c r="C796" s="164">
        <v>0.63800925925925933</v>
      </c>
      <c r="D796" s="159">
        <v>10</v>
      </c>
      <c r="E796" s="166" t="s">
        <v>877</v>
      </c>
    </row>
    <row r="797" spans="1:5">
      <c r="A797" s="159">
        <f t="shared" si="4"/>
        <v>796</v>
      </c>
      <c r="B797" s="163">
        <v>45771</v>
      </c>
      <c r="C797" s="164">
        <v>0.63194444444444442</v>
      </c>
      <c r="D797" s="159">
        <v>10</v>
      </c>
      <c r="E797" s="166" t="s">
        <v>878</v>
      </c>
    </row>
    <row r="798" spans="1:5">
      <c r="A798" s="159">
        <f t="shared" si="4"/>
        <v>797</v>
      </c>
      <c r="B798" s="163">
        <v>45771</v>
      </c>
      <c r="C798" s="164">
        <v>0.63083333333333336</v>
      </c>
      <c r="D798" s="159">
        <v>10</v>
      </c>
      <c r="E798" s="166" t="s">
        <v>879</v>
      </c>
    </row>
    <row r="799" spans="1:5">
      <c r="A799" s="159">
        <f t="shared" si="4"/>
        <v>798</v>
      </c>
      <c r="B799" s="163">
        <v>45771</v>
      </c>
      <c r="C799" s="164">
        <v>0.62890046296296298</v>
      </c>
      <c r="D799" s="159">
        <v>10</v>
      </c>
      <c r="E799" s="166" t="s">
        <v>880</v>
      </c>
    </row>
    <row r="800" spans="1:5">
      <c r="A800" s="159">
        <f t="shared" si="4"/>
        <v>799</v>
      </c>
      <c r="B800" s="163">
        <v>45771</v>
      </c>
      <c r="C800" s="164">
        <v>0.58841435185185187</v>
      </c>
      <c r="D800" s="159">
        <v>10</v>
      </c>
      <c r="E800" s="166" t="s">
        <v>881</v>
      </c>
    </row>
    <row r="801" spans="1:5">
      <c r="A801" s="159">
        <f t="shared" si="4"/>
        <v>800</v>
      </c>
      <c r="B801" s="163">
        <v>45771</v>
      </c>
      <c r="C801" s="164">
        <v>0.58359953703703704</v>
      </c>
      <c r="D801" s="159">
        <v>10</v>
      </c>
      <c r="E801" s="166" t="s">
        <v>565</v>
      </c>
    </row>
    <row r="802" spans="1:5">
      <c r="A802" s="159">
        <f t="shared" si="4"/>
        <v>801</v>
      </c>
      <c r="B802" s="163">
        <v>45771</v>
      </c>
      <c r="C802" s="164">
        <v>0.57938657407407412</v>
      </c>
      <c r="D802" s="159">
        <v>10</v>
      </c>
      <c r="E802" s="166" t="s">
        <v>732</v>
      </c>
    </row>
    <row r="803" spans="1:5">
      <c r="A803" s="159">
        <f t="shared" si="4"/>
        <v>802</v>
      </c>
      <c r="B803" s="163">
        <v>45771</v>
      </c>
      <c r="C803" s="164">
        <v>0.55354166666666671</v>
      </c>
      <c r="D803" s="159">
        <v>10</v>
      </c>
      <c r="E803" s="166" t="s">
        <v>882</v>
      </c>
    </row>
    <row r="804" spans="1:5">
      <c r="A804" s="159">
        <f t="shared" si="4"/>
        <v>803</v>
      </c>
      <c r="B804" s="163">
        <v>45771</v>
      </c>
      <c r="C804" s="164">
        <v>0.55031249999999998</v>
      </c>
      <c r="D804" s="159">
        <v>10</v>
      </c>
      <c r="E804" s="166" t="s">
        <v>246</v>
      </c>
    </row>
    <row r="805" spans="1:5">
      <c r="A805" s="159">
        <f t="shared" si="4"/>
        <v>804</v>
      </c>
      <c r="B805" s="163">
        <v>45771</v>
      </c>
      <c r="C805" s="164">
        <v>0.52136574074074071</v>
      </c>
      <c r="D805" s="159">
        <v>10</v>
      </c>
      <c r="E805" s="166" t="s">
        <v>883</v>
      </c>
    </row>
    <row r="806" spans="1:5">
      <c r="A806" s="159">
        <f t="shared" si="4"/>
        <v>805</v>
      </c>
      <c r="B806" s="163">
        <v>45771</v>
      </c>
      <c r="C806" s="164">
        <v>0.49466435185185187</v>
      </c>
      <c r="D806" s="159">
        <v>10</v>
      </c>
      <c r="E806" s="166" t="s">
        <v>884</v>
      </c>
    </row>
    <row r="807" spans="1:5">
      <c r="A807" s="159">
        <f t="shared" si="4"/>
        <v>806</v>
      </c>
      <c r="B807" s="163">
        <v>45771</v>
      </c>
      <c r="C807" s="164">
        <v>0.48146990740740742</v>
      </c>
      <c r="D807" s="159">
        <v>10</v>
      </c>
      <c r="E807" s="166" t="s">
        <v>885</v>
      </c>
    </row>
    <row r="808" spans="1:5">
      <c r="A808" s="159">
        <f t="shared" si="4"/>
        <v>807</v>
      </c>
      <c r="B808" s="163">
        <v>45771</v>
      </c>
      <c r="C808" s="164">
        <v>0.47850694444444447</v>
      </c>
      <c r="D808" s="159">
        <v>10</v>
      </c>
      <c r="E808" s="166" t="s">
        <v>886</v>
      </c>
    </row>
    <row r="809" spans="1:5">
      <c r="A809" s="159">
        <f t="shared" si="4"/>
        <v>808</v>
      </c>
      <c r="B809" s="163">
        <v>45771</v>
      </c>
      <c r="C809" s="164">
        <v>0.4777777777777778</v>
      </c>
      <c r="D809" s="159">
        <v>10</v>
      </c>
      <c r="E809" s="166" t="s">
        <v>887</v>
      </c>
    </row>
    <row r="810" spans="1:5">
      <c r="A810" s="159">
        <f t="shared" si="4"/>
        <v>809</v>
      </c>
      <c r="B810" s="163">
        <v>45771</v>
      </c>
      <c r="C810" s="164">
        <v>0.4775578703703704</v>
      </c>
      <c r="D810" s="159">
        <v>10</v>
      </c>
    </row>
    <row r="811" spans="1:5">
      <c r="A811" s="159">
        <f t="shared" si="4"/>
        <v>810</v>
      </c>
      <c r="B811" s="163">
        <v>45771</v>
      </c>
      <c r="C811" s="164">
        <v>0.46655092592592595</v>
      </c>
      <c r="D811" s="159">
        <v>10</v>
      </c>
      <c r="E811" s="166" t="s">
        <v>132</v>
      </c>
    </row>
    <row r="812" spans="1:5" ht="27">
      <c r="A812" s="159">
        <f t="shared" si="4"/>
        <v>811</v>
      </c>
      <c r="B812" s="163">
        <v>45771</v>
      </c>
      <c r="C812" s="164">
        <v>0.45545138888888892</v>
      </c>
      <c r="D812" s="159">
        <v>10</v>
      </c>
      <c r="E812" s="166" t="s">
        <v>895</v>
      </c>
    </row>
    <row r="813" spans="1:5">
      <c r="A813" s="159">
        <f t="shared" si="4"/>
        <v>812</v>
      </c>
      <c r="B813" s="163">
        <v>45771</v>
      </c>
      <c r="C813" s="164">
        <v>0.43262731481481481</v>
      </c>
      <c r="D813" s="159">
        <v>9</v>
      </c>
      <c r="E813" s="166" t="s">
        <v>888</v>
      </c>
    </row>
    <row r="814" spans="1:5">
      <c r="A814" s="159">
        <f t="shared" si="4"/>
        <v>813</v>
      </c>
      <c r="B814" s="163">
        <v>45771</v>
      </c>
      <c r="C814" s="164">
        <v>0.43209490740740741</v>
      </c>
      <c r="D814" s="159">
        <v>10</v>
      </c>
      <c r="E814" s="166" t="s">
        <v>889</v>
      </c>
    </row>
    <row r="815" spans="1:5">
      <c r="A815" s="159">
        <f t="shared" si="4"/>
        <v>814</v>
      </c>
      <c r="B815" s="163">
        <v>45771</v>
      </c>
      <c r="C815" s="164">
        <v>0.42906249999999996</v>
      </c>
      <c r="D815" s="159">
        <v>10</v>
      </c>
      <c r="E815" s="166" t="s">
        <v>890</v>
      </c>
    </row>
    <row r="816" spans="1:5">
      <c r="A816" s="159">
        <f t="shared" si="4"/>
        <v>815</v>
      </c>
      <c r="B816" s="163">
        <v>45771</v>
      </c>
      <c r="C816" s="164">
        <v>0.40712962962962962</v>
      </c>
      <c r="D816" s="159">
        <v>10</v>
      </c>
      <c r="E816" s="166" t="s">
        <v>894</v>
      </c>
    </row>
    <row r="817" spans="1:5">
      <c r="A817" s="159">
        <f t="shared" si="4"/>
        <v>816</v>
      </c>
      <c r="B817" s="163">
        <v>45771</v>
      </c>
      <c r="C817" s="164">
        <v>0.39600694444444445</v>
      </c>
      <c r="D817" s="159">
        <v>10</v>
      </c>
      <c r="E817" s="166" t="s">
        <v>565</v>
      </c>
    </row>
    <row r="818" spans="1:5">
      <c r="A818" s="159">
        <f t="shared" si="4"/>
        <v>817</v>
      </c>
      <c r="B818" s="163">
        <v>45771</v>
      </c>
      <c r="C818" s="164">
        <v>0.38973379629629629</v>
      </c>
      <c r="D818" s="159">
        <v>10</v>
      </c>
      <c r="E818" s="166" t="s">
        <v>891</v>
      </c>
    </row>
    <row r="819" spans="1:5">
      <c r="A819" s="159">
        <f t="shared" si="4"/>
        <v>818</v>
      </c>
      <c r="B819" s="163">
        <v>45771</v>
      </c>
      <c r="C819" s="164">
        <v>0.38269675925925922</v>
      </c>
      <c r="D819" s="159">
        <v>4</v>
      </c>
      <c r="E819" s="166" t="s">
        <v>892</v>
      </c>
    </row>
    <row r="820" spans="1:5">
      <c r="A820" s="159">
        <f t="shared" si="4"/>
        <v>819</v>
      </c>
      <c r="B820" s="163">
        <v>45771</v>
      </c>
      <c r="C820" s="164">
        <v>0.38248842592592597</v>
      </c>
      <c r="D820" s="159">
        <v>10</v>
      </c>
      <c r="E820" s="166" t="s">
        <v>893</v>
      </c>
    </row>
    <row r="821" spans="1:5">
      <c r="A821" s="159">
        <f t="shared" ref="A821:A884" si="5">ROW()-1</f>
        <v>820</v>
      </c>
      <c r="B821" s="163">
        <v>45772</v>
      </c>
      <c r="C821" s="164">
        <v>0.77619212962962969</v>
      </c>
      <c r="D821" s="159">
        <v>10</v>
      </c>
      <c r="E821" s="166" t="s">
        <v>906</v>
      </c>
    </row>
    <row r="822" spans="1:5">
      <c r="A822" s="159">
        <f t="shared" si="5"/>
        <v>821</v>
      </c>
      <c r="B822" s="163">
        <v>45772</v>
      </c>
      <c r="C822" s="164">
        <v>0.75357638888888889</v>
      </c>
      <c r="D822" s="159">
        <v>10</v>
      </c>
      <c r="E822" s="166" t="s">
        <v>907</v>
      </c>
    </row>
    <row r="823" spans="1:5">
      <c r="A823" s="159">
        <f t="shared" si="5"/>
        <v>822</v>
      </c>
      <c r="B823" s="163">
        <v>45772</v>
      </c>
      <c r="C823" s="164">
        <v>0.75361111111111112</v>
      </c>
      <c r="D823" s="159">
        <v>10</v>
      </c>
      <c r="E823" s="166" t="s">
        <v>908</v>
      </c>
    </row>
    <row r="824" spans="1:5">
      <c r="A824" s="159">
        <f t="shared" si="5"/>
        <v>823</v>
      </c>
      <c r="B824" s="163">
        <v>45772</v>
      </c>
      <c r="C824" s="164">
        <v>0.74170138888888892</v>
      </c>
      <c r="D824" s="159">
        <v>10</v>
      </c>
      <c r="E824" s="166" t="s">
        <v>909</v>
      </c>
    </row>
    <row r="825" spans="1:5">
      <c r="A825" s="159">
        <f t="shared" si="5"/>
        <v>824</v>
      </c>
      <c r="B825" s="163">
        <v>45772</v>
      </c>
      <c r="C825" s="164">
        <v>0.73541666666666661</v>
      </c>
      <c r="D825" s="159">
        <v>10</v>
      </c>
      <c r="E825" s="166" t="s">
        <v>910</v>
      </c>
    </row>
    <row r="826" spans="1:5">
      <c r="A826" s="159">
        <f t="shared" si="5"/>
        <v>825</v>
      </c>
      <c r="B826" s="163">
        <v>45772</v>
      </c>
      <c r="C826" s="164">
        <v>0.73298611111111101</v>
      </c>
      <c r="D826" s="159">
        <v>10</v>
      </c>
      <c r="E826" s="166" t="s">
        <v>911</v>
      </c>
    </row>
    <row r="827" spans="1:5">
      <c r="A827" s="159">
        <f t="shared" si="5"/>
        <v>826</v>
      </c>
      <c r="B827" s="163">
        <v>45772</v>
      </c>
      <c r="C827" s="164">
        <v>0.71493055555555562</v>
      </c>
      <c r="D827" s="159">
        <v>10</v>
      </c>
      <c r="E827" s="166" t="s">
        <v>912</v>
      </c>
    </row>
    <row r="828" spans="1:5">
      <c r="A828" s="159">
        <f t="shared" si="5"/>
        <v>827</v>
      </c>
      <c r="B828" s="163">
        <v>45772</v>
      </c>
      <c r="C828" s="164">
        <v>0.71108796296296306</v>
      </c>
      <c r="D828" s="159">
        <v>10</v>
      </c>
      <c r="E828" s="166" t="s">
        <v>273</v>
      </c>
    </row>
    <row r="829" spans="1:5">
      <c r="A829" s="159">
        <f t="shared" si="5"/>
        <v>828</v>
      </c>
      <c r="B829" s="163">
        <v>45772</v>
      </c>
      <c r="C829" s="164">
        <v>0.70668981481481474</v>
      </c>
      <c r="D829" s="159">
        <v>10</v>
      </c>
      <c r="E829" s="166" t="s">
        <v>627</v>
      </c>
    </row>
    <row r="830" spans="1:5">
      <c r="A830" s="159">
        <f t="shared" si="5"/>
        <v>829</v>
      </c>
      <c r="B830" s="163">
        <v>45772</v>
      </c>
      <c r="C830" s="164">
        <v>0.70587962962962969</v>
      </c>
      <c r="D830" s="159">
        <v>10</v>
      </c>
      <c r="E830" s="166" t="s">
        <v>913</v>
      </c>
    </row>
    <row r="831" spans="1:5" ht="108">
      <c r="A831" s="159">
        <f t="shared" si="5"/>
        <v>830</v>
      </c>
      <c r="B831" s="163">
        <v>45772</v>
      </c>
      <c r="C831" s="164">
        <v>0.69914351851851853</v>
      </c>
      <c r="D831" s="159">
        <v>10</v>
      </c>
      <c r="E831" s="166" t="s">
        <v>914</v>
      </c>
    </row>
    <row r="832" spans="1:5">
      <c r="A832" s="159">
        <f t="shared" si="5"/>
        <v>831</v>
      </c>
      <c r="B832" s="163">
        <v>45772</v>
      </c>
      <c r="C832" s="164">
        <v>0.69496527777777783</v>
      </c>
      <c r="D832" s="159">
        <v>10</v>
      </c>
      <c r="E832" s="166" t="s">
        <v>915</v>
      </c>
    </row>
    <row r="833" spans="1:5">
      <c r="A833" s="159">
        <f t="shared" si="5"/>
        <v>832</v>
      </c>
      <c r="B833" s="163">
        <v>45772</v>
      </c>
      <c r="C833" s="164">
        <v>0.67928240740740742</v>
      </c>
      <c r="D833" s="159">
        <v>10</v>
      </c>
      <c r="E833" s="166" t="s">
        <v>916</v>
      </c>
    </row>
    <row r="834" spans="1:5">
      <c r="A834" s="159">
        <f t="shared" si="5"/>
        <v>833</v>
      </c>
      <c r="B834" s="163">
        <v>45772</v>
      </c>
      <c r="C834" s="164">
        <v>0.67806712962962967</v>
      </c>
      <c r="D834" s="159">
        <v>10</v>
      </c>
      <c r="E834" s="166" t="s">
        <v>917</v>
      </c>
    </row>
    <row r="835" spans="1:5">
      <c r="A835" s="159">
        <f t="shared" si="5"/>
        <v>834</v>
      </c>
      <c r="B835" s="163">
        <v>45772</v>
      </c>
      <c r="C835" s="164">
        <v>0.67571759259259256</v>
      </c>
      <c r="D835" s="159">
        <v>10</v>
      </c>
      <c r="E835" s="166" t="s">
        <v>918</v>
      </c>
    </row>
    <row r="836" spans="1:5">
      <c r="A836" s="159">
        <f t="shared" si="5"/>
        <v>835</v>
      </c>
      <c r="B836" s="163">
        <v>45772</v>
      </c>
      <c r="C836" s="164">
        <v>0.67493055555555559</v>
      </c>
      <c r="D836" s="159">
        <v>10</v>
      </c>
      <c r="E836" s="166" t="s">
        <v>919</v>
      </c>
    </row>
    <row r="837" spans="1:5">
      <c r="A837" s="159">
        <f t="shared" si="5"/>
        <v>836</v>
      </c>
      <c r="B837" s="163">
        <v>45772</v>
      </c>
      <c r="C837" s="164">
        <v>0.66076388888888882</v>
      </c>
      <c r="D837" s="159">
        <v>10</v>
      </c>
      <c r="E837" s="166" t="s">
        <v>920</v>
      </c>
    </row>
    <row r="838" spans="1:5">
      <c r="A838" s="159">
        <f t="shared" si="5"/>
        <v>837</v>
      </c>
      <c r="B838" s="163">
        <v>45772</v>
      </c>
      <c r="C838" s="164">
        <v>0.63248842592592591</v>
      </c>
      <c r="D838" s="159">
        <v>10</v>
      </c>
      <c r="E838" s="166" t="s">
        <v>921</v>
      </c>
    </row>
    <row r="839" spans="1:5">
      <c r="A839" s="159">
        <f t="shared" si="5"/>
        <v>838</v>
      </c>
      <c r="B839" s="163">
        <v>45772</v>
      </c>
      <c r="C839" s="164">
        <v>0.62449074074074074</v>
      </c>
      <c r="D839" s="159">
        <v>10</v>
      </c>
      <c r="E839" s="166" t="s">
        <v>922</v>
      </c>
    </row>
    <row r="840" spans="1:5">
      <c r="A840" s="159">
        <f t="shared" si="5"/>
        <v>839</v>
      </c>
      <c r="B840" s="163">
        <v>45772</v>
      </c>
      <c r="C840" s="164">
        <v>0.62336805555555552</v>
      </c>
      <c r="D840" s="159">
        <v>10</v>
      </c>
      <c r="E840" s="166" t="s">
        <v>537</v>
      </c>
    </row>
    <row r="841" spans="1:5">
      <c r="A841" s="159">
        <f t="shared" si="5"/>
        <v>840</v>
      </c>
      <c r="B841" s="163">
        <v>45772</v>
      </c>
      <c r="C841" s="164">
        <v>0.60170138888888891</v>
      </c>
      <c r="D841" s="159">
        <v>10</v>
      </c>
      <c r="E841" s="166" t="s">
        <v>940</v>
      </c>
    </row>
    <row r="842" spans="1:5">
      <c r="A842" s="159">
        <f t="shared" si="5"/>
        <v>841</v>
      </c>
      <c r="B842" s="163">
        <v>45772</v>
      </c>
      <c r="C842" s="164">
        <v>0.58156249999999998</v>
      </c>
      <c r="D842" s="159">
        <v>10</v>
      </c>
      <c r="E842" s="166" t="s">
        <v>923</v>
      </c>
    </row>
    <row r="843" spans="1:5">
      <c r="A843" s="159">
        <f t="shared" si="5"/>
        <v>842</v>
      </c>
      <c r="B843" s="163">
        <v>45772</v>
      </c>
      <c r="C843" s="164">
        <v>0.53185185185185191</v>
      </c>
      <c r="D843" s="159">
        <v>10</v>
      </c>
      <c r="E843" s="166" t="s">
        <v>924</v>
      </c>
    </row>
    <row r="844" spans="1:5">
      <c r="A844" s="159">
        <f t="shared" si="5"/>
        <v>843</v>
      </c>
      <c r="B844" s="163">
        <v>45772</v>
      </c>
      <c r="C844" s="164">
        <v>0.49802083333333336</v>
      </c>
      <c r="D844" s="159">
        <v>10</v>
      </c>
      <c r="E844" s="166" t="s">
        <v>925</v>
      </c>
    </row>
    <row r="845" spans="1:5" ht="27">
      <c r="A845" s="159">
        <f t="shared" si="5"/>
        <v>844</v>
      </c>
      <c r="B845" s="163">
        <v>45772</v>
      </c>
      <c r="C845" s="164">
        <v>0.49605324074074075</v>
      </c>
      <c r="D845" s="159">
        <v>10</v>
      </c>
      <c r="E845" s="166" t="s">
        <v>939</v>
      </c>
    </row>
    <row r="846" spans="1:5">
      <c r="A846" s="159">
        <f t="shared" si="5"/>
        <v>845</v>
      </c>
      <c r="B846" s="163">
        <v>45772</v>
      </c>
      <c r="C846" s="164">
        <v>0.4765625</v>
      </c>
      <c r="D846" s="159">
        <v>10</v>
      </c>
      <c r="E846" s="166" t="s">
        <v>926</v>
      </c>
    </row>
    <row r="847" spans="1:5">
      <c r="A847" s="159">
        <f t="shared" si="5"/>
        <v>846</v>
      </c>
      <c r="B847" s="163">
        <v>45772</v>
      </c>
      <c r="C847" s="164">
        <v>0.47510416666666666</v>
      </c>
      <c r="D847" s="159">
        <v>10</v>
      </c>
      <c r="E847" s="166" t="s">
        <v>927</v>
      </c>
    </row>
    <row r="848" spans="1:5">
      <c r="A848" s="159">
        <f t="shared" si="5"/>
        <v>847</v>
      </c>
      <c r="B848" s="163">
        <v>45772</v>
      </c>
      <c r="C848" s="164">
        <v>0.47444444444444445</v>
      </c>
      <c r="D848" s="159">
        <v>10</v>
      </c>
      <c r="E848" s="166" t="s">
        <v>928</v>
      </c>
    </row>
    <row r="849" spans="1:5">
      <c r="A849" s="159">
        <f t="shared" si="5"/>
        <v>848</v>
      </c>
      <c r="B849" s="163">
        <v>45772</v>
      </c>
      <c r="C849" s="164">
        <v>0.4736805555555556</v>
      </c>
      <c r="D849" s="159">
        <v>10</v>
      </c>
      <c r="E849" s="166" t="s">
        <v>929</v>
      </c>
    </row>
    <row r="850" spans="1:5">
      <c r="A850" s="159">
        <f t="shared" si="5"/>
        <v>849</v>
      </c>
      <c r="B850" s="163">
        <v>45772</v>
      </c>
      <c r="C850" s="164">
        <v>0.43872685185185184</v>
      </c>
      <c r="D850" s="159">
        <v>10</v>
      </c>
      <c r="E850" s="166" t="s">
        <v>930</v>
      </c>
    </row>
    <row r="851" spans="1:5">
      <c r="A851" s="159">
        <f t="shared" si="5"/>
        <v>850</v>
      </c>
      <c r="B851" s="163">
        <v>45772</v>
      </c>
      <c r="C851" s="164">
        <v>0.43159722222222219</v>
      </c>
      <c r="D851" s="159">
        <v>10</v>
      </c>
      <c r="E851" s="166" t="s">
        <v>938</v>
      </c>
    </row>
    <row r="852" spans="1:5">
      <c r="A852" s="159">
        <f t="shared" si="5"/>
        <v>851</v>
      </c>
      <c r="B852" s="163">
        <v>45772</v>
      </c>
      <c r="C852" s="164">
        <v>0.43002314814814818</v>
      </c>
      <c r="D852" s="159">
        <v>10</v>
      </c>
      <c r="E852" s="166" t="s">
        <v>931</v>
      </c>
    </row>
    <row r="853" spans="1:5">
      <c r="A853" s="159">
        <f t="shared" si="5"/>
        <v>852</v>
      </c>
      <c r="B853" s="163">
        <v>45772</v>
      </c>
      <c r="C853" s="164">
        <v>0.42295138888888889</v>
      </c>
      <c r="D853" s="159">
        <v>10</v>
      </c>
      <c r="E853" s="166" t="s">
        <v>932</v>
      </c>
    </row>
    <row r="854" spans="1:5">
      <c r="A854" s="159">
        <f t="shared" si="5"/>
        <v>853</v>
      </c>
      <c r="B854" s="163">
        <v>45772</v>
      </c>
      <c r="C854" s="164">
        <v>0.41824074074074075</v>
      </c>
      <c r="D854" s="159">
        <v>10</v>
      </c>
      <c r="E854" s="166" t="s">
        <v>933</v>
      </c>
    </row>
    <row r="855" spans="1:5">
      <c r="A855" s="159">
        <f t="shared" si="5"/>
        <v>854</v>
      </c>
      <c r="B855" s="163">
        <v>45772</v>
      </c>
      <c r="C855" s="164">
        <v>0.40299768518518514</v>
      </c>
      <c r="D855" s="159">
        <v>10</v>
      </c>
      <c r="E855" s="166" t="s">
        <v>934</v>
      </c>
    </row>
    <row r="856" spans="1:5">
      <c r="A856" s="159">
        <f t="shared" si="5"/>
        <v>855</v>
      </c>
      <c r="B856" s="163">
        <v>45772</v>
      </c>
      <c r="C856" s="164">
        <v>0.40160879629629626</v>
      </c>
      <c r="D856" s="159">
        <v>10</v>
      </c>
      <c r="E856" s="166" t="s">
        <v>244</v>
      </c>
    </row>
    <row r="857" spans="1:5">
      <c r="A857" s="159">
        <f t="shared" si="5"/>
        <v>856</v>
      </c>
      <c r="B857" s="163">
        <v>45772</v>
      </c>
      <c r="C857" s="164">
        <v>0.39721064814814816</v>
      </c>
      <c r="D857" s="159">
        <v>10</v>
      </c>
      <c r="E857" s="166" t="s">
        <v>935</v>
      </c>
    </row>
    <row r="858" spans="1:5">
      <c r="A858" s="159">
        <f t="shared" si="5"/>
        <v>857</v>
      </c>
      <c r="B858" s="163">
        <v>45772</v>
      </c>
      <c r="C858" s="164">
        <v>0.39077546296296295</v>
      </c>
      <c r="D858" s="159">
        <v>10</v>
      </c>
      <c r="E858" s="166" t="s">
        <v>936</v>
      </c>
    </row>
    <row r="859" spans="1:5">
      <c r="A859" s="159">
        <f t="shared" si="5"/>
        <v>858</v>
      </c>
      <c r="B859" s="163">
        <v>45772</v>
      </c>
      <c r="C859" s="164">
        <v>0.38642361111111106</v>
      </c>
      <c r="D859" s="159">
        <v>10</v>
      </c>
      <c r="E859" s="166" t="s">
        <v>937</v>
      </c>
    </row>
    <row r="860" spans="1:5">
      <c r="A860" s="159">
        <f t="shared" si="5"/>
        <v>859</v>
      </c>
      <c r="B860" s="163">
        <v>45773</v>
      </c>
      <c r="C860" s="164">
        <v>0.7362037037037038</v>
      </c>
      <c r="D860" s="159">
        <v>10</v>
      </c>
      <c r="E860" s="166" t="s">
        <v>898</v>
      </c>
    </row>
    <row r="861" spans="1:5">
      <c r="A861" s="159">
        <f t="shared" si="5"/>
        <v>860</v>
      </c>
      <c r="B861" s="163">
        <v>45773</v>
      </c>
      <c r="C861" s="164">
        <v>0.70414351851851853</v>
      </c>
      <c r="D861" s="159">
        <v>10</v>
      </c>
      <c r="E861" s="166" t="s">
        <v>899</v>
      </c>
    </row>
    <row r="862" spans="1:5">
      <c r="A862" s="159">
        <f t="shared" si="5"/>
        <v>861</v>
      </c>
      <c r="B862" s="163">
        <v>45773</v>
      </c>
      <c r="C862" s="164">
        <v>0.66931712962962964</v>
      </c>
      <c r="D862" s="159">
        <v>10</v>
      </c>
      <c r="E862" s="166" t="s">
        <v>479</v>
      </c>
    </row>
    <row r="863" spans="1:5">
      <c r="A863" s="159">
        <f t="shared" si="5"/>
        <v>862</v>
      </c>
      <c r="B863" s="163">
        <v>45773</v>
      </c>
      <c r="C863" s="164">
        <v>0.65366898148148145</v>
      </c>
      <c r="D863" s="159">
        <v>10</v>
      </c>
      <c r="E863" s="166" t="s">
        <v>900</v>
      </c>
    </row>
    <row r="864" spans="1:5" ht="27">
      <c r="A864" s="159">
        <f t="shared" si="5"/>
        <v>863</v>
      </c>
      <c r="B864" s="163">
        <v>45773</v>
      </c>
      <c r="C864" s="164">
        <v>0.57717592592592593</v>
      </c>
      <c r="D864" s="159">
        <v>10</v>
      </c>
      <c r="E864" s="166" t="s">
        <v>901</v>
      </c>
    </row>
    <row r="865" spans="1:5">
      <c r="A865" s="159">
        <f t="shared" si="5"/>
        <v>864</v>
      </c>
      <c r="B865" s="163">
        <v>45773</v>
      </c>
      <c r="C865" s="164">
        <v>0.54910879629629628</v>
      </c>
      <c r="D865" s="159">
        <v>10</v>
      </c>
      <c r="E865" s="166" t="s">
        <v>902</v>
      </c>
    </row>
    <row r="866" spans="1:5">
      <c r="A866" s="159">
        <f t="shared" si="5"/>
        <v>865</v>
      </c>
      <c r="B866" s="163">
        <v>45773</v>
      </c>
      <c r="C866" s="164">
        <v>0.49204861111111109</v>
      </c>
      <c r="D866" s="159">
        <v>10</v>
      </c>
      <c r="E866" s="166" t="s">
        <v>903</v>
      </c>
    </row>
    <row r="867" spans="1:5">
      <c r="A867" s="159">
        <f t="shared" si="5"/>
        <v>866</v>
      </c>
      <c r="B867" s="163">
        <v>45773</v>
      </c>
      <c r="C867" s="164">
        <v>0.47199074074074071</v>
      </c>
      <c r="D867" s="159">
        <v>10</v>
      </c>
      <c r="E867" s="166" t="s">
        <v>132</v>
      </c>
    </row>
    <row r="868" spans="1:5">
      <c r="A868" s="159">
        <f t="shared" si="5"/>
        <v>867</v>
      </c>
      <c r="B868" s="163">
        <v>45773</v>
      </c>
      <c r="C868" s="164">
        <v>0.46714120370370371</v>
      </c>
      <c r="D868" s="159">
        <v>10</v>
      </c>
      <c r="E868" s="166" t="s">
        <v>904</v>
      </c>
    </row>
    <row r="869" spans="1:5">
      <c r="A869" s="159">
        <f t="shared" si="5"/>
        <v>868</v>
      </c>
      <c r="B869" s="163">
        <v>45773</v>
      </c>
      <c r="C869" s="164">
        <v>0.43217592592592591</v>
      </c>
      <c r="D869" s="159">
        <v>10</v>
      </c>
      <c r="E869" s="166" t="s">
        <v>905</v>
      </c>
    </row>
    <row r="870" spans="1:5" ht="27">
      <c r="A870" s="159">
        <f t="shared" si="5"/>
        <v>869</v>
      </c>
      <c r="B870" s="163">
        <v>45775</v>
      </c>
      <c r="C870" s="164">
        <v>0.8922337962962964</v>
      </c>
      <c r="D870" s="159">
        <v>10</v>
      </c>
      <c r="E870" s="166" t="s">
        <v>982</v>
      </c>
    </row>
    <row r="871" spans="1:5">
      <c r="A871" s="159">
        <f t="shared" si="5"/>
        <v>870</v>
      </c>
      <c r="B871" s="163">
        <v>45775</v>
      </c>
      <c r="C871" s="164">
        <v>0.88177083333333339</v>
      </c>
      <c r="D871" s="159">
        <v>10</v>
      </c>
      <c r="E871" s="166" t="s">
        <v>941</v>
      </c>
    </row>
    <row r="872" spans="1:5">
      <c r="A872" s="159">
        <f t="shared" si="5"/>
        <v>871</v>
      </c>
      <c r="B872" s="163">
        <v>45775</v>
      </c>
      <c r="C872" s="164">
        <v>0.87960648148148157</v>
      </c>
      <c r="D872" s="159">
        <v>10</v>
      </c>
      <c r="E872" s="166" t="s">
        <v>942</v>
      </c>
    </row>
    <row r="873" spans="1:5">
      <c r="A873" s="159">
        <f t="shared" si="5"/>
        <v>872</v>
      </c>
      <c r="B873" s="163">
        <v>45775</v>
      </c>
      <c r="C873" s="164">
        <v>0.87657407407407406</v>
      </c>
      <c r="D873" s="159">
        <v>10</v>
      </c>
      <c r="E873" s="166" t="s">
        <v>943</v>
      </c>
    </row>
    <row r="874" spans="1:5">
      <c r="A874" s="159">
        <f t="shared" si="5"/>
        <v>873</v>
      </c>
      <c r="B874" s="163">
        <v>45775</v>
      </c>
      <c r="C874" s="164">
        <v>0.83672453703703698</v>
      </c>
      <c r="D874" s="159">
        <v>10</v>
      </c>
      <c r="E874" s="166" t="s">
        <v>944</v>
      </c>
    </row>
    <row r="875" spans="1:5">
      <c r="A875" s="159">
        <f t="shared" si="5"/>
        <v>874</v>
      </c>
      <c r="B875" s="163">
        <v>45775</v>
      </c>
      <c r="C875" s="164">
        <v>0.80508101851851854</v>
      </c>
      <c r="D875" s="159">
        <v>10</v>
      </c>
      <c r="E875" s="166" t="s">
        <v>433</v>
      </c>
    </row>
    <row r="876" spans="1:5">
      <c r="A876" s="159">
        <f t="shared" si="5"/>
        <v>875</v>
      </c>
      <c r="B876" s="163">
        <v>45775</v>
      </c>
      <c r="C876" s="164">
        <v>0.77937499999999993</v>
      </c>
      <c r="D876" s="159">
        <v>10</v>
      </c>
      <c r="E876" s="166" t="s">
        <v>945</v>
      </c>
    </row>
    <row r="877" spans="1:5">
      <c r="A877" s="159">
        <f t="shared" si="5"/>
        <v>876</v>
      </c>
      <c r="B877" s="163">
        <v>45775</v>
      </c>
      <c r="C877" s="164">
        <v>0.76291666666666658</v>
      </c>
      <c r="D877" s="159">
        <v>10</v>
      </c>
      <c r="E877" s="166" t="s">
        <v>946</v>
      </c>
    </row>
    <row r="878" spans="1:5">
      <c r="A878" s="159">
        <f t="shared" si="5"/>
        <v>877</v>
      </c>
      <c r="B878" s="163">
        <v>45775</v>
      </c>
      <c r="C878" s="164">
        <v>0.72256944444444438</v>
      </c>
      <c r="D878" s="159">
        <v>10</v>
      </c>
      <c r="E878" s="166" t="s">
        <v>947</v>
      </c>
    </row>
    <row r="879" spans="1:5">
      <c r="A879" s="159">
        <f t="shared" si="5"/>
        <v>878</v>
      </c>
      <c r="B879" s="163">
        <v>45775</v>
      </c>
      <c r="C879" s="164">
        <v>0.71770833333333339</v>
      </c>
      <c r="D879" s="159">
        <v>10</v>
      </c>
      <c r="E879" s="166" t="s">
        <v>948</v>
      </c>
    </row>
    <row r="880" spans="1:5">
      <c r="A880" s="159">
        <f t="shared" si="5"/>
        <v>879</v>
      </c>
      <c r="B880" s="163">
        <v>45775</v>
      </c>
      <c r="C880" s="164">
        <v>0.70785879629629633</v>
      </c>
      <c r="D880" s="159">
        <v>10</v>
      </c>
      <c r="E880" s="166" t="s">
        <v>949</v>
      </c>
    </row>
    <row r="881" spans="1:5">
      <c r="A881" s="159">
        <f t="shared" si="5"/>
        <v>880</v>
      </c>
      <c r="B881" s="163">
        <v>45775</v>
      </c>
      <c r="C881" s="164">
        <v>0.70482638888888882</v>
      </c>
      <c r="D881" s="159">
        <v>10</v>
      </c>
      <c r="E881" s="166" t="s">
        <v>950</v>
      </c>
    </row>
    <row r="882" spans="1:5">
      <c r="A882" s="159">
        <f t="shared" si="5"/>
        <v>881</v>
      </c>
      <c r="B882" s="163">
        <v>45775</v>
      </c>
      <c r="C882" s="164">
        <v>0.69431712962962966</v>
      </c>
      <c r="D882" s="159">
        <v>10</v>
      </c>
      <c r="E882" s="166" t="s">
        <v>951</v>
      </c>
    </row>
    <row r="883" spans="1:5">
      <c r="A883" s="159">
        <f t="shared" si="5"/>
        <v>882</v>
      </c>
      <c r="B883" s="163">
        <v>45775</v>
      </c>
      <c r="C883" s="164">
        <v>0.69079861111111107</v>
      </c>
      <c r="D883" s="159">
        <v>10</v>
      </c>
      <c r="E883" s="166" t="s">
        <v>952</v>
      </c>
    </row>
    <row r="884" spans="1:5">
      <c r="A884" s="159">
        <f t="shared" si="5"/>
        <v>883</v>
      </c>
      <c r="B884" s="163">
        <v>45775</v>
      </c>
      <c r="C884" s="164">
        <v>0.68487268518518529</v>
      </c>
      <c r="D884" s="159">
        <v>10</v>
      </c>
      <c r="E884" s="166" t="s">
        <v>953</v>
      </c>
    </row>
    <row r="885" spans="1:5">
      <c r="A885" s="159">
        <f t="shared" ref="A885:A948" si="6">ROW()-1</f>
        <v>884</v>
      </c>
      <c r="B885" s="163">
        <v>45775</v>
      </c>
      <c r="C885" s="164">
        <v>0.68081018518518521</v>
      </c>
      <c r="D885" s="159">
        <v>10</v>
      </c>
      <c r="E885" s="166" t="s">
        <v>273</v>
      </c>
    </row>
    <row r="886" spans="1:5">
      <c r="A886" s="159">
        <f t="shared" si="6"/>
        <v>885</v>
      </c>
      <c r="B886" s="163">
        <v>45775</v>
      </c>
      <c r="C886" s="164">
        <v>0.67797453703703703</v>
      </c>
      <c r="D886" s="159">
        <v>10</v>
      </c>
      <c r="E886" s="166" t="s">
        <v>954</v>
      </c>
    </row>
    <row r="887" spans="1:5">
      <c r="A887" s="159">
        <f t="shared" si="6"/>
        <v>886</v>
      </c>
      <c r="B887" s="163">
        <v>45775</v>
      </c>
      <c r="C887" s="164">
        <v>0.6761921296296296</v>
      </c>
      <c r="D887" s="159">
        <v>10</v>
      </c>
      <c r="E887" s="166" t="s">
        <v>955</v>
      </c>
    </row>
    <row r="888" spans="1:5">
      <c r="A888" s="159">
        <f t="shared" si="6"/>
        <v>887</v>
      </c>
      <c r="B888" s="163">
        <v>45775</v>
      </c>
      <c r="C888" s="164">
        <v>0.6746064814814815</v>
      </c>
      <c r="D888" s="159">
        <v>10</v>
      </c>
      <c r="E888" s="166" t="s">
        <v>956</v>
      </c>
    </row>
    <row r="889" spans="1:5">
      <c r="A889" s="159">
        <f t="shared" si="6"/>
        <v>888</v>
      </c>
      <c r="B889" s="163">
        <v>45775</v>
      </c>
      <c r="C889" s="164">
        <v>0.66090277777777773</v>
      </c>
      <c r="D889" s="159">
        <v>10</v>
      </c>
      <c r="E889" s="166" t="s">
        <v>957</v>
      </c>
    </row>
    <row r="890" spans="1:5">
      <c r="A890" s="159">
        <f t="shared" si="6"/>
        <v>889</v>
      </c>
      <c r="B890" s="163">
        <v>45775</v>
      </c>
      <c r="C890" s="164">
        <v>0.65699074074074071</v>
      </c>
      <c r="D890" s="159">
        <v>10</v>
      </c>
      <c r="E890" s="166" t="s">
        <v>958</v>
      </c>
    </row>
    <row r="891" spans="1:5">
      <c r="A891" s="159">
        <f t="shared" si="6"/>
        <v>890</v>
      </c>
      <c r="B891" s="163">
        <v>45775</v>
      </c>
      <c r="C891" s="164">
        <v>0.65482638888888889</v>
      </c>
      <c r="D891" s="159">
        <v>10</v>
      </c>
      <c r="E891" s="166" t="s">
        <v>288</v>
      </c>
    </row>
    <row r="892" spans="1:5">
      <c r="A892" s="159">
        <f t="shared" si="6"/>
        <v>891</v>
      </c>
      <c r="B892" s="163">
        <v>45775</v>
      </c>
      <c r="C892" s="164">
        <v>0.62707175925925929</v>
      </c>
      <c r="D892" s="159">
        <v>10</v>
      </c>
      <c r="E892" s="166" t="s">
        <v>959</v>
      </c>
    </row>
    <row r="893" spans="1:5">
      <c r="A893" s="159">
        <f t="shared" si="6"/>
        <v>892</v>
      </c>
      <c r="B893" s="163">
        <v>45775</v>
      </c>
      <c r="C893" s="164">
        <v>0.62237268518518518</v>
      </c>
      <c r="D893" s="159">
        <v>10</v>
      </c>
      <c r="E893" s="166" t="s">
        <v>960</v>
      </c>
    </row>
    <row r="894" spans="1:5">
      <c r="A894" s="159">
        <f t="shared" si="6"/>
        <v>893</v>
      </c>
      <c r="B894" s="163">
        <v>45775</v>
      </c>
      <c r="C894" s="164">
        <v>0.59836805555555561</v>
      </c>
      <c r="D894" s="159">
        <v>10</v>
      </c>
      <c r="E894" s="166" t="s">
        <v>961</v>
      </c>
    </row>
    <row r="895" spans="1:5">
      <c r="A895" s="159">
        <f t="shared" si="6"/>
        <v>894</v>
      </c>
      <c r="B895" s="163">
        <v>45775</v>
      </c>
      <c r="C895" s="164">
        <v>0.59539351851851852</v>
      </c>
      <c r="D895" s="159">
        <v>10</v>
      </c>
      <c r="E895" s="166" t="s">
        <v>962</v>
      </c>
    </row>
    <row r="896" spans="1:5">
      <c r="A896" s="159">
        <f t="shared" si="6"/>
        <v>895</v>
      </c>
      <c r="B896" s="163">
        <v>45775</v>
      </c>
      <c r="C896" s="164">
        <v>0.59539351851851852</v>
      </c>
      <c r="D896" s="159">
        <v>10</v>
      </c>
      <c r="E896" s="166" t="s">
        <v>963</v>
      </c>
    </row>
    <row r="897" spans="1:5">
      <c r="A897" s="159">
        <f t="shared" si="6"/>
        <v>896</v>
      </c>
      <c r="B897" s="163">
        <v>45775</v>
      </c>
      <c r="C897" s="164">
        <v>0.57640046296296299</v>
      </c>
      <c r="D897" s="159">
        <v>10</v>
      </c>
      <c r="E897" s="166" t="s">
        <v>964</v>
      </c>
    </row>
    <row r="898" spans="1:5">
      <c r="A898" s="159">
        <f t="shared" si="6"/>
        <v>897</v>
      </c>
      <c r="B898" s="163">
        <v>45775</v>
      </c>
      <c r="C898" s="164">
        <v>0.57019675925925928</v>
      </c>
      <c r="D898" s="159">
        <v>10</v>
      </c>
      <c r="E898" s="166" t="s">
        <v>965</v>
      </c>
    </row>
    <row r="899" spans="1:5">
      <c r="A899" s="159">
        <f t="shared" si="6"/>
        <v>898</v>
      </c>
      <c r="B899" s="163">
        <v>45775</v>
      </c>
      <c r="C899" s="164">
        <v>0.56202546296296296</v>
      </c>
      <c r="D899" s="159">
        <v>10</v>
      </c>
      <c r="E899" s="166" t="s">
        <v>966</v>
      </c>
    </row>
    <row r="900" spans="1:5">
      <c r="A900" s="159">
        <f t="shared" si="6"/>
        <v>899</v>
      </c>
      <c r="B900" s="163">
        <v>45775</v>
      </c>
      <c r="C900" s="164">
        <v>0.55282407407407408</v>
      </c>
      <c r="D900" s="159">
        <v>10</v>
      </c>
      <c r="E900" s="166" t="s">
        <v>967</v>
      </c>
    </row>
    <row r="901" spans="1:5">
      <c r="A901" s="159">
        <f t="shared" si="6"/>
        <v>900</v>
      </c>
      <c r="B901" s="163">
        <v>45775</v>
      </c>
      <c r="C901" s="164">
        <v>0.55151620370370369</v>
      </c>
      <c r="D901" s="159">
        <v>10</v>
      </c>
      <c r="E901" s="166" t="s">
        <v>968</v>
      </c>
    </row>
    <row r="902" spans="1:5">
      <c r="A902" s="159">
        <f t="shared" si="6"/>
        <v>901</v>
      </c>
      <c r="B902" s="163">
        <v>45775</v>
      </c>
      <c r="C902" s="164">
        <v>0.55167824074074068</v>
      </c>
      <c r="D902" s="159">
        <v>10</v>
      </c>
      <c r="E902" s="166" t="s">
        <v>969</v>
      </c>
    </row>
    <row r="903" spans="1:5">
      <c r="A903" s="159">
        <f t="shared" si="6"/>
        <v>902</v>
      </c>
      <c r="B903" s="163">
        <v>45775</v>
      </c>
      <c r="C903" s="164">
        <v>0.52623842592592596</v>
      </c>
      <c r="D903" s="159">
        <v>10</v>
      </c>
      <c r="E903" s="166" t="s">
        <v>981</v>
      </c>
    </row>
    <row r="904" spans="1:5">
      <c r="A904" s="159">
        <f t="shared" si="6"/>
        <v>903</v>
      </c>
      <c r="B904" s="163">
        <v>45775</v>
      </c>
      <c r="C904" s="164">
        <v>0.52081018518518518</v>
      </c>
      <c r="D904" s="159">
        <v>10</v>
      </c>
      <c r="E904" s="166" t="s">
        <v>980</v>
      </c>
    </row>
    <row r="905" spans="1:5">
      <c r="A905" s="159">
        <f t="shared" si="6"/>
        <v>904</v>
      </c>
      <c r="B905" s="163">
        <v>45775</v>
      </c>
      <c r="C905" s="164">
        <v>0.49645833333333328</v>
      </c>
      <c r="D905" s="159">
        <v>10</v>
      </c>
      <c r="E905" s="166" t="s">
        <v>970</v>
      </c>
    </row>
    <row r="906" spans="1:5">
      <c r="A906" s="159">
        <f t="shared" si="6"/>
        <v>905</v>
      </c>
      <c r="B906" s="163">
        <v>45775</v>
      </c>
      <c r="C906" s="164">
        <v>0.49546296296296299</v>
      </c>
      <c r="D906" s="159">
        <v>10</v>
      </c>
      <c r="E906" s="166" t="s">
        <v>971</v>
      </c>
    </row>
    <row r="907" spans="1:5">
      <c r="A907" s="159">
        <f t="shared" si="6"/>
        <v>906</v>
      </c>
      <c r="B907" s="163">
        <v>45775</v>
      </c>
      <c r="C907" s="164">
        <v>0.4788310185185185</v>
      </c>
      <c r="D907" s="159">
        <v>10</v>
      </c>
      <c r="E907" s="166" t="s">
        <v>972</v>
      </c>
    </row>
    <row r="908" spans="1:5" ht="27">
      <c r="A908" s="159">
        <f t="shared" si="6"/>
        <v>907</v>
      </c>
      <c r="B908" s="163">
        <v>45775</v>
      </c>
      <c r="C908" s="164">
        <v>0.44407407407407407</v>
      </c>
      <c r="D908" s="159">
        <v>10</v>
      </c>
      <c r="E908" s="166" t="s">
        <v>973</v>
      </c>
    </row>
    <row r="909" spans="1:5">
      <c r="A909" s="159">
        <f t="shared" si="6"/>
        <v>908</v>
      </c>
      <c r="B909" s="163">
        <v>45775</v>
      </c>
      <c r="C909" s="164">
        <v>0.41921296296296301</v>
      </c>
      <c r="D909" s="159">
        <v>10</v>
      </c>
      <c r="E909" s="166" t="s">
        <v>974</v>
      </c>
    </row>
    <row r="910" spans="1:5">
      <c r="A910" s="159">
        <f t="shared" si="6"/>
        <v>909</v>
      </c>
      <c r="B910" s="163">
        <v>45775</v>
      </c>
      <c r="C910" s="164">
        <v>0.4015393518518518</v>
      </c>
      <c r="D910" s="159">
        <v>10</v>
      </c>
      <c r="E910" s="166" t="s">
        <v>975</v>
      </c>
    </row>
    <row r="911" spans="1:5">
      <c r="A911" s="159">
        <f t="shared" si="6"/>
        <v>910</v>
      </c>
      <c r="B911" s="163">
        <v>45775</v>
      </c>
      <c r="C911" s="164">
        <v>0.38869212962962968</v>
      </c>
      <c r="D911" s="159">
        <v>10</v>
      </c>
      <c r="E911" s="166" t="s">
        <v>976</v>
      </c>
    </row>
    <row r="912" spans="1:5">
      <c r="A912" s="159">
        <f t="shared" si="6"/>
        <v>911</v>
      </c>
      <c r="B912" s="163">
        <v>45775</v>
      </c>
      <c r="C912" s="164">
        <v>0.38777777777777778</v>
      </c>
      <c r="D912" s="159">
        <v>10</v>
      </c>
      <c r="E912" s="166" t="s">
        <v>977</v>
      </c>
    </row>
    <row r="913" spans="1:5">
      <c r="A913" s="159">
        <f t="shared" si="6"/>
        <v>912</v>
      </c>
      <c r="B913" s="163">
        <v>45775</v>
      </c>
      <c r="C913" s="164">
        <v>0.38239583333333332</v>
      </c>
      <c r="D913" s="159">
        <v>10</v>
      </c>
      <c r="E913" s="166" t="s">
        <v>978</v>
      </c>
    </row>
    <row r="914" spans="1:5">
      <c r="A914" s="159">
        <f t="shared" si="6"/>
        <v>913</v>
      </c>
      <c r="B914" s="163">
        <v>45775</v>
      </c>
      <c r="C914" s="164">
        <v>0.38193287037037038</v>
      </c>
      <c r="D914" s="159">
        <v>10</v>
      </c>
      <c r="E914" s="166" t="s">
        <v>979</v>
      </c>
    </row>
    <row r="915" spans="1:5">
      <c r="A915" s="159">
        <f t="shared" si="6"/>
        <v>914</v>
      </c>
      <c r="B915" s="163">
        <v>45776</v>
      </c>
      <c r="C915" s="164">
        <v>0.84034722222222225</v>
      </c>
      <c r="D915" s="159">
        <v>10</v>
      </c>
      <c r="E915" s="166" t="s">
        <v>983</v>
      </c>
    </row>
    <row r="916" spans="1:5">
      <c r="A916" s="159">
        <f t="shared" si="6"/>
        <v>915</v>
      </c>
      <c r="B916" s="163">
        <v>45776</v>
      </c>
      <c r="C916" s="164">
        <v>0.79398148148148151</v>
      </c>
      <c r="D916" s="159">
        <v>10</v>
      </c>
      <c r="E916" s="166" t="s">
        <v>984</v>
      </c>
    </row>
    <row r="917" spans="1:5">
      <c r="A917" s="159">
        <f t="shared" si="6"/>
        <v>916</v>
      </c>
      <c r="B917" s="163">
        <v>45776</v>
      </c>
      <c r="C917" s="164">
        <v>0.78930555555555559</v>
      </c>
      <c r="D917" s="159">
        <v>10</v>
      </c>
      <c r="E917" s="166" t="s">
        <v>892</v>
      </c>
    </row>
    <row r="918" spans="1:5">
      <c r="A918" s="159">
        <f t="shared" si="6"/>
        <v>917</v>
      </c>
      <c r="B918" s="163">
        <v>45776</v>
      </c>
      <c r="C918" s="164">
        <v>0.78560185185185183</v>
      </c>
      <c r="D918" s="159">
        <v>10</v>
      </c>
      <c r="E918" s="166" t="s">
        <v>985</v>
      </c>
    </row>
    <row r="919" spans="1:5">
      <c r="A919" s="159">
        <f t="shared" si="6"/>
        <v>918</v>
      </c>
      <c r="B919" s="163">
        <v>45776</v>
      </c>
      <c r="C919" s="164">
        <v>0.75557870370370372</v>
      </c>
      <c r="D919" s="159">
        <v>10</v>
      </c>
    </row>
    <row r="920" spans="1:5">
      <c r="A920" s="159">
        <f t="shared" si="6"/>
        <v>919</v>
      </c>
      <c r="B920" s="163">
        <v>45776</v>
      </c>
      <c r="C920" s="164">
        <v>0.74957175925925934</v>
      </c>
      <c r="D920" s="159">
        <v>10</v>
      </c>
      <c r="E920" s="166" t="s">
        <v>836</v>
      </c>
    </row>
    <row r="921" spans="1:5">
      <c r="A921" s="159">
        <f t="shared" si="6"/>
        <v>920</v>
      </c>
      <c r="B921" s="163">
        <v>45776</v>
      </c>
      <c r="C921" s="164">
        <v>0.73581018518518526</v>
      </c>
      <c r="D921" s="159">
        <v>10</v>
      </c>
      <c r="E921" s="166" t="s">
        <v>986</v>
      </c>
    </row>
    <row r="922" spans="1:5">
      <c r="A922" s="159">
        <f t="shared" si="6"/>
        <v>921</v>
      </c>
      <c r="B922" s="163">
        <v>45776</v>
      </c>
      <c r="C922" s="164">
        <v>0.72221064814814817</v>
      </c>
      <c r="D922" s="159">
        <v>10</v>
      </c>
      <c r="E922" s="166" t="s">
        <v>987</v>
      </c>
    </row>
    <row r="923" spans="1:5" ht="27">
      <c r="A923" s="159">
        <f t="shared" si="6"/>
        <v>922</v>
      </c>
      <c r="B923" s="163">
        <v>45776</v>
      </c>
      <c r="C923" s="164">
        <v>0.70025462962962959</v>
      </c>
      <c r="D923" s="159">
        <v>10</v>
      </c>
      <c r="E923" s="166" t="s">
        <v>988</v>
      </c>
    </row>
    <row r="924" spans="1:5">
      <c r="A924" s="159">
        <f t="shared" si="6"/>
        <v>923</v>
      </c>
      <c r="B924" s="163">
        <v>45776</v>
      </c>
      <c r="C924" s="164">
        <v>0.69200231481481478</v>
      </c>
      <c r="D924" s="159">
        <v>10</v>
      </c>
      <c r="E924" s="166" t="s">
        <v>448</v>
      </c>
    </row>
    <row r="925" spans="1:5">
      <c r="A925" s="159">
        <f t="shared" si="6"/>
        <v>924</v>
      </c>
      <c r="B925" s="163">
        <v>45776</v>
      </c>
      <c r="C925" s="164">
        <v>0.68459490740740747</v>
      </c>
      <c r="D925" s="159">
        <v>10</v>
      </c>
      <c r="E925" s="166" t="s">
        <v>989</v>
      </c>
    </row>
    <row r="926" spans="1:5">
      <c r="A926" s="159">
        <f t="shared" si="6"/>
        <v>925</v>
      </c>
      <c r="B926" s="163">
        <v>45776</v>
      </c>
      <c r="C926" s="164">
        <v>0.66847222222222225</v>
      </c>
      <c r="D926" s="159">
        <v>10</v>
      </c>
      <c r="E926" s="166" t="s">
        <v>990</v>
      </c>
    </row>
    <row r="927" spans="1:5">
      <c r="A927" s="159">
        <f t="shared" si="6"/>
        <v>926</v>
      </c>
      <c r="B927" s="163">
        <v>45776</v>
      </c>
      <c r="C927" s="164">
        <v>0.64888888888888896</v>
      </c>
      <c r="D927" s="159">
        <v>10</v>
      </c>
      <c r="E927" s="166" t="s">
        <v>494</v>
      </c>
    </row>
    <row r="928" spans="1:5">
      <c r="A928" s="159">
        <f t="shared" si="6"/>
        <v>927</v>
      </c>
      <c r="B928" s="163">
        <v>45776</v>
      </c>
      <c r="C928" s="164">
        <v>0.64391203703703703</v>
      </c>
      <c r="D928" s="159">
        <v>10</v>
      </c>
      <c r="E928" s="166" t="s">
        <v>991</v>
      </c>
    </row>
    <row r="929" spans="1:5">
      <c r="A929" s="159">
        <f t="shared" si="6"/>
        <v>928</v>
      </c>
      <c r="B929" s="163">
        <v>45776</v>
      </c>
      <c r="C929" s="164">
        <v>0.64236111111111105</v>
      </c>
      <c r="D929" s="159">
        <v>10</v>
      </c>
      <c r="E929" s="166" t="s">
        <v>992</v>
      </c>
    </row>
    <row r="930" spans="1:5">
      <c r="A930" s="159">
        <f t="shared" si="6"/>
        <v>929</v>
      </c>
      <c r="B930" s="163">
        <v>45776</v>
      </c>
      <c r="C930" s="164">
        <v>0.6236342592592593</v>
      </c>
      <c r="D930" s="159">
        <v>10</v>
      </c>
      <c r="E930" s="166" t="s">
        <v>993</v>
      </c>
    </row>
    <row r="931" spans="1:5">
      <c r="A931" s="159">
        <f t="shared" si="6"/>
        <v>930</v>
      </c>
      <c r="B931" s="163">
        <v>45776</v>
      </c>
      <c r="C931" s="164">
        <v>0.61518518518518517</v>
      </c>
      <c r="D931" s="159">
        <v>10</v>
      </c>
      <c r="E931" s="166" t="s">
        <v>994</v>
      </c>
    </row>
    <row r="932" spans="1:5">
      <c r="A932" s="159">
        <f t="shared" si="6"/>
        <v>931</v>
      </c>
      <c r="B932" s="163">
        <v>45776</v>
      </c>
      <c r="C932" s="164">
        <v>0.61457175925925933</v>
      </c>
      <c r="D932" s="159">
        <v>10</v>
      </c>
      <c r="E932" s="166" t="s">
        <v>995</v>
      </c>
    </row>
    <row r="933" spans="1:5">
      <c r="A933" s="159">
        <f t="shared" si="6"/>
        <v>932</v>
      </c>
      <c r="B933" s="163">
        <v>45776</v>
      </c>
      <c r="C933" s="164">
        <v>0.60047453703703701</v>
      </c>
      <c r="D933" s="159">
        <v>10</v>
      </c>
      <c r="E933" s="166" t="s">
        <v>996</v>
      </c>
    </row>
    <row r="934" spans="1:5">
      <c r="A934" s="159">
        <f t="shared" si="6"/>
        <v>933</v>
      </c>
      <c r="B934" s="163">
        <v>45776</v>
      </c>
      <c r="C934" s="164">
        <v>0.59862268518518513</v>
      </c>
      <c r="D934" s="159">
        <v>10</v>
      </c>
      <c r="E934" s="166" t="s">
        <v>997</v>
      </c>
    </row>
    <row r="935" spans="1:5">
      <c r="A935" s="159">
        <f t="shared" si="6"/>
        <v>934</v>
      </c>
      <c r="B935" s="163">
        <v>45776</v>
      </c>
      <c r="C935" s="164">
        <v>0.59174768518518517</v>
      </c>
      <c r="D935" s="159">
        <v>10</v>
      </c>
      <c r="E935" s="166" t="s">
        <v>998</v>
      </c>
    </row>
    <row r="936" spans="1:5">
      <c r="A936" s="159">
        <f t="shared" si="6"/>
        <v>935</v>
      </c>
      <c r="B936" s="163">
        <v>45776</v>
      </c>
      <c r="C936" s="164">
        <v>0.58966435185185184</v>
      </c>
      <c r="D936" s="159">
        <v>10</v>
      </c>
      <c r="E936" s="166" t="s">
        <v>999</v>
      </c>
    </row>
    <row r="937" spans="1:5">
      <c r="A937" s="159">
        <f t="shared" si="6"/>
        <v>936</v>
      </c>
      <c r="B937" s="163">
        <v>45776</v>
      </c>
      <c r="C937" s="164">
        <v>0.56038194444444445</v>
      </c>
      <c r="D937" s="159">
        <v>10</v>
      </c>
      <c r="E937" s="166" t="s">
        <v>1000</v>
      </c>
    </row>
    <row r="938" spans="1:5">
      <c r="A938" s="159">
        <f t="shared" si="6"/>
        <v>937</v>
      </c>
      <c r="B938" s="163">
        <v>45776</v>
      </c>
      <c r="C938" s="164">
        <v>0.5591666666666667</v>
      </c>
      <c r="D938" s="159">
        <v>10</v>
      </c>
      <c r="E938" s="166" t="s">
        <v>1001</v>
      </c>
    </row>
    <row r="939" spans="1:5">
      <c r="A939" s="159">
        <f t="shared" si="6"/>
        <v>938</v>
      </c>
      <c r="B939" s="163">
        <v>45776</v>
      </c>
      <c r="C939" s="164">
        <v>0.54723379629629632</v>
      </c>
      <c r="D939" s="159">
        <v>10</v>
      </c>
      <c r="E939" s="166" t="s">
        <v>1002</v>
      </c>
    </row>
    <row r="940" spans="1:5">
      <c r="A940" s="159">
        <f t="shared" si="6"/>
        <v>939</v>
      </c>
      <c r="B940" s="163">
        <v>45776</v>
      </c>
      <c r="C940" s="164">
        <v>0.50295138888888891</v>
      </c>
      <c r="D940" s="159">
        <v>10</v>
      </c>
      <c r="E940" s="166" t="s">
        <v>1003</v>
      </c>
    </row>
    <row r="941" spans="1:5">
      <c r="A941" s="159">
        <f t="shared" si="6"/>
        <v>940</v>
      </c>
      <c r="B941" s="163">
        <v>45776</v>
      </c>
      <c r="C941" s="164">
        <v>0.50099537037037034</v>
      </c>
      <c r="D941" s="159">
        <v>10</v>
      </c>
      <c r="E941" s="166" t="s">
        <v>1004</v>
      </c>
    </row>
    <row r="942" spans="1:5">
      <c r="A942" s="159">
        <f t="shared" si="6"/>
        <v>941</v>
      </c>
      <c r="B942" s="163">
        <v>45776</v>
      </c>
      <c r="C942" s="164">
        <v>0.49582175925925925</v>
      </c>
      <c r="D942" s="159">
        <v>10</v>
      </c>
      <c r="E942" s="166" t="s">
        <v>1005</v>
      </c>
    </row>
    <row r="943" spans="1:5">
      <c r="A943" s="159">
        <f t="shared" si="6"/>
        <v>942</v>
      </c>
      <c r="B943" s="163">
        <v>45776</v>
      </c>
      <c r="C943" s="164">
        <v>0.49530092592592595</v>
      </c>
      <c r="D943" s="159">
        <v>10</v>
      </c>
      <c r="E943" s="166" t="s">
        <v>198</v>
      </c>
    </row>
    <row r="944" spans="1:5">
      <c r="A944" s="159">
        <f t="shared" si="6"/>
        <v>943</v>
      </c>
      <c r="B944" s="163">
        <v>45776</v>
      </c>
      <c r="C944" s="164">
        <v>0.49059027777777775</v>
      </c>
      <c r="D944" s="159">
        <v>10</v>
      </c>
      <c r="E944" s="166" t="s">
        <v>179</v>
      </c>
    </row>
    <row r="945" spans="1:5">
      <c r="A945" s="159">
        <f t="shared" si="6"/>
        <v>944</v>
      </c>
      <c r="B945" s="163">
        <v>45776</v>
      </c>
      <c r="C945" s="164">
        <v>0.48427083333333337</v>
      </c>
      <c r="D945" s="159">
        <v>10</v>
      </c>
      <c r="E945" s="166" t="s">
        <v>1006</v>
      </c>
    </row>
    <row r="946" spans="1:5">
      <c r="A946" s="159">
        <f t="shared" si="6"/>
        <v>945</v>
      </c>
      <c r="B946" s="163">
        <v>45776</v>
      </c>
      <c r="C946" s="164">
        <v>0.46939814814814818</v>
      </c>
      <c r="D946" s="159">
        <v>10</v>
      </c>
      <c r="E946" s="166" t="s">
        <v>1007</v>
      </c>
    </row>
    <row r="947" spans="1:5">
      <c r="A947" s="159">
        <f t="shared" si="6"/>
        <v>946</v>
      </c>
      <c r="B947" s="163">
        <v>45776</v>
      </c>
      <c r="C947" s="164">
        <v>0.46706018518518522</v>
      </c>
      <c r="D947" s="159">
        <v>10</v>
      </c>
      <c r="E947" s="166" t="s">
        <v>1008</v>
      </c>
    </row>
    <row r="948" spans="1:5">
      <c r="A948" s="159">
        <f t="shared" si="6"/>
        <v>947</v>
      </c>
      <c r="B948" s="163">
        <v>45776</v>
      </c>
      <c r="C948" s="164">
        <v>0.46453703703703703</v>
      </c>
      <c r="D948" s="159">
        <v>10</v>
      </c>
      <c r="E948" s="166" t="s">
        <v>1009</v>
      </c>
    </row>
    <row r="949" spans="1:5">
      <c r="A949" s="159">
        <f t="shared" ref="A949:A1012" si="7">ROW()-1</f>
        <v>948</v>
      </c>
      <c r="B949" s="163">
        <v>45776</v>
      </c>
      <c r="C949" s="164">
        <v>0.46427083333333335</v>
      </c>
      <c r="D949" s="159">
        <v>10</v>
      </c>
      <c r="E949" s="166" t="s">
        <v>1010</v>
      </c>
    </row>
    <row r="950" spans="1:5" ht="27">
      <c r="A950" s="159">
        <f t="shared" si="7"/>
        <v>949</v>
      </c>
      <c r="B950" s="163">
        <v>45776</v>
      </c>
      <c r="C950" s="164">
        <v>0.46278935185185183</v>
      </c>
      <c r="D950" s="159">
        <v>10</v>
      </c>
      <c r="E950" s="166" t="s">
        <v>1025</v>
      </c>
    </row>
    <row r="951" spans="1:5">
      <c r="A951" s="159">
        <f t="shared" si="7"/>
        <v>950</v>
      </c>
      <c r="B951" s="163">
        <v>45776</v>
      </c>
      <c r="C951" s="164">
        <v>0.46043981481481483</v>
      </c>
      <c r="D951" s="159">
        <v>10</v>
      </c>
      <c r="E951" s="166" t="s">
        <v>1011</v>
      </c>
    </row>
    <row r="952" spans="1:5">
      <c r="A952" s="159">
        <f t="shared" si="7"/>
        <v>951</v>
      </c>
      <c r="B952" s="163">
        <v>45776</v>
      </c>
      <c r="C952" s="164">
        <v>0.45815972222222223</v>
      </c>
      <c r="D952" s="159">
        <v>10</v>
      </c>
      <c r="E952" s="166" t="s">
        <v>244</v>
      </c>
    </row>
    <row r="953" spans="1:5">
      <c r="A953" s="159">
        <f t="shared" si="7"/>
        <v>952</v>
      </c>
      <c r="B953" s="163">
        <v>45776</v>
      </c>
      <c r="C953" s="164">
        <v>0.45498842592592598</v>
      </c>
      <c r="D953" s="159">
        <v>10</v>
      </c>
      <c r="E953" s="166" t="s">
        <v>1012</v>
      </c>
    </row>
    <row r="954" spans="1:5">
      <c r="A954" s="159">
        <f t="shared" si="7"/>
        <v>953</v>
      </c>
      <c r="B954" s="163">
        <v>45776</v>
      </c>
      <c r="C954" s="164">
        <v>0.45502314814814815</v>
      </c>
      <c r="D954" s="159">
        <v>10</v>
      </c>
      <c r="E954" s="166" t="s">
        <v>1013</v>
      </c>
    </row>
    <row r="955" spans="1:5">
      <c r="A955" s="159">
        <f t="shared" si="7"/>
        <v>954</v>
      </c>
      <c r="B955" s="163">
        <v>45776</v>
      </c>
      <c r="C955" s="164">
        <v>0.45222222222222225</v>
      </c>
      <c r="D955" s="159">
        <v>10</v>
      </c>
      <c r="E955" s="166" t="s">
        <v>1014</v>
      </c>
    </row>
    <row r="956" spans="1:5">
      <c r="A956" s="159">
        <f t="shared" si="7"/>
        <v>955</v>
      </c>
      <c r="B956" s="163">
        <v>45776</v>
      </c>
      <c r="C956" s="164">
        <v>0.44668981481481485</v>
      </c>
      <c r="D956" s="159">
        <v>10</v>
      </c>
      <c r="E956" s="166" t="s">
        <v>1015</v>
      </c>
    </row>
    <row r="957" spans="1:5">
      <c r="A957" s="159">
        <f t="shared" si="7"/>
        <v>956</v>
      </c>
      <c r="B957" s="163">
        <v>45776</v>
      </c>
      <c r="C957" s="164">
        <v>0.44167824074074075</v>
      </c>
      <c r="D957" s="159">
        <v>10</v>
      </c>
      <c r="E957" s="166" t="s">
        <v>1016</v>
      </c>
    </row>
    <row r="958" spans="1:5">
      <c r="A958" s="159">
        <f t="shared" si="7"/>
        <v>957</v>
      </c>
      <c r="B958" s="163">
        <v>45776</v>
      </c>
      <c r="C958" s="164">
        <v>0.43699074074074074</v>
      </c>
      <c r="D958" s="159">
        <v>10</v>
      </c>
      <c r="E958" s="166" t="s">
        <v>1017</v>
      </c>
    </row>
    <row r="959" spans="1:5">
      <c r="A959" s="159">
        <f t="shared" si="7"/>
        <v>958</v>
      </c>
      <c r="B959" s="163">
        <v>45776</v>
      </c>
      <c r="C959" s="164">
        <v>0.42570601851851847</v>
      </c>
      <c r="D959" s="159">
        <v>10</v>
      </c>
      <c r="E959" s="166" t="s">
        <v>565</v>
      </c>
    </row>
    <row r="960" spans="1:5">
      <c r="A960" s="159">
        <f t="shared" si="7"/>
        <v>959</v>
      </c>
      <c r="B960" s="163">
        <v>45776</v>
      </c>
      <c r="C960" s="164">
        <v>0.41186342592592595</v>
      </c>
      <c r="D960" s="159">
        <v>10</v>
      </c>
      <c r="E960" s="166" t="s">
        <v>1018</v>
      </c>
    </row>
    <row r="961" spans="1:5">
      <c r="A961" s="159">
        <f t="shared" si="7"/>
        <v>960</v>
      </c>
      <c r="B961" s="163">
        <v>45776</v>
      </c>
      <c r="C961" s="164">
        <v>0.41098379629629633</v>
      </c>
      <c r="D961" s="159">
        <v>10</v>
      </c>
      <c r="E961" s="166" t="s">
        <v>1019</v>
      </c>
    </row>
    <row r="962" spans="1:5">
      <c r="A962" s="159">
        <f t="shared" si="7"/>
        <v>961</v>
      </c>
      <c r="B962" s="163">
        <v>45776</v>
      </c>
      <c r="C962" s="164">
        <v>0.39269675925925923</v>
      </c>
      <c r="D962" s="159">
        <v>10</v>
      </c>
      <c r="E962" s="166" t="s">
        <v>1024</v>
      </c>
    </row>
    <row r="963" spans="1:5">
      <c r="A963" s="159">
        <f t="shared" si="7"/>
        <v>962</v>
      </c>
      <c r="B963" s="163">
        <v>45776</v>
      </c>
      <c r="C963" s="164">
        <v>0.39158564814814811</v>
      </c>
      <c r="D963" s="159">
        <v>10</v>
      </c>
      <c r="E963" s="166" t="s">
        <v>1020</v>
      </c>
    </row>
    <row r="964" spans="1:5">
      <c r="A964" s="159">
        <f t="shared" si="7"/>
        <v>963</v>
      </c>
      <c r="B964" s="163">
        <v>45776</v>
      </c>
      <c r="C964" s="164">
        <v>0.38961805555555556</v>
      </c>
      <c r="D964" s="159">
        <v>10</v>
      </c>
      <c r="E964" s="166" t="s">
        <v>1023</v>
      </c>
    </row>
    <row r="965" spans="1:5">
      <c r="A965" s="159">
        <f t="shared" si="7"/>
        <v>964</v>
      </c>
      <c r="B965" s="163">
        <v>45776</v>
      </c>
      <c r="C965" s="164">
        <v>0.38495370370370369</v>
      </c>
      <c r="D965" s="159">
        <v>10</v>
      </c>
      <c r="E965" s="166" t="s">
        <v>1021</v>
      </c>
    </row>
    <row r="966" spans="1:5">
      <c r="A966" s="159">
        <f t="shared" si="7"/>
        <v>965</v>
      </c>
      <c r="B966" s="163">
        <v>45776</v>
      </c>
      <c r="C966" s="164">
        <v>0.38280092592592596</v>
      </c>
      <c r="D966" s="159">
        <v>10</v>
      </c>
      <c r="E966" s="166" t="s">
        <v>1022</v>
      </c>
    </row>
    <row r="967" spans="1:5">
      <c r="A967" s="159">
        <f t="shared" si="7"/>
        <v>966</v>
      </c>
      <c r="B967" s="163">
        <v>45777</v>
      </c>
      <c r="C967" s="164">
        <v>0.88023148148148145</v>
      </c>
      <c r="D967" s="159">
        <v>4</v>
      </c>
      <c r="E967" s="166" t="s">
        <v>1026</v>
      </c>
    </row>
    <row r="968" spans="1:5" ht="27">
      <c r="A968" s="159">
        <f t="shared" si="7"/>
        <v>967</v>
      </c>
      <c r="B968" s="163">
        <v>45777</v>
      </c>
      <c r="C968" s="164">
        <v>0.84137731481481481</v>
      </c>
      <c r="D968" s="159">
        <v>10</v>
      </c>
      <c r="E968" s="166" t="s">
        <v>1027</v>
      </c>
    </row>
    <row r="969" spans="1:5">
      <c r="A969" s="159">
        <f t="shared" si="7"/>
        <v>968</v>
      </c>
      <c r="B969" s="163">
        <v>45777</v>
      </c>
      <c r="C969" s="164">
        <v>0.83732638888888899</v>
      </c>
      <c r="D969" s="159">
        <v>10</v>
      </c>
      <c r="E969" s="166" t="s">
        <v>1028</v>
      </c>
    </row>
    <row r="970" spans="1:5">
      <c r="A970" s="159">
        <f t="shared" si="7"/>
        <v>969</v>
      </c>
      <c r="B970" s="163">
        <v>45777</v>
      </c>
      <c r="C970" s="164">
        <v>0.79172453703703705</v>
      </c>
      <c r="D970" s="159">
        <v>10</v>
      </c>
      <c r="E970" s="166" t="s">
        <v>1029</v>
      </c>
    </row>
    <row r="971" spans="1:5">
      <c r="A971" s="159">
        <f t="shared" si="7"/>
        <v>970</v>
      </c>
      <c r="B971" s="163">
        <v>45777</v>
      </c>
      <c r="C971" s="164">
        <v>0.77575231481481488</v>
      </c>
      <c r="D971" s="159">
        <v>10</v>
      </c>
      <c r="E971" s="166">
        <v>1</v>
      </c>
    </row>
    <row r="972" spans="1:5" ht="27">
      <c r="A972" s="159">
        <f t="shared" si="7"/>
        <v>971</v>
      </c>
      <c r="B972" s="163">
        <v>45777</v>
      </c>
      <c r="C972" s="164">
        <v>0.75065972222222221</v>
      </c>
      <c r="D972" s="159">
        <v>10</v>
      </c>
      <c r="E972" s="166" t="s">
        <v>1030</v>
      </c>
    </row>
    <row r="973" spans="1:5">
      <c r="A973" s="159">
        <f t="shared" si="7"/>
        <v>972</v>
      </c>
      <c r="B973" s="163">
        <v>45777</v>
      </c>
      <c r="C973" s="164">
        <v>0.74927083333333344</v>
      </c>
      <c r="D973" s="159">
        <v>10</v>
      </c>
      <c r="E973" s="166" t="s">
        <v>1031</v>
      </c>
    </row>
    <row r="974" spans="1:5">
      <c r="A974" s="159">
        <f t="shared" si="7"/>
        <v>973</v>
      </c>
      <c r="B974" s="163">
        <v>45777</v>
      </c>
      <c r="C974" s="164">
        <v>0.73518518518518527</v>
      </c>
      <c r="D974" s="159">
        <v>10</v>
      </c>
      <c r="E974" s="166" t="s">
        <v>1032</v>
      </c>
    </row>
    <row r="975" spans="1:5">
      <c r="A975" s="159">
        <f t="shared" si="7"/>
        <v>974</v>
      </c>
      <c r="B975" s="163">
        <v>45777</v>
      </c>
      <c r="C975" s="164">
        <v>0.73008101851851848</v>
      </c>
      <c r="D975" s="159">
        <v>10</v>
      </c>
      <c r="E975" s="166" t="s">
        <v>1033</v>
      </c>
    </row>
    <row r="976" spans="1:5">
      <c r="A976" s="159">
        <f t="shared" si="7"/>
        <v>975</v>
      </c>
      <c r="B976" s="163">
        <v>45777</v>
      </c>
      <c r="C976" s="164">
        <v>0.72879629629629628</v>
      </c>
      <c r="D976" s="159">
        <v>10</v>
      </c>
      <c r="E976" s="166" t="s">
        <v>1034</v>
      </c>
    </row>
    <row r="977" spans="1:5">
      <c r="A977" s="159">
        <f t="shared" si="7"/>
        <v>976</v>
      </c>
      <c r="B977" s="163">
        <v>45777</v>
      </c>
      <c r="C977" s="164">
        <v>0.71499999999999997</v>
      </c>
      <c r="D977" s="159">
        <v>10</v>
      </c>
      <c r="E977" s="166" t="s">
        <v>1035</v>
      </c>
    </row>
    <row r="978" spans="1:5">
      <c r="A978" s="159">
        <f t="shared" si="7"/>
        <v>977</v>
      </c>
      <c r="B978" s="163">
        <v>45777</v>
      </c>
      <c r="C978" s="164">
        <v>0.71267361111111116</v>
      </c>
      <c r="D978" s="159">
        <v>10</v>
      </c>
      <c r="E978" s="166" t="s">
        <v>1036</v>
      </c>
    </row>
    <row r="979" spans="1:5">
      <c r="A979" s="159">
        <f t="shared" si="7"/>
        <v>978</v>
      </c>
      <c r="B979" s="163">
        <v>45777</v>
      </c>
      <c r="C979" s="164">
        <v>0.70762731481481478</v>
      </c>
      <c r="D979" s="159">
        <v>10</v>
      </c>
      <c r="E979" s="166" t="s">
        <v>1037</v>
      </c>
    </row>
    <row r="980" spans="1:5">
      <c r="A980" s="159">
        <f t="shared" si="7"/>
        <v>979</v>
      </c>
      <c r="B980" s="163">
        <v>45777</v>
      </c>
      <c r="C980" s="164">
        <v>0.70643518518518522</v>
      </c>
      <c r="D980" s="159">
        <v>10</v>
      </c>
      <c r="E980" s="166" t="s">
        <v>1038</v>
      </c>
    </row>
    <row r="981" spans="1:5">
      <c r="A981" s="159">
        <f t="shared" si="7"/>
        <v>980</v>
      </c>
      <c r="B981" s="163">
        <v>45777</v>
      </c>
      <c r="C981" s="164">
        <v>0.70179398148148142</v>
      </c>
      <c r="D981" s="159">
        <v>10</v>
      </c>
      <c r="E981" s="166" t="s">
        <v>1039</v>
      </c>
    </row>
    <row r="982" spans="1:5">
      <c r="A982" s="159">
        <f t="shared" si="7"/>
        <v>981</v>
      </c>
      <c r="B982" s="163">
        <v>45777</v>
      </c>
      <c r="C982" s="164">
        <v>0.70041666666666658</v>
      </c>
      <c r="D982" s="159">
        <v>10</v>
      </c>
      <c r="E982" s="166" t="s">
        <v>1040</v>
      </c>
    </row>
    <row r="983" spans="1:5">
      <c r="A983" s="159">
        <f t="shared" si="7"/>
        <v>982</v>
      </c>
      <c r="B983" s="163">
        <v>45777</v>
      </c>
      <c r="C983" s="164">
        <v>0.67952546296296301</v>
      </c>
      <c r="D983" s="159">
        <v>10</v>
      </c>
      <c r="E983" s="166" t="s">
        <v>1041</v>
      </c>
    </row>
    <row r="984" spans="1:5">
      <c r="A984" s="159">
        <f t="shared" si="7"/>
        <v>983</v>
      </c>
      <c r="B984" s="163">
        <v>45777</v>
      </c>
      <c r="C984" s="164">
        <v>0.67880787037037038</v>
      </c>
      <c r="D984" s="159">
        <v>10</v>
      </c>
      <c r="E984" s="166" t="s">
        <v>1042</v>
      </c>
    </row>
    <row r="985" spans="1:5">
      <c r="A985" s="159">
        <f t="shared" si="7"/>
        <v>984</v>
      </c>
      <c r="B985" s="163">
        <v>45777</v>
      </c>
      <c r="C985" s="164">
        <v>0.67195601851851849</v>
      </c>
      <c r="D985" s="159">
        <v>10</v>
      </c>
      <c r="E985" s="166" t="s">
        <v>1043</v>
      </c>
    </row>
    <row r="986" spans="1:5">
      <c r="A986" s="159">
        <f t="shared" si="7"/>
        <v>985</v>
      </c>
      <c r="B986" s="163">
        <v>45777</v>
      </c>
      <c r="C986" s="164">
        <v>0.6685416666666667</v>
      </c>
      <c r="D986" s="159">
        <v>10</v>
      </c>
      <c r="E986" s="166" t="s">
        <v>1044</v>
      </c>
    </row>
    <row r="987" spans="1:5">
      <c r="A987" s="159">
        <f t="shared" si="7"/>
        <v>986</v>
      </c>
      <c r="B987" s="163">
        <v>45777</v>
      </c>
      <c r="C987" s="164">
        <v>0.65796296296296297</v>
      </c>
      <c r="D987" s="159">
        <v>10</v>
      </c>
      <c r="E987" s="166" t="s">
        <v>1045</v>
      </c>
    </row>
    <row r="988" spans="1:5">
      <c r="A988" s="159">
        <f t="shared" si="7"/>
        <v>987</v>
      </c>
      <c r="B988" s="163">
        <v>45777</v>
      </c>
      <c r="C988" s="164">
        <v>0.64521990740740742</v>
      </c>
      <c r="D988" s="159">
        <v>9</v>
      </c>
      <c r="E988" s="166" t="s">
        <v>1046</v>
      </c>
    </row>
    <row r="989" spans="1:5">
      <c r="A989" s="159">
        <f t="shared" si="7"/>
        <v>988</v>
      </c>
      <c r="B989" s="163">
        <v>45777</v>
      </c>
      <c r="C989" s="164">
        <v>0.63305555555555559</v>
      </c>
      <c r="D989" s="159">
        <v>10</v>
      </c>
      <c r="E989" s="166" t="s">
        <v>1047</v>
      </c>
    </row>
    <row r="990" spans="1:5">
      <c r="A990" s="159">
        <f t="shared" si="7"/>
        <v>989</v>
      </c>
      <c r="B990" s="163">
        <v>45777</v>
      </c>
      <c r="C990" s="164">
        <v>0.6329745370370371</v>
      </c>
      <c r="D990" s="159">
        <v>10</v>
      </c>
      <c r="E990" s="166" t="s">
        <v>1048</v>
      </c>
    </row>
    <row r="991" spans="1:5">
      <c r="A991" s="159">
        <f t="shared" si="7"/>
        <v>990</v>
      </c>
      <c r="B991" s="163">
        <v>45777</v>
      </c>
      <c r="C991" s="164">
        <v>0.63049768518518523</v>
      </c>
      <c r="D991" s="159">
        <v>10</v>
      </c>
      <c r="E991" s="166" t="s">
        <v>1049</v>
      </c>
    </row>
    <row r="992" spans="1:5">
      <c r="A992" s="159">
        <f t="shared" si="7"/>
        <v>991</v>
      </c>
      <c r="B992" s="163">
        <v>45777</v>
      </c>
      <c r="C992" s="164">
        <v>0.6257638888888889</v>
      </c>
      <c r="D992" s="159">
        <v>10</v>
      </c>
      <c r="E992" s="166" t="s">
        <v>1050</v>
      </c>
    </row>
    <row r="993" spans="1:5">
      <c r="A993" s="159">
        <f t="shared" si="7"/>
        <v>992</v>
      </c>
      <c r="B993" s="163">
        <v>45777</v>
      </c>
      <c r="C993" s="164">
        <v>0.61812500000000004</v>
      </c>
      <c r="D993" s="159">
        <v>10</v>
      </c>
      <c r="E993" s="166" t="s">
        <v>1067</v>
      </c>
    </row>
    <row r="994" spans="1:5">
      <c r="A994" s="159">
        <f t="shared" si="7"/>
        <v>993</v>
      </c>
      <c r="B994" s="163">
        <v>45777</v>
      </c>
      <c r="C994" s="164">
        <v>0.60053240740740743</v>
      </c>
      <c r="D994" s="159">
        <v>10</v>
      </c>
      <c r="E994" s="166" t="s">
        <v>1051</v>
      </c>
    </row>
    <row r="995" spans="1:5">
      <c r="A995" s="159">
        <f t="shared" si="7"/>
        <v>994</v>
      </c>
      <c r="B995" s="163">
        <v>45777</v>
      </c>
      <c r="C995" s="164">
        <v>0.58443287037037039</v>
      </c>
      <c r="D995" s="159">
        <v>10</v>
      </c>
      <c r="E995" s="166" t="s">
        <v>1052</v>
      </c>
    </row>
    <row r="996" spans="1:5">
      <c r="A996" s="159">
        <f t="shared" si="7"/>
        <v>995</v>
      </c>
      <c r="B996" s="163">
        <v>45777</v>
      </c>
      <c r="C996" s="164">
        <v>0.56077546296296299</v>
      </c>
      <c r="D996" s="159">
        <v>10</v>
      </c>
      <c r="E996" s="166" t="s">
        <v>1053</v>
      </c>
    </row>
    <row r="997" spans="1:5">
      <c r="A997" s="159">
        <f t="shared" si="7"/>
        <v>996</v>
      </c>
      <c r="B997" s="163">
        <v>45777</v>
      </c>
      <c r="C997" s="164">
        <v>0.55363425925925924</v>
      </c>
      <c r="D997" s="159">
        <v>10</v>
      </c>
      <c r="E997" s="166" t="s">
        <v>1054</v>
      </c>
    </row>
    <row r="998" spans="1:5">
      <c r="A998" s="159">
        <f t="shared" si="7"/>
        <v>997</v>
      </c>
      <c r="B998" s="163">
        <v>45777</v>
      </c>
      <c r="C998" s="164">
        <v>0.50187499999999996</v>
      </c>
      <c r="D998" s="159">
        <v>10</v>
      </c>
      <c r="E998" s="166" t="s">
        <v>1055</v>
      </c>
    </row>
    <row r="999" spans="1:5">
      <c r="A999" s="159">
        <f t="shared" si="7"/>
        <v>998</v>
      </c>
      <c r="B999" s="163">
        <v>45777</v>
      </c>
      <c r="C999" s="164">
        <v>0.49322916666666666</v>
      </c>
      <c r="D999" s="159">
        <v>10</v>
      </c>
      <c r="E999" s="166" t="s">
        <v>1056</v>
      </c>
    </row>
    <row r="1000" spans="1:5">
      <c r="A1000" s="159">
        <f t="shared" si="7"/>
        <v>999</v>
      </c>
      <c r="B1000" s="163">
        <v>45777</v>
      </c>
      <c r="C1000" s="164">
        <v>0.48230324074074077</v>
      </c>
      <c r="D1000" s="159">
        <v>10</v>
      </c>
      <c r="E1000" s="166" t="s">
        <v>1057</v>
      </c>
    </row>
    <row r="1001" spans="1:5">
      <c r="A1001" s="159">
        <f t="shared" si="7"/>
        <v>1000</v>
      </c>
      <c r="B1001" s="163">
        <v>45777</v>
      </c>
      <c r="C1001" s="164">
        <v>0.47285879629629629</v>
      </c>
      <c r="D1001" s="159">
        <v>10</v>
      </c>
      <c r="E1001" s="166" t="s">
        <v>1058</v>
      </c>
    </row>
    <row r="1002" spans="1:5">
      <c r="A1002" s="159">
        <f t="shared" si="7"/>
        <v>1001</v>
      </c>
      <c r="B1002" s="163">
        <v>45777</v>
      </c>
      <c r="C1002" s="164">
        <v>0.46631944444444445</v>
      </c>
      <c r="D1002" s="159">
        <v>10</v>
      </c>
      <c r="E1002" s="166" t="s">
        <v>1059</v>
      </c>
    </row>
    <row r="1003" spans="1:5">
      <c r="A1003" s="159">
        <f t="shared" si="7"/>
        <v>1002</v>
      </c>
      <c r="B1003" s="163">
        <v>45777</v>
      </c>
      <c r="C1003" s="164">
        <v>0.46604166666666669</v>
      </c>
      <c r="D1003" s="159">
        <v>10</v>
      </c>
      <c r="E1003" s="166" t="s">
        <v>1066</v>
      </c>
    </row>
    <row r="1004" spans="1:5">
      <c r="A1004" s="159">
        <f t="shared" si="7"/>
        <v>1003</v>
      </c>
      <c r="B1004" s="163">
        <v>45777</v>
      </c>
      <c r="C1004" s="164">
        <v>0.46570601851851851</v>
      </c>
      <c r="D1004" s="159">
        <v>10</v>
      </c>
      <c r="E1004" s="166" t="s">
        <v>1060</v>
      </c>
    </row>
    <row r="1005" spans="1:5">
      <c r="A1005" s="159">
        <f t="shared" si="7"/>
        <v>1004</v>
      </c>
      <c r="B1005" s="163">
        <v>45777</v>
      </c>
      <c r="C1005" s="164">
        <v>0.45385416666666667</v>
      </c>
      <c r="D1005" s="159">
        <v>10</v>
      </c>
      <c r="E1005" s="166" t="s">
        <v>1061</v>
      </c>
    </row>
    <row r="1006" spans="1:5">
      <c r="A1006" s="159">
        <f t="shared" si="7"/>
        <v>1005</v>
      </c>
      <c r="B1006" s="163">
        <v>45777</v>
      </c>
      <c r="C1006" s="164">
        <v>0.44140046296296293</v>
      </c>
      <c r="D1006" s="159">
        <v>10</v>
      </c>
      <c r="E1006" s="166" t="s">
        <v>1062</v>
      </c>
    </row>
    <row r="1007" spans="1:5">
      <c r="A1007" s="159">
        <f t="shared" si="7"/>
        <v>1006</v>
      </c>
      <c r="B1007" s="163">
        <v>45777</v>
      </c>
      <c r="C1007" s="164">
        <v>0.43415509259259261</v>
      </c>
      <c r="D1007" s="159">
        <v>10</v>
      </c>
      <c r="E1007" s="166" t="s">
        <v>1063</v>
      </c>
    </row>
    <row r="1008" spans="1:5">
      <c r="A1008" s="159">
        <f t="shared" si="7"/>
        <v>1007</v>
      </c>
      <c r="B1008" s="163">
        <v>45777</v>
      </c>
      <c r="C1008" s="164">
        <v>0.4215740740740741</v>
      </c>
      <c r="D1008" s="159">
        <v>10</v>
      </c>
      <c r="E1008" s="166" t="s">
        <v>1065</v>
      </c>
    </row>
    <row r="1009" spans="1:5">
      <c r="A1009" s="159">
        <f t="shared" si="7"/>
        <v>1008</v>
      </c>
      <c r="B1009" s="163">
        <v>45777</v>
      </c>
      <c r="C1009" s="164">
        <v>0.40440972222222221</v>
      </c>
      <c r="D1009" s="159">
        <v>10</v>
      </c>
      <c r="E1009" s="166" t="s">
        <v>1064</v>
      </c>
    </row>
    <row r="1010" spans="1:5">
      <c r="A1010" s="159">
        <f t="shared" si="7"/>
        <v>1009</v>
      </c>
      <c r="B1010" s="163">
        <v>45779</v>
      </c>
      <c r="C1010" s="164">
        <v>0.89097222222222217</v>
      </c>
      <c r="D1010" s="159">
        <v>10</v>
      </c>
      <c r="E1010" s="166" t="s">
        <v>1082</v>
      </c>
    </row>
    <row r="1011" spans="1:5">
      <c r="A1011" s="159">
        <f t="shared" si="7"/>
        <v>1010</v>
      </c>
      <c r="B1011" s="163">
        <v>45779</v>
      </c>
      <c r="C1011" s="164">
        <v>0.8687962962962964</v>
      </c>
      <c r="D1011" s="159">
        <v>10</v>
      </c>
      <c r="E1011" s="166" t="s">
        <v>418</v>
      </c>
    </row>
    <row r="1012" spans="1:5">
      <c r="A1012" s="159">
        <f t="shared" si="7"/>
        <v>1011</v>
      </c>
      <c r="B1012" s="163">
        <v>45779</v>
      </c>
      <c r="C1012" s="164">
        <v>0.8563425925925926</v>
      </c>
      <c r="D1012" s="159">
        <v>10</v>
      </c>
      <c r="E1012" s="166" t="s">
        <v>1083</v>
      </c>
    </row>
    <row r="1013" spans="1:5">
      <c r="A1013" s="159">
        <f t="shared" ref="A1013:A1076" si="8">ROW()-1</f>
        <v>1012</v>
      </c>
      <c r="B1013" s="163">
        <v>45779</v>
      </c>
      <c r="C1013" s="164">
        <v>0.84612268518518519</v>
      </c>
      <c r="D1013" s="159">
        <v>10</v>
      </c>
      <c r="E1013" s="166" t="s">
        <v>1084</v>
      </c>
    </row>
    <row r="1014" spans="1:5">
      <c r="A1014" s="159">
        <f t="shared" si="8"/>
        <v>1013</v>
      </c>
      <c r="B1014" s="163">
        <v>45779</v>
      </c>
      <c r="C1014" s="164">
        <v>0.8249305555555555</v>
      </c>
      <c r="D1014" s="159">
        <v>10</v>
      </c>
      <c r="E1014" s="166" t="s">
        <v>1085</v>
      </c>
    </row>
    <row r="1015" spans="1:5">
      <c r="A1015" s="159">
        <f t="shared" si="8"/>
        <v>1014</v>
      </c>
      <c r="B1015" s="163">
        <v>45779</v>
      </c>
      <c r="C1015" s="164">
        <v>0.74849537037037039</v>
      </c>
      <c r="D1015" s="159">
        <v>10</v>
      </c>
      <c r="E1015" s="166" t="s">
        <v>1086</v>
      </c>
    </row>
    <row r="1016" spans="1:5">
      <c r="A1016" s="159">
        <f t="shared" si="8"/>
        <v>1015</v>
      </c>
      <c r="B1016" s="163">
        <v>45779</v>
      </c>
      <c r="C1016" s="164">
        <v>0.74394675925925924</v>
      </c>
      <c r="D1016" s="159">
        <v>10</v>
      </c>
      <c r="E1016" s="166" t="s">
        <v>1087</v>
      </c>
    </row>
    <row r="1017" spans="1:5">
      <c r="A1017" s="159">
        <f t="shared" si="8"/>
        <v>1016</v>
      </c>
      <c r="B1017" s="163">
        <v>45779</v>
      </c>
      <c r="C1017" s="164">
        <v>0.73641203703703706</v>
      </c>
      <c r="D1017" s="159">
        <v>10</v>
      </c>
      <c r="E1017" s="166" t="s">
        <v>1088</v>
      </c>
    </row>
    <row r="1018" spans="1:5">
      <c r="A1018" s="159">
        <f t="shared" si="8"/>
        <v>1017</v>
      </c>
      <c r="B1018" s="163">
        <v>45779</v>
      </c>
      <c r="C1018" s="164">
        <v>0.73274305555555552</v>
      </c>
      <c r="D1018" s="159">
        <v>10</v>
      </c>
      <c r="E1018" s="166" t="s">
        <v>1089</v>
      </c>
    </row>
    <row r="1019" spans="1:5">
      <c r="A1019" s="159">
        <f t="shared" si="8"/>
        <v>1018</v>
      </c>
      <c r="B1019" s="163">
        <v>45779</v>
      </c>
      <c r="C1019" s="164">
        <v>0.73024305555555558</v>
      </c>
      <c r="D1019" s="159">
        <v>10</v>
      </c>
      <c r="E1019" s="166" t="s">
        <v>1090</v>
      </c>
    </row>
    <row r="1020" spans="1:5">
      <c r="A1020" s="159">
        <f t="shared" si="8"/>
        <v>1019</v>
      </c>
      <c r="B1020" s="163">
        <v>45779</v>
      </c>
      <c r="C1020" s="164">
        <v>0.72748842592592589</v>
      </c>
      <c r="D1020" s="159">
        <v>10</v>
      </c>
      <c r="E1020" s="166" t="s">
        <v>1091</v>
      </c>
    </row>
    <row r="1021" spans="1:5" ht="27">
      <c r="A1021" s="159">
        <f t="shared" si="8"/>
        <v>1020</v>
      </c>
      <c r="B1021" s="163">
        <v>45779</v>
      </c>
      <c r="C1021" s="164">
        <v>0.72138888888888886</v>
      </c>
      <c r="D1021" s="159">
        <v>10</v>
      </c>
      <c r="E1021" s="166" t="s">
        <v>1092</v>
      </c>
    </row>
    <row r="1022" spans="1:5">
      <c r="A1022" s="159">
        <f t="shared" si="8"/>
        <v>1021</v>
      </c>
      <c r="B1022" s="163">
        <v>45779</v>
      </c>
      <c r="C1022" s="164">
        <v>0.71275462962962965</v>
      </c>
      <c r="D1022" s="159">
        <v>10</v>
      </c>
      <c r="E1022" s="166" t="s">
        <v>1093</v>
      </c>
    </row>
    <row r="1023" spans="1:5">
      <c r="A1023" s="159">
        <f t="shared" si="8"/>
        <v>1022</v>
      </c>
      <c r="B1023" s="163">
        <v>45779</v>
      </c>
      <c r="C1023" s="164">
        <v>0.71086805555555566</v>
      </c>
      <c r="D1023" s="159">
        <v>10</v>
      </c>
      <c r="E1023" s="166" t="s">
        <v>1094</v>
      </c>
    </row>
    <row r="1024" spans="1:5">
      <c r="A1024" s="159">
        <f t="shared" si="8"/>
        <v>1023</v>
      </c>
      <c r="B1024" s="163">
        <v>45779</v>
      </c>
      <c r="C1024" s="164">
        <v>0.70607638888888891</v>
      </c>
      <c r="D1024" s="159">
        <v>10</v>
      </c>
      <c r="E1024" s="166" t="s">
        <v>1095</v>
      </c>
    </row>
    <row r="1025" spans="1:5">
      <c r="A1025" s="159">
        <f t="shared" si="8"/>
        <v>1024</v>
      </c>
      <c r="B1025" s="163">
        <v>45779</v>
      </c>
      <c r="C1025" s="164">
        <v>0.7041087962962963</v>
      </c>
      <c r="D1025" s="159">
        <v>10</v>
      </c>
      <c r="E1025" s="166" t="s">
        <v>1096</v>
      </c>
    </row>
    <row r="1026" spans="1:5">
      <c r="A1026" s="159">
        <f t="shared" si="8"/>
        <v>1025</v>
      </c>
      <c r="B1026" s="163">
        <v>45779</v>
      </c>
      <c r="C1026" s="164">
        <v>0.69809027777777777</v>
      </c>
      <c r="D1026" s="159">
        <v>10</v>
      </c>
      <c r="E1026" s="166" t="s">
        <v>1097</v>
      </c>
    </row>
    <row r="1027" spans="1:5">
      <c r="A1027" s="159">
        <f t="shared" si="8"/>
        <v>1026</v>
      </c>
      <c r="B1027" s="163">
        <v>45779</v>
      </c>
      <c r="C1027" s="164">
        <v>0.6934027777777777</v>
      </c>
      <c r="D1027" s="159">
        <v>10</v>
      </c>
      <c r="E1027" s="166" t="s">
        <v>1098</v>
      </c>
    </row>
    <row r="1028" spans="1:5">
      <c r="A1028" s="159">
        <f t="shared" si="8"/>
        <v>1027</v>
      </c>
      <c r="B1028" s="163">
        <v>45779</v>
      </c>
      <c r="C1028" s="164">
        <v>0.6934027777777777</v>
      </c>
      <c r="D1028" s="159">
        <v>10</v>
      </c>
      <c r="E1028" s="166" t="s">
        <v>1099</v>
      </c>
    </row>
    <row r="1029" spans="1:5">
      <c r="A1029" s="159">
        <f t="shared" si="8"/>
        <v>1028</v>
      </c>
      <c r="B1029" s="163">
        <v>45779</v>
      </c>
      <c r="C1029" s="164">
        <v>0.69299768518518512</v>
      </c>
      <c r="D1029" s="159">
        <v>10</v>
      </c>
      <c r="E1029" s="166" t="s">
        <v>1100</v>
      </c>
    </row>
    <row r="1030" spans="1:5">
      <c r="A1030" s="159">
        <f t="shared" si="8"/>
        <v>1029</v>
      </c>
      <c r="B1030" s="163">
        <v>45779</v>
      </c>
      <c r="C1030" s="164">
        <v>0.68722222222222218</v>
      </c>
      <c r="D1030" s="159">
        <v>10</v>
      </c>
      <c r="E1030" s="166" t="s">
        <v>1101</v>
      </c>
    </row>
    <row r="1031" spans="1:5">
      <c r="A1031" s="159">
        <f t="shared" si="8"/>
        <v>1030</v>
      </c>
      <c r="B1031" s="163">
        <v>45779</v>
      </c>
      <c r="C1031" s="164">
        <v>0.68562499999999993</v>
      </c>
      <c r="D1031" s="159">
        <v>10</v>
      </c>
      <c r="E1031" s="166" t="s">
        <v>1102</v>
      </c>
    </row>
    <row r="1032" spans="1:5">
      <c r="A1032" s="159">
        <f t="shared" si="8"/>
        <v>1031</v>
      </c>
      <c r="B1032" s="163">
        <v>45779</v>
      </c>
      <c r="C1032" s="164">
        <v>0.68061342592592589</v>
      </c>
      <c r="D1032" s="159">
        <v>10</v>
      </c>
      <c r="E1032" s="166" t="s">
        <v>1103</v>
      </c>
    </row>
    <row r="1033" spans="1:5">
      <c r="A1033" s="159">
        <f t="shared" si="8"/>
        <v>1032</v>
      </c>
      <c r="B1033" s="163">
        <v>45779</v>
      </c>
      <c r="C1033" s="164">
        <v>0.67056712962962972</v>
      </c>
      <c r="D1033" s="159">
        <v>10</v>
      </c>
      <c r="E1033" s="166" t="s">
        <v>1104</v>
      </c>
    </row>
    <row r="1034" spans="1:5">
      <c r="A1034" s="159">
        <f t="shared" si="8"/>
        <v>1033</v>
      </c>
      <c r="B1034" s="163">
        <v>45779</v>
      </c>
      <c r="C1034" s="164">
        <v>0.6672569444444445</v>
      </c>
      <c r="D1034" s="159">
        <v>10</v>
      </c>
      <c r="E1034" s="166" t="s">
        <v>1105</v>
      </c>
    </row>
    <row r="1035" spans="1:5">
      <c r="A1035" s="159">
        <f t="shared" si="8"/>
        <v>1034</v>
      </c>
      <c r="B1035" s="163">
        <v>45779</v>
      </c>
      <c r="C1035" s="164">
        <v>0.65849537037037031</v>
      </c>
      <c r="D1035" s="159">
        <v>10</v>
      </c>
      <c r="E1035" s="166" t="s">
        <v>1106</v>
      </c>
    </row>
    <row r="1036" spans="1:5">
      <c r="A1036" s="159">
        <f t="shared" si="8"/>
        <v>1035</v>
      </c>
      <c r="B1036" s="163">
        <v>45779</v>
      </c>
      <c r="C1036" s="164">
        <v>0.65436342592592589</v>
      </c>
      <c r="D1036" s="159">
        <v>10</v>
      </c>
      <c r="E1036" s="166" t="s">
        <v>1107</v>
      </c>
    </row>
    <row r="1037" spans="1:5">
      <c r="A1037" s="159">
        <f t="shared" si="8"/>
        <v>1036</v>
      </c>
      <c r="B1037" s="163">
        <v>45779</v>
      </c>
      <c r="C1037" s="164">
        <v>0.65083333333333326</v>
      </c>
      <c r="D1037" s="159">
        <v>10</v>
      </c>
      <c r="E1037" s="166" t="s">
        <v>1108</v>
      </c>
    </row>
    <row r="1038" spans="1:5">
      <c r="A1038" s="159">
        <f t="shared" si="8"/>
        <v>1037</v>
      </c>
      <c r="B1038" s="163">
        <v>45779</v>
      </c>
      <c r="C1038" s="164">
        <v>0.64144675925925931</v>
      </c>
      <c r="D1038" s="159">
        <v>10</v>
      </c>
      <c r="E1038" s="166" t="s">
        <v>1109</v>
      </c>
    </row>
    <row r="1039" spans="1:5">
      <c r="A1039" s="159">
        <f t="shared" si="8"/>
        <v>1038</v>
      </c>
      <c r="B1039" s="163">
        <v>45779</v>
      </c>
      <c r="C1039" s="164">
        <v>0.640625</v>
      </c>
      <c r="D1039" s="159">
        <v>8</v>
      </c>
      <c r="E1039" s="166" t="s">
        <v>1110</v>
      </c>
    </row>
    <row r="1040" spans="1:5">
      <c r="A1040" s="159">
        <f t="shared" si="8"/>
        <v>1039</v>
      </c>
      <c r="B1040" s="163">
        <v>45779</v>
      </c>
      <c r="C1040" s="164">
        <v>0.6341782407407407</v>
      </c>
      <c r="D1040" s="159">
        <v>8</v>
      </c>
      <c r="E1040" s="166" t="s">
        <v>1111</v>
      </c>
    </row>
    <row r="1041" spans="1:5">
      <c r="A1041" s="159">
        <f t="shared" si="8"/>
        <v>1040</v>
      </c>
      <c r="B1041" s="163">
        <v>45779</v>
      </c>
      <c r="C1041" s="164">
        <v>0.63414351851851858</v>
      </c>
      <c r="D1041" s="159">
        <v>10</v>
      </c>
      <c r="E1041" s="166" t="s">
        <v>1112</v>
      </c>
    </row>
    <row r="1042" spans="1:5">
      <c r="A1042" s="159">
        <f t="shared" si="8"/>
        <v>1041</v>
      </c>
      <c r="B1042" s="163">
        <v>45779</v>
      </c>
      <c r="C1042" s="164">
        <v>0.63072916666666667</v>
      </c>
      <c r="D1042" s="159">
        <v>10</v>
      </c>
      <c r="E1042" s="166" t="s">
        <v>1113</v>
      </c>
    </row>
    <row r="1043" spans="1:5">
      <c r="A1043" s="159">
        <f t="shared" si="8"/>
        <v>1042</v>
      </c>
      <c r="B1043" s="163">
        <v>45779</v>
      </c>
      <c r="C1043" s="164">
        <v>0.62645833333333334</v>
      </c>
      <c r="D1043" s="159">
        <v>8</v>
      </c>
      <c r="E1043" s="166" t="s">
        <v>448</v>
      </c>
    </row>
    <row r="1044" spans="1:5">
      <c r="A1044" s="159">
        <f t="shared" si="8"/>
        <v>1043</v>
      </c>
      <c r="B1044" s="163">
        <v>45779</v>
      </c>
      <c r="C1044" s="164">
        <v>0.62254629629629632</v>
      </c>
      <c r="D1044" s="159">
        <v>10</v>
      </c>
      <c r="E1044" s="166" t="s">
        <v>132</v>
      </c>
    </row>
    <row r="1045" spans="1:5">
      <c r="A1045" s="159">
        <f t="shared" si="8"/>
        <v>1044</v>
      </c>
      <c r="B1045" s="163">
        <v>45779</v>
      </c>
      <c r="C1045" s="164">
        <v>0.62106481481481479</v>
      </c>
      <c r="D1045" s="159">
        <v>10</v>
      </c>
      <c r="E1045" s="166" t="s">
        <v>132</v>
      </c>
    </row>
    <row r="1046" spans="1:5">
      <c r="A1046" s="159">
        <f t="shared" si="8"/>
        <v>1045</v>
      </c>
      <c r="B1046" s="163">
        <v>45779</v>
      </c>
      <c r="C1046" s="164">
        <v>0.6149189814814815</v>
      </c>
      <c r="D1046" s="159">
        <v>10</v>
      </c>
      <c r="E1046" s="166" t="s">
        <v>1114</v>
      </c>
    </row>
    <row r="1047" spans="1:5">
      <c r="A1047" s="159">
        <f t="shared" si="8"/>
        <v>1046</v>
      </c>
      <c r="B1047" s="163">
        <v>45779</v>
      </c>
      <c r="C1047" s="164">
        <v>0.61192129629629632</v>
      </c>
      <c r="D1047" s="159">
        <v>10</v>
      </c>
      <c r="E1047" s="166" t="s">
        <v>1115</v>
      </c>
    </row>
    <row r="1048" spans="1:5">
      <c r="A1048" s="159">
        <f t="shared" si="8"/>
        <v>1047</v>
      </c>
      <c r="B1048" s="163">
        <v>45779</v>
      </c>
      <c r="C1048" s="164">
        <v>0.59923611111111108</v>
      </c>
      <c r="D1048" s="159">
        <v>10</v>
      </c>
      <c r="E1048" s="166" t="s">
        <v>1116</v>
      </c>
    </row>
    <row r="1049" spans="1:5">
      <c r="A1049" s="159">
        <f t="shared" si="8"/>
        <v>1048</v>
      </c>
      <c r="B1049" s="163">
        <v>45779</v>
      </c>
      <c r="C1049" s="164">
        <v>0.59861111111111109</v>
      </c>
      <c r="D1049" s="159">
        <v>10</v>
      </c>
      <c r="E1049" s="166" t="s">
        <v>1117</v>
      </c>
    </row>
    <row r="1050" spans="1:5">
      <c r="A1050" s="159">
        <f t="shared" si="8"/>
        <v>1049</v>
      </c>
      <c r="B1050" s="163">
        <v>45779</v>
      </c>
      <c r="C1050" s="164">
        <v>0.59697916666666673</v>
      </c>
      <c r="D1050" s="159">
        <v>10</v>
      </c>
      <c r="E1050" s="166" t="s">
        <v>1118</v>
      </c>
    </row>
    <row r="1051" spans="1:5">
      <c r="A1051" s="159">
        <f t="shared" si="8"/>
        <v>1050</v>
      </c>
      <c r="B1051" s="163">
        <v>45779</v>
      </c>
      <c r="C1051" s="164">
        <v>0.58954861111111112</v>
      </c>
      <c r="D1051" s="159">
        <v>10</v>
      </c>
      <c r="E1051" s="166" t="s">
        <v>537</v>
      </c>
    </row>
    <row r="1052" spans="1:5">
      <c r="A1052" s="159">
        <f t="shared" si="8"/>
        <v>1051</v>
      </c>
      <c r="B1052" s="163">
        <v>45779</v>
      </c>
      <c r="C1052" s="164">
        <v>0.58723379629629624</v>
      </c>
      <c r="D1052" s="159">
        <v>10</v>
      </c>
      <c r="E1052" s="166" t="s">
        <v>1119</v>
      </c>
    </row>
    <row r="1053" spans="1:5">
      <c r="A1053" s="159">
        <f t="shared" si="8"/>
        <v>1052</v>
      </c>
      <c r="B1053" s="163">
        <v>45779</v>
      </c>
      <c r="C1053" s="164">
        <v>0.58471064814814822</v>
      </c>
      <c r="D1053" s="159">
        <v>10</v>
      </c>
      <c r="E1053" s="166" t="s">
        <v>1120</v>
      </c>
    </row>
    <row r="1054" spans="1:5">
      <c r="A1054" s="159">
        <f t="shared" si="8"/>
        <v>1053</v>
      </c>
      <c r="B1054" s="163">
        <v>45779</v>
      </c>
      <c r="C1054" s="164">
        <v>0.573125</v>
      </c>
      <c r="D1054" s="159">
        <v>10</v>
      </c>
      <c r="E1054" s="166" t="s">
        <v>1121</v>
      </c>
    </row>
    <row r="1055" spans="1:5">
      <c r="A1055" s="159">
        <f t="shared" si="8"/>
        <v>1054</v>
      </c>
      <c r="B1055" s="163">
        <v>45779</v>
      </c>
      <c r="C1055" s="164">
        <v>0.57248842592592586</v>
      </c>
      <c r="D1055" s="159">
        <v>10</v>
      </c>
      <c r="E1055" s="166" t="s">
        <v>1122</v>
      </c>
    </row>
    <row r="1056" spans="1:5">
      <c r="A1056" s="159">
        <f t="shared" si="8"/>
        <v>1055</v>
      </c>
      <c r="B1056" s="163">
        <v>45779</v>
      </c>
      <c r="C1056" s="164">
        <v>0.57208333333333339</v>
      </c>
      <c r="D1056" s="159">
        <v>10</v>
      </c>
      <c r="E1056" s="166" t="s">
        <v>1123</v>
      </c>
    </row>
    <row r="1057" spans="1:5">
      <c r="A1057" s="159">
        <f t="shared" si="8"/>
        <v>1056</v>
      </c>
      <c r="B1057" s="163">
        <v>45779</v>
      </c>
      <c r="C1057" s="164">
        <v>0.56716435185185188</v>
      </c>
      <c r="D1057" s="159">
        <v>10</v>
      </c>
      <c r="E1057" s="166" t="s">
        <v>1124</v>
      </c>
    </row>
    <row r="1058" spans="1:5">
      <c r="A1058" s="159">
        <f t="shared" si="8"/>
        <v>1057</v>
      </c>
      <c r="B1058" s="163">
        <v>45779</v>
      </c>
      <c r="C1058" s="164">
        <v>0.56508101851851855</v>
      </c>
      <c r="D1058" s="159">
        <v>10</v>
      </c>
      <c r="E1058" s="166" t="s">
        <v>1125</v>
      </c>
    </row>
    <row r="1059" spans="1:5">
      <c r="A1059" s="159">
        <f t="shared" si="8"/>
        <v>1058</v>
      </c>
      <c r="B1059" s="163">
        <v>45779</v>
      </c>
      <c r="C1059" s="164">
        <v>0.55658564814814815</v>
      </c>
      <c r="D1059" s="159">
        <v>10</v>
      </c>
      <c r="E1059" s="166" t="s">
        <v>1126</v>
      </c>
    </row>
    <row r="1060" spans="1:5">
      <c r="A1060" s="159">
        <f t="shared" si="8"/>
        <v>1059</v>
      </c>
      <c r="B1060" s="163">
        <v>45779</v>
      </c>
      <c r="C1060" s="164">
        <v>0.55584490740740744</v>
      </c>
      <c r="D1060" s="159">
        <v>10</v>
      </c>
      <c r="E1060" s="166" t="s">
        <v>1127</v>
      </c>
    </row>
    <row r="1061" spans="1:5">
      <c r="A1061" s="159">
        <f t="shared" si="8"/>
        <v>1060</v>
      </c>
      <c r="B1061" s="163">
        <v>45779</v>
      </c>
      <c r="C1061" s="164">
        <v>0.55396990740740737</v>
      </c>
      <c r="D1061" s="159">
        <v>10</v>
      </c>
      <c r="E1061" s="166" t="s">
        <v>1128</v>
      </c>
    </row>
    <row r="1062" spans="1:5">
      <c r="A1062" s="159">
        <f t="shared" si="8"/>
        <v>1061</v>
      </c>
      <c r="B1062" s="163">
        <v>45779</v>
      </c>
      <c r="C1062" s="164">
        <v>0.53019675925925924</v>
      </c>
      <c r="D1062" s="159">
        <v>10</v>
      </c>
      <c r="E1062" s="166" t="s">
        <v>679</v>
      </c>
    </row>
    <row r="1063" spans="1:5">
      <c r="A1063" s="159">
        <f t="shared" si="8"/>
        <v>1062</v>
      </c>
      <c r="B1063" s="163">
        <v>45779</v>
      </c>
      <c r="C1063" s="164">
        <v>0.52932870370370366</v>
      </c>
      <c r="D1063" s="159">
        <v>10</v>
      </c>
      <c r="E1063" s="166" t="s">
        <v>1129</v>
      </c>
    </row>
    <row r="1064" spans="1:5" ht="27">
      <c r="A1064" s="159">
        <f t="shared" si="8"/>
        <v>1063</v>
      </c>
      <c r="B1064" s="163">
        <v>45779</v>
      </c>
      <c r="C1064" s="164">
        <v>0.52214120370370376</v>
      </c>
      <c r="D1064" s="159">
        <v>10</v>
      </c>
      <c r="E1064" s="166" t="s">
        <v>1130</v>
      </c>
    </row>
    <row r="1065" spans="1:5">
      <c r="A1065" s="159">
        <f t="shared" si="8"/>
        <v>1064</v>
      </c>
      <c r="B1065" s="163">
        <v>45779</v>
      </c>
      <c r="C1065" s="164">
        <v>0.51870370370370367</v>
      </c>
      <c r="D1065" s="159">
        <v>10</v>
      </c>
      <c r="E1065" s="166" t="s">
        <v>1131</v>
      </c>
    </row>
    <row r="1066" spans="1:5">
      <c r="A1066" s="159">
        <f t="shared" si="8"/>
        <v>1065</v>
      </c>
      <c r="B1066" s="163">
        <v>45779</v>
      </c>
      <c r="C1066" s="164">
        <v>0.51390046296296299</v>
      </c>
      <c r="D1066" s="159">
        <v>10</v>
      </c>
      <c r="E1066" s="166" t="s">
        <v>1132</v>
      </c>
    </row>
    <row r="1067" spans="1:5" ht="40.5">
      <c r="A1067" s="159">
        <f t="shared" si="8"/>
        <v>1066</v>
      </c>
      <c r="B1067" s="163">
        <v>45779</v>
      </c>
      <c r="C1067" s="164">
        <v>0.50278935185185192</v>
      </c>
      <c r="D1067" s="159">
        <v>10</v>
      </c>
      <c r="E1067" s="166" t="s">
        <v>1152</v>
      </c>
    </row>
    <row r="1068" spans="1:5">
      <c r="A1068" s="159">
        <f t="shared" si="8"/>
        <v>1067</v>
      </c>
      <c r="B1068" s="163">
        <v>45779</v>
      </c>
      <c r="C1068" s="164">
        <v>0.49890046296296298</v>
      </c>
      <c r="D1068" s="159">
        <v>10</v>
      </c>
      <c r="E1068" s="166" t="s">
        <v>1133</v>
      </c>
    </row>
    <row r="1069" spans="1:5">
      <c r="A1069" s="159">
        <f t="shared" si="8"/>
        <v>1068</v>
      </c>
      <c r="B1069" s="163">
        <v>45779</v>
      </c>
      <c r="C1069" s="164">
        <v>0.4946875</v>
      </c>
      <c r="D1069" s="159">
        <v>10</v>
      </c>
      <c r="E1069" s="166" t="s">
        <v>418</v>
      </c>
    </row>
    <row r="1070" spans="1:5">
      <c r="A1070" s="159">
        <f t="shared" si="8"/>
        <v>1069</v>
      </c>
      <c r="B1070" s="163">
        <v>45779</v>
      </c>
      <c r="C1070" s="164">
        <v>0.48864583333333328</v>
      </c>
      <c r="D1070" s="159">
        <v>10</v>
      </c>
      <c r="E1070" s="166" t="s">
        <v>1134</v>
      </c>
    </row>
    <row r="1071" spans="1:5">
      <c r="A1071" s="159">
        <f t="shared" si="8"/>
        <v>1070</v>
      </c>
      <c r="B1071" s="163">
        <v>45779</v>
      </c>
      <c r="C1071" s="164">
        <v>0.48251157407407402</v>
      </c>
      <c r="D1071" s="159">
        <v>10</v>
      </c>
      <c r="E1071" s="166" t="s">
        <v>565</v>
      </c>
    </row>
    <row r="1072" spans="1:5">
      <c r="A1072" s="159">
        <f t="shared" si="8"/>
        <v>1071</v>
      </c>
      <c r="B1072" s="163">
        <v>45779</v>
      </c>
      <c r="C1072" s="164">
        <v>0.47297453703703707</v>
      </c>
      <c r="D1072" s="159">
        <v>10</v>
      </c>
      <c r="E1072" s="166" t="s">
        <v>1135</v>
      </c>
    </row>
    <row r="1073" spans="1:5">
      <c r="A1073" s="159">
        <f t="shared" si="8"/>
        <v>1072</v>
      </c>
      <c r="B1073" s="163">
        <v>45779</v>
      </c>
      <c r="C1073" s="164">
        <v>0.46890046296296295</v>
      </c>
      <c r="D1073" s="159">
        <v>10</v>
      </c>
      <c r="E1073" s="166" t="s">
        <v>1136</v>
      </c>
    </row>
    <row r="1074" spans="1:5">
      <c r="A1074" s="159">
        <f t="shared" si="8"/>
        <v>1073</v>
      </c>
      <c r="B1074" s="163">
        <v>45779</v>
      </c>
      <c r="C1074" s="164">
        <v>0.46150462962962963</v>
      </c>
      <c r="D1074" s="159">
        <v>10</v>
      </c>
      <c r="E1074" s="166" t="s">
        <v>565</v>
      </c>
    </row>
    <row r="1075" spans="1:5">
      <c r="A1075" s="159">
        <f t="shared" si="8"/>
        <v>1074</v>
      </c>
      <c r="B1075" s="163">
        <v>45779</v>
      </c>
      <c r="C1075" s="164">
        <v>0.45626157407407408</v>
      </c>
      <c r="D1075" s="159">
        <v>10</v>
      </c>
      <c r="E1075" s="166" t="s">
        <v>1137</v>
      </c>
    </row>
    <row r="1076" spans="1:5">
      <c r="A1076" s="159">
        <f t="shared" si="8"/>
        <v>1075</v>
      </c>
      <c r="B1076" s="163">
        <v>45779</v>
      </c>
      <c r="C1076" s="164">
        <v>0.45172453703703702</v>
      </c>
      <c r="D1076" s="159">
        <v>10</v>
      </c>
      <c r="E1076" s="166" t="s">
        <v>1138</v>
      </c>
    </row>
    <row r="1077" spans="1:5">
      <c r="A1077" s="159">
        <f t="shared" ref="A1077:A1140" si="9">ROW()-1</f>
        <v>1076</v>
      </c>
      <c r="B1077" s="163">
        <v>45779</v>
      </c>
      <c r="C1077" s="164">
        <v>0.45109953703703703</v>
      </c>
      <c r="D1077" s="159">
        <v>10</v>
      </c>
      <c r="E1077" s="166" t="s">
        <v>1139</v>
      </c>
    </row>
    <row r="1078" spans="1:5">
      <c r="A1078" s="159">
        <f t="shared" si="9"/>
        <v>1077</v>
      </c>
      <c r="B1078" s="163">
        <v>45779</v>
      </c>
      <c r="C1078" s="164">
        <v>0.45145833333333335</v>
      </c>
      <c r="D1078" s="159">
        <v>10</v>
      </c>
      <c r="E1078" s="166" t="s">
        <v>284</v>
      </c>
    </row>
    <row r="1079" spans="1:5" ht="67.5">
      <c r="A1079" s="159">
        <f t="shared" si="9"/>
        <v>1078</v>
      </c>
      <c r="B1079" s="163">
        <v>45779</v>
      </c>
      <c r="C1079" s="164">
        <v>0.43891203703703702</v>
      </c>
      <c r="D1079" s="159">
        <v>10</v>
      </c>
      <c r="E1079" s="166" t="s">
        <v>1151</v>
      </c>
    </row>
    <row r="1080" spans="1:5">
      <c r="A1080" s="159">
        <f t="shared" si="9"/>
        <v>1079</v>
      </c>
      <c r="B1080" s="163">
        <v>45779</v>
      </c>
      <c r="C1080" s="164">
        <v>0.43868055555555552</v>
      </c>
      <c r="D1080" s="159">
        <v>10</v>
      </c>
      <c r="E1080" s="166" t="s">
        <v>1140</v>
      </c>
    </row>
    <row r="1081" spans="1:5">
      <c r="A1081" s="159">
        <f t="shared" si="9"/>
        <v>1080</v>
      </c>
      <c r="B1081" s="163">
        <v>45779</v>
      </c>
      <c r="C1081" s="164">
        <v>0.43409722222222219</v>
      </c>
      <c r="D1081" s="159">
        <v>10</v>
      </c>
      <c r="E1081" s="166" t="s">
        <v>1141</v>
      </c>
    </row>
    <row r="1082" spans="1:5">
      <c r="A1082" s="159">
        <f t="shared" si="9"/>
        <v>1081</v>
      </c>
      <c r="B1082" s="163">
        <v>45779</v>
      </c>
      <c r="C1082" s="164">
        <v>0.4276388888888889</v>
      </c>
      <c r="D1082" s="159">
        <v>10</v>
      </c>
      <c r="E1082" s="166" t="s">
        <v>1142</v>
      </c>
    </row>
    <row r="1083" spans="1:5">
      <c r="A1083" s="159">
        <f t="shared" si="9"/>
        <v>1082</v>
      </c>
      <c r="B1083" s="163">
        <v>45779</v>
      </c>
      <c r="C1083" s="164">
        <v>0.42202546296296295</v>
      </c>
      <c r="D1083" s="159">
        <v>10</v>
      </c>
      <c r="E1083" s="166" t="s">
        <v>1143</v>
      </c>
    </row>
    <row r="1084" spans="1:5">
      <c r="A1084" s="159">
        <f t="shared" si="9"/>
        <v>1083</v>
      </c>
      <c r="B1084" s="163">
        <v>45779</v>
      </c>
      <c r="C1084" s="164">
        <v>0.42199074074074078</v>
      </c>
      <c r="D1084" s="159">
        <v>10</v>
      </c>
      <c r="E1084" s="166" t="s">
        <v>1144</v>
      </c>
    </row>
    <row r="1085" spans="1:5">
      <c r="A1085" s="159">
        <f t="shared" si="9"/>
        <v>1084</v>
      </c>
      <c r="B1085" s="163">
        <v>45779</v>
      </c>
      <c r="C1085" s="164">
        <v>0.41744212962962962</v>
      </c>
      <c r="D1085" s="159">
        <v>10</v>
      </c>
      <c r="E1085" s="166" t="s">
        <v>1145</v>
      </c>
    </row>
    <row r="1086" spans="1:5">
      <c r="A1086" s="159">
        <f t="shared" si="9"/>
        <v>1085</v>
      </c>
      <c r="B1086" s="163">
        <v>45779</v>
      </c>
      <c r="C1086" s="164">
        <v>0.40906250000000005</v>
      </c>
      <c r="D1086" s="159">
        <v>10</v>
      </c>
      <c r="E1086" s="166" t="s">
        <v>1146</v>
      </c>
    </row>
    <row r="1087" spans="1:5">
      <c r="A1087" s="159">
        <f t="shared" si="9"/>
        <v>1086</v>
      </c>
      <c r="B1087" s="163">
        <v>45779</v>
      </c>
      <c r="C1087" s="164">
        <v>0.40412037037037035</v>
      </c>
      <c r="D1087" s="159">
        <v>10</v>
      </c>
      <c r="E1087" s="166" t="s">
        <v>1150</v>
      </c>
    </row>
    <row r="1088" spans="1:5">
      <c r="A1088" s="159">
        <f t="shared" si="9"/>
        <v>1087</v>
      </c>
      <c r="B1088" s="163">
        <v>45779</v>
      </c>
      <c r="C1088" s="164">
        <v>0.40026620370370369</v>
      </c>
      <c r="D1088" s="159">
        <v>10</v>
      </c>
      <c r="E1088" s="166" t="s">
        <v>1147</v>
      </c>
    </row>
    <row r="1089" spans="1:5">
      <c r="A1089" s="159">
        <f t="shared" si="9"/>
        <v>1088</v>
      </c>
      <c r="B1089" s="163">
        <v>45779</v>
      </c>
      <c r="C1089" s="164">
        <v>0.3908564814814815</v>
      </c>
      <c r="D1089" s="159">
        <v>10</v>
      </c>
      <c r="E1089" s="166" t="s">
        <v>1148</v>
      </c>
    </row>
    <row r="1090" spans="1:5">
      <c r="A1090" s="159">
        <f t="shared" si="9"/>
        <v>1089</v>
      </c>
      <c r="B1090" s="163">
        <v>45779</v>
      </c>
      <c r="C1090" s="164">
        <v>0.38961805555555556</v>
      </c>
      <c r="D1090" s="159">
        <v>10</v>
      </c>
      <c r="E1090" s="166" t="s">
        <v>1149</v>
      </c>
    </row>
    <row r="1091" spans="1:5">
      <c r="A1091" s="159">
        <f t="shared" si="9"/>
        <v>1090</v>
      </c>
      <c r="B1091" s="163">
        <v>45779</v>
      </c>
      <c r="C1091" s="164">
        <v>0.37918981481481479</v>
      </c>
      <c r="D1091" s="159">
        <v>10</v>
      </c>
      <c r="E1091" s="166" t="s">
        <v>132</v>
      </c>
    </row>
    <row r="1092" spans="1:5">
      <c r="A1092" s="159">
        <f t="shared" si="9"/>
        <v>1091</v>
      </c>
      <c r="B1092" s="163">
        <v>45780</v>
      </c>
      <c r="C1092" s="164">
        <v>0.71129629629629632</v>
      </c>
      <c r="D1092" s="159">
        <v>10</v>
      </c>
      <c r="E1092" s="166" t="s">
        <v>653</v>
      </c>
    </row>
    <row r="1093" spans="1:5">
      <c r="A1093" s="159">
        <f t="shared" si="9"/>
        <v>1092</v>
      </c>
      <c r="B1093" s="163">
        <v>45780</v>
      </c>
      <c r="C1093" s="164">
        <v>0.69870370370370372</v>
      </c>
      <c r="D1093" s="159">
        <v>10</v>
      </c>
      <c r="E1093" s="166" t="s">
        <v>1068</v>
      </c>
    </row>
    <row r="1094" spans="1:5">
      <c r="A1094" s="159">
        <f t="shared" si="9"/>
        <v>1093</v>
      </c>
      <c r="B1094" s="163">
        <v>45780</v>
      </c>
      <c r="C1094" s="164">
        <v>0.69623842592592589</v>
      </c>
      <c r="D1094" s="159">
        <v>10</v>
      </c>
      <c r="E1094" s="166" t="s">
        <v>1069</v>
      </c>
    </row>
    <row r="1095" spans="1:5">
      <c r="A1095" s="159">
        <f t="shared" si="9"/>
        <v>1094</v>
      </c>
      <c r="B1095" s="163">
        <v>45780</v>
      </c>
      <c r="C1095" s="164">
        <v>0.68365740740740744</v>
      </c>
      <c r="D1095" s="159">
        <v>10</v>
      </c>
      <c r="E1095" s="166" t="s">
        <v>1070</v>
      </c>
    </row>
    <row r="1096" spans="1:5">
      <c r="A1096" s="159">
        <f t="shared" si="9"/>
        <v>1095</v>
      </c>
      <c r="B1096" s="163">
        <v>45780</v>
      </c>
      <c r="C1096" s="164">
        <v>0.65359953703703699</v>
      </c>
      <c r="D1096" s="159">
        <v>10</v>
      </c>
      <c r="E1096" s="166" t="s">
        <v>1071</v>
      </c>
    </row>
    <row r="1097" spans="1:5">
      <c r="A1097" s="159">
        <f t="shared" si="9"/>
        <v>1096</v>
      </c>
      <c r="B1097" s="163">
        <v>45780</v>
      </c>
      <c r="C1097" s="164">
        <v>0.65164351851851854</v>
      </c>
      <c r="D1097" s="159">
        <v>10</v>
      </c>
      <c r="E1097" s="166" t="s">
        <v>1072</v>
      </c>
    </row>
    <row r="1098" spans="1:5">
      <c r="A1098" s="159">
        <f t="shared" si="9"/>
        <v>1097</v>
      </c>
      <c r="B1098" s="163">
        <v>45780</v>
      </c>
      <c r="C1098" s="164">
        <v>0.63761574074074068</v>
      </c>
      <c r="D1098" s="159">
        <v>10</v>
      </c>
      <c r="E1098" s="166" t="s">
        <v>618</v>
      </c>
    </row>
    <row r="1099" spans="1:5">
      <c r="A1099" s="159">
        <f t="shared" si="9"/>
        <v>1098</v>
      </c>
      <c r="B1099" s="163">
        <v>45780</v>
      </c>
      <c r="C1099" s="164">
        <v>0.50936342592592598</v>
      </c>
      <c r="D1099" s="159">
        <v>10</v>
      </c>
      <c r="E1099" s="166" t="s">
        <v>1073</v>
      </c>
    </row>
    <row r="1100" spans="1:5">
      <c r="A1100" s="159">
        <f t="shared" si="9"/>
        <v>1099</v>
      </c>
      <c r="B1100" s="163">
        <v>45780</v>
      </c>
      <c r="C1100" s="164">
        <v>0.50464120370370369</v>
      </c>
      <c r="D1100" s="159">
        <v>10</v>
      </c>
      <c r="E1100" s="166" t="s">
        <v>1074</v>
      </c>
    </row>
    <row r="1101" spans="1:5">
      <c r="A1101" s="159">
        <f t="shared" si="9"/>
        <v>1100</v>
      </c>
      <c r="B1101" s="163">
        <v>45780</v>
      </c>
      <c r="C1101" s="164">
        <v>0.47876157407407405</v>
      </c>
      <c r="D1101" s="159">
        <v>10</v>
      </c>
      <c r="E1101" s="166" t="s">
        <v>1075</v>
      </c>
    </row>
    <row r="1102" spans="1:5">
      <c r="A1102" s="159">
        <f t="shared" si="9"/>
        <v>1101</v>
      </c>
      <c r="B1102" s="163">
        <v>45780</v>
      </c>
      <c r="C1102" s="164">
        <v>0.47053240740740737</v>
      </c>
      <c r="D1102" s="159">
        <v>10</v>
      </c>
      <c r="E1102" s="166" t="s">
        <v>1076</v>
      </c>
    </row>
    <row r="1103" spans="1:5">
      <c r="A1103" s="159">
        <f t="shared" si="9"/>
        <v>1102</v>
      </c>
      <c r="B1103" s="163">
        <v>45780</v>
      </c>
      <c r="C1103" s="164">
        <v>0.42121527777777779</v>
      </c>
      <c r="D1103" s="159">
        <v>10</v>
      </c>
      <c r="E1103" s="166" t="s">
        <v>1077</v>
      </c>
    </row>
    <row r="1104" spans="1:5">
      <c r="A1104" s="159">
        <f t="shared" si="9"/>
        <v>1103</v>
      </c>
      <c r="B1104" s="163">
        <v>45780</v>
      </c>
      <c r="C1104" s="164">
        <v>0.39741898148148147</v>
      </c>
      <c r="D1104" s="159">
        <v>10</v>
      </c>
      <c r="E1104" s="166" t="s">
        <v>1078</v>
      </c>
    </row>
    <row r="1105" spans="1:5">
      <c r="A1105" s="159">
        <f t="shared" si="9"/>
        <v>1104</v>
      </c>
      <c r="B1105" s="163">
        <v>45780</v>
      </c>
      <c r="C1105" s="164">
        <v>0.38918981481481479</v>
      </c>
      <c r="D1105" s="159">
        <v>1</v>
      </c>
      <c r="E1105" s="166" t="s">
        <v>1079</v>
      </c>
    </row>
    <row r="1106" spans="1:5">
      <c r="A1106" s="159">
        <f t="shared" si="9"/>
        <v>1105</v>
      </c>
      <c r="B1106" s="163">
        <v>45780</v>
      </c>
      <c r="C1106" s="164">
        <v>0.38760416666666669</v>
      </c>
      <c r="D1106" s="159">
        <v>10</v>
      </c>
      <c r="E1106" s="166" t="s">
        <v>1080</v>
      </c>
    </row>
    <row r="1107" spans="1:5">
      <c r="A1107" s="159">
        <f t="shared" si="9"/>
        <v>1106</v>
      </c>
      <c r="B1107" s="163">
        <v>45780</v>
      </c>
      <c r="C1107" s="164">
        <v>0.38111111111111112</v>
      </c>
      <c r="D1107" s="159">
        <v>10</v>
      </c>
      <c r="E1107" s="166" t="s">
        <v>1081</v>
      </c>
    </row>
    <row r="1108" spans="1:5">
      <c r="A1108" s="159">
        <f t="shared" si="9"/>
        <v>1107</v>
      </c>
      <c r="B1108" s="163">
        <v>45784</v>
      </c>
      <c r="C1108" s="164">
        <v>0.88481481481481483</v>
      </c>
      <c r="D1108" s="159">
        <v>10</v>
      </c>
      <c r="E1108" s="166" t="s">
        <v>1153</v>
      </c>
    </row>
    <row r="1109" spans="1:5">
      <c r="A1109" s="159">
        <f t="shared" si="9"/>
        <v>1108</v>
      </c>
      <c r="B1109" s="163">
        <v>45784</v>
      </c>
      <c r="C1109" s="164">
        <v>0.85510416666666667</v>
      </c>
      <c r="D1109" s="174">
        <v>10</v>
      </c>
      <c r="E1109" s="166" t="s">
        <v>1154</v>
      </c>
    </row>
    <row r="1110" spans="1:5">
      <c r="A1110" s="159">
        <f t="shared" si="9"/>
        <v>1109</v>
      </c>
      <c r="B1110" s="163">
        <v>45784</v>
      </c>
      <c r="C1110" s="164">
        <v>0.84099537037037031</v>
      </c>
      <c r="D1110" s="174">
        <v>10</v>
      </c>
      <c r="E1110" s="166" t="s">
        <v>1155</v>
      </c>
    </row>
    <row r="1111" spans="1:5">
      <c r="A1111" s="159">
        <f t="shared" si="9"/>
        <v>1110</v>
      </c>
      <c r="B1111" s="163">
        <v>45784</v>
      </c>
      <c r="C1111" s="164">
        <v>0.83168981481481474</v>
      </c>
      <c r="D1111" s="174">
        <v>10</v>
      </c>
      <c r="E1111" s="166" t="s">
        <v>1156</v>
      </c>
    </row>
    <row r="1112" spans="1:5">
      <c r="A1112" s="159">
        <f t="shared" si="9"/>
        <v>1111</v>
      </c>
      <c r="B1112" s="163">
        <v>45784</v>
      </c>
      <c r="C1112" s="164">
        <v>0.80642361111111116</v>
      </c>
      <c r="D1112" s="174">
        <v>10</v>
      </c>
      <c r="E1112" s="166" t="s">
        <v>1157</v>
      </c>
    </row>
    <row r="1113" spans="1:5">
      <c r="A1113" s="159">
        <f t="shared" si="9"/>
        <v>1112</v>
      </c>
      <c r="B1113" s="163">
        <v>45784</v>
      </c>
      <c r="C1113" s="164">
        <v>0.78864583333333327</v>
      </c>
      <c r="D1113" s="174">
        <v>10</v>
      </c>
      <c r="E1113" s="166" t="s">
        <v>1158</v>
      </c>
    </row>
    <row r="1114" spans="1:5">
      <c r="A1114" s="159">
        <f t="shared" si="9"/>
        <v>1113</v>
      </c>
      <c r="B1114" s="163">
        <v>45784</v>
      </c>
      <c r="C1114" s="164">
        <v>0.78003472222222225</v>
      </c>
      <c r="D1114" s="174">
        <v>10</v>
      </c>
      <c r="E1114" s="166" t="s">
        <v>1159</v>
      </c>
    </row>
    <row r="1115" spans="1:5">
      <c r="A1115" s="159">
        <f t="shared" si="9"/>
        <v>1114</v>
      </c>
      <c r="B1115" s="163">
        <v>45784</v>
      </c>
      <c r="C1115" s="164">
        <v>0.77060185185185182</v>
      </c>
      <c r="D1115" s="174">
        <v>10</v>
      </c>
      <c r="E1115" s="166" t="s">
        <v>1160</v>
      </c>
    </row>
    <row r="1116" spans="1:5">
      <c r="A1116" s="159">
        <f t="shared" si="9"/>
        <v>1115</v>
      </c>
      <c r="B1116" s="163">
        <v>45784</v>
      </c>
      <c r="C1116" s="164">
        <v>0.76833333333333342</v>
      </c>
      <c r="D1116" s="174">
        <v>10</v>
      </c>
      <c r="E1116" s="166" t="s">
        <v>179</v>
      </c>
    </row>
    <row r="1117" spans="1:5">
      <c r="A1117" s="159">
        <f t="shared" si="9"/>
        <v>1116</v>
      </c>
      <c r="B1117" s="163">
        <v>45784</v>
      </c>
      <c r="C1117" s="164">
        <v>0.76586805555555559</v>
      </c>
      <c r="D1117" s="174">
        <v>10</v>
      </c>
      <c r="E1117" s="166" t="s">
        <v>1161</v>
      </c>
    </row>
    <row r="1118" spans="1:5">
      <c r="A1118" s="159">
        <f t="shared" si="9"/>
        <v>1117</v>
      </c>
      <c r="B1118" s="163">
        <v>45784</v>
      </c>
      <c r="C1118" s="164">
        <v>0.75966435185185188</v>
      </c>
      <c r="D1118" s="174">
        <v>10</v>
      </c>
      <c r="E1118" s="166" t="s">
        <v>1162</v>
      </c>
    </row>
    <row r="1119" spans="1:5">
      <c r="A1119" s="159">
        <f t="shared" si="9"/>
        <v>1118</v>
      </c>
      <c r="B1119" s="163">
        <v>45784</v>
      </c>
      <c r="C1119" s="164">
        <v>0.75464120370370369</v>
      </c>
      <c r="D1119" s="174">
        <v>10</v>
      </c>
      <c r="E1119" s="166" t="s">
        <v>1163</v>
      </c>
    </row>
    <row r="1120" spans="1:5">
      <c r="A1120" s="159">
        <f t="shared" si="9"/>
        <v>1119</v>
      </c>
      <c r="B1120" s="163">
        <v>45784</v>
      </c>
      <c r="C1120" s="164">
        <v>0.74077546296296293</v>
      </c>
      <c r="D1120" s="174">
        <v>10</v>
      </c>
      <c r="E1120" s="166" t="s">
        <v>1164</v>
      </c>
    </row>
    <row r="1121" spans="1:5">
      <c r="A1121" s="159">
        <f t="shared" si="9"/>
        <v>1120</v>
      </c>
      <c r="B1121" s="163">
        <v>45784</v>
      </c>
      <c r="C1121" s="164">
        <v>0.74061342592592594</v>
      </c>
      <c r="D1121" s="174">
        <v>10</v>
      </c>
      <c r="E1121" s="166" t="s">
        <v>1217</v>
      </c>
    </row>
    <row r="1122" spans="1:5">
      <c r="A1122" s="159">
        <f t="shared" si="9"/>
        <v>1121</v>
      </c>
      <c r="B1122" s="163">
        <v>45784</v>
      </c>
      <c r="C1122" s="164">
        <v>0.73966435185185186</v>
      </c>
      <c r="D1122" s="174">
        <v>10</v>
      </c>
      <c r="E1122" s="166" t="s">
        <v>479</v>
      </c>
    </row>
    <row r="1123" spans="1:5">
      <c r="A1123" s="159">
        <f t="shared" si="9"/>
        <v>1122</v>
      </c>
      <c r="B1123" s="163">
        <v>45784</v>
      </c>
      <c r="C1123" s="164">
        <v>0.73751157407407408</v>
      </c>
      <c r="D1123" s="174">
        <v>10</v>
      </c>
      <c r="E1123" s="166" t="s">
        <v>1165</v>
      </c>
    </row>
    <row r="1124" spans="1:5">
      <c r="A1124" s="159">
        <f t="shared" si="9"/>
        <v>1123</v>
      </c>
      <c r="B1124" s="163">
        <v>45784</v>
      </c>
      <c r="C1124" s="164">
        <v>0.72835648148148147</v>
      </c>
      <c r="D1124" s="174">
        <v>10</v>
      </c>
      <c r="E1124" s="166" t="s">
        <v>1166</v>
      </c>
    </row>
    <row r="1125" spans="1:5">
      <c r="A1125" s="159">
        <f t="shared" si="9"/>
        <v>1124</v>
      </c>
      <c r="B1125" s="163">
        <v>45784</v>
      </c>
      <c r="C1125" s="164">
        <v>0.72460648148148143</v>
      </c>
      <c r="D1125" s="174">
        <v>10</v>
      </c>
      <c r="E1125" s="166" t="s">
        <v>1167</v>
      </c>
    </row>
    <row r="1126" spans="1:5">
      <c r="A1126" s="159">
        <f t="shared" si="9"/>
        <v>1125</v>
      </c>
      <c r="B1126" s="163">
        <v>45784</v>
      </c>
      <c r="C1126" s="164">
        <v>0.72153935185185192</v>
      </c>
      <c r="D1126" s="174">
        <v>10</v>
      </c>
      <c r="E1126" s="166" t="s">
        <v>1168</v>
      </c>
    </row>
    <row r="1127" spans="1:5">
      <c r="A1127" s="159">
        <f t="shared" si="9"/>
        <v>1126</v>
      </c>
      <c r="B1127" s="163">
        <v>45784</v>
      </c>
      <c r="C1127" s="164">
        <v>0.71483796296296298</v>
      </c>
      <c r="D1127" s="174">
        <v>10</v>
      </c>
      <c r="E1127" s="166" t="s">
        <v>557</v>
      </c>
    </row>
    <row r="1128" spans="1:5">
      <c r="A1128" s="159">
        <f t="shared" si="9"/>
        <v>1127</v>
      </c>
      <c r="B1128" s="163">
        <v>45784</v>
      </c>
      <c r="C1128" s="164">
        <v>0.70804398148148151</v>
      </c>
      <c r="D1128" s="174">
        <v>10</v>
      </c>
      <c r="E1128" s="166" t="s">
        <v>1169</v>
      </c>
    </row>
    <row r="1129" spans="1:5">
      <c r="A1129" s="159">
        <f t="shared" si="9"/>
        <v>1128</v>
      </c>
      <c r="B1129" s="163">
        <v>45784</v>
      </c>
      <c r="C1129" s="164">
        <v>0.69450231481481473</v>
      </c>
      <c r="D1129" s="174">
        <v>10</v>
      </c>
      <c r="E1129" s="166" t="s">
        <v>1170</v>
      </c>
    </row>
    <row r="1130" spans="1:5">
      <c r="A1130" s="159">
        <f t="shared" si="9"/>
        <v>1129</v>
      </c>
      <c r="B1130" s="163">
        <v>45784</v>
      </c>
      <c r="C1130" s="164">
        <v>0.69329861111111113</v>
      </c>
      <c r="D1130" s="174">
        <v>10</v>
      </c>
      <c r="E1130" s="166" t="s">
        <v>1171</v>
      </c>
    </row>
    <row r="1131" spans="1:5">
      <c r="A1131" s="159">
        <f t="shared" si="9"/>
        <v>1130</v>
      </c>
      <c r="B1131" s="163">
        <v>45784</v>
      </c>
      <c r="C1131" s="164">
        <v>0.69287037037037036</v>
      </c>
      <c r="D1131" s="174">
        <v>10</v>
      </c>
      <c r="E1131" s="166" t="s">
        <v>1172</v>
      </c>
    </row>
    <row r="1132" spans="1:5">
      <c r="A1132" s="159">
        <f t="shared" si="9"/>
        <v>1131</v>
      </c>
      <c r="B1132" s="163">
        <v>45784</v>
      </c>
      <c r="C1132" s="164">
        <v>0.68675925925925929</v>
      </c>
      <c r="D1132" s="174">
        <v>10</v>
      </c>
      <c r="E1132" s="166" t="s">
        <v>1173</v>
      </c>
    </row>
    <row r="1133" spans="1:5">
      <c r="A1133" s="159">
        <f t="shared" si="9"/>
        <v>1132</v>
      </c>
      <c r="B1133" s="163">
        <v>45784</v>
      </c>
      <c r="C1133" s="164">
        <v>0.67871527777777774</v>
      </c>
      <c r="D1133" s="174">
        <v>10</v>
      </c>
      <c r="E1133" s="166" t="s">
        <v>194</v>
      </c>
    </row>
    <row r="1134" spans="1:5">
      <c r="A1134" s="159">
        <f t="shared" si="9"/>
        <v>1133</v>
      </c>
      <c r="B1134" s="163">
        <v>45784</v>
      </c>
      <c r="C1134" s="164">
        <v>0.6696643518518518</v>
      </c>
      <c r="D1134" s="174">
        <v>10</v>
      </c>
      <c r="E1134" s="166" t="s">
        <v>1174</v>
      </c>
    </row>
    <row r="1135" spans="1:5">
      <c r="A1135" s="159">
        <f t="shared" si="9"/>
        <v>1134</v>
      </c>
      <c r="B1135" s="163">
        <v>45784</v>
      </c>
      <c r="C1135" s="164">
        <v>0.66839120370370375</v>
      </c>
      <c r="D1135" s="174">
        <v>10</v>
      </c>
      <c r="E1135" s="166" t="s">
        <v>1216</v>
      </c>
    </row>
    <row r="1136" spans="1:5">
      <c r="A1136" s="159">
        <f t="shared" si="9"/>
        <v>1135</v>
      </c>
      <c r="B1136" s="163">
        <v>45784</v>
      </c>
      <c r="C1136" s="164">
        <v>0.65754629629629624</v>
      </c>
      <c r="D1136" s="174">
        <v>10</v>
      </c>
      <c r="E1136" s="166" t="s">
        <v>1011</v>
      </c>
    </row>
    <row r="1137" spans="1:5">
      <c r="A1137" s="159">
        <f t="shared" si="9"/>
        <v>1136</v>
      </c>
      <c r="B1137" s="163">
        <v>45784</v>
      </c>
      <c r="C1137" s="164">
        <v>0.64703703703703697</v>
      </c>
      <c r="D1137" s="174">
        <v>10</v>
      </c>
      <c r="E1137" s="166" t="s">
        <v>1175</v>
      </c>
    </row>
    <row r="1138" spans="1:5">
      <c r="A1138" s="159">
        <f t="shared" si="9"/>
        <v>1137</v>
      </c>
      <c r="B1138" s="163">
        <v>45784</v>
      </c>
      <c r="C1138" s="164">
        <v>0.64574074074074073</v>
      </c>
      <c r="D1138" s="174">
        <v>10</v>
      </c>
      <c r="E1138" s="166" t="s">
        <v>1176</v>
      </c>
    </row>
    <row r="1139" spans="1:5">
      <c r="A1139" s="159">
        <f t="shared" si="9"/>
        <v>1138</v>
      </c>
      <c r="B1139" s="163">
        <v>45784</v>
      </c>
      <c r="C1139" s="164">
        <v>0.6447222222222222</v>
      </c>
      <c r="D1139" s="174">
        <v>10</v>
      </c>
      <c r="E1139" s="166" t="s">
        <v>1177</v>
      </c>
    </row>
    <row r="1140" spans="1:5">
      <c r="A1140" s="159">
        <f t="shared" si="9"/>
        <v>1139</v>
      </c>
      <c r="B1140" s="163">
        <v>45784</v>
      </c>
      <c r="C1140" s="164">
        <v>0.63788194444444446</v>
      </c>
      <c r="D1140" s="174">
        <v>10</v>
      </c>
      <c r="E1140" s="166" t="s">
        <v>1178</v>
      </c>
    </row>
    <row r="1141" spans="1:5">
      <c r="A1141" s="159">
        <f t="shared" ref="A1141:A1204" si="10">ROW()-1</f>
        <v>1140</v>
      </c>
      <c r="B1141" s="163">
        <v>45784</v>
      </c>
      <c r="C1141" s="164">
        <v>0.63671296296296298</v>
      </c>
      <c r="D1141" s="174">
        <v>10</v>
      </c>
      <c r="E1141" s="166" t="s">
        <v>1179</v>
      </c>
    </row>
    <row r="1142" spans="1:5">
      <c r="A1142" s="159">
        <f t="shared" si="10"/>
        <v>1141</v>
      </c>
      <c r="B1142" s="163">
        <v>45784</v>
      </c>
      <c r="C1142" s="164">
        <v>0.63142361111111112</v>
      </c>
      <c r="D1142" s="174">
        <v>10</v>
      </c>
      <c r="E1142" s="166" t="s">
        <v>1180</v>
      </c>
    </row>
    <row r="1143" spans="1:5">
      <c r="A1143" s="159">
        <f t="shared" si="10"/>
        <v>1142</v>
      </c>
      <c r="B1143" s="163">
        <v>45784</v>
      </c>
      <c r="C1143" s="164">
        <v>0.6208217592592592</v>
      </c>
      <c r="D1143" s="174">
        <v>10</v>
      </c>
      <c r="E1143" s="166" t="s">
        <v>1181</v>
      </c>
    </row>
    <row r="1144" spans="1:5">
      <c r="A1144" s="159">
        <f t="shared" si="10"/>
        <v>1143</v>
      </c>
      <c r="B1144" s="163">
        <v>45784</v>
      </c>
      <c r="C1144" s="164">
        <v>0.61023148148148143</v>
      </c>
      <c r="D1144" s="174">
        <v>10</v>
      </c>
      <c r="E1144" s="166" t="s">
        <v>1182</v>
      </c>
    </row>
    <row r="1145" spans="1:5">
      <c r="A1145" s="159">
        <f t="shared" si="10"/>
        <v>1144</v>
      </c>
      <c r="B1145" s="163">
        <v>45784</v>
      </c>
      <c r="C1145" s="164">
        <v>0.60755787037037035</v>
      </c>
      <c r="D1145" s="174">
        <v>10</v>
      </c>
      <c r="E1145" s="166" t="s">
        <v>1183</v>
      </c>
    </row>
    <row r="1146" spans="1:5">
      <c r="A1146" s="159">
        <f t="shared" si="10"/>
        <v>1145</v>
      </c>
      <c r="B1146" s="163">
        <v>45784</v>
      </c>
      <c r="C1146" s="164">
        <v>0.59385416666666668</v>
      </c>
      <c r="D1146" s="174">
        <v>10</v>
      </c>
      <c r="E1146" s="166" t="s">
        <v>1184</v>
      </c>
    </row>
    <row r="1147" spans="1:5">
      <c r="A1147" s="159">
        <f t="shared" si="10"/>
        <v>1146</v>
      </c>
      <c r="B1147" s="163">
        <v>45784</v>
      </c>
      <c r="C1147" s="164">
        <v>0.59158564814814818</v>
      </c>
      <c r="D1147" s="159">
        <v>10</v>
      </c>
      <c r="E1147" s="166" t="s">
        <v>1185</v>
      </c>
    </row>
    <row r="1148" spans="1:5">
      <c r="A1148" s="159">
        <f t="shared" si="10"/>
        <v>1147</v>
      </c>
      <c r="B1148" s="163">
        <v>45784</v>
      </c>
      <c r="C1148" s="164">
        <v>0.58277777777777773</v>
      </c>
      <c r="D1148" s="159">
        <v>10</v>
      </c>
      <c r="E1148" s="166" t="s">
        <v>1186</v>
      </c>
    </row>
    <row r="1149" spans="1:5">
      <c r="A1149" s="159">
        <f t="shared" si="10"/>
        <v>1148</v>
      </c>
      <c r="B1149" s="163">
        <v>45784</v>
      </c>
      <c r="C1149" s="164">
        <v>0.57879629629629636</v>
      </c>
      <c r="D1149" s="159">
        <v>10</v>
      </c>
      <c r="E1149" s="166" t="s">
        <v>1187</v>
      </c>
    </row>
    <row r="1150" spans="1:5">
      <c r="A1150" s="159">
        <f t="shared" si="10"/>
        <v>1149</v>
      </c>
      <c r="B1150" s="163">
        <v>45784</v>
      </c>
      <c r="C1150" s="164">
        <v>0.57490740740740742</v>
      </c>
      <c r="D1150" s="159">
        <v>10</v>
      </c>
      <c r="E1150" s="166" t="s">
        <v>1188</v>
      </c>
    </row>
    <row r="1151" spans="1:5">
      <c r="A1151" s="159">
        <f t="shared" si="10"/>
        <v>1150</v>
      </c>
      <c r="B1151" s="163">
        <v>45784</v>
      </c>
      <c r="C1151" s="164">
        <v>0.57444444444444442</v>
      </c>
      <c r="D1151" s="159">
        <v>10</v>
      </c>
      <c r="E1151" s="166" t="s">
        <v>1189</v>
      </c>
    </row>
    <row r="1152" spans="1:5" ht="27">
      <c r="A1152" s="159">
        <f t="shared" si="10"/>
        <v>1151</v>
      </c>
      <c r="B1152" s="163">
        <v>45784</v>
      </c>
      <c r="C1152" s="164">
        <v>0.5663541666666666</v>
      </c>
      <c r="D1152" s="159">
        <v>10</v>
      </c>
      <c r="E1152" s="166" t="s">
        <v>1215</v>
      </c>
    </row>
    <row r="1153" spans="1:5" ht="27">
      <c r="A1153" s="159">
        <f t="shared" si="10"/>
        <v>1152</v>
      </c>
      <c r="B1153" s="163">
        <v>45784</v>
      </c>
      <c r="C1153" s="164">
        <v>0.56388888888888888</v>
      </c>
      <c r="D1153" s="159">
        <v>10</v>
      </c>
      <c r="E1153" s="166" t="s">
        <v>1214</v>
      </c>
    </row>
    <row r="1154" spans="1:5">
      <c r="A1154" s="159">
        <f t="shared" si="10"/>
        <v>1153</v>
      </c>
      <c r="B1154" s="163">
        <v>45784</v>
      </c>
      <c r="C1154" s="164">
        <v>0.55435185185185187</v>
      </c>
      <c r="D1154" s="159">
        <v>10</v>
      </c>
      <c r="E1154" s="166" t="s">
        <v>132</v>
      </c>
    </row>
    <row r="1155" spans="1:5">
      <c r="A1155" s="159">
        <f t="shared" si="10"/>
        <v>1154</v>
      </c>
      <c r="B1155" s="163">
        <v>45784</v>
      </c>
      <c r="C1155" s="164">
        <v>0.53063657407407405</v>
      </c>
      <c r="D1155" s="159">
        <v>10</v>
      </c>
      <c r="E1155" s="166" t="s">
        <v>1190</v>
      </c>
    </row>
    <row r="1156" spans="1:5">
      <c r="A1156" s="159">
        <f t="shared" si="10"/>
        <v>1155</v>
      </c>
      <c r="B1156" s="163">
        <v>45784</v>
      </c>
      <c r="C1156" s="164">
        <v>0.51913194444444444</v>
      </c>
      <c r="D1156" s="159">
        <v>10</v>
      </c>
      <c r="E1156" s="166" t="s">
        <v>1191</v>
      </c>
    </row>
    <row r="1157" spans="1:5">
      <c r="A1157" s="159">
        <f t="shared" si="10"/>
        <v>1156</v>
      </c>
      <c r="B1157" s="163">
        <v>45784</v>
      </c>
      <c r="C1157" s="164">
        <v>0.50443287037037032</v>
      </c>
      <c r="D1157" s="159">
        <v>10</v>
      </c>
      <c r="E1157" s="166" t="s">
        <v>1192</v>
      </c>
    </row>
    <row r="1158" spans="1:5">
      <c r="A1158" s="159">
        <f t="shared" si="10"/>
        <v>1157</v>
      </c>
      <c r="B1158" s="163">
        <v>45784</v>
      </c>
      <c r="C1158" s="164">
        <v>0.49282407407407408</v>
      </c>
      <c r="D1158" s="159">
        <v>10</v>
      </c>
      <c r="E1158" s="166" t="s">
        <v>1193</v>
      </c>
    </row>
    <row r="1159" spans="1:5">
      <c r="A1159" s="159">
        <f t="shared" si="10"/>
        <v>1158</v>
      </c>
      <c r="B1159" s="163">
        <v>45784</v>
      </c>
      <c r="C1159" s="164">
        <v>0.48650462962962965</v>
      </c>
      <c r="D1159" s="159">
        <v>10</v>
      </c>
      <c r="E1159" s="166" t="s">
        <v>1194</v>
      </c>
    </row>
    <row r="1160" spans="1:5">
      <c r="A1160" s="159">
        <f t="shared" si="10"/>
        <v>1159</v>
      </c>
      <c r="B1160" s="163">
        <v>45784</v>
      </c>
      <c r="C1160" s="164">
        <v>0.48515046296296299</v>
      </c>
      <c r="D1160" s="159">
        <v>10</v>
      </c>
      <c r="E1160" s="166" t="s">
        <v>1195</v>
      </c>
    </row>
    <row r="1161" spans="1:5">
      <c r="A1161" s="159">
        <f t="shared" si="10"/>
        <v>1160</v>
      </c>
      <c r="B1161" s="163">
        <v>45784</v>
      </c>
      <c r="C1161" s="164">
        <v>0.47947916666666668</v>
      </c>
      <c r="D1161" s="159">
        <v>10</v>
      </c>
      <c r="E1161" s="166" t="s">
        <v>1196</v>
      </c>
    </row>
    <row r="1162" spans="1:5">
      <c r="A1162" s="159">
        <f t="shared" si="10"/>
        <v>1161</v>
      </c>
      <c r="B1162" s="163">
        <v>45784</v>
      </c>
      <c r="C1162" s="164">
        <v>0.47945601851851855</v>
      </c>
      <c r="D1162" s="159">
        <v>10</v>
      </c>
      <c r="E1162" s="166" t="s">
        <v>1197</v>
      </c>
    </row>
    <row r="1163" spans="1:5">
      <c r="A1163" s="159">
        <f t="shared" si="10"/>
        <v>1162</v>
      </c>
      <c r="B1163" s="163">
        <v>45784</v>
      </c>
      <c r="C1163" s="164">
        <v>0.47789351851851852</v>
      </c>
      <c r="D1163" s="159">
        <v>10</v>
      </c>
      <c r="E1163" s="166" t="s">
        <v>1198</v>
      </c>
    </row>
    <row r="1164" spans="1:5">
      <c r="A1164" s="159">
        <f t="shared" si="10"/>
        <v>1163</v>
      </c>
      <c r="B1164" s="163">
        <v>45784</v>
      </c>
      <c r="C1164" s="164">
        <v>0.47415509259259259</v>
      </c>
      <c r="D1164" s="159">
        <v>10</v>
      </c>
      <c r="E1164" s="166" t="s">
        <v>1199</v>
      </c>
    </row>
    <row r="1165" spans="1:5">
      <c r="A1165" s="159">
        <f t="shared" si="10"/>
        <v>1164</v>
      </c>
      <c r="B1165" s="163">
        <v>45784</v>
      </c>
      <c r="C1165" s="164">
        <v>0.46387731481481481</v>
      </c>
      <c r="D1165" s="159">
        <v>10</v>
      </c>
      <c r="E1165" s="166" t="s">
        <v>1200</v>
      </c>
    </row>
    <row r="1166" spans="1:5">
      <c r="A1166" s="159">
        <f t="shared" si="10"/>
        <v>1165</v>
      </c>
      <c r="B1166" s="163">
        <v>45784</v>
      </c>
      <c r="C1166" s="164">
        <v>0.45825231481481482</v>
      </c>
      <c r="D1166" s="159">
        <v>10</v>
      </c>
      <c r="E1166" s="166" t="s">
        <v>1201</v>
      </c>
    </row>
    <row r="1167" spans="1:5">
      <c r="A1167" s="159">
        <f t="shared" si="10"/>
        <v>1166</v>
      </c>
      <c r="B1167" s="163">
        <v>45784</v>
      </c>
      <c r="C1167" s="164">
        <v>0.44179398148148147</v>
      </c>
      <c r="D1167" s="159">
        <v>10</v>
      </c>
      <c r="E1167" s="166" t="s">
        <v>1202</v>
      </c>
    </row>
    <row r="1168" spans="1:5">
      <c r="A1168" s="159">
        <f t="shared" si="10"/>
        <v>1167</v>
      </c>
      <c r="B1168" s="163">
        <v>45784</v>
      </c>
      <c r="C1168" s="164">
        <v>0.4384953703703704</v>
      </c>
      <c r="D1168" s="159">
        <v>10</v>
      </c>
      <c r="E1168" s="166" t="s">
        <v>1203</v>
      </c>
    </row>
    <row r="1169" spans="1:5">
      <c r="A1169" s="159">
        <f t="shared" si="10"/>
        <v>1168</v>
      </c>
      <c r="B1169" s="163">
        <v>45784</v>
      </c>
      <c r="C1169" s="164">
        <v>0.43660879629629629</v>
      </c>
      <c r="D1169" s="159">
        <v>10</v>
      </c>
      <c r="E1169" s="166" t="s">
        <v>1204</v>
      </c>
    </row>
    <row r="1170" spans="1:5">
      <c r="A1170" s="159">
        <f t="shared" si="10"/>
        <v>1169</v>
      </c>
      <c r="B1170" s="163">
        <v>45784</v>
      </c>
      <c r="C1170" s="164">
        <v>0.42776620370370372</v>
      </c>
      <c r="D1170" s="159">
        <v>10</v>
      </c>
      <c r="E1170" s="166" t="s">
        <v>1205</v>
      </c>
    </row>
    <row r="1171" spans="1:5">
      <c r="A1171" s="159">
        <f t="shared" si="10"/>
        <v>1170</v>
      </c>
      <c r="B1171" s="163">
        <v>45784</v>
      </c>
      <c r="C1171" s="164">
        <v>0.42079861111111111</v>
      </c>
      <c r="D1171" s="159">
        <v>10</v>
      </c>
      <c r="E1171" s="166" t="s">
        <v>1206</v>
      </c>
    </row>
    <row r="1172" spans="1:5">
      <c r="A1172" s="159">
        <f t="shared" si="10"/>
        <v>1171</v>
      </c>
      <c r="B1172" s="163">
        <v>45784</v>
      </c>
      <c r="C1172" s="164">
        <v>0.42</v>
      </c>
      <c r="D1172" s="159">
        <v>10</v>
      </c>
      <c r="E1172" s="166" t="s">
        <v>1207</v>
      </c>
    </row>
    <row r="1173" spans="1:5">
      <c r="A1173" s="159">
        <f t="shared" si="10"/>
        <v>1172</v>
      </c>
      <c r="B1173" s="163">
        <v>45784</v>
      </c>
      <c r="C1173" s="164">
        <v>0.41798611111111111</v>
      </c>
      <c r="D1173" s="159">
        <v>10</v>
      </c>
      <c r="E1173" s="166" t="s">
        <v>1208</v>
      </c>
    </row>
    <row r="1174" spans="1:5">
      <c r="A1174" s="159">
        <f t="shared" si="10"/>
        <v>1173</v>
      </c>
      <c r="B1174" s="163">
        <v>45784</v>
      </c>
      <c r="C1174" s="164">
        <v>0.41644675925925928</v>
      </c>
      <c r="D1174" s="159">
        <v>10</v>
      </c>
      <c r="E1174" s="166" t="s">
        <v>313</v>
      </c>
    </row>
    <row r="1175" spans="1:5">
      <c r="A1175" s="159">
        <f t="shared" si="10"/>
        <v>1174</v>
      </c>
      <c r="B1175" s="163">
        <v>45784</v>
      </c>
      <c r="C1175" s="164">
        <v>0.40476851851851853</v>
      </c>
      <c r="D1175" s="159">
        <v>10</v>
      </c>
      <c r="E1175" s="166" t="s">
        <v>1209</v>
      </c>
    </row>
    <row r="1176" spans="1:5">
      <c r="A1176" s="159">
        <f t="shared" si="10"/>
        <v>1175</v>
      </c>
      <c r="B1176" s="163">
        <v>45784</v>
      </c>
      <c r="C1176" s="164">
        <v>0.39887731481481481</v>
      </c>
      <c r="D1176" s="159">
        <v>10</v>
      </c>
      <c r="E1176" s="166" t="s">
        <v>1210</v>
      </c>
    </row>
    <row r="1177" spans="1:5">
      <c r="A1177" s="159">
        <f t="shared" si="10"/>
        <v>1176</v>
      </c>
      <c r="B1177" s="163">
        <v>45784</v>
      </c>
      <c r="C1177" s="164">
        <v>0.3932060185185185</v>
      </c>
      <c r="D1177" s="159">
        <v>10</v>
      </c>
      <c r="E1177" s="166" t="s">
        <v>1211</v>
      </c>
    </row>
    <row r="1178" spans="1:5">
      <c r="A1178" s="159">
        <f t="shared" si="10"/>
        <v>1177</v>
      </c>
      <c r="B1178" s="163">
        <v>45784</v>
      </c>
      <c r="C1178" s="164">
        <v>0.39262731481481478</v>
      </c>
      <c r="D1178" s="159">
        <v>10</v>
      </c>
      <c r="E1178" s="166" t="s">
        <v>1212</v>
      </c>
    </row>
    <row r="1179" spans="1:5">
      <c r="A1179" s="159">
        <f t="shared" si="10"/>
        <v>1178</v>
      </c>
      <c r="B1179" s="163">
        <v>45784</v>
      </c>
      <c r="C1179" s="164">
        <v>0.37671296296296292</v>
      </c>
      <c r="D1179" s="159">
        <v>10</v>
      </c>
      <c r="E1179" s="166" t="s">
        <v>1213</v>
      </c>
    </row>
    <row r="1180" spans="1:5">
      <c r="A1180" s="159">
        <f t="shared" si="10"/>
        <v>1179</v>
      </c>
      <c r="B1180" s="163">
        <v>45785</v>
      </c>
      <c r="C1180" s="164">
        <v>0.90993055555555558</v>
      </c>
      <c r="D1180" s="159">
        <v>10</v>
      </c>
      <c r="E1180" s="166" t="s">
        <v>1218</v>
      </c>
    </row>
    <row r="1181" spans="1:5">
      <c r="A1181" s="159">
        <f t="shared" si="10"/>
        <v>1180</v>
      </c>
      <c r="B1181" s="163">
        <v>45785</v>
      </c>
      <c r="C1181" s="164">
        <v>0.9078587962962964</v>
      </c>
      <c r="D1181" s="159">
        <v>10</v>
      </c>
      <c r="E1181" s="166" t="s">
        <v>1219</v>
      </c>
    </row>
    <row r="1182" spans="1:5">
      <c r="A1182" s="159">
        <f t="shared" si="10"/>
        <v>1181</v>
      </c>
      <c r="B1182" s="163">
        <v>45785</v>
      </c>
      <c r="C1182" s="164">
        <v>0.88542824074074078</v>
      </c>
      <c r="D1182" s="159">
        <v>10</v>
      </c>
      <c r="E1182" s="166" t="s">
        <v>1220</v>
      </c>
    </row>
    <row r="1183" spans="1:5">
      <c r="A1183" s="159">
        <f t="shared" si="10"/>
        <v>1182</v>
      </c>
      <c r="B1183" s="163">
        <v>45785</v>
      </c>
      <c r="C1183" s="164">
        <v>0.85674768518518529</v>
      </c>
      <c r="D1183" s="159">
        <v>10</v>
      </c>
      <c r="E1183" s="166" t="s">
        <v>1221</v>
      </c>
    </row>
    <row r="1184" spans="1:5">
      <c r="A1184" s="159">
        <f t="shared" si="10"/>
        <v>1183</v>
      </c>
      <c r="B1184" s="163">
        <v>45785</v>
      </c>
      <c r="C1184" s="164">
        <v>0.76968749999999997</v>
      </c>
      <c r="D1184" s="159">
        <v>10</v>
      </c>
      <c r="E1184" s="166" t="s">
        <v>1222</v>
      </c>
    </row>
    <row r="1185" spans="1:5">
      <c r="A1185" s="159">
        <f t="shared" si="10"/>
        <v>1184</v>
      </c>
      <c r="B1185" s="163">
        <v>45785</v>
      </c>
      <c r="C1185" s="164">
        <v>0.75258101851851855</v>
      </c>
      <c r="D1185" s="159">
        <v>10</v>
      </c>
      <c r="E1185" s="166" t="s">
        <v>1223</v>
      </c>
    </row>
    <row r="1186" spans="1:5">
      <c r="A1186" s="159">
        <f t="shared" si="10"/>
        <v>1185</v>
      </c>
      <c r="B1186" s="163">
        <v>45785</v>
      </c>
      <c r="C1186" s="164">
        <v>0.73986111111111119</v>
      </c>
      <c r="D1186" s="159">
        <v>10</v>
      </c>
      <c r="E1186" s="166" t="s">
        <v>1224</v>
      </c>
    </row>
    <row r="1187" spans="1:5">
      <c r="A1187" s="159">
        <f t="shared" si="10"/>
        <v>1186</v>
      </c>
      <c r="B1187" s="163">
        <v>45785</v>
      </c>
      <c r="C1187" s="164">
        <v>0.73714120370370362</v>
      </c>
      <c r="D1187" s="159">
        <v>10</v>
      </c>
      <c r="E1187" s="166" t="s">
        <v>1225</v>
      </c>
    </row>
    <row r="1188" spans="1:5">
      <c r="A1188" s="159">
        <f t="shared" si="10"/>
        <v>1187</v>
      </c>
      <c r="B1188" s="163">
        <v>45785</v>
      </c>
      <c r="C1188" s="164">
        <v>0.73059027777777785</v>
      </c>
      <c r="D1188" s="159">
        <v>10</v>
      </c>
      <c r="E1188" s="166" t="s">
        <v>1226</v>
      </c>
    </row>
    <row r="1189" spans="1:5">
      <c r="A1189" s="159">
        <f t="shared" si="10"/>
        <v>1188</v>
      </c>
      <c r="B1189" s="163">
        <v>45785</v>
      </c>
      <c r="C1189" s="164">
        <v>0.72256944444444438</v>
      </c>
      <c r="D1189" s="159">
        <v>10</v>
      </c>
      <c r="E1189" s="166" t="s">
        <v>1227</v>
      </c>
    </row>
    <row r="1190" spans="1:5">
      <c r="A1190" s="159">
        <f t="shared" si="10"/>
        <v>1189</v>
      </c>
      <c r="B1190" s="163">
        <v>45785</v>
      </c>
      <c r="C1190" s="164">
        <v>0.71974537037037034</v>
      </c>
      <c r="D1190" s="159">
        <v>10</v>
      </c>
      <c r="E1190" s="166" t="s">
        <v>1228</v>
      </c>
    </row>
    <row r="1191" spans="1:5">
      <c r="A1191" s="159">
        <f t="shared" si="10"/>
        <v>1190</v>
      </c>
      <c r="B1191" s="163">
        <v>45785</v>
      </c>
      <c r="C1191" s="164">
        <v>0.71952546296296294</v>
      </c>
      <c r="D1191" s="159">
        <v>10</v>
      </c>
      <c r="E1191" s="166" t="s">
        <v>1229</v>
      </c>
    </row>
    <row r="1192" spans="1:5">
      <c r="A1192" s="159">
        <f t="shared" si="10"/>
        <v>1191</v>
      </c>
      <c r="B1192" s="163">
        <v>45785</v>
      </c>
      <c r="C1192" s="164">
        <v>0.71365740740740735</v>
      </c>
      <c r="D1192" s="159">
        <v>10</v>
      </c>
      <c r="E1192" s="166" t="s">
        <v>1230</v>
      </c>
    </row>
    <row r="1193" spans="1:5">
      <c r="A1193" s="159">
        <f t="shared" si="10"/>
        <v>1192</v>
      </c>
      <c r="B1193" s="163">
        <v>45785</v>
      </c>
      <c r="C1193" s="164">
        <v>0.70423611111111117</v>
      </c>
      <c r="D1193" s="159">
        <v>10</v>
      </c>
      <c r="E1193" s="166" t="s">
        <v>1231</v>
      </c>
    </row>
    <row r="1194" spans="1:5">
      <c r="A1194" s="159">
        <f t="shared" si="10"/>
        <v>1193</v>
      </c>
      <c r="B1194" s="163">
        <v>45785</v>
      </c>
      <c r="C1194" s="164">
        <v>0.67083333333333339</v>
      </c>
      <c r="D1194" s="159">
        <v>10</v>
      </c>
      <c r="E1194" s="166" t="s">
        <v>1232</v>
      </c>
    </row>
    <row r="1195" spans="1:5">
      <c r="A1195" s="159">
        <f t="shared" si="10"/>
        <v>1194</v>
      </c>
      <c r="B1195" s="163">
        <v>45785</v>
      </c>
      <c r="C1195" s="164">
        <v>0.66893518518518524</v>
      </c>
      <c r="D1195" s="159">
        <v>10</v>
      </c>
      <c r="E1195" s="166" t="s">
        <v>1233</v>
      </c>
    </row>
    <row r="1196" spans="1:5">
      <c r="A1196" s="159">
        <f t="shared" si="10"/>
        <v>1195</v>
      </c>
      <c r="B1196" s="163">
        <v>45785</v>
      </c>
      <c r="C1196" s="164">
        <v>0.66494212962962962</v>
      </c>
      <c r="D1196" s="159">
        <v>10</v>
      </c>
      <c r="E1196" s="166" t="s">
        <v>1234</v>
      </c>
    </row>
    <row r="1197" spans="1:5">
      <c r="A1197" s="159">
        <f t="shared" si="10"/>
        <v>1196</v>
      </c>
      <c r="B1197" s="163">
        <v>45785</v>
      </c>
      <c r="C1197" s="164">
        <v>0.66202546296296294</v>
      </c>
      <c r="D1197" s="159">
        <v>10</v>
      </c>
      <c r="E1197" s="166" t="s">
        <v>1235</v>
      </c>
    </row>
    <row r="1198" spans="1:5">
      <c r="A1198" s="159">
        <f t="shared" si="10"/>
        <v>1197</v>
      </c>
      <c r="B1198" s="163">
        <v>45785</v>
      </c>
      <c r="C1198" s="164">
        <v>0.65226851851851853</v>
      </c>
      <c r="D1198" s="159">
        <v>10</v>
      </c>
      <c r="E1198" s="166" t="s">
        <v>1236</v>
      </c>
    </row>
    <row r="1199" spans="1:5">
      <c r="A1199" s="159">
        <f t="shared" si="10"/>
        <v>1198</v>
      </c>
      <c r="B1199" s="163">
        <v>45785</v>
      </c>
      <c r="C1199" s="164">
        <v>0.63605324074074077</v>
      </c>
      <c r="D1199" s="159">
        <v>10</v>
      </c>
      <c r="E1199" s="166" t="s">
        <v>1237</v>
      </c>
    </row>
    <row r="1200" spans="1:5">
      <c r="A1200" s="159">
        <f t="shared" si="10"/>
        <v>1199</v>
      </c>
      <c r="B1200" s="163">
        <v>45785</v>
      </c>
      <c r="C1200" s="164">
        <v>0.63458333333333339</v>
      </c>
      <c r="D1200" s="159">
        <v>10</v>
      </c>
      <c r="E1200" s="166" t="s">
        <v>1238</v>
      </c>
    </row>
    <row r="1201" spans="1:5">
      <c r="A1201" s="159">
        <f t="shared" si="10"/>
        <v>1200</v>
      </c>
      <c r="B1201" s="163">
        <v>45785</v>
      </c>
      <c r="C1201" s="164">
        <v>0.62687499999999996</v>
      </c>
      <c r="D1201" s="159">
        <v>10</v>
      </c>
      <c r="E1201" s="166" t="s">
        <v>1239</v>
      </c>
    </row>
    <row r="1202" spans="1:5">
      <c r="A1202" s="159">
        <f t="shared" si="10"/>
        <v>1201</v>
      </c>
      <c r="B1202" s="163">
        <v>45785</v>
      </c>
      <c r="C1202" s="164">
        <v>0.61311342592592599</v>
      </c>
      <c r="D1202" s="159">
        <v>10</v>
      </c>
      <c r="E1202" s="166" t="s">
        <v>1240</v>
      </c>
    </row>
    <row r="1203" spans="1:5">
      <c r="A1203" s="159">
        <f t="shared" si="10"/>
        <v>1202</v>
      </c>
      <c r="B1203" s="163">
        <v>45785</v>
      </c>
      <c r="C1203" s="164">
        <v>0.60045138888888883</v>
      </c>
      <c r="D1203" s="159">
        <v>10</v>
      </c>
      <c r="E1203" s="166" t="s">
        <v>1241</v>
      </c>
    </row>
    <row r="1204" spans="1:5">
      <c r="A1204" s="159">
        <f t="shared" si="10"/>
        <v>1203</v>
      </c>
      <c r="B1204" s="163">
        <v>45785</v>
      </c>
      <c r="C1204" s="164">
        <v>0.58795138888888887</v>
      </c>
      <c r="D1204" s="159">
        <v>10</v>
      </c>
      <c r="E1204" s="166" t="s">
        <v>1242</v>
      </c>
    </row>
    <row r="1205" spans="1:5">
      <c r="A1205" s="159">
        <f t="shared" ref="A1205:A1268" si="11">ROW()-1</f>
        <v>1204</v>
      </c>
      <c r="B1205" s="163">
        <v>45785</v>
      </c>
      <c r="C1205" s="164">
        <v>0.5819212962962963</v>
      </c>
      <c r="D1205" s="159">
        <v>10</v>
      </c>
      <c r="E1205" s="166" t="s">
        <v>132</v>
      </c>
    </row>
    <row r="1206" spans="1:5">
      <c r="A1206" s="159">
        <f t="shared" si="11"/>
        <v>1205</v>
      </c>
      <c r="B1206" s="163">
        <v>45785</v>
      </c>
      <c r="C1206" s="164">
        <v>0.57232638888888887</v>
      </c>
      <c r="D1206" s="159">
        <v>10</v>
      </c>
      <c r="E1206" s="166" t="s">
        <v>1243</v>
      </c>
    </row>
    <row r="1207" spans="1:5">
      <c r="A1207" s="159">
        <f t="shared" si="11"/>
        <v>1206</v>
      </c>
      <c r="B1207" s="163">
        <v>45785</v>
      </c>
      <c r="C1207" s="164">
        <v>0.53486111111111112</v>
      </c>
      <c r="D1207" s="159">
        <v>10</v>
      </c>
      <c r="E1207" s="166" t="s">
        <v>1244</v>
      </c>
    </row>
    <row r="1208" spans="1:5">
      <c r="A1208" s="159">
        <f t="shared" si="11"/>
        <v>1207</v>
      </c>
      <c r="B1208" s="163">
        <v>45785</v>
      </c>
      <c r="C1208" s="164">
        <v>0.52295138888888892</v>
      </c>
      <c r="D1208" s="159">
        <v>10</v>
      </c>
      <c r="E1208" s="166" t="s">
        <v>1245</v>
      </c>
    </row>
    <row r="1209" spans="1:5">
      <c r="A1209" s="159">
        <f t="shared" si="11"/>
        <v>1208</v>
      </c>
      <c r="B1209" s="163">
        <v>45785</v>
      </c>
      <c r="C1209" s="164">
        <v>0.49991898148148151</v>
      </c>
      <c r="D1209" s="159">
        <v>10</v>
      </c>
      <c r="E1209" s="166" t="s">
        <v>1246</v>
      </c>
    </row>
    <row r="1210" spans="1:5">
      <c r="A1210" s="159">
        <f t="shared" si="11"/>
        <v>1209</v>
      </c>
      <c r="B1210" s="163">
        <v>45785</v>
      </c>
      <c r="C1210" s="164">
        <v>0.49376157407407412</v>
      </c>
      <c r="D1210" s="159">
        <v>10</v>
      </c>
      <c r="E1210" s="166" t="s">
        <v>132</v>
      </c>
    </row>
    <row r="1211" spans="1:5" ht="40.5">
      <c r="A1211" s="159">
        <f t="shared" si="11"/>
        <v>1210</v>
      </c>
      <c r="B1211" s="163">
        <v>45785</v>
      </c>
      <c r="C1211" s="164">
        <v>0.48547453703703702</v>
      </c>
      <c r="D1211" s="159">
        <v>10</v>
      </c>
      <c r="E1211" s="166" t="s">
        <v>1265</v>
      </c>
    </row>
    <row r="1212" spans="1:5">
      <c r="A1212" s="159">
        <f t="shared" si="11"/>
        <v>1211</v>
      </c>
      <c r="B1212" s="163">
        <v>45785</v>
      </c>
      <c r="C1212" s="164">
        <v>0.4791435185185185</v>
      </c>
      <c r="D1212" s="159">
        <v>10</v>
      </c>
      <c r="E1212" s="166" t="s">
        <v>1247</v>
      </c>
    </row>
    <row r="1213" spans="1:5">
      <c r="A1213" s="159">
        <f t="shared" si="11"/>
        <v>1212</v>
      </c>
      <c r="B1213" s="163">
        <v>45785</v>
      </c>
      <c r="C1213" s="164">
        <v>0.4767939814814815</v>
      </c>
      <c r="D1213" s="159">
        <v>10</v>
      </c>
      <c r="E1213" s="166" t="s">
        <v>1248</v>
      </c>
    </row>
    <row r="1214" spans="1:5" ht="27">
      <c r="A1214" s="159">
        <f t="shared" si="11"/>
        <v>1213</v>
      </c>
      <c r="B1214" s="163">
        <v>45785</v>
      </c>
      <c r="C1214" s="164">
        <v>0.47453703703703703</v>
      </c>
      <c r="D1214" s="159">
        <v>10</v>
      </c>
      <c r="E1214" s="166" t="s">
        <v>1249</v>
      </c>
    </row>
    <row r="1215" spans="1:5">
      <c r="A1215" s="159">
        <f t="shared" si="11"/>
        <v>1214</v>
      </c>
      <c r="B1215" s="163">
        <v>45785</v>
      </c>
      <c r="C1215" s="164">
        <v>0.45018518518518519</v>
      </c>
      <c r="D1215" s="159">
        <v>10</v>
      </c>
      <c r="E1215" s="166" t="s">
        <v>1250</v>
      </c>
    </row>
    <row r="1216" spans="1:5">
      <c r="A1216" s="159">
        <f t="shared" si="11"/>
        <v>1215</v>
      </c>
      <c r="B1216" s="163">
        <v>45785</v>
      </c>
      <c r="C1216" s="164">
        <v>0.44751157407407405</v>
      </c>
      <c r="D1216" s="159">
        <v>10</v>
      </c>
      <c r="E1216" s="166" t="s">
        <v>1251</v>
      </c>
    </row>
    <row r="1217" spans="1:5">
      <c r="A1217" s="159">
        <f t="shared" si="11"/>
        <v>1216</v>
      </c>
      <c r="B1217" s="163">
        <v>45785</v>
      </c>
      <c r="C1217" s="164">
        <v>0.44592592592592589</v>
      </c>
      <c r="D1217" s="159">
        <v>10</v>
      </c>
      <c r="E1217" s="166" t="s">
        <v>1252</v>
      </c>
    </row>
    <row r="1218" spans="1:5">
      <c r="A1218" s="159">
        <f t="shared" si="11"/>
        <v>1217</v>
      </c>
      <c r="B1218" s="163">
        <v>45785</v>
      </c>
      <c r="C1218" s="164">
        <v>0.4444791666666667</v>
      </c>
      <c r="D1218" s="159">
        <v>10</v>
      </c>
      <c r="E1218" s="166" t="s">
        <v>1253</v>
      </c>
    </row>
    <row r="1219" spans="1:5">
      <c r="A1219" s="159">
        <f t="shared" si="11"/>
        <v>1218</v>
      </c>
      <c r="B1219" s="163">
        <v>45785</v>
      </c>
      <c r="C1219" s="164">
        <v>0.43961805555555555</v>
      </c>
      <c r="D1219" s="159">
        <v>10</v>
      </c>
      <c r="E1219" s="166" t="s">
        <v>732</v>
      </c>
    </row>
    <row r="1220" spans="1:5">
      <c r="A1220" s="159">
        <f t="shared" si="11"/>
        <v>1219</v>
      </c>
      <c r="B1220" s="163">
        <v>45785</v>
      </c>
      <c r="C1220" s="164">
        <v>0.43902777777777779</v>
      </c>
      <c r="D1220" s="159">
        <v>10</v>
      </c>
      <c r="E1220" s="166" t="s">
        <v>1254</v>
      </c>
    </row>
    <row r="1221" spans="1:5">
      <c r="A1221" s="159">
        <f t="shared" si="11"/>
        <v>1220</v>
      </c>
      <c r="B1221" s="163">
        <v>45785</v>
      </c>
      <c r="C1221" s="164">
        <v>0.42800925925925926</v>
      </c>
      <c r="D1221" s="159">
        <v>10</v>
      </c>
      <c r="E1221" s="166" t="s">
        <v>1264</v>
      </c>
    </row>
    <row r="1222" spans="1:5">
      <c r="A1222" s="159">
        <f t="shared" si="11"/>
        <v>1221</v>
      </c>
      <c r="B1222" s="163">
        <v>45785</v>
      </c>
      <c r="C1222" s="164">
        <v>0.41452546296296294</v>
      </c>
      <c r="D1222" s="159">
        <v>10</v>
      </c>
      <c r="E1222" s="166" t="s">
        <v>313</v>
      </c>
    </row>
    <row r="1223" spans="1:5">
      <c r="A1223" s="159">
        <f t="shared" si="11"/>
        <v>1222</v>
      </c>
      <c r="B1223" s="163">
        <v>45785</v>
      </c>
      <c r="C1223" s="164">
        <v>0.41410879629629632</v>
      </c>
      <c r="D1223" s="159">
        <v>10</v>
      </c>
      <c r="E1223" s="166" t="s">
        <v>1255</v>
      </c>
    </row>
    <row r="1224" spans="1:5">
      <c r="A1224" s="159">
        <f t="shared" si="11"/>
        <v>1223</v>
      </c>
      <c r="B1224" s="163">
        <v>45785</v>
      </c>
      <c r="C1224" s="164">
        <v>0.41255787037037034</v>
      </c>
      <c r="D1224" s="159">
        <v>10</v>
      </c>
      <c r="E1224" s="166" t="s">
        <v>1256</v>
      </c>
    </row>
    <row r="1225" spans="1:5">
      <c r="A1225" s="159">
        <f t="shared" si="11"/>
        <v>1224</v>
      </c>
      <c r="B1225" s="163">
        <v>45785</v>
      </c>
      <c r="C1225" s="164">
        <v>0.41226851851851848</v>
      </c>
      <c r="D1225" s="159">
        <v>10</v>
      </c>
      <c r="E1225" s="166" t="s">
        <v>1257</v>
      </c>
    </row>
    <row r="1226" spans="1:5">
      <c r="A1226" s="159">
        <f t="shared" si="11"/>
        <v>1225</v>
      </c>
      <c r="B1226" s="163">
        <v>45785</v>
      </c>
      <c r="C1226" s="164">
        <v>0.41166666666666668</v>
      </c>
      <c r="D1226" s="159">
        <v>8</v>
      </c>
      <c r="E1226" s="166" t="s">
        <v>1258</v>
      </c>
    </row>
    <row r="1227" spans="1:5">
      <c r="A1227" s="159">
        <f t="shared" si="11"/>
        <v>1226</v>
      </c>
      <c r="B1227" s="163">
        <v>45785</v>
      </c>
      <c r="C1227" s="164">
        <v>0.40744212962962961</v>
      </c>
      <c r="D1227" s="159">
        <v>10</v>
      </c>
      <c r="E1227" s="166" t="s">
        <v>1259</v>
      </c>
    </row>
    <row r="1228" spans="1:5">
      <c r="A1228" s="159">
        <f t="shared" si="11"/>
        <v>1227</v>
      </c>
      <c r="B1228" s="163">
        <v>45785</v>
      </c>
      <c r="C1228" s="164">
        <v>0.4031481481481482</v>
      </c>
      <c r="D1228" s="159">
        <v>10</v>
      </c>
      <c r="E1228" s="166" t="s">
        <v>1260</v>
      </c>
    </row>
    <row r="1229" spans="1:5">
      <c r="A1229" s="159">
        <f t="shared" si="11"/>
        <v>1228</v>
      </c>
      <c r="B1229" s="163">
        <v>45785</v>
      </c>
      <c r="C1229" s="164">
        <v>0.3946527777777778</v>
      </c>
      <c r="D1229" s="159">
        <v>10</v>
      </c>
      <c r="E1229" s="166" t="s">
        <v>1261</v>
      </c>
    </row>
    <row r="1230" spans="1:5">
      <c r="A1230" s="159">
        <f t="shared" si="11"/>
        <v>1229</v>
      </c>
      <c r="B1230" s="163">
        <v>45785</v>
      </c>
      <c r="C1230" s="164">
        <v>0.39292824074074079</v>
      </c>
      <c r="D1230" s="159">
        <v>10</v>
      </c>
      <c r="E1230" s="166" t="s">
        <v>1262</v>
      </c>
    </row>
    <row r="1231" spans="1:5">
      <c r="A1231" s="159">
        <f t="shared" si="11"/>
        <v>1230</v>
      </c>
      <c r="B1231" s="163">
        <v>45785</v>
      </c>
      <c r="C1231" s="164">
        <v>0.38543981481481482</v>
      </c>
      <c r="D1231" s="159">
        <v>10</v>
      </c>
      <c r="E1231" s="166" t="s">
        <v>1263</v>
      </c>
    </row>
    <row r="1232" spans="1:5">
      <c r="A1232" s="159">
        <f t="shared" si="11"/>
        <v>1231</v>
      </c>
      <c r="B1232" s="163">
        <v>45786</v>
      </c>
      <c r="C1232" s="164">
        <v>0.89188657407407401</v>
      </c>
      <c r="D1232" s="159">
        <v>10</v>
      </c>
      <c r="E1232" s="166" t="s">
        <v>1266</v>
      </c>
    </row>
    <row r="1233" spans="1:5" ht="67.5">
      <c r="A1233" s="159">
        <f t="shared" si="11"/>
        <v>1232</v>
      </c>
      <c r="B1233" s="163">
        <v>45786</v>
      </c>
      <c r="C1233" s="164">
        <v>0.87825231481481481</v>
      </c>
      <c r="D1233" s="159">
        <v>10</v>
      </c>
      <c r="E1233" s="166" t="s">
        <v>1318</v>
      </c>
    </row>
    <row r="1234" spans="1:5">
      <c r="A1234" s="159">
        <f t="shared" si="11"/>
        <v>1233</v>
      </c>
      <c r="B1234" s="163">
        <v>45786</v>
      </c>
      <c r="C1234" s="164">
        <v>0.84561342592592592</v>
      </c>
      <c r="D1234" s="159">
        <v>10</v>
      </c>
      <c r="E1234" s="166" t="s">
        <v>1267</v>
      </c>
    </row>
    <row r="1235" spans="1:5">
      <c r="A1235" s="159">
        <f t="shared" si="11"/>
        <v>1234</v>
      </c>
      <c r="B1235" s="163">
        <v>45786</v>
      </c>
      <c r="C1235" s="164">
        <v>0.84347222222222218</v>
      </c>
      <c r="D1235" s="159">
        <v>10</v>
      </c>
      <c r="E1235" s="166" t="s">
        <v>132</v>
      </c>
    </row>
    <row r="1236" spans="1:5">
      <c r="A1236" s="159">
        <f t="shared" si="11"/>
        <v>1235</v>
      </c>
      <c r="B1236" s="163">
        <v>45786</v>
      </c>
      <c r="C1236" s="164">
        <v>0.83339120370370379</v>
      </c>
      <c r="D1236" s="159">
        <v>10</v>
      </c>
      <c r="E1236" s="166" t="s">
        <v>1268</v>
      </c>
    </row>
    <row r="1237" spans="1:5">
      <c r="A1237" s="159">
        <f t="shared" si="11"/>
        <v>1236</v>
      </c>
      <c r="B1237" s="163">
        <v>45786</v>
      </c>
      <c r="C1237" s="164">
        <v>0.79151620370370368</v>
      </c>
      <c r="D1237" s="159">
        <v>10</v>
      </c>
      <c r="E1237" s="166" t="s">
        <v>1269</v>
      </c>
    </row>
    <row r="1238" spans="1:5">
      <c r="A1238" s="159">
        <f t="shared" si="11"/>
        <v>1237</v>
      </c>
      <c r="B1238" s="163">
        <v>45786</v>
      </c>
      <c r="C1238" s="164">
        <v>0.74899305555555562</v>
      </c>
      <c r="D1238" s="159">
        <v>10</v>
      </c>
      <c r="E1238" s="166" t="s">
        <v>1270</v>
      </c>
    </row>
    <row r="1239" spans="1:5">
      <c r="A1239" s="159">
        <f t="shared" si="11"/>
        <v>1238</v>
      </c>
      <c r="B1239" s="163">
        <v>45786</v>
      </c>
      <c r="C1239" s="164">
        <v>0.73370370370370364</v>
      </c>
      <c r="D1239" s="159">
        <v>10</v>
      </c>
      <c r="E1239" s="166" t="s">
        <v>479</v>
      </c>
    </row>
    <row r="1240" spans="1:5">
      <c r="A1240" s="159">
        <f t="shared" si="11"/>
        <v>1239</v>
      </c>
      <c r="B1240" s="163">
        <v>45786</v>
      </c>
      <c r="C1240" s="164">
        <v>0.73380787037037043</v>
      </c>
      <c r="D1240" s="159">
        <v>10</v>
      </c>
      <c r="E1240" s="166" t="s">
        <v>1271</v>
      </c>
    </row>
    <row r="1241" spans="1:5">
      <c r="A1241" s="159">
        <f t="shared" si="11"/>
        <v>1240</v>
      </c>
      <c r="B1241" s="163">
        <v>45786</v>
      </c>
      <c r="C1241" s="164">
        <v>0.72715277777777787</v>
      </c>
      <c r="D1241" s="159">
        <v>10</v>
      </c>
      <c r="E1241" s="166" t="s">
        <v>1272</v>
      </c>
    </row>
    <row r="1242" spans="1:5">
      <c r="A1242" s="159">
        <f t="shared" si="11"/>
        <v>1241</v>
      </c>
      <c r="B1242" s="163">
        <v>45786</v>
      </c>
      <c r="C1242" s="164">
        <v>0.72358796296296291</v>
      </c>
      <c r="D1242" s="159">
        <v>10</v>
      </c>
      <c r="E1242" s="166" t="s">
        <v>1273</v>
      </c>
    </row>
    <row r="1243" spans="1:5">
      <c r="A1243" s="159">
        <f t="shared" si="11"/>
        <v>1242</v>
      </c>
      <c r="B1243" s="163">
        <v>45786</v>
      </c>
      <c r="C1243" s="164">
        <v>0.72274305555555562</v>
      </c>
      <c r="D1243" s="159">
        <v>10</v>
      </c>
      <c r="E1243" s="166" t="s">
        <v>1274</v>
      </c>
    </row>
    <row r="1244" spans="1:5">
      <c r="A1244" s="159">
        <f t="shared" si="11"/>
        <v>1243</v>
      </c>
      <c r="B1244" s="163">
        <v>45786</v>
      </c>
      <c r="C1244" s="164">
        <v>0.71628472222222228</v>
      </c>
      <c r="D1244" s="159">
        <v>10</v>
      </c>
      <c r="E1244" s="166" t="s">
        <v>1039</v>
      </c>
    </row>
    <row r="1245" spans="1:5">
      <c r="A1245" s="159">
        <f t="shared" si="11"/>
        <v>1244</v>
      </c>
      <c r="B1245" s="163">
        <v>45786</v>
      </c>
      <c r="C1245" s="164">
        <v>0.71285879629629623</v>
      </c>
      <c r="D1245" s="159">
        <v>10</v>
      </c>
      <c r="E1245" s="166" t="s">
        <v>1275</v>
      </c>
    </row>
    <row r="1246" spans="1:5">
      <c r="A1246" s="159">
        <f t="shared" si="11"/>
        <v>1245</v>
      </c>
      <c r="B1246" s="163">
        <v>45786</v>
      </c>
      <c r="C1246" s="164">
        <v>0.7111574074074074</v>
      </c>
      <c r="D1246" s="159">
        <v>10</v>
      </c>
      <c r="E1246" s="166" t="s">
        <v>1276</v>
      </c>
    </row>
    <row r="1247" spans="1:5">
      <c r="A1247" s="159">
        <f t="shared" si="11"/>
        <v>1246</v>
      </c>
      <c r="B1247" s="163">
        <v>45786</v>
      </c>
      <c r="C1247" s="164">
        <v>0.70964120370370365</v>
      </c>
      <c r="D1247" s="159">
        <v>10</v>
      </c>
      <c r="E1247" s="166" t="s">
        <v>1277</v>
      </c>
    </row>
    <row r="1248" spans="1:5">
      <c r="A1248" s="159">
        <f t="shared" si="11"/>
        <v>1247</v>
      </c>
      <c r="B1248" s="163">
        <v>45786</v>
      </c>
      <c r="C1248" s="164">
        <v>0.69884259259259263</v>
      </c>
      <c r="D1248" s="159">
        <v>10</v>
      </c>
      <c r="E1248" s="166" t="s">
        <v>1278</v>
      </c>
    </row>
    <row r="1249" spans="1:5">
      <c r="A1249" s="159">
        <f t="shared" si="11"/>
        <v>1248</v>
      </c>
      <c r="B1249" s="163">
        <v>45786</v>
      </c>
      <c r="C1249" s="164">
        <v>0.69359953703703703</v>
      </c>
      <c r="D1249" s="159">
        <v>10</v>
      </c>
      <c r="E1249" s="166" t="s">
        <v>1279</v>
      </c>
    </row>
    <row r="1250" spans="1:5">
      <c r="A1250" s="159">
        <f t="shared" si="11"/>
        <v>1249</v>
      </c>
      <c r="B1250" s="163">
        <v>45786</v>
      </c>
      <c r="C1250" s="164">
        <v>0.69067129629629631</v>
      </c>
      <c r="D1250" s="159">
        <v>10</v>
      </c>
      <c r="E1250" s="166" t="s">
        <v>1280</v>
      </c>
    </row>
    <row r="1251" spans="1:5">
      <c r="A1251" s="159">
        <f t="shared" si="11"/>
        <v>1250</v>
      </c>
      <c r="B1251" s="163">
        <v>45786</v>
      </c>
      <c r="C1251" s="164">
        <v>0.68892361111111111</v>
      </c>
      <c r="D1251" s="159">
        <v>10</v>
      </c>
      <c r="E1251" s="166" t="s">
        <v>1281</v>
      </c>
    </row>
    <row r="1252" spans="1:5">
      <c r="A1252" s="159">
        <f t="shared" si="11"/>
        <v>1251</v>
      </c>
      <c r="B1252" s="163">
        <v>45786</v>
      </c>
      <c r="C1252" s="164">
        <v>0.68200231481481488</v>
      </c>
      <c r="D1252" s="159">
        <v>10</v>
      </c>
      <c r="E1252" s="166" t="s">
        <v>1282</v>
      </c>
    </row>
    <row r="1253" spans="1:5">
      <c r="A1253" s="159">
        <f t="shared" si="11"/>
        <v>1252</v>
      </c>
      <c r="B1253" s="163">
        <v>45786</v>
      </c>
      <c r="C1253" s="164">
        <v>0.66409722222222223</v>
      </c>
      <c r="D1253" s="159">
        <v>9</v>
      </c>
      <c r="E1253" s="166" t="s">
        <v>1283</v>
      </c>
    </row>
    <row r="1254" spans="1:5">
      <c r="A1254" s="159">
        <f t="shared" si="11"/>
        <v>1253</v>
      </c>
      <c r="B1254" s="163">
        <v>45786</v>
      </c>
      <c r="C1254" s="164">
        <v>0.66357638888888892</v>
      </c>
      <c r="D1254" s="159">
        <v>10</v>
      </c>
      <c r="E1254" s="166" t="s">
        <v>1284</v>
      </c>
    </row>
    <row r="1255" spans="1:5">
      <c r="A1255" s="159">
        <f t="shared" si="11"/>
        <v>1254</v>
      </c>
      <c r="B1255" s="163">
        <v>45786</v>
      </c>
      <c r="C1255" s="164">
        <v>0.66016203703703702</v>
      </c>
      <c r="D1255" s="159">
        <v>10</v>
      </c>
      <c r="E1255" s="166" t="s">
        <v>1285</v>
      </c>
    </row>
    <row r="1256" spans="1:5">
      <c r="A1256" s="159">
        <f t="shared" si="11"/>
        <v>1255</v>
      </c>
      <c r="B1256" s="163">
        <v>45786</v>
      </c>
      <c r="C1256" s="164">
        <v>0.65009259259259256</v>
      </c>
      <c r="D1256" s="159">
        <v>10</v>
      </c>
      <c r="E1256" s="166" t="s">
        <v>1286</v>
      </c>
    </row>
    <row r="1257" spans="1:5">
      <c r="A1257" s="159">
        <f t="shared" si="11"/>
        <v>1256</v>
      </c>
      <c r="B1257" s="163">
        <v>45786</v>
      </c>
      <c r="C1257" s="164">
        <v>0.64954861111111117</v>
      </c>
      <c r="D1257" s="159">
        <v>10</v>
      </c>
      <c r="E1257" s="166" t="s">
        <v>1287</v>
      </c>
    </row>
    <row r="1258" spans="1:5">
      <c r="A1258" s="159">
        <f t="shared" si="11"/>
        <v>1257</v>
      </c>
      <c r="B1258" s="163">
        <v>45786</v>
      </c>
      <c r="C1258" s="164">
        <v>0.64829861111111109</v>
      </c>
      <c r="D1258" s="159">
        <v>10</v>
      </c>
      <c r="E1258" s="166" t="s">
        <v>1288</v>
      </c>
    </row>
    <row r="1259" spans="1:5">
      <c r="A1259" s="159">
        <f t="shared" si="11"/>
        <v>1258</v>
      </c>
      <c r="B1259" s="163">
        <v>45786</v>
      </c>
      <c r="C1259" s="164">
        <v>0.64423611111111112</v>
      </c>
      <c r="D1259" s="159">
        <v>10</v>
      </c>
      <c r="E1259" s="166" t="s">
        <v>1289</v>
      </c>
    </row>
    <row r="1260" spans="1:5">
      <c r="A1260" s="159">
        <f t="shared" si="11"/>
        <v>1259</v>
      </c>
      <c r="B1260" s="163">
        <v>45786</v>
      </c>
      <c r="C1260" s="164">
        <v>0.63876157407407408</v>
      </c>
      <c r="D1260" s="159">
        <v>10</v>
      </c>
      <c r="E1260" s="166" t="s">
        <v>1290</v>
      </c>
    </row>
    <row r="1261" spans="1:5">
      <c r="A1261" s="159">
        <f t="shared" si="11"/>
        <v>1260</v>
      </c>
      <c r="B1261" s="163">
        <v>45786</v>
      </c>
      <c r="C1261" s="164">
        <v>0.62446759259259255</v>
      </c>
      <c r="D1261" s="159">
        <v>10</v>
      </c>
      <c r="E1261" s="166" t="s">
        <v>1291</v>
      </c>
    </row>
    <row r="1262" spans="1:5">
      <c r="A1262" s="159">
        <f t="shared" si="11"/>
        <v>1261</v>
      </c>
      <c r="B1262" s="163">
        <v>45786</v>
      </c>
      <c r="C1262" s="164">
        <v>0.60837962962962966</v>
      </c>
      <c r="D1262" s="159">
        <v>10</v>
      </c>
      <c r="E1262" s="166" t="s">
        <v>1292</v>
      </c>
    </row>
    <row r="1263" spans="1:5">
      <c r="A1263" s="159">
        <f t="shared" si="11"/>
        <v>1262</v>
      </c>
      <c r="B1263" s="163">
        <v>45786</v>
      </c>
      <c r="C1263" s="164">
        <v>0.57905092592592589</v>
      </c>
      <c r="D1263" s="159">
        <v>10</v>
      </c>
      <c r="E1263" s="166" t="s">
        <v>1293</v>
      </c>
    </row>
    <row r="1264" spans="1:5">
      <c r="A1264" s="159">
        <f t="shared" si="11"/>
        <v>1263</v>
      </c>
      <c r="B1264" s="163">
        <v>45786</v>
      </c>
      <c r="C1264" s="164">
        <v>0.57276620370370368</v>
      </c>
      <c r="D1264" s="159">
        <v>10</v>
      </c>
      <c r="E1264" s="166" t="s">
        <v>1294</v>
      </c>
    </row>
    <row r="1265" spans="1:5" ht="27">
      <c r="A1265" s="159">
        <f t="shared" si="11"/>
        <v>1264</v>
      </c>
      <c r="B1265" s="163">
        <v>45786</v>
      </c>
      <c r="C1265" s="164">
        <v>0.56649305555555551</v>
      </c>
      <c r="D1265" s="159">
        <v>10</v>
      </c>
      <c r="E1265" s="166" t="s">
        <v>1317</v>
      </c>
    </row>
    <row r="1266" spans="1:5">
      <c r="A1266" s="159">
        <f t="shared" si="11"/>
        <v>1265</v>
      </c>
      <c r="B1266" s="163">
        <v>45786</v>
      </c>
      <c r="C1266" s="164">
        <v>0.56590277777777775</v>
      </c>
      <c r="D1266" s="159">
        <v>10</v>
      </c>
      <c r="E1266" s="166" t="s">
        <v>1295</v>
      </c>
    </row>
    <row r="1267" spans="1:5">
      <c r="A1267" s="159">
        <f t="shared" si="11"/>
        <v>1266</v>
      </c>
      <c r="B1267" s="163">
        <v>45786</v>
      </c>
      <c r="C1267" s="164">
        <v>0.56168981481481484</v>
      </c>
      <c r="D1267" s="159">
        <v>10</v>
      </c>
      <c r="E1267" s="166" t="s">
        <v>1296</v>
      </c>
    </row>
    <row r="1268" spans="1:5">
      <c r="A1268" s="159">
        <f t="shared" si="11"/>
        <v>1267</v>
      </c>
      <c r="B1268" s="163">
        <v>45786</v>
      </c>
      <c r="C1268" s="164">
        <v>0.55967592592592597</v>
      </c>
      <c r="D1268" s="159">
        <v>10</v>
      </c>
      <c r="E1268" s="166" t="s">
        <v>1297</v>
      </c>
    </row>
    <row r="1269" spans="1:5">
      <c r="A1269" s="159">
        <f t="shared" ref="A1269:A1332" si="12">ROW()-1</f>
        <v>1268</v>
      </c>
      <c r="B1269" s="163">
        <v>45786</v>
      </c>
      <c r="C1269" s="164">
        <v>0.55354166666666671</v>
      </c>
      <c r="D1269" s="159">
        <v>10</v>
      </c>
      <c r="E1269" s="166" t="s">
        <v>1298</v>
      </c>
    </row>
    <row r="1270" spans="1:5">
      <c r="A1270" s="159">
        <f t="shared" si="12"/>
        <v>1269</v>
      </c>
      <c r="B1270" s="163">
        <v>45786</v>
      </c>
      <c r="C1270" s="164">
        <v>0.54718750000000005</v>
      </c>
      <c r="D1270" s="159">
        <v>10</v>
      </c>
      <c r="E1270" s="166" t="s">
        <v>246</v>
      </c>
    </row>
    <row r="1271" spans="1:5">
      <c r="A1271" s="159">
        <f t="shared" si="12"/>
        <v>1270</v>
      </c>
      <c r="B1271" s="163">
        <v>45786</v>
      </c>
      <c r="C1271" s="164">
        <v>0.52186342592592594</v>
      </c>
      <c r="D1271" s="159">
        <v>10</v>
      </c>
      <c r="E1271" s="166" t="s">
        <v>1299</v>
      </c>
    </row>
    <row r="1272" spans="1:5" ht="27">
      <c r="A1272" s="159">
        <f t="shared" si="12"/>
        <v>1271</v>
      </c>
      <c r="B1272" s="163">
        <v>45786</v>
      </c>
      <c r="C1272" s="164">
        <v>0.50465277777777773</v>
      </c>
      <c r="D1272" s="159">
        <v>10</v>
      </c>
      <c r="E1272" s="166" t="s">
        <v>1316</v>
      </c>
    </row>
    <row r="1273" spans="1:5">
      <c r="A1273" s="159">
        <f t="shared" si="12"/>
        <v>1272</v>
      </c>
      <c r="B1273" s="163">
        <v>45786</v>
      </c>
      <c r="C1273" s="164">
        <v>0.50223379629629628</v>
      </c>
      <c r="D1273" s="159">
        <v>8</v>
      </c>
      <c r="E1273" s="166" t="s">
        <v>1300</v>
      </c>
    </row>
    <row r="1274" spans="1:5">
      <c r="A1274" s="159">
        <f t="shared" si="12"/>
        <v>1273</v>
      </c>
      <c r="B1274" s="163">
        <v>45786</v>
      </c>
      <c r="C1274" s="164">
        <v>0.4896064814814815</v>
      </c>
      <c r="D1274" s="159">
        <v>10</v>
      </c>
      <c r="E1274" s="166" t="s">
        <v>284</v>
      </c>
    </row>
    <row r="1275" spans="1:5">
      <c r="A1275" s="159">
        <f t="shared" si="12"/>
        <v>1274</v>
      </c>
      <c r="B1275" s="163">
        <v>45786</v>
      </c>
      <c r="C1275" s="164">
        <v>0.48953703703703705</v>
      </c>
      <c r="D1275" s="159">
        <v>10</v>
      </c>
      <c r="E1275" s="166" t="s">
        <v>1301</v>
      </c>
    </row>
    <row r="1276" spans="1:5">
      <c r="A1276" s="159">
        <f t="shared" si="12"/>
        <v>1275</v>
      </c>
      <c r="B1276" s="163">
        <v>45786</v>
      </c>
      <c r="C1276" s="164">
        <v>0.48037037037037034</v>
      </c>
      <c r="D1276" s="159">
        <v>10</v>
      </c>
      <c r="E1276" s="166" t="s">
        <v>1302</v>
      </c>
    </row>
    <row r="1277" spans="1:5">
      <c r="A1277" s="159">
        <f t="shared" si="12"/>
        <v>1276</v>
      </c>
      <c r="B1277" s="163">
        <v>45786</v>
      </c>
      <c r="C1277" s="164">
        <v>0.47840277777777779</v>
      </c>
      <c r="D1277" s="159">
        <v>10</v>
      </c>
      <c r="E1277" s="166" t="s">
        <v>1303</v>
      </c>
    </row>
    <row r="1278" spans="1:5">
      <c r="A1278" s="159">
        <f t="shared" si="12"/>
        <v>1277</v>
      </c>
      <c r="B1278" s="163">
        <v>45786</v>
      </c>
      <c r="C1278" s="164">
        <v>0.47836805555555556</v>
      </c>
      <c r="D1278" s="159">
        <v>10</v>
      </c>
      <c r="E1278" s="166" t="s">
        <v>132</v>
      </c>
    </row>
    <row r="1279" spans="1:5">
      <c r="A1279" s="159">
        <f t="shared" si="12"/>
        <v>1278</v>
      </c>
      <c r="B1279" s="163">
        <v>45786</v>
      </c>
      <c r="C1279" s="164">
        <v>0.46877314814814813</v>
      </c>
      <c r="D1279" s="159">
        <v>10</v>
      </c>
      <c r="E1279" s="166" t="s">
        <v>406</v>
      </c>
    </row>
    <row r="1280" spans="1:5">
      <c r="A1280" s="159">
        <f t="shared" si="12"/>
        <v>1279</v>
      </c>
      <c r="B1280" s="163">
        <v>45786</v>
      </c>
      <c r="C1280" s="164">
        <v>0.46792824074074074</v>
      </c>
      <c r="D1280" s="159">
        <v>10</v>
      </c>
      <c r="E1280" s="166" t="s">
        <v>194</v>
      </c>
    </row>
    <row r="1281" spans="1:5">
      <c r="A1281" s="159">
        <f t="shared" si="12"/>
        <v>1280</v>
      </c>
      <c r="B1281" s="163">
        <v>45786</v>
      </c>
      <c r="C1281" s="164">
        <v>0.44782407407407404</v>
      </c>
      <c r="D1281" s="159">
        <v>10</v>
      </c>
      <c r="E1281" s="166" t="s">
        <v>1304</v>
      </c>
    </row>
    <row r="1282" spans="1:5">
      <c r="A1282" s="159">
        <f t="shared" si="12"/>
        <v>1281</v>
      </c>
      <c r="B1282" s="163">
        <v>45786</v>
      </c>
      <c r="C1282" s="164">
        <v>0.43300925925925932</v>
      </c>
      <c r="D1282" s="159">
        <v>10</v>
      </c>
      <c r="E1282" s="166" t="s">
        <v>1305</v>
      </c>
    </row>
    <row r="1283" spans="1:5">
      <c r="A1283" s="159">
        <f t="shared" si="12"/>
        <v>1282</v>
      </c>
      <c r="B1283" s="163">
        <v>45786</v>
      </c>
      <c r="C1283" s="164">
        <v>0.4325694444444444</v>
      </c>
      <c r="D1283" s="159">
        <v>10</v>
      </c>
      <c r="E1283" s="166" t="s">
        <v>1306</v>
      </c>
    </row>
    <row r="1284" spans="1:5">
      <c r="A1284" s="159">
        <f t="shared" si="12"/>
        <v>1283</v>
      </c>
      <c r="B1284" s="163">
        <v>45786</v>
      </c>
      <c r="C1284" s="164">
        <v>0.43214120370370374</v>
      </c>
      <c r="D1284" s="159">
        <v>10</v>
      </c>
      <c r="E1284" s="166" t="s">
        <v>1307</v>
      </c>
    </row>
    <row r="1285" spans="1:5">
      <c r="A1285" s="159">
        <f t="shared" si="12"/>
        <v>1284</v>
      </c>
      <c r="B1285" s="163">
        <v>45786</v>
      </c>
      <c r="C1285" s="164">
        <v>0.426724537037037</v>
      </c>
      <c r="D1285" s="159">
        <v>10</v>
      </c>
      <c r="E1285" s="166" t="s">
        <v>1308</v>
      </c>
    </row>
    <row r="1286" spans="1:5">
      <c r="A1286" s="159">
        <f t="shared" si="12"/>
        <v>1285</v>
      </c>
      <c r="B1286" s="163">
        <v>45786</v>
      </c>
      <c r="C1286" s="164">
        <v>0.42178240740740741</v>
      </c>
      <c r="D1286" s="159">
        <v>10</v>
      </c>
      <c r="E1286" s="166" t="s">
        <v>1309</v>
      </c>
    </row>
    <row r="1287" spans="1:5">
      <c r="A1287" s="159">
        <f t="shared" si="12"/>
        <v>1286</v>
      </c>
      <c r="B1287" s="163">
        <v>45786</v>
      </c>
      <c r="C1287" s="164">
        <v>0.41570601851851857</v>
      </c>
      <c r="D1287" s="159">
        <v>10</v>
      </c>
      <c r="E1287" s="166" t="s">
        <v>1310</v>
      </c>
    </row>
    <row r="1288" spans="1:5">
      <c r="A1288" s="159">
        <f t="shared" si="12"/>
        <v>1287</v>
      </c>
      <c r="B1288" s="163">
        <v>45786</v>
      </c>
      <c r="C1288" s="164">
        <v>0.40464120370370371</v>
      </c>
      <c r="D1288" s="159">
        <v>10</v>
      </c>
      <c r="E1288" s="166" t="s">
        <v>1311</v>
      </c>
    </row>
    <row r="1289" spans="1:5">
      <c r="A1289" s="159">
        <f t="shared" si="12"/>
        <v>1288</v>
      </c>
      <c r="B1289" s="163">
        <v>45786</v>
      </c>
      <c r="C1289" s="164">
        <v>0.39155092592592594</v>
      </c>
      <c r="D1289" s="159">
        <v>10</v>
      </c>
      <c r="E1289" s="166" t="s">
        <v>1312</v>
      </c>
    </row>
    <row r="1290" spans="1:5">
      <c r="A1290" s="159">
        <f t="shared" si="12"/>
        <v>1289</v>
      </c>
      <c r="B1290" s="163">
        <v>45786</v>
      </c>
      <c r="C1290" s="164">
        <v>0.3913194444444445</v>
      </c>
      <c r="D1290" s="159">
        <v>10</v>
      </c>
      <c r="E1290" s="166" t="s">
        <v>1313</v>
      </c>
    </row>
    <row r="1291" spans="1:5">
      <c r="A1291" s="159">
        <f t="shared" si="12"/>
        <v>1290</v>
      </c>
      <c r="B1291" s="163">
        <v>45786</v>
      </c>
      <c r="C1291" s="164">
        <v>0.38471064814814815</v>
      </c>
      <c r="D1291" s="159">
        <v>10</v>
      </c>
      <c r="E1291" s="166" t="s">
        <v>1314</v>
      </c>
    </row>
    <row r="1292" spans="1:5">
      <c r="A1292" s="159">
        <f t="shared" si="12"/>
        <v>1291</v>
      </c>
      <c r="B1292" s="163">
        <v>45786</v>
      </c>
      <c r="C1292" s="164">
        <v>0.38208333333333333</v>
      </c>
      <c r="D1292" s="159">
        <v>10</v>
      </c>
      <c r="E1292" s="166" t="s">
        <v>1315</v>
      </c>
    </row>
    <row r="1293" spans="1:5">
      <c r="A1293" s="159">
        <f t="shared" si="12"/>
        <v>1292</v>
      </c>
      <c r="B1293" s="163">
        <v>45789</v>
      </c>
      <c r="C1293" s="164">
        <v>0.91068287037037043</v>
      </c>
      <c r="D1293" s="159">
        <v>10</v>
      </c>
      <c r="E1293" s="166" t="s">
        <v>1319</v>
      </c>
    </row>
    <row r="1294" spans="1:5">
      <c r="A1294" s="159">
        <f t="shared" si="12"/>
        <v>1293</v>
      </c>
      <c r="B1294" s="163">
        <v>45789</v>
      </c>
      <c r="C1294" s="164">
        <v>0.88306712962962963</v>
      </c>
      <c r="D1294" s="159">
        <v>10</v>
      </c>
      <c r="E1294" s="166" t="s">
        <v>1320</v>
      </c>
    </row>
    <row r="1295" spans="1:5">
      <c r="A1295" s="159">
        <f t="shared" si="12"/>
        <v>1294</v>
      </c>
      <c r="B1295" s="163">
        <v>45789</v>
      </c>
      <c r="C1295" s="164">
        <v>0.86528935185185185</v>
      </c>
      <c r="D1295" s="159">
        <v>10</v>
      </c>
      <c r="E1295" s="166" t="s">
        <v>1321</v>
      </c>
    </row>
    <row r="1296" spans="1:5">
      <c r="A1296" s="159">
        <f t="shared" si="12"/>
        <v>1295</v>
      </c>
      <c r="B1296" s="163">
        <v>45789</v>
      </c>
      <c r="C1296" s="164">
        <v>0.86340277777777785</v>
      </c>
      <c r="D1296" s="159">
        <v>10</v>
      </c>
      <c r="E1296" s="166" t="s">
        <v>1322</v>
      </c>
    </row>
    <row r="1297" spans="1:5">
      <c r="A1297" s="159">
        <f t="shared" si="12"/>
        <v>1296</v>
      </c>
      <c r="B1297" s="163">
        <v>45789</v>
      </c>
      <c r="C1297" s="164">
        <v>0.82972222222222225</v>
      </c>
      <c r="D1297" s="159">
        <v>10</v>
      </c>
      <c r="E1297" s="166" t="s">
        <v>1323</v>
      </c>
    </row>
    <row r="1298" spans="1:5">
      <c r="A1298" s="159">
        <f t="shared" si="12"/>
        <v>1297</v>
      </c>
      <c r="B1298" s="163">
        <v>45789</v>
      </c>
      <c r="C1298" s="164">
        <v>0.82856481481481481</v>
      </c>
      <c r="D1298" s="159">
        <v>10</v>
      </c>
      <c r="E1298" s="166" t="s">
        <v>1324</v>
      </c>
    </row>
    <row r="1299" spans="1:5">
      <c r="A1299" s="159">
        <f t="shared" si="12"/>
        <v>1298</v>
      </c>
      <c r="B1299" s="163">
        <v>45789</v>
      </c>
      <c r="C1299" s="164">
        <v>0.78893518518518524</v>
      </c>
      <c r="D1299" s="159">
        <v>10</v>
      </c>
      <c r="E1299" s="166" t="s">
        <v>132</v>
      </c>
    </row>
    <row r="1300" spans="1:5" ht="27">
      <c r="A1300" s="159">
        <f t="shared" si="12"/>
        <v>1299</v>
      </c>
      <c r="B1300" s="163">
        <v>45789</v>
      </c>
      <c r="C1300" s="164">
        <v>0.73711805555555554</v>
      </c>
      <c r="D1300" s="159">
        <v>10</v>
      </c>
      <c r="E1300" s="166" t="s">
        <v>1325</v>
      </c>
    </row>
    <row r="1301" spans="1:5">
      <c r="A1301" s="159">
        <f t="shared" si="12"/>
        <v>1300</v>
      </c>
      <c r="B1301" s="163">
        <v>45789</v>
      </c>
      <c r="C1301" s="164">
        <v>0.72973379629629631</v>
      </c>
      <c r="D1301" s="159">
        <v>10</v>
      </c>
      <c r="E1301" s="166" t="s">
        <v>1326</v>
      </c>
    </row>
    <row r="1302" spans="1:5">
      <c r="A1302" s="159">
        <f t="shared" si="12"/>
        <v>1301</v>
      </c>
      <c r="B1302" s="163">
        <v>45789</v>
      </c>
      <c r="C1302" s="164">
        <v>0.72945601851851849</v>
      </c>
      <c r="D1302" s="159">
        <v>10</v>
      </c>
      <c r="E1302" s="166" t="s">
        <v>1327</v>
      </c>
    </row>
    <row r="1303" spans="1:5">
      <c r="A1303" s="159">
        <f t="shared" si="12"/>
        <v>1302</v>
      </c>
      <c r="B1303" s="163">
        <v>45789</v>
      </c>
      <c r="C1303" s="164">
        <v>0.72436342592592595</v>
      </c>
      <c r="D1303" s="159">
        <v>10</v>
      </c>
      <c r="E1303" s="166" t="s">
        <v>1328</v>
      </c>
    </row>
    <row r="1304" spans="1:5">
      <c r="A1304" s="159">
        <f t="shared" si="12"/>
        <v>1303</v>
      </c>
      <c r="B1304" s="163">
        <v>45789</v>
      </c>
      <c r="C1304" s="164">
        <v>0.71099537037037042</v>
      </c>
      <c r="D1304" s="159">
        <v>10</v>
      </c>
      <c r="E1304" s="166" t="s">
        <v>1329</v>
      </c>
    </row>
    <row r="1305" spans="1:5">
      <c r="A1305" s="159">
        <f t="shared" si="12"/>
        <v>1304</v>
      </c>
      <c r="B1305" s="163">
        <v>45789</v>
      </c>
      <c r="C1305" s="164">
        <v>0.70724537037037039</v>
      </c>
      <c r="D1305" s="159">
        <v>10</v>
      </c>
      <c r="E1305" s="166" t="s">
        <v>1330</v>
      </c>
    </row>
    <row r="1306" spans="1:5" ht="27">
      <c r="A1306" s="159">
        <f t="shared" si="12"/>
        <v>1305</v>
      </c>
      <c r="B1306" s="163">
        <v>45789</v>
      </c>
      <c r="C1306" s="164">
        <v>0.70130787037037035</v>
      </c>
      <c r="D1306" s="159">
        <v>10</v>
      </c>
      <c r="E1306" s="166" t="s">
        <v>1331</v>
      </c>
    </row>
    <row r="1307" spans="1:5">
      <c r="A1307" s="159">
        <f t="shared" si="12"/>
        <v>1306</v>
      </c>
      <c r="B1307" s="163">
        <v>45789</v>
      </c>
      <c r="C1307" s="164">
        <v>0.70082175925925927</v>
      </c>
      <c r="D1307" s="159">
        <v>10</v>
      </c>
      <c r="E1307" s="166" t="s">
        <v>1332</v>
      </c>
    </row>
    <row r="1308" spans="1:5">
      <c r="A1308" s="159">
        <f t="shared" si="12"/>
        <v>1307</v>
      </c>
      <c r="B1308" s="163">
        <v>45789</v>
      </c>
      <c r="C1308" s="164">
        <v>0.69328703703703709</v>
      </c>
      <c r="D1308" s="159">
        <v>10</v>
      </c>
      <c r="E1308" s="166" t="s">
        <v>1333</v>
      </c>
    </row>
    <row r="1309" spans="1:5">
      <c r="A1309" s="159">
        <f t="shared" si="12"/>
        <v>1308</v>
      </c>
      <c r="B1309" s="163">
        <v>45789</v>
      </c>
      <c r="C1309" s="164">
        <v>0.69276620370370379</v>
      </c>
      <c r="D1309" s="159">
        <v>10</v>
      </c>
      <c r="E1309" s="166" t="s">
        <v>1334</v>
      </c>
    </row>
    <row r="1310" spans="1:5">
      <c r="A1310" s="159">
        <f t="shared" si="12"/>
        <v>1309</v>
      </c>
      <c r="B1310" s="163">
        <v>45789</v>
      </c>
      <c r="C1310" s="164">
        <v>0.67497685185185186</v>
      </c>
      <c r="D1310" s="159">
        <v>10</v>
      </c>
      <c r="E1310" s="166" t="s">
        <v>1335</v>
      </c>
    </row>
    <row r="1311" spans="1:5">
      <c r="A1311" s="159">
        <f t="shared" si="12"/>
        <v>1310</v>
      </c>
      <c r="B1311" s="163">
        <v>45789</v>
      </c>
      <c r="C1311" s="164">
        <v>0.67457175925925927</v>
      </c>
      <c r="D1311" s="159">
        <v>10</v>
      </c>
      <c r="E1311" s="166" t="s">
        <v>1336</v>
      </c>
    </row>
    <row r="1312" spans="1:5">
      <c r="A1312" s="159">
        <f t="shared" si="12"/>
        <v>1311</v>
      </c>
      <c r="B1312" s="163">
        <v>45789</v>
      </c>
      <c r="C1312" s="164">
        <v>0.67321759259259262</v>
      </c>
      <c r="D1312" s="159">
        <v>10</v>
      </c>
      <c r="E1312" s="166" t="s">
        <v>1337</v>
      </c>
    </row>
    <row r="1313" spans="1:5">
      <c r="A1313" s="159">
        <f t="shared" si="12"/>
        <v>1312</v>
      </c>
      <c r="B1313" s="163">
        <v>45789</v>
      </c>
      <c r="C1313" s="164">
        <v>0.67025462962962967</v>
      </c>
      <c r="D1313" s="159">
        <v>10</v>
      </c>
      <c r="E1313" s="166" t="s">
        <v>1338</v>
      </c>
    </row>
    <row r="1314" spans="1:5">
      <c r="A1314" s="159">
        <f t="shared" si="12"/>
        <v>1313</v>
      </c>
      <c r="B1314" s="163">
        <v>45789</v>
      </c>
      <c r="C1314" s="164">
        <v>0.66432870370370367</v>
      </c>
      <c r="D1314" s="159">
        <v>10</v>
      </c>
      <c r="E1314" s="166" t="s">
        <v>1339</v>
      </c>
    </row>
    <row r="1315" spans="1:5">
      <c r="A1315" s="159">
        <f t="shared" si="12"/>
        <v>1314</v>
      </c>
      <c r="B1315" s="163">
        <v>45789</v>
      </c>
      <c r="C1315" s="164">
        <v>0.66328703703703706</v>
      </c>
      <c r="D1315" s="159">
        <v>10</v>
      </c>
      <c r="E1315" s="166" t="s">
        <v>1340</v>
      </c>
    </row>
    <row r="1316" spans="1:5">
      <c r="A1316" s="159">
        <f t="shared" si="12"/>
        <v>1315</v>
      </c>
      <c r="B1316" s="163">
        <v>45789</v>
      </c>
      <c r="C1316" s="164">
        <v>0.65494212962962961</v>
      </c>
      <c r="D1316" s="159">
        <v>10</v>
      </c>
      <c r="E1316" s="166" t="s">
        <v>1341</v>
      </c>
    </row>
    <row r="1317" spans="1:5">
      <c r="A1317" s="159">
        <f t="shared" si="12"/>
        <v>1316</v>
      </c>
      <c r="B1317" s="163">
        <v>45789</v>
      </c>
      <c r="C1317" s="164">
        <v>0.64848379629629627</v>
      </c>
      <c r="D1317" s="159">
        <v>10</v>
      </c>
      <c r="E1317" s="166" t="s">
        <v>246</v>
      </c>
    </row>
    <row r="1318" spans="1:5">
      <c r="A1318" s="159">
        <f t="shared" si="12"/>
        <v>1317</v>
      </c>
      <c r="B1318" s="163">
        <v>45789</v>
      </c>
      <c r="C1318" s="164">
        <v>0.64621527777777776</v>
      </c>
      <c r="D1318" s="159">
        <v>10</v>
      </c>
      <c r="E1318" s="166" t="s">
        <v>1342</v>
      </c>
    </row>
    <row r="1319" spans="1:5">
      <c r="A1319" s="159">
        <f t="shared" si="12"/>
        <v>1318</v>
      </c>
      <c r="B1319" s="163">
        <v>45789</v>
      </c>
      <c r="C1319" s="164">
        <v>0.64258101851851845</v>
      </c>
      <c r="D1319" s="159">
        <v>10</v>
      </c>
      <c r="E1319" s="166" t="s">
        <v>1343</v>
      </c>
    </row>
    <row r="1320" spans="1:5">
      <c r="A1320" s="159">
        <f t="shared" si="12"/>
        <v>1319</v>
      </c>
      <c r="B1320" s="163">
        <v>45789</v>
      </c>
      <c r="C1320" s="164">
        <v>0.64255787037037038</v>
      </c>
      <c r="D1320" s="159">
        <v>10</v>
      </c>
      <c r="E1320" s="166" t="s">
        <v>1344</v>
      </c>
    </row>
    <row r="1321" spans="1:5" ht="27">
      <c r="A1321" s="159">
        <f t="shared" si="12"/>
        <v>1320</v>
      </c>
      <c r="B1321" s="163">
        <v>45789</v>
      </c>
      <c r="C1321" s="164">
        <v>0.64</v>
      </c>
      <c r="D1321" s="159">
        <v>10</v>
      </c>
      <c r="E1321" s="166" t="s">
        <v>1345</v>
      </c>
    </row>
    <row r="1322" spans="1:5">
      <c r="A1322" s="159">
        <f t="shared" si="12"/>
        <v>1321</v>
      </c>
      <c r="B1322" s="163">
        <v>45789</v>
      </c>
      <c r="C1322" s="164">
        <v>0.63952546296296298</v>
      </c>
      <c r="D1322" s="159">
        <v>10</v>
      </c>
      <c r="E1322" s="166" t="s">
        <v>179</v>
      </c>
    </row>
    <row r="1323" spans="1:5">
      <c r="A1323" s="159">
        <f t="shared" si="12"/>
        <v>1322</v>
      </c>
      <c r="B1323" s="163">
        <v>45789</v>
      </c>
      <c r="C1323" s="164">
        <v>0.63413194444444443</v>
      </c>
      <c r="D1323" s="159">
        <v>10</v>
      </c>
      <c r="E1323" s="166" t="s">
        <v>1346</v>
      </c>
    </row>
    <row r="1324" spans="1:5">
      <c r="A1324" s="159">
        <f t="shared" si="12"/>
        <v>1323</v>
      </c>
      <c r="B1324" s="163">
        <v>45789</v>
      </c>
      <c r="C1324" s="164">
        <v>0.62162037037037032</v>
      </c>
      <c r="D1324" s="159">
        <v>10</v>
      </c>
      <c r="E1324" s="166" t="s">
        <v>1347</v>
      </c>
    </row>
    <row r="1325" spans="1:5">
      <c r="A1325" s="159">
        <f t="shared" si="12"/>
        <v>1324</v>
      </c>
      <c r="B1325" s="163">
        <v>45789</v>
      </c>
      <c r="C1325" s="164">
        <v>0.62168981481481478</v>
      </c>
      <c r="D1325" s="159">
        <v>10</v>
      </c>
      <c r="E1325" s="166" t="s">
        <v>1348</v>
      </c>
    </row>
    <row r="1326" spans="1:5">
      <c r="A1326" s="159">
        <f t="shared" si="12"/>
        <v>1325</v>
      </c>
      <c r="B1326" s="163">
        <v>45789</v>
      </c>
      <c r="C1326" s="164">
        <v>0.6077893518518519</v>
      </c>
      <c r="D1326" s="159">
        <v>10</v>
      </c>
      <c r="E1326" s="166" t="s">
        <v>1349</v>
      </c>
    </row>
    <row r="1327" spans="1:5">
      <c r="A1327" s="159">
        <f t="shared" si="12"/>
        <v>1326</v>
      </c>
      <c r="B1327" s="163">
        <v>45789</v>
      </c>
      <c r="C1327" s="164">
        <v>0.5980671296296296</v>
      </c>
      <c r="D1327" s="159">
        <v>10</v>
      </c>
      <c r="E1327" s="166" t="s">
        <v>1350</v>
      </c>
    </row>
    <row r="1328" spans="1:5">
      <c r="A1328" s="159">
        <f t="shared" si="12"/>
        <v>1327</v>
      </c>
      <c r="B1328" s="163">
        <v>45789</v>
      </c>
      <c r="C1328" s="164">
        <v>0.59527777777777779</v>
      </c>
      <c r="D1328" s="159">
        <v>10</v>
      </c>
      <c r="E1328" s="166" t="s">
        <v>1351</v>
      </c>
    </row>
    <row r="1329" spans="1:5">
      <c r="A1329" s="159">
        <f t="shared" si="12"/>
        <v>1328</v>
      </c>
      <c r="B1329" s="163">
        <v>45789</v>
      </c>
      <c r="C1329" s="164">
        <v>0.59253472222222225</v>
      </c>
      <c r="D1329" s="159">
        <v>10</v>
      </c>
      <c r="E1329" s="166" t="s">
        <v>1352</v>
      </c>
    </row>
    <row r="1330" spans="1:5">
      <c r="A1330" s="159">
        <f t="shared" si="12"/>
        <v>1329</v>
      </c>
      <c r="B1330" s="163">
        <v>45789</v>
      </c>
      <c r="C1330" s="164">
        <v>0.57981481481481478</v>
      </c>
      <c r="D1330" s="159">
        <v>10</v>
      </c>
      <c r="E1330" s="166" t="s">
        <v>1353</v>
      </c>
    </row>
    <row r="1331" spans="1:5">
      <c r="A1331" s="159">
        <f t="shared" si="12"/>
        <v>1330</v>
      </c>
      <c r="B1331" s="163">
        <v>45789</v>
      </c>
      <c r="C1331" s="164">
        <v>0.57196759259259256</v>
      </c>
      <c r="D1331" s="159">
        <v>10</v>
      </c>
      <c r="E1331" s="166" t="s">
        <v>1354</v>
      </c>
    </row>
    <row r="1332" spans="1:5">
      <c r="A1332" s="159">
        <f t="shared" si="12"/>
        <v>1331</v>
      </c>
      <c r="B1332" s="163">
        <v>45789</v>
      </c>
      <c r="C1332" s="164">
        <v>0.56807870370370372</v>
      </c>
      <c r="D1332" s="159">
        <v>10</v>
      </c>
      <c r="E1332" s="166" t="s">
        <v>1355</v>
      </c>
    </row>
    <row r="1333" spans="1:5">
      <c r="A1333" s="159">
        <f t="shared" ref="A1333:A1396" si="13">ROW()-1</f>
        <v>1332</v>
      </c>
      <c r="B1333" s="163">
        <v>45789</v>
      </c>
      <c r="C1333" s="164">
        <v>0.56432870370370369</v>
      </c>
      <c r="D1333" s="159">
        <v>10</v>
      </c>
      <c r="E1333" s="166" t="s">
        <v>1356</v>
      </c>
    </row>
    <row r="1334" spans="1:5">
      <c r="A1334" s="159">
        <f t="shared" si="13"/>
        <v>1333</v>
      </c>
      <c r="B1334" s="163">
        <v>45789</v>
      </c>
      <c r="C1334" s="164">
        <v>0.50593750000000004</v>
      </c>
      <c r="D1334" s="159">
        <v>10</v>
      </c>
      <c r="E1334" s="166" t="s">
        <v>1357</v>
      </c>
    </row>
    <row r="1335" spans="1:5">
      <c r="A1335" s="159">
        <f t="shared" si="13"/>
        <v>1334</v>
      </c>
      <c r="B1335" s="163">
        <v>45789</v>
      </c>
      <c r="C1335" s="164">
        <v>0.50523148148148145</v>
      </c>
      <c r="D1335" s="159">
        <v>10</v>
      </c>
      <c r="E1335" s="166" t="s">
        <v>1358</v>
      </c>
    </row>
    <row r="1336" spans="1:5">
      <c r="A1336" s="159">
        <f t="shared" si="13"/>
        <v>1335</v>
      </c>
      <c r="B1336" s="163">
        <v>45789</v>
      </c>
      <c r="C1336" s="164">
        <v>0.49130787037037038</v>
      </c>
      <c r="D1336" s="159">
        <v>10</v>
      </c>
      <c r="E1336" s="166" t="s">
        <v>1373</v>
      </c>
    </row>
    <row r="1337" spans="1:5">
      <c r="A1337" s="159">
        <f t="shared" si="13"/>
        <v>1336</v>
      </c>
      <c r="B1337" s="163">
        <v>45789</v>
      </c>
      <c r="C1337" s="164">
        <v>0.48548611111111112</v>
      </c>
      <c r="D1337" s="159">
        <v>10</v>
      </c>
      <c r="E1337" s="166" t="s">
        <v>1359</v>
      </c>
    </row>
    <row r="1338" spans="1:5">
      <c r="A1338" s="159">
        <f t="shared" si="13"/>
        <v>1337</v>
      </c>
      <c r="B1338" s="163">
        <v>45789</v>
      </c>
      <c r="C1338" s="164">
        <v>0.47658564814814813</v>
      </c>
      <c r="D1338" s="159">
        <v>10</v>
      </c>
      <c r="E1338" s="166" t="s">
        <v>1360</v>
      </c>
    </row>
    <row r="1339" spans="1:5">
      <c r="A1339" s="159">
        <f t="shared" si="13"/>
        <v>1338</v>
      </c>
      <c r="B1339" s="163">
        <v>45789</v>
      </c>
      <c r="C1339" s="164">
        <v>0.46356481481481482</v>
      </c>
      <c r="D1339" s="159">
        <v>10</v>
      </c>
      <c r="E1339" s="166" t="s">
        <v>1361</v>
      </c>
    </row>
    <row r="1340" spans="1:5">
      <c r="A1340" s="159">
        <f t="shared" si="13"/>
        <v>1339</v>
      </c>
      <c r="B1340" s="163">
        <v>45789</v>
      </c>
      <c r="C1340" s="164">
        <v>0.46212962962962961</v>
      </c>
      <c r="D1340" s="159">
        <v>10</v>
      </c>
      <c r="E1340" s="166" t="s">
        <v>1362</v>
      </c>
    </row>
    <row r="1341" spans="1:5">
      <c r="A1341" s="159">
        <f t="shared" si="13"/>
        <v>1340</v>
      </c>
      <c r="B1341" s="163">
        <v>45789</v>
      </c>
      <c r="C1341" s="164">
        <v>0.45910879629629631</v>
      </c>
      <c r="D1341" s="159">
        <v>10</v>
      </c>
      <c r="E1341" s="166" t="s">
        <v>1363</v>
      </c>
    </row>
    <row r="1342" spans="1:5">
      <c r="A1342" s="159">
        <f t="shared" si="13"/>
        <v>1341</v>
      </c>
      <c r="B1342" s="163">
        <v>45789</v>
      </c>
      <c r="C1342" s="164">
        <v>0.44991898148148146</v>
      </c>
      <c r="D1342" s="159">
        <v>10</v>
      </c>
      <c r="E1342" s="166" t="s">
        <v>1364</v>
      </c>
    </row>
    <row r="1343" spans="1:5">
      <c r="A1343" s="159">
        <f t="shared" si="13"/>
        <v>1342</v>
      </c>
      <c r="B1343" s="163">
        <v>45789</v>
      </c>
      <c r="C1343" s="164">
        <v>0.44458333333333333</v>
      </c>
      <c r="D1343" s="159">
        <v>10</v>
      </c>
      <c r="E1343" s="166" t="s">
        <v>132</v>
      </c>
    </row>
    <row r="1344" spans="1:5">
      <c r="A1344" s="159">
        <f t="shared" si="13"/>
        <v>1343</v>
      </c>
      <c r="B1344" s="163">
        <v>45789</v>
      </c>
      <c r="C1344" s="164">
        <v>0.4337152777777778</v>
      </c>
      <c r="D1344" s="159">
        <v>10</v>
      </c>
      <c r="E1344" s="166" t="s">
        <v>1365</v>
      </c>
    </row>
    <row r="1345" spans="1:5">
      <c r="A1345" s="159">
        <f t="shared" si="13"/>
        <v>1344</v>
      </c>
      <c r="B1345" s="163">
        <v>45789</v>
      </c>
      <c r="C1345" s="164">
        <v>0.41788194444444443</v>
      </c>
      <c r="D1345" s="159">
        <v>10</v>
      </c>
      <c r="E1345" s="166" t="s">
        <v>1372</v>
      </c>
    </row>
    <row r="1346" spans="1:5">
      <c r="A1346" s="159">
        <f t="shared" si="13"/>
        <v>1345</v>
      </c>
      <c r="B1346" s="163">
        <v>45789</v>
      </c>
      <c r="C1346" s="164">
        <v>0.40869212962962959</v>
      </c>
      <c r="D1346" s="159">
        <v>10</v>
      </c>
      <c r="E1346" s="166" t="s">
        <v>1366</v>
      </c>
    </row>
    <row r="1347" spans="1:5">
      <c r="A1347" s="159">
        <f t="shared" si="13"/>
        <v>1346</v>
      </c>
      <c r="B1347" s="163">
        <v>45789</v>
      </c>
      <c r="C1347" s="164">
        <v>0.40105324074074072</v>
      </c>
      <c r="D1347" s="159">
        <v>10</v>
      </c>
      <c r="E1347" s="166" t="s">
        <v>1367</v>
      </c>
    </row>
    <row r="1348" spans="1:5">
      <c r="A1348" s="159">
        <f t="shared" si="13"/>
        <v>1347</v>
      </c>
      <c r="B1348" s="163">
        <v>45789</v>
      </c>
      <c r="C1348" s="164">
        <v>0.39629629629629631</v>
      </c>
      <c r="D1348" s="159">
        <v>10</v>
      </c>
      <c r="E1348" s="166" t="s">
        <v>1368</v>
      </c>
    </row>
    <row r="1349" spans="1:5">
      <c r="A1349" s="159">
        <f t="shared" si="13"/>
        <v>1348</v>
      </c>
      <c r="B1349" s="163">
        <v>45789</v>
      </c>
      <c r="C1349" s="164">
        <v>0.38644675925925925</v>
      </c>
      <c r="D1349" s="159">
        <v>10</v>
      </c>
      <c r="E1349" s="166" t="s">
        <v>1369</v>
      </c>
    </row>
    <row r="1350" spans="1:5">
      <c r="A1350" s="159">
        <f t="shared" si="13"/>
        <v>1349</v>
      </c>
      <c r="B1350" s="163">
        <v>45789</v>
      </c>
      <c r="C1350" s="164">
        <v>0.38437499999999997</v>
      </c>
      <c r="D1350" s="159">
        <v>10</v>
      </c>
      <c r="E1350" s="166" t="s">
        <v>1370</v>
      </c>
    </row>
    <row r="1351" spans="1:5">
      <c r="A1351" s="159">
        <f t="shared" si="13"/>
        <v>1350</v>
      </c>
      <c r="B1351" s="163">
        <v>45789</v>
      </c>
      <c r="C1351" s="164">
        <v>0.38089120370370372</v>
      </c>
      <c r="D1351" s="159">
        <v>10</v>
      </c>
      <c r="E1351" s="166" t="s">
        <v>1371</v>
      </c>
    </row>
    <row r="1352" spans="1:5">
      <c r="A1352" s="159">
        <f t="shared" si="13"/>
        <v>1351</v>
      </c>
      <c r="B1352" s="163">
        <v>45790</v>
      </c>
      <c r="C1352" s="164">
        <v>0.90274305555555545</v>
      </c>
      <c r="D1352" s="159">
        <v>10</v>
      </c>
      <c r="E1352" s="166" t="s">
        <v>1374</v>
      </c>
    </row>
    <row r="1353" spans="1:5">
      <c r="A1353" s="159">
        <f t="shared" si="13"/>
        <v>1352</v>
      </c>
      <c r="B1353" s="163">
        <v>45790</v>
      </c>
      <c r="C1353" s="164">
        <v>0.87813657407407408</v>
      </c>
      <c r="D1353" s="159">
        <v>10</v>
      </c>
      <c r="E1353" s="166" t="s">
        <v>1375</v>
      </c>
    </row>
    <row r="1354" spans="1:5">
      <c r="A1354" s="159">
        <f t="shared" si="13"/>
        <v>1353</v>
      </c>
      <c r="B1354" s="163">
        <v>45790</v>
      </c>
      <c r="C1354" s="164">
        <v>0.87067129629629625</v>
      </c>
      <c r="D1354" s="159">
        <v>10</v>
      </c>
      <c r="E1354" s="166" t="s">
        <v>1376</v>
      </c>
    </row>
    <row r="1355" spans="1:5">
      <c r="A1355" s="159">
        <f t="shared" si="13"/>
        <v>1354</v>
      </c>
      <c r="B1355" s="163">
        <v>45790</v>
      </c>
      <c r="C1355" s="164">
        <v>0.86983796296296301</v>
      </c>
      <c r="D1355" s="159">
        <v>10</v>
      </c>
      <c r="E1355" s="166" t="s">
        <v>1377</v>
      </c>
    </row>
    <row r="1356" spans="1:5" ht="27">
      <c r="A1356" s="159">
        <f t="shared" si="13"/>
        <v>1355</v>
      </c>
      <c r="B1356" s="163">
        <v>45790</v>
      </c>
      <c r="C1356" s="164">
        <v>0.84929398148148139</v>
      </c>
      <c r="D1356" s="159">
        <v>10</v>
      </c>
      <c r="E1356" s="166" t="s">
        <v>1378</v>
      </c>
    </row>
    <row r="1357" spans="1:5">
      <c r="A1357" s="159">
        <f t="shared" si="13"/>
        <v>1356</v>
      </c>
      <c r="B1357" s="163">
        <v>45790</v>
      </c>
      <c r="C1357" s="164">
        <v>0.83936342592592583</v>
      </c>
      <c r="D1357" s="159">
        <v>10</v>
      </c>
      <c r="E1357" s="166" t="s">
        <v>1379</v>
      </c>
    </row>
    <row r="1358" spans="1:5">
      <c r="A1358" s="159">
        <f t="shared" si="13"/>
        <v>1357</v>
      </c>
      <c r="B1358" s="163">
        <v>45790</v>
      </c>
      <c r="C1358" s="164">
        <v>0.80292824074074076</v>
      </c>
      <c r="D1358" s="159">
        <v>10</v>
      </c>
      <c r="E1358" s="166" t="s">
        <v>1380</v>
      </c>
    </row>
    <row r="1359" spans="1:5">
      <c r="A1359" s="159">
        <f t="shared" si="13"/>
        <v>1358</v>
      </c>
      <c r="B1359" s="163">
        <v>45790</v>
      </c>
      <c r="C1359" s="164">
        <v>0.79065972222222225</v>
      </c>
      <c r="D1359" s="159">
        <v>10</v>
      </c>
      <c r="E1359" s="166" t="s">
        <v>1381</v>
      </c>
    </row>
    <row r="1360" spans="1:5">
      <c r="A1360" s="159">
        <f t="shared" si="13"/>
        <v>1359</v>
      </c>
      <c r="B1360" s="163">
        <v>45790</v>
      </c>
      <c r="C1360" s="164">
        <v>0.7901273148148148</v>
      </c>
      <c r="D1360" s="159">
        <v>10</v>
      </c>
      <c r="E1360" s="166" t="s">
        <v>1382</v>
      </c>
    </row>
    <row r="1361" spans="1:5">
      <c r="A1361" s="159">
        <f t="shared" si="13"/>
        <v>1360</v>
      </c>
      <c r="B1361" s="163">
        <v>45790</v>
      </c>
      <c r="C1361" s="164">
        <v>0.78298611111111116</v>
      </c>
      <c r="D1361" s="159">
        <v>10</v>
      </c>
      <c r="E1361" s="166" t="s">
        <v>1383</v>
      </c>
    </row>
    <row r="1362" spans="1:5">
      <c r="A1362" s="159">
        <f t="shared" si="13"/>
        <v>1361</v>
      </c>
      <c r="B1362" s="163">
        <v>45790</v>
      </c>
      <c r="C1362" s="164">
        <v>0.75868055555555547</v>
      </c>
      <c r="D1362" s="159">
        <v>10</v>
      </c>
      <c r="E1362" s="166" t="s">
        <v>1384</v>
      </c>
    </row>
    <row r="1363" spans="1:5">
      <c r="A1363" s="159">
        <f t="shared" si="13"/>
        <v>1362</v>
      </c>
      <c r="B1363" s="163">
        <v>45790</v>
      </c>
      <c r="C1363" s="164">
        <v>0.74796296296296294</v>
      </c>
      <c r="D1363" s="159">
        <v>10</v>
      </c>
      <c r="E1363" s="166" t="s">
        <v>1385</v>
      </c>
    </row>
    <row r="1364" spans="1:5">
      <c r="A1364" s="159">
        <f t="shared" si="13"/>
        <v>1363</v>
      </c>
      <c r="B1364" s="163">
        <v>45790</v>
      </c>
      <c r="C1364" s="164">
        <v>0.73621527777777773</v>
      </c>
      <c r="D1364" s="159">
        <v>9</v>
      </c>
      <c r="E1364" s="166" t="s">
        <v>1386</v>
      </c>
    </row>
    <row r="1365" spans="1:5">
      <c r="A1365" s="159">
        <f t="shared" si="13"/>
        <v>1364</v>
      </c>
      <c r="B1365" s="163">
        <v>45790</v>
      </c>
      <c r="C1365" s="164">
        <v>0.7316435185185185</v>
      </c>
      <c r="D1365" s="159">
        <v>10</v>
      </c>
      <c r="E1365" s="166" t="s">
        <v>1387</v>
      </c>
    </row>
    <row r="1366" spans="1:5">
      <c r="A1366" s="159">
        <f t="shared" si="13"/>
        <v>1365</v>
      </c>
      <c r="B1366" s="163">
        <v>45790</v>
      </c>
      <c r="C1366" s="164">
        <v>0.72942129629629626</v>
      </c>
      <c r="D1366" s="159">
        <v>10</v>
      </c>
      <c r="E1366" s="166" t="s">
        <v>1388</v>
      </c>
    </row>
    <row r="1367" spans="1:5">
      <c r="A1367" s="159">
        <f t="shared" si="13"/>
        <v>1366</v>
      </c>
      <c r="B1367" s="163">
        <v>45790</v>
      </c>
      <c r="C1367" s="164">
        <v>0.71168981481481486</v>
      </c>
      <c r="D1367" s="159">
        <v>10</v>
      </c>
      <c r="E1367" s="166" t="s">
        <v>1389</v>
      </c>
    </row>
    <row r="1368" spans="1:5">
      <c r="A1368" s="159">
        <f t="shared" si="13"/>
        <v>1367</v>
      </c>
      <c r="B1368" s="163">
        <v>45790</v>
      </c>
      <c r="C1368" s="164">
        <v>0.69574074074074066</v>
      </c>
      <c r="D1368" s="159">
        <v>10</v>
      </c>
      <c r="E1368" s="166" t="s">
        <v>1390</v>
      </c>
    </row>
    <row r="1369" spans="1:5">
      <c r="A1369" s="159">
        <f t="shared" si="13"/>
        <v>1368</v>
      </c>
      <c r="B1369" s="163">
        <v>45790</v>
      </c>
      <c r="C1369" s="164">
        <v>0.69491898148148146</v>
      </c>
      <c r="D1369" s="159">
        <v>10</v>
      </c>
      <c r="E1369" s="166" t="s">
        <v>1391</v>
      </c>
    </row>
    <row r="1370" spans="1:5">
      <c r="A1370" s="159">
        <f t="shared" si="13"/>
        <v>1369</v>
      </c>
      <c r="B1370" s="163">
        <v>45790</v>
      </c>
      <c r="C1370" s="164">
        <v>0.69422453703703713</v>
      </c>
      <c r="D1370" s="159">
        <v>10</v>
      </c>
      <c r="E1370" s="166" t="s">
        <v>1392</v>
      </c>
    </row>
    <row r="1371" spans="1:5">
      <c r="A1371" s="159">
        <f t="shared" si="13"/>
        <v>1370</v>
      </c>
      <c r="B1371" s="163">
        <v>45790</v>
      </c>
      <c r="C1371" s="164">
        <v>0.68204861111111104</v>
      </c>
      <c r="D1371" s="159">
        <v>10</v>
      </c>
      <c r="E1371" s="166" t="s">
        <v>1393</v>
      </c>
    </row>
    <row r="1372" spans="1:5">
      <c r="A1372" s="159">
        <f t="shared" si="13"/>
        <v>1371</v>
      </c>
      <c r="B1372" s="163">
        <v>45790</v>
      </c>
      <c r="C1372" s="164">
        <v>0.67704861111111114</v>
      </c>
      <c r="D1372" s="159">
        <v>10</v>
      </c>
      <c r="E1372" s="166" t="s">
        <v>132</v>
      </c>
    </row>
    <row r="1373" spans="1:5">
      <c r="A1373" s="159">
        <f t="shared" si="13"/>
        <v>1372</v>
      </c>
      <c r="B1373" s="163">
        <v>45790</v>
      </c>
      <c r="C1373" s="164">
        <v>0.67453703703703705</v>
      </c>
      <c r="D1373" s="159">
        <v>10</v>
      </c>
      <c r="E1373" s="166" t="s">
        <v>132</v>
      </c>
    </row>
    <row r="1374" spans="1:5">
      <c r="A1374" s="159">
        <f t="shared" si="13"/>
        <v>1373</v>
      </c>
      <c r="B1374" s="163">
        <v>45790</v>
      </c>
      <c r="C1374" s="164">
        <v>0.6737847222222223</v>
      </c>
      <c r="D1374" s="159">
        <v>10</v>
      </c>
      <c r="E1374" s="166" t="s">
        <v>1394</v>
      </c>
    </row>
    <row r="1375" spans="1:5">
      <c r="A1375" s="159">
        <f t="shared" si="13"/>
        <v>1374</v>
      </c>
      <c r="B1375" s="163">
        <v>45790</v>
      </c>
      <c r="C1375" s="164">
        <v>0.67099537037037038</v>
      </c>
      <c r="D1375" s="159">
        <v>10</v>
      </c>
      <c r="E1375" s="166" t="s">
        <v>1395</v>
      </c>
    </row>
    <row r="1376" spans="1:5">
      <c r="A1376" s="159">
        <f t="shared" si="13"/>
        <v>1375</v>
      </c>
      <c r="B1376" s="163">
        <v>45790</v>
      </c>
      <c r="C1376" s="164">
        <v>0.66121527777777778</v>
      </c>
      <c r="D1376" s="159">
        <v>10</v>
      </c>
      <c r="E1376" s="166" t="s">
        <v>1429</v>
      </c>
    </row>
    <row r="1377" spans="1:5">
      <c r="A1377" s="159">
        <f t="shared" si="13"/>
        <v>1376</v>
      </c>
      <c r="B1377" s="163">
        <v>45790</v>
      </c>
      <c r="C1377" s="164">
        <v>0.65814814814814815</v>
      </c>
      <c r="D1377" s="159">
        <v>10</v>
      </c>
      <c r="E1377" s="166" t="s">
        <v>1396</v>
      </c>
    </row>
    <row r="1378" spans="1:5">
      <c r="A1378" s="159">
        <f t="shared" si="13"/>
        <v>1377</v>
      </c>
      <c r="B1378" s="163">
        <v>45790</v>
      </c>
      <c r="C1378" s="164">
        <v>0.6489583333333333</v>
      </c>
      <c r="D1378" s="159">
        <v>10</v>
      </c>
      <c r="E1378" s="166" t="s">
        <v>1397</v>
      </c>
    </row>
    <row r="1379" spans="1:5">
      <c r="A1379" s="159">
        <f t="shared" si="13"/>
        <v>1378</v>
      </c>
      <c r="B1379" s="163">
        <v>45790</v>
      </c>
      <c r="C1379" s="164">
        <v>0.64876157407407409</v>
      </c>
      <c r="D1379" s="159">
        <v>10</v>
      </c>
      <c r="E1379" s="166" t="s">
        <v>1398</v>
      </c>
    </row>
    <row r="1380" spans="1:5">
      <c r="A1380" s="159">
        <f t="shared" si="13"/>
        <v>1379</v>
      </c>
      <c r="B1380" s="163">
        <v>45790</v>
      </c>
      <c r="C1380" s="164">
        <v>0.64716435185185184</v>
      </c>
      <c r="D1380" s="159">
        <v>10</v>
      </c>
      <c r="E1380" s="166" t="s">
        <v>1399</v>
      </c>
    </row>
    <row r="1381" spans="1:5">
      <c r="A1381" s="159">
        <f t="shared" si="13"/>
        <v>1380</v>
      </c>
      <c r="B1381" s="163">
        <v>45790</v>
      </c>
      <c r="C1381" s="164">
        <v>0.64376157407407408</v>
      </c>
      <c r="D1381" s="159">
        <v>10</v>
      </c>
      <c r="E1381" s="166" t="s">
        <v>1400</v>
      </c>
    </row>
    <row r="1382" spans="1:5">
      <c r="A1382" s="159">
        <f t="shared" si="13"/>
        <v>1381</v>
      </c>
      <c r="B1382" s="163">
        <v>45790</v>
      </c>
      <c r="C1382" s="164">
        <v>0.63027777777777783</v>
      </c>
      <c r="D1382" s="159">
        <v>10</v>
      </c>
      <c r="E1382" s="166" t="s">
        <v>1401</v>
      </c>
    </row>
    <row r="1383" spans="1:5">
      <c r="A1383" s="159">
        <f t="shared" si="13"/>
        <v>1382</v>
      </c>
      <c r="B1383" s="163">
        <v>45790</v>
      </c>
      <c r="C1383" s="164">
        <v>0.62334490740740744</v>
      </c>
      <c r="D1383" s="159">
        <v>10</v>
      </c>
      <c r="E1383" s="166" t="s">
        <v>1402</v>
      </c>
    </row>
    <row r="1384" spans="1:5">
      <c r="A1384" s="159">
        <f t="shared" si="13"/>
        <v>1383</v>
      </c>
      <c r="B1384" s="163">
        <v>45790</v>
      </c>
      <c r="C1384" s="164">
        <v>0.62313657407407408</v>
      </c>
      <c r="D1384" s="159">
        <v>10</v>
      </c>
      <c r="E1384" s="166" t="s">
        <v>1403</v>
      </c>
    </row>
    <row r="1385" spans="1:5">
      <c r="A1385" s="159">
        <f t="shared" si="13"/>
        <v>1384</v>
      </c>
      <c r="B1385" s="163">
        <v>45790</v>
      </c>
      <c r="C1385" s="164">
        <v>0.61724537037037031</v>
      </c>
      <c r="D1385" s="159">
        <v>10</v>
      </c>
      <c r="E1385" s="166" t="s">
        <v>1404</v>
      </c>
    </row>
    <row r="1386" spans="1:5">
      <c r="A1386" s="159">
        <f t="shared" si="13"/>
        <v>1385</v>
      </c>
      <c r="B1386" s="163">
        <v>45790</v>
      </c>
      <c r="C1386" s="164">
        <v>0.60321759259259256</v>
      </c>
      <c r="D1386" s="159">
        <v>10</v>
      </c>
      <c r="E1386" s="166" t="s">
        <v>433</v>
      </c>
    </row>
    <row r="1387" spans="1:5">
      <c r="A1387" s="159">
        <f t="shared" si="13"/>
        <v>1386</v>
      </c>
      <c r="B1387" s="163">
        <v>45790</v>
      </c>
      <c r="C1387" s="164">
        <v>0.59721064814814817</v>
      </c>
      <c r="D1387" s="159">
        <v>10</v>
      </c>
      <c r="E1387" s="166" t="s">
        <v>1405</v>
      </c>
    </row>
    <row r="1388" spans="1:5">
      <c r="A1388" s="159">
        <f t="shared" si="13"/>
        <v>1387</v>
      </c>
      <c r="B1388" s="163">
        <v>45790</v>
      </c>
      <c r="C1388" s="164">
        <v>0.59362268518518524</v>
      </c>
      <c r="D1388" s="159">
        <v>10</v>
      </c>
      <c r="E1388" s="166" t="s">
        <v>1406</v>
      </c>
    </row>
    <row r="1389" spans="1:5">
      <c r="A1389" s="159">
        <f t="shared" si="13"/>
        <v>1388</v>
      </c>
      <c r="B1389" s="163">
        <v>45790</v>
      </c>
      <c r="C1389" s="164">
        <v>0.5886689814814815</v>
      </c>
      <c r="D1389" s="159">
        <v>10</v>
      </c>
      <c r="E1389" s="166" t="s">
        <v>1407</v>
      </c>
    </row>
    <row r="1390" spans="1:5">
      <c r="A1390" s="159">
        <f t="shared" si="13"/>
        <v>1389</v>
      </c>
      <c r="B1390" s="163">
        <v>45790</v>
      </c>
      <c r="C1390" s="164">
        <v>0.58292824074074068</v>
      </c>
      <c r="D1390" s="159">
        <v>10</v>
      </c>
      <c r="E1390" s="166" t="s">
        <v>1408</v>
      </c>
    </row>
    <row r="1391" spans="1:5">
      <c r="A1391" s="159">
        <f t="shared" si="13"/>
        <v>1390</v>
      </c>
      <c r="B1391" s="163">
        <v>45790</v>
      </c>
      <c r="C1391" s="164">
        <v>0.58059027777777772</v>
      </c>
      <c r="D1391" s="159">
        <v>10</v>
      </c>
      <c r="E1391" s="166" t="s">
        <v>1409</v>
      </c>
    </row>
    <row r="1392" spans="1:5">
      <c r="A1392" s="159">
        <f t="shared" si="13"/>
        <v>1391</v>
      </c>
      <c r="B1392" s="163">
        <v>45790</v>
      </c>
      <c r="C1392" s="164">
        <v>0.57251157407407405</v>
      </c>
      <c r="D1392" s="159">
        <v>10</v>
      </c>
      <c r="E1392" s="166" t="s">
        <v>1410</v>
      </c>
    </row>
    <row r="1393" spans="1:5">
      <c r="A1393" s="159">
        <f t="shared" si="13"/>
        <v>1392</v>
      </c>
      <c r="B1393" s="163">
        <v>45790</v>
      </c>
      <c r="C1393" s="164">
        <v>0.55409722222222224</v>
      </c>
      <c r="D1393" s="159">
        <v>10</v>
      </c>
      <c r="E1393" s="166" t="s">
        <v>1411</v>
      </c>
    </row>
    <row r="1394" spans="1:5">
      <c r="A1394" s="159">
        <f t="shared" si="13"/>
        <v>1393</v>
      </c>
      <c r="B1394" s="163">
        <v>45790</v>
      </c>
      <c r="C1394" s="164">
        <v>0.55212962962962964</v>
      </c>
      <c r="D1394" s="159">
        <v>10</v>
      </c>
      <c r="E1394" s="166" t="s">
        <v>1412</v>
      </c>
    </row>
    <row r="1395" spans="1:5">
      <c r="A1395" s="159">
        <f t="shared" si="13"/>
        <v>1394</v>
      </c>
      <c r="B1395" s="163">
        <v>45790</v>
      </c>
      <c r="C1395" s="164">
        <v>0.51100694444444439</v>
      </c>
      <c r="D1395" s="159">
        <v>10</v>
      </c>
      <c r="E1395" s="166" t="s">
        <v>1413</v>
      </c>
    </row>
    <row r="1396" spans="1:5">
      <c r="A1396" s="159">
        <f t="shared" si="13"/>
        <v>1395</v>
      </c>
      <c r="B1396" s="163">
        <v>45790</v>
      </c>
      <c r="C1396" s="164">
        <v>0.48996527777777782</v>
      </c>
      <c r="D1396" s="159">
        <v>10</v>
      </c>
      <c r="E1396" s="166" t="s">
        <v>1414</v>
      </c>
    </row>
    <row r="1397" spans="1:5">
      <c r="A1397" s="159">
        <f t="shared" ref="A1397:A1460" si="14">ROW()-1</f>
        <v>1396</v>
      </c>
      <c r="B1397" s="163">
        <v>45790</v>
      </c>
      <c r="C1397" s="164">
        <v>0.48771990740740739</v>
      </c>
      <c r="D1397" s="159">
        <v>10</v>
      </c>
      <c r="E1397" s="166" t="s">
        <v>1428</v>
      </c>
    </row>
    <row r="1398" spans="1:5">
      <c r="A1398" s="159">
        <f t="shared" si="14"/>
        <v>1397</v>
      </c>
      <c r="B1398" s="163">
        <v>45790</v>
      </c>
      <c r="C1398" s="164">
        <v>0.48042824074074075</v>
      </c>
      <c r="D1398" s="159">
        <v>10</v>
      </c>
      <c r="E1398" s="166" t="s">
        <v>1415</v>
      </c>
    </row>
    <row r="1399" spans="1:5">
      <c r="A1399" s="159">
        <f t="shared" si="14"/>
        <v>1398</v>
      </c>
      <c r="B1399" s="163">
        <v>45790</v>
      </c>
      <c r="C1399" s="164">
        <v>0.47265046296296293</v>
      </c>
      <c r="D1399" s="159">
        <v>10</v>
      </c>
      <c r="E1399" s="166" t="s">
        <v>1416</v>
      </c>
    </row>
    <row r="1400" spans="1:5">
      <c r="A1400" s="159">
        <f t="shared" si="14"/>
        <v>1399</v>
      </c>
      <c r="B1400" s="163">
        <v>45790</v>
      </c>
      <c r="C1400" s="164">
        <v>0.4689699074074074</v>
      </c>
      <c r="D1400" s="159">
        <v>10</v>
      </c>
      <c r="E1400" s="166" t="s">
        <v>1417</v>
      </c>
    </row>
    <row r="1401" spans="1:5">
      <c r="A1401" s="159">
        <f t="shared" si="14"/>
        <v>1400</v>
      </c>
      <c r="B1401" s="163">
        <v>45790</v>
      </c>
      <c r="C1401" s="164">
        <v>0.46197916666666666</v>
      </c>
      <c r="D1401" s="159">
        <v>10</v>
      </c>
      <c r="E1401" s="166" t="s">
        <v>1418</v>
      </c>
    </row>
    <row r="1402" spans="1:5">
      <c r="A1402" s="159">
        <f t="shared" si="14"/>
        <v>1401</v>
      </c>
      <c r="B1402" s="163">
        <v>45790</v>
      </c>
      <c r="C1402" s="164">
        <v>0.45568287037037036</v>
      </c>
      <c r="D1402" s="159">
        <v>10</v>
      </c>
      <c r="E1402" s="166" t="s">
        <v>1419</v>
      </c>
    </row>
    <row r="1403" spans="1:5">
      <c r="A1403" s="159">
        <f t="shared" si="14"/>
        <v>1402</v>
      </c>
      <c r="B1403" s="163">
        <v>45790</v>
      </c>
      <c r="C1403" s="164">
        <v>0.44270833333333331</v>
      </c>
      <c r="D1403" s="159">
        <v>10</v>
      </c>
      <c r="E1403" s="166" t="s">
        <v>1420</v>
      </c>
    </row>
    <row r="1404" spans="1:5">
      <c r="A1404" s="159">
        <f t="shared" si="14"/>
        <v>1403</v>
      </c>
      <c r="B1404" s="163">
        <v>45790</v>
      </c>
      <c r="C1404" s="164">
        <v>0.43503472222222223</v>
      </c>
      <c r="D1404" s="159">
        <v>10</v>
      </c>
      <c r="E1404" s="166" t="s">
        <v>288</v>
      </c>
    </row>
    <row r="1405" spans="1:5">
      <c r="A1405" s="159">
        <f t="shared" si="14"/>
        <v>1404</v>
      </c>
      <c r="B1405" s="163">
        <v>45790</v>
      </c>
      <c r="C1405" s="164">
        <v>0.42940972222222223</v>
      </c>
      <c r="D1405" s="159">
        <v>10</v>
      </c>
      <c r="E1405" s="166" t="s">
        <v>1421</v>
      </c>
    </row>
    <row r="1406" spans="1:5">
      <c r="A1406" s="159">
        <f t="shared" si="14"/>
        <v>1405</v>
      </c>
      <c r="B1406" s="163">
        <v>45790</v>
      </c>
      <c r="C1406" s="164">
        <v>0.42886574074074074</v>
      </c>
      <c r="D1406" s="159">
        <v>10</v>
      </c>
      <c r="E1406" s="166" t="s">
        <v>1422</v>
      </c>
    </row>
    <row r="1407" spans="1:5">
      <c r="A1407" s="159">
        <f t="shared" si="14"/>
        <v>1406</v>
      </c>
      <c r="B1407" s="163">
        <v>45790</v>
      </c>
      <c r="C1407" s="164">
        <v>0.40465277777777775</v>
      </c>
      <c r="D1407" s="159">
        <v>10</v>
      </c>
      <c r="E1407" s="166" t="s">
        <v>1423</v>
      </c>
    </row>
    <row r="1408" spans="1:5" ht="40.5">
      <c r="A1408" s="159">
        <f t="shared" si="14"/>
        <v>1407</v>
      </c>
      <c r="B1408" s="163">
        <v>45790</v>
      </c>
      <c r="C1408" s="164">
        <v>0.40291666666666665</v>
      </c>
      <c r="D1408" s="159">
        <v>10</v>
      </c>
      <c r="E1408" s="166" t="s">
        <v>1427</v>
      </c>
    </row>
    <row r="1409" spans="1:5">
      <c r="A1409" s="159">
        <f t="shared" si="14"/>
        <v>1408</v>
      </c>
      <c r="B1409" s="163">
        <v>45790</v>
      </c>
      <c r="C1409" s="164">
        <v>0.39739583333333334</v>
      </c>
      <c r="D1409" s="159">
        <v>10</v>
      </c>
      <c r="E1409" s="166" t="s">
        <v>1424</v>
      </c>
    </row>
    <row r="1410" spans="1:5">
      <c r="A1410" s="159">
        <f t="shared" si="14"/>
        <v>1409</v>
      </c>
      <c r="B1410" s="163">
        <v>45790</v>
      </c>
      <c r="C1410" s="164">
        <v>0.38893518518518522</v>
      </c>
      <c r="D1410" s="159">
        <v>10</v>
      </c>
      <c r="E1410" s="166" t="s">
        <v>1425</v>
      </c>
    </row>
    <row r="1411" spans="1:5">
      <c r="A1411" s="159">
        <f t="shared" si="14"/>
        <v>1410</v>
      </c>
      <c r="B1411" s="163">
        <v>45790</v>
      </c>
      <c r="C1411" s="164">
        <v>0.38787037037037037</v>
      </c>
      <c r="D1411" s="159">
        <v>10</v>
      </c>
      <c r="E1411" s="166" t="s">
        <v>1426</v>
      </c>
    </row>
    <row r="1412" spans="1:5" ht="40.5">
      <c r="A1412" s="159">
        <f t="shared" si="14"/>
        <v>1411</v>
      </c>
      <c r="B1412" s="163">
        <v>45791</v>
      </c>
      <c r="C1412" s="164">
        <v>0.90364583333333337</v>
      </c>
      <c r="D1412" s="159">
        <v>10</v>
      </c>
      <c r="E1412" s="166" t="s">
        <v>1473</v>
      </c>
    </row>
    <row r="1413" spans="1:5">
      <c r="A1413" s="159">
        <f t="shared" si="14"/>
        <v>1412</v>
      </c>
      <c r="B1413" s="163">
        <v>45791</v>
      </c>
      <c r="C1413" s="164">
        <v>0.90019675925925924</v>
      </c>
      <c r="D1413" s="159">
        <v>10</v>
      </c>
      <c r="E1413" s="166" t="s">
        <v>1430</v>
      </c>
    </row>
    <row r="1414" spans="1:5" ht="27">
      <c r="A1414" s="159">
        <f t="shared" si="14"/>
        <v>1413</v>
      </c>
      <c r="B1414" s="163">
        <v>45791</v>
      </c>
      <c r="C1414" s="164">
        <v>0.86324074074074064</v>
      </c>
      <c r="D1414" s="159">
        <v>10</v>
      </c>
      <c r="E1414" s="166" t="s">
        <v>1431</v>
      </c>
    </row>
    <row r="1415" spans="1:5">
      <c r="A1415" s="159">
        <f t="shared" si="14"/>
        <v>1414</v>
      </c>
      <c r="B1415" s="163">
        <v>45791</v>
      </c>
      <c r="C1415" s="164">
        <v>0.86087962962962961</v>
      </c>
      <c r="D1415" s="159">
        <v>10</v>
      </c>
      <c r="E1415" s="166" t="s">
        <v>1432</v>
      </c>
    </row>
    <row r="1416" spans="1:5">
      <c r="A1416" s="159">
        <f t="shared" si="14"/>
        <v>1415</v>
      </c>
      <c r="B1416" s="163">
        <v>45791</v>
      </c>
      <c r="C1416" s="164">
        <v>0.85180555555555559</v>
      </c>
      <c r="D1416" s="159">
        <v>1</v>
      </c>
      <c r="E1416" s="166" t="s">
        <v>1433</v>
      </c>
    </row>
    <row r="1417" spans="1:5">
      <c r="A1417" s="159">
        <f t="shared" si="14"/>
        <v>1416</v>
      </c>
      <c r="B1417" s="163">
        <v>45791</v>
      </c>
      <c r="C1417" s="164">
        <v>0.7912731481481482</v>
      </c>
      <c r="D1417" s="159">
        <v>10</v>
      </c>
      <c r="E1417" s="166" t="s">
        <v>132</v>
      </c>
    </row>
    <row r="1418" spans="1:5">
      <c r="A1418" s="159">
        <f t="shared" si="14"/>
        <v>1417</v>
      </c>
      <c r="B1418" s="163">
        <v>45791</v>
      </c>
      <c r="C1418" s="164">
        <v>0.77619212962962969</v>
      </c>
      <c r="D1418" s="159">
        <v>10</v>
      </c>
      <c r="E1418" s="166" t="s">
        <v>132</v>
      </c>
    </row>
    <row r="1419" spans="1:5">
      <c r="A1419" s="159">
        <f t="shared" si="14"/>
        <v>1418</v>
      </c>
      <c r="B1419" s="163">
        <v>45791</v>
      </c>
      <c r="C1419" s="164">
        <v>0.76317129629629632</v>
      </c>
      <c r="D1419" s="159">
        <v>10</v>
      </c>
      <c r="E1419" s="166" t="s">
        <v>1434</v>
      </c>
    </row>
    <row r="1420" spans="1:5">
      <c r="A1420" s="159">
        <f t="shared" si="14"/>
        <v>1419</v>
      </c>
      <c r="B1420" s="163">
        <v>45791</v>
      </c>
      <c r="C1420" s="164">
        <v>0.75744212962962953</v>
      </c>
      <c r="D1420" s="159">
        <v>10</v>
      </c>
      <c r="E1420" s="166" t="s">
        <v>1435</v>
      </c>
    </row>
    <row r="1421" spans="1:5">
      <c r="A1421" s="159">
        <f t="shared" si="14"/>
        <v>1420</v>
      </c>
      <c r="B1421" s="163">
        <v>45791</v>
      </c>
      <c r="C1421" s="164">
        <v>0.7513657407407407</v>
      </c>
      <c r="D1421" s="159">
        <v>10</v>
      </c>
      <c r="E1421" s="166" t="s">
        <v>1436</v>
      </c>
    </row>
    <row r="1422" spans="1:5">
      <c r="A1422" s="159">
        <f t="shared" si="14"/>
        <v>1421</v>
      </c>
      <c r="B1422" s="163">
        <v>45791</v>
      </c>
      <c r="C1422" s="164">
        <v>0.75079861111111112</v>
      </c>
      <c r="D1422" s="159">
        <v>10</v>
      </c>
      <c r="E1422" s="166" t="s">
        <v>1437</v>
      </c>
    </row>
    <row r="1423" spans="1:5">
      <c r="A1423" s="159">
        <f t="shared" si="14"/>
        <v>1422</v>
      </c>
      <c r="B1423" s="163">
        <v>45791</v>
      </c>
      <c r="C1423" s="164">
        <v>0.74812499999999993</v>
      </c>
      <c r="D1423" s="159">
        <v>10</v>
      </c>
      <c r="E1423" s="166" t="s">
        <v>1438</v>
      </c>
    </row>
    <row r="1424" spans="1:5">
      <c r="A1424" s="159">
        <f t="shared" si="14"/>
        <v>1423</v>
      </c>
      <c r="B1424" s="163">
        <v>45791</v>
      </c>
      <c r="C1424" s="164">
        <v>0.74331018518518521</v>
      </c>
      <c r="D1424" s="159">
        <v>10</v>
      </c>
      <c r="E1424" s="166" t="s">
        <v>1439</v>
      </c>
    </row>
    <row r="1425" spans="1:5">
      <c r="A1425" s="159">
        <f t="shared" si="14"/>
        <v>1424</v>
      </c>
      <c r="B1425" s="163">
        <v>45791</v>
      </c>
      <c r="C1425" s="164">
        <v>0.74009259259259252</v>
      </c>
      <c r="D1425" s="159">
        <v>10</v>
      </c>
      <c r="E1425" s="166" t="s">
        <v>1440</v>
      </c>
    </row>
    <row r="1426" spans="1:5">
      <c r="A1426" s="159">
        <f t="shared" si="14"/>
        <v>1425</v>
      </c>
      <c r="B1426" s="163">
        <v>45791</v>
      </c>
      <c r="C1426" s="164">
        <v>0.73938657407407404</v>
      </c>
      <c r="D1426" s="159">
        <v>10</v>
      </c>
      <c r="E1426" s="166" t="s">
        <v>132</v>
      </c>
    </row>
    <row r="1427" spans="1:5" ht="27">
      <c r="A1427" s="159">
        <f t="shared" si="14"/>
        <v>1426</v>
      </c>
      <c r="B1427" s="163">
        <v>45791</v>
      </c>
      <c r="C1427" s="164">
        <v>0.73659722222222224</v>
      </c>
      <c r="D1427" s="159">
        <v>8</v>
      </c>
      <c r="E1427" s="166" t="s">
        <v>1441</v>
      </c>
    </row>
    <row r="1428" spans="1:5">
      <c r="A1428" s="159">
        <f t="shared" si="14"/>
        <v>1427</v>
      </c>
      <c r="B1428" s="163">
        <v>45791</v>
      </c>
      <c r="C1428" s="164">
        <v>0.7364814814814814</v>
      </c>
      <c r="D1428" s="159">
        <v>10</v>
      </c>
      <c r="E1428" s="166" t="s">
        <v>1442</v>
      </c>
    </row>
    <row r="1429" spans="1:5">
      <c r="A1429" s="159">
        <f t="shared" si="14"/>
        <v>1428</v>
      </c>
      <c r="B1429" s="163">
        <v>45791</v>
      </c>
      <c r="C1429" s="164">
        <v>0.7365624999999999</v>
      </c>
      <c r="D1429" s="159">
        <v>10</v>
      </c>
      <c r="E1429" s="166" t="s">
        <v>1443</v>
      </c>
    </row>
    <row r="1430" spans="1:5">
      <c r="A1430" s="159">
        <f t="shared" si="14"/>
        <v>1429</v>
      </c>
      <c r="B1430" s="163">
        <v>45791</v>
      </c>
      <c r="C1430" s="164">
        <v>0.72569444444444453</v>
      </c>
      <c r="D1430" s="159">
        <v>10</v>
      </c>
      <c r="E1430" s="166" t="s">
        <v>1444</v>
      </c>
    </row>
    <row r="1431" spans="1:5">
      <c r="A1431" s="159">
        <f t="shared" si="14"/>
        <v>1430</v>
      </c>
      <c r="B1431" s="163">
        <v>45791</v>
      </c>
      <c r="C1431" s="164">
        <v>0.70276620370370368</v>
      </c>
      <c r="D1431" s="159">
        <v>10</v>
      </c>
      <c r="E1431" s="166" t="s">
        <v>1445</v>
      </c>
    </row>
    <row r="1432" spans="1:5">
      <c r="A1432" s="159">
        <f t="shared" si="14"/>
        <v>1431</v>
      </c>
      <c r="B1432" s="163">
        <v>45791</v>
      </c>
      <c r="C1432" s="164">
        <v>0.69907407407407407</v>
      </c>
      <c r="D1432" s="159">
        <v>10</v>
      </c>
      <c r="E1432" s="166" t="s">
        <v>1446</v>
      </c>
    </row>
    <row r="1433" spans="1:5">
      <c r="A1433" s="159">
        <f t="shared" si="14"/>
        <v>1432</v>
      </c>
      <c r="B1433" s="163">
        <v>45791</v>
      </c>
      <c r="C1433" s="164">
        <v>0.67734953703703704</v>
      </c>
      <c r="D1433" s="159">
        <v>10</v>
      </c>
      <c r="E1433" s="166" t="s">
        <v>749</v>
      </c>
    </row>
    <row r="1434" spans="1:5">
      <c r="A1434" s="159">
        <f t="shared" si="14"/>
        <v>1433</v>
      </c>
      <c r="B1434" s="163">
        <v>45791</v>
      </c>
      <c r="C1434" s="164">
        <v>0.66696759259259253</v>
      </c>
      <c r="D1434" s="159">
        <v>10</v>
      </c>
      <c r="E1434" s="166" t="s">
        <v>132</v>
      </c>
    </row>
    <row r="1435" spans="1:5">
      <c r="A1435" s="159">
        <f t="shared" si="14"/>
        <v>1434</v>
      </c>
      <c r="B1435" s="163">
        <v>45791</v>
      </c>
      <c r="C1435" s="164">
        <v>0.65885416666666663</v>
      </c>
      <c r="D1435" s="159">
        <v>10</v>
      </c>
      <c r="E1435" s="166" t="s">
        <v>1447</v>
      </c>
    </row>
    <row r="1436" spans="1:5">
      <c r="A1436" s="159">
        <f t="shared" si="14"/>
        <v>1435</v>
      </c>
      <c r="B1436" s="163">
        <v>45791</v>
      </c>
      <c r="C1436" s="164">
        <v>0.65278935185185183</v>
      </c>
      <c r="D1436" s="159">
        <v>10</v>
      </c>
      <c r="E1436" s="166" t="s">
        <v>1448</v>
      </c>
    </row>
    <row r="1437" spans="1:5">
      <c r="A1437" s="159">
        <f t="shared" si="14"/>
        <v>1436</v>
      </c>
      <c r="B1437" s="163">
        <v>45791</v>
      </c>
      <c r="C1437" s="164">
        <v>0.63681712962962966</v>
      </c>
      <c r="D1437" s="159">
        <v>10</v>
      </c>
      <c r="E1437" s="166" t="s">
        <v>1449</v>
      </c>
    </row>
    <row r="1438" spans="1:5">
      <c r="A1438" s="159">
        <f t="shared" si="14"/>
        <v>1437</v>
      </c>
      <c r="B1438" s="163">
        <v>45791</v>
      </c>
      <c r="C1438" s="164">
        <v>0.62006944444444445</v>
      </c>
      <c r="D1438" s="159">
        <v>9</v>
      </c>
    </row>
    <row r="1439" spans="1:5">
      <c r="A1439" s="159">
        <f t="shared" si="14"/>
        <v>1438</v>
      </c>
      <c r="B1439" s="163">
        <v>45791</v>
      </c>
      <c r="C1439" s="164">
        <v>0.6175694444444445</v>
      </c>
      <c r="D1439" s="159">
        <v>10</v>
      </c>
      <c r="E1439" s="166" t="s">
        <v>1450</v>
      </c>
    </row>
    <row r="1440" spans="1:5">
      <c r="A1440" s="159">
        <f t="shared" si="14"/>
        <v>1439</v>
      </c>
      <c r="B1440" s="163">
        <v>45791</v>
      </c>
      <c r="C1440" s="164">
        <v>0.61709490740740736</v>
      </c>
      <c r="D1440" s="159">
        <v>10</v>
      </c>
      <c r="E1440" s="166" t="s">
        <v>1451</v>
      </c>
    </row>
    <row r="1441" spans="1:5">
      <c r="A1441" s="159">
        <f t="shared" si="14"/>
        <v>1440</v>
      </c>
      <c r="B1441" s="163">
        <v>45791</v>
      </c>
      <c r="C1441" s="164">
        <v>0.61340277777777774</v>
      </c>
      <c r="D1441" s="159">
        <v>10</v>
      </c>
      <c r="E1441" s="166" t="s">
        <v>132</v>
      </c>
    </row>
    <row r="1442" spans="1:5">
      <c r="A1442" s="159">
        <f t="shared" si="14"/>
        <v>1441</v>
      </c>
      <c r="B1442" s="163">
        <v>45791</v>
      </c>
      <c r="C1442" s="164">
        <v>0.59896990740740741</v>
      </c>
      <c r="D1442" s="159">
        <v>10</v>
      </c>
      <c r="E1442" s="166" t="s">
        <v>1452</v>
      </c>
    </row>
    <row r="1443" spans="1:5">
      <c r="A1443" s="159">
        <f t="shared" si="14"/>
        <v>1442</v>
      </c>
      <c r="B1443" s="163">
        <v>45791</v>
      </c>
      <c r="C1443" s="164">
        <v>0.59819444444444447</v>
      </c>
      <c r="D1443" s="159">
        <v>10</v>
      </c>
      <c r="E1443" s="166" t="s">
        <v>1453</v>
      </c>
    </row>
    <row r="1444" spans="1:5">
      <c r="A1444" s="159">
        <f t="shared" si="14"/>
        <v>1443</v>
      </c>
      <c r="B1444" s="163">
        <v>45791</v>
      </c>
      <c r="C1444" s="164">
        <v>0.59490740740740744</v>
      </c>
      <c r="D1444" s="159">
        <v>10</v>
      </c>
      <c r="E1444" s="166" t="s">
        <v>1454</v>
      </c>
    </row>
    <row r="1445" spans="1:5">
      <c r="A1445" s="159">
        <f t="shared" si="14"/>
        <v>1444</v>
      </c>
      <c r="B1445" s="163">
        <v>45791</v>
      </c>
      <c r="C1445" s="164">
        <v>0.59376157407407404</v>
      </c>
      <c r="D1445" s="159">
        <v>10</v>
      </c>
      <c r="E1445" s="166" t="s">
        <v>1455</v>
      </c>
    </row>
    <row r="1446" spans="1:5">
      <c r="A1446" s="159">
        <f t="shared" si="14"/>
        <v>1445</v>
      </c>
      <c r="B1446" s="163">
        <v>45791</v>
      </c>
      <c r="C1446" s="164">
        <v>0.57331018518518517</v>
      </c>
      <c r="D1446" s="159">
        <v>10</v>
      </c>
      <c r="E1446" s="166" t="s">
        <v>1456</v>
      </c>
    </row>
    <row r="1447" spans="1:5">
      <c r="A1447" s="159">
        <f t="shared" si="14"/>
        <v>1446</v>
      </c>
      <c r="B1447" s="163">
        <v>45791</v>
      </c>
      <c r="C1447" s="164">
        <v>0.57098379629629636</v>
      </c>
      <c r="D1447" s="159">
        <v>10</v>
      </c>
      <c r="E1447" s="166" t="s">
        <v>1457</v>
      </c>
    </row>
    <row r="1448" spans="1:5">
      <c r="A1448" s="159">
        <f t="shared" si="14"/>
        <v>1447</v>
      </c>
      <c r="B1448" s="163">
        <v>45791</v>
      </c>
      <c r="C1448" s="164">
        <v>0.55633101851851852</v>
      </c>
      <c r="D1448" s="159">
        <v>10</v>
      </c>
      <c r="E1448" s="166" t="s">
        <v>1458</v>
      </c>
    </row>
    <row r="1449" spans="1:5">
      <c r="A1449" s="159">
        <f t="shared" si="14"/>
        <v>1448</v>
      </c>
      <c r="B1449" s="163">
        <v>45791</v>
      </c>
      <c r="C1449" s="164">
        <v>0.55134259259259266</v>
      </c>
      <c r="D1449" s="159">
        <v>10</v>
      </c>
      <c r="E1449" s="166" t="s">
        <v>1459</v>
      </c>
    </row>
    <row r="1450" spans="1:5">
      <c r="A1450" s="159">
        <f t="shared" si="14"/>
        <v>1449</v>
      </c>
      <c r="B1450" s="163">
        <v>45791</v>
      </c>
      <c r="C1450" s="164">
        <v>0.54475694444444445</v>
      </c>
      <c r="D1450" s="159">
        <v>10</v>
      </c>
      <c r="E1450" s="166" t="s">
        <v>1472</v>
      </c>
    </row>
    <row r="1451" spans="1:5">
      <c r="A1451" s="159">
        <f t="shared" si="14"/>
        <v>1450</v>
      </c>
      <c r="B1451" s="163">
        <v>45791</v>
      </c>
      <c r="C1451" s="164">
        <v>0.53128472222222223</v>
      </c>
      <c r="D1451" s="159">
        <v>10</v>
      </c>
      <c r="E1451" s="166" t="s">
        <v>1460</v>
      </c>
    </row>
    <row r="1452" spans="1:5">
      <c r="A1452" s="159">
        <f t="shared" si="14"/>
        <v>1451</v>
      </c>
      <c r="B1452" s="163">
        <v>45791</v>
      </c>
      <c r="C1452" s="164">
        <v>0.47518518518518515</v>
      </c>
      <c r="D1452" s="159">
        <v>10</v>
      </c>
      <c r="E1452" s="166" t="s">
        <v>1461</v>
      </c>
    </row>
    <row r="1453" spans="1:5">
      <c r="A1453" s="159">
        <f t="shared" si="14"/>
        <v>1452</v>
      </c>
      <c r="B1453" s="163">
        <v>45791</v>
      </c>
      <c r="C1453" s="164">
        <v>0.47241898148148148</v>
      </c>
      <c r="D1453" s="159">
        <v>10</v>
      </c>
      <c r="E1453" s="166" t="s">
        <v>1462</v>
      </c>
    </row>
    <row r="1454" spans="1:5">
      <c r="A1454" s="159">
        <f t="shared" si="14"/>
        <v>1453</v>
      </c>
      <c r="B1454" s="163">
        <v>45791</v>
      </c>
      <c r="C1454" s="164">
        <v>0.46579861111111115</v>
      </c>
      <c r="D1454" s="159">
        <v>10</v>
      </c>
      <c r="E1454" s="166" t="s">
        <v>1463</v>
      </c>
    </row>
    <row r="1455" spans="1:5">
      <c r="A1455" s="159">
        <f t="shared" si="14"/>
        <v>1454</v>
      </c>
      <c r="B1455" s="163">
        <v>45791</v>
      </c>
      <c r="C1455" s="164">
        <v>0.46530092592592592</v>
      </c>
      <c r="D1455" s="159">
        <v>10</v>
      </c>
      <c r="E1455" s="166" t="s">
        <v>732</v>
      </c>
    </row>
    <row r="1456" spans="1:5">
      <c r="A1456" s="159">
        <f t="shared" si="14"/>
        <v>1455</v>
      </c>
      <c r="B1456" s="163">
        <v>45791</v>
      </c>
      <c r="C1456" s="164">
        <v>0.4642592592592592</v>
      </c>
      <c r="D1456" s="159">
        <v>10</v>
      </c>
      <c r="E1456" s="166" t="s">
        <v>1464</v>
      </c>
    </row>
    <row r="1457" spans="1:5">
      <c r="A1457" s="159">
        <f t="shared" si="14"/>
        <v>1456</v>
      </c>
      <c r="B1457" s="163">
        <v>45791</v>
      </c>
      <c r="C1457" s="164">
        <v>0.45005787037037037</v>
      </c>
      <c r="D1457" s="159">
        <v>10</v>
      </c>
      <c r="E1457" s="166" t="s">
        <v>1465</v>
      </c>
    </row>
    <row r="1458" spans="1:5">
      <c r="A1458" s="159">
        <f t="shared" si="14"/>
        <v>1457</v>
      </c>
      <c r="B1458" s="163">
        <v>45791</v>
      </c>
      <c r="C1458" s="164">
        <v>0.44898148148148148</v>
      </c>
      <c r="D1458" s="159">
        <v>10</v>
      </c>
      <c r="E1458" s="166" t="s">
        <v>1466</v>
      </c>
    </row>
    <row r="1459" spans="1:5">
      <c r="A1459" s="159">
        <f t="shared" si="14"/>
        <v>1458</v>
      </c>
      <c r="B1459" s="163">
        <v>45791</v>
      </c>
      <c r="C1459" s="164">
        <v>0.44180555555555556</v>
      </c>
      <c r="D1459" s="159">
        <v>10</v>
      </c>
      <c r="E1459" s="166" t="s">
        <v>1467</v>
      </c>
    </row>
    <row r="1460" spans="1:5" ht="27">
      <c r="A1460" s="159">
        <f t="shared" si="14"/>
        <v>1459</v>
      </c>
      <c r="B1460" s="163">
        <v>45791</v>
      </c>
      <c r="C1460" s="164">
        <v>0.42973379629629632</v>
      </c>
      <c r="D1460" s="159">
        <v>10</v>
      </c>
      <c r="E1460" s="166" t="s">
        <v>1471</v>
      </c>
    </row>
    <row r="1461" spans="1:5">
      <c r="A1461" s="159">
        <f t="shared" ref="A1461:A1524" si="15">ROW()-1</f>
        <v>1460</v>
      </c>
      <c r="B1461" s="163">
        <v>45791</v>
      </c>
      <c r="C1461" s="164">
        <v>0.39489583333333328</v>
      </c>
      <c r="D1461" s="159">
        <v>10</v>
      </c>
      <c r="E1461" s="166" t="s">
        <v>1468</v>
      </c>
    </row>
    <row r="1462" spans="1:5">
      <c r="A1462" s="159">
        <f t="shared" si="15"/>
        <v>1461</v>
      </c>
      <c r="B1462" s="163">
        <v>45791</v>
      </c>
      <c r="C1462" s="164">
        <v>0.38934027777777774</v>
      </c>
      <c r="D1462" s="159">
        <v>10</v>
      </c>
      <c r="E1462" s="166" t="s">
        <v>1469</v>
      </c>
    </row>
    <row r="1463" spans="1:5">
      <c r="A1463" s="159">
        <f t="shared" si="15"/>
        <v>1462</v>
      </c>
      <c r="B1463" s="163">
        <v>45791</v>
      </c>
      <c r="C1463" s="164">
        <v>0.38935185185185189</v>
      </c>
      <c r="D1463" s="159">
        <v>10</v>
      </c>
      <c r="E1463" s="166" t="s">
        <v>1470</v>
      </c>
    </row>
    <row r="1464" spans="1:5">
      <c r="A1464" s="159">
        <f t="shared" si="15"/>
        <v>1463</v>
      </c>
      <c r="B1464" s="163">
        <v>45792</v>
      </c>
      <c r="C1464" s="164">
        <v>0.90329861111111109</v>
      </c>
      <c r="D1464" s="159">
        <v>10</v>
      </c>
      <c r="E1464" s="166" t="s">
        <v>1535</v>
      </c>
    </row>
    <row r="1465" spans="1:5" ht="27">
      <c r="A1465" s="159">
        <f t="shared" si="15"/>
        <v>1464</v>
      </c>
      <c r="B1465" s="163">
        <v>45792</v>
      </c>
      <c r="C1465" s="164">
        <v>0.89831018518518524</v>
      </c>
      <c r="D1465" s="159">
        <v>10</v>
      </c>
      <c r="E1465" s="166" t="s">
        <v>1536</v>
      </c>
    </row>
    <row r="1466" spans="1:5">
      <c r="A1466" s="159">
        <f t="shared" si="15"/>
        <v>1465</v>
      </c>
      <c r="B1466" s="163">
        <v>45792</v>
      </c>
      <c r="C1466" s="164">
        <v>0.8838773148148148</v>
      </c>
      <c r="D1466" s="159">
        <v>10</v>
      </c>
      <c r="E1466" s="166" t="s">
        <v>1537</v>
      </c>
    </row>
    <row r="1467" spans="1:5">
      <c r="A1467" s="159">
        <f t="shared" si="15"/>
        <v>1466</v>
      </c>
      <c r="B1467" s="163">
        <v>45792</v>
      </c>
      <c r="C1467" s="164">
        <v>0.8677893518518518</v>
      </c>
      <c r="D1467" s="159">
        <v>10</v>
      </c>
      <c r="E1467" s="166" t="s">
        <v>246</v>
      </c>
    </row>
    <row r="1468" spans="1:5">
      <c r="A1468" s="159">
        <f t="shared" si="15"/>
        <v>1467</v>
      </c>
      <c r="B1468" s="163">
        <v>45792</v>
      </c>
      <c r="C1468" s="164">
        <v>0.85410879629629621</v>
      </c>
      <c r="D1468" s="159">
        <v>10</v>
      </c>
      <c r="E1468" s="166" t="s">
        <v>636</v>
      </c>
    </row>
    <row r="1469" spans="1:5">
      <c r="A1469" s="159">
        <f t="shared" si="15"/>
        <v>1468</v>
      </c>
      <c r="B1469" s="163">
        <v>45792</v>
      </c>
      <c r="C1469" s="164">
        <v>0.80663194444444442</v>
      </c>
      <c r="D1469" s="159">
        <v>10</v>
      </c>
      <c r="E1469" s="166" t="s">
        <v>1538</v>
      </c>
    </row>
    <row r="1470" spans="1:5">
      <c r="A1470" s="159">
        <f t="shared" si="15"/>
        <v>1469</v>
      </c>
      <c r="B1470" s="163">
        <v>45792</v>
      </c>
      <c r="C1470" s="164">
        <v>0.80144675925925923</v>
      </c>
      <c r="D1470" s="159">
        <v>10</v>
      </c>
      <c r="E1470" s="166" t="s">
        <v>1539</v>
      </c>
    </row>
    <row r="1471" spans="1:5" ht="40.5">
      <c r="A1471" s="159">
        <f t="shared" si="15"/>
        <v>1470</v>
      </c>
      <c r="B1471" s="163">
        <v>45792</v>
      </c>
      <c r="C1471" s="164">
        <v>0.78296296296296297</v>
      </c>
      <c r="D1471" s="159">
        <v>10</v>
      </c>
      <c r="E1471" s="166" t="s">
        <v>1540</v>
      </c>
    </row>
    <row r="1472" spans="1:5">
      <c r="A1472" s="159">
        <f t="shared" si="15"/>
        <v>1471</v>
      </c>
      <c r="B1472" s="163">
        <v>45792</v>
      </c>
      <c r="C1472" s="164">
        <v>0.77104166666666663</v>
      </c>
      <c r="D1472" s="159">
        <v>10</v>
      </c>
      <c r="E1472" s="166" t="s">
        <v>1541</v>
      </c>
    </row>
    <row r="1473" spans="1:5">
      <c r="A1473" s="159">
        <f t="shared" si="15"/>
        <v>1472</v>
      </c>
      <c r="B1473" s="163">
        <v>45792</v>
      </c>
      <c r="C1473" s="164">
        <v>0.76430555555555557</v>
      </c>
      <c r="D1473" s="159">
        <v>10</v>
      </c>
      <c r="E1473" s="166" t="s">
        <v>1542</v>
      </c>
    </row>
    <row r="1474" spans="1:5">
      <c r="A1474" s="159">
        <f t="shared" si="15"/>
        <v>1473</v>
      </c>
      <c r="B1474" s="163">
        <v>45792</v>
      </c>
      <c r="C1474" s="164">
        <v>0.75875000000000004</v>
      </c>
      <c r="D1474" s="159">
        <v>10</v>
      </c>
      <c r="E1474" s="166" t="s">
        <v>288</v>
      </c>
    </row>
    <row r="1475" spans="1:5">
      <c r="A1475" s="159">
        <f t="shared" si="15"/>
        <v>1474</v>
      </c>
      <c r="B1475" s="163">
        <v>45792</v>
      </c>
      <c r="C1475" s="164">
        <v>0.75438657407407417</v>
      </c>
      <c r="D1475" s="159">
        <v>10</v>
      </c>
      <c r="E1475" s="166" t="s">
        <v>1543</v>
      </c>
    </row>
    <row r="1476" spans="1:5">
      <c r="A1476" s="159">
        <f t="shared" si="15"/>
        <v>1475</v>
      </c>
      <c r="B1476" s="163">
        <v>45792</v>
      </c>
      <c r="C1476" s="164">
        <v>0.7459027777777778</v>
      </c>
      <c r="D1476" s="159">
        <v>10</v>
      </c>
      <c r="E1476" s="166" t="s">
        <v>1544</v>
      </c>
    </row>
    <row r="1477" spans="1:5" ht="27">
      <c r="A1477" s="159">
        <f t="shared" si="15"/>
        <v>1476</v>
      </c>
      <c r="B1477" s="163">
        <v>45792</v>
      </c>
      <c r="C1477" s="164">
        <v>0.74476851851851855</v>
      </c>
      <c r="D1477" s="159">
        <v>10</v>
      </c>
      <c r="E1477" s="166" t="s">
        <v>1545</v>
      </c>
    </row>
    <row r="1478" spans="1:5" ht="27">
      <c r="A1478" s="159">
        <f t="shared" si="15"/>
        <v>1477</v>
      </c>
      <c r="B1478" s="163">
        <v>45792</v>
      </c>
      <c r="C1478" s="164">
        <v>0.72962962962962974</v>
      </c>
      <c r="D1478" s="159">
        <v>10</v>
      </c>
      <c r="E1478" s="166" t="s">
        <v>1546</v>
      </c>
    </row>
    <row r="1479" spans="1:5">
      <c r="A1479" s="159">
        <f t="shared" si="15"/>
        <v>1478</v>
      </c>
      <c r="B1479" s="163">
        <v>45792</v>
      </c>
      <c r="C1479" s="164">
        <v>0.72917824074074078</v>
      </c>
      <c r="D1479" s="159">
        <v>10</v>
      </c>
      <c r="E1479" s="166" t="s">
        <v>1547</v>
      </c>
    </row>
    <row r="1480" spans="1:5" ht="27">
      <c r="A1480" s="159">
        <f t="shared" si="15"/>
        <v>1479</v>
      </c>
      <c r="B1480" s="163">
        <v>45792</v>
      </c>
      <c r="C1480" s="164">
        <v>0.72546296296296298</v>
      </c>
      <c r="D1480" s="159">
        <v>10</v>
      </c>
      <c r="E1480" s="166" t="s">
        <v>1548</v>
      </c>
    </row>
    <row r="1481" spans="1:5">
      <c r="A1481" s="159">
        <f t="shared" si="15"/>
        <v>1480</v>
      </c>
      <c r="B1481" s="163">
        <v>45792</v>
      </c>
      <c r="C1481" s="164">
        <v>0.72256944444444438</v>
      </c>
      <c r="D1481" s="159">
        <v>10</v>
      </c>
      <c r="E1481" s="166" t="s">
        <v>426</v>
      </c>
    </row>
    <row r="1482" spans="1:5">
      <c r="A1482" s="159">
        <f t="shared" si="15"/>
        <v>1481</v>
      </c>
      <c r="B1482" s="163">
        <v>45792</v>
      </c>
      <c r="C1482" s="164">
        <v>0.70833333333333337</v>
      </c>
      <c r="D1482" s="159">
        <v>10</v>
      </c>
      <c r="E1482" s="166" t="s">
        <v>1549</v>
      </c>
    </row>
    <row r="1483" spans="1:5">
      <c r="A1483" s="159">
        <f t="shared" si="15"/>
        <v>1482</v>
      </c>
      <c r="B1483" s="163">
        <v>45792</v>
      </c>
      <c r="C1483" s="164">
        <v>0.69586805555555553</v>
      </c>
      <c r="D1483" s="159">
        <v>10</v>
      </c>
      <c r="E1483" s="166" t="s">
        <v>1550</v>
      </c>
    </row>
    <row r="1484" spans="1:5">
      <c r="A1484" s="159">
        <f t="shared" si="15"/>
        <v>1483</v>
      </c>
      <c r="B1484" s="163">
        <v>45792</v>
      </c>
      <c r="C1484" s="164">
        <v>0.67344907407407406</v>
      </c>
      <c r="D1484" s="159">
        <v>10</v>
      </c>
      <c r="E1484" s="166" t="s">
        <v>273</v>
      </c>
    </row>
    <row r="1485" spans="1:5">
      <c r="A1485" s="159">
        <f t="shared" si="15"/>
        <v>1484</v>
      </c>
      <c r="B1485" s="163">
        <v>45792</v>
      </c>
      <c r="C1485" s="164">
        <v>0.66753472222222221</v>
      </c>
      <c r="D1485" s="159">
        <v>10</v>
      </c>
      <c r="E1485" s="166" t="s">
        <v>1551</v>
      </c>
    </row>
    <row r="1486" spans="1:5">
      <c r="A1486" s="159">
        <f t="shared" si="15"/>
        <v>1485</v>
      </c>
      <c r="B1486" s="163">
        <v>45792</v>
      </c>
      <c r="C1486" s="164">
        <v>0.66152777777777783</v>
      </c>
      <c r="D1486" s="159">
        <v>9</v>
      </c>
      <c r="E1486" s="166" t="s">
        <v>1552</v>
      </c>
    </row>
    <row r="1487" spans="1:5">
      <c r="A1487" s="159">
        <f t="shared" si="15"/>
        <v>1486</v>
      </c>
      <c r="B1487" s="163">
        <v>45792</v>
      </c>
      <c r="C1487" s="164">
        <v>0.65993055555555558</v>
      </c>
      <c r="D1487" s="159">
        <v>10</v>
      </c>
      <c r="E1487" s="166" t="s">
        <v>1553</v>
      </c>
    </row>
    <row r="1488" spans="1:5">
      <c r="A1488" s="159">
        <f t="shared" si="15"/>
        <v>1487</v>
      </c>
      <c r="B1488" s="163">
        <v>45792</v>
      </c>
      <c r="C1488" s="164">
        <v>0.64850694444444446</v>
      </c>
      <c r="D1488" s="159">
        <v>10</v>
      </c>
      <c r="E1488" s="166" t="s">
        <v>1554</v>
      </c>
    </row>
    <row r="1489" spans="1:5">
      <c r="A1489" s="159">
        <f t="shared" si="15"/>
        <v>1488</v>
      </c>
      <c r="B1489" s="163">
        <v>45792</v>
      </c>
      <c r="C1489" s="164">
        <v>0.6448032407407408</v>
      </c>
      <c r="D1489" s="159">
        <v>10</v>
      </c>
      <c r="E1489" s="166" t="s">
        <v>1555</v>
      </c>
    </row>
    <row r="1490" spans="1:5">
      <c r="A1490" s="159">
        <f t="shared" si="15"/>
        <v>1489</v>
      </c>
      <c r="B1490" s="163">
        <v>45792</v>
      </c>
      <c r="C1490" s="164">
        <v>0.6444212962962963</v>
      </c>
      <c r="D1490" s="159">
        <v>10</v>
      </c>
      <c r="E1490" s="166" t="s">
        <v>1556</v>
      </c>
    </row>
    <row r="1491" spans="1:5">
      <c r="A1491" s="159">
        <f t="shared" si="15"/>
        <v>1490</v>
      </c>
      <c r="B1491" s="163">
        <v>45792</v>
      </c>
      <c r="C1491" s="164">
        <v>0.64249999999999996</v>
      </c>
      <c r="D1491" s="159">
        <v>10</v>
      </c>
      <c r="E1491" s="166" t="s">
        <v>194</v>
      </c>
    </row>
    <row r="1492" spans="1:5">
      <c r="A1492" s="159">
        <f t="shared" si="15"/>
        <v>1491</v>
      </c>
      <c r="B1492" s="163">
        <v>45792</v>
      </c>
      <c r="C1492" s="164">
        <v>0.64150462962962962</v>
      </c>
      <c r="D1492" s="159">
        <v>10</v>
      </c>
      <c r="E1492" s="166" t="s">
        <v>1557</v>
      </c>
    </row>
    <row r="1493" spans="1:5">
      <c r="A1493" s="159">
        <f t="shared" si="15"/>
        <v>1492</v>
      </c>
      <c r="B1493" s="163">
        <v>45792</v>
      </c>
      <c r="C1493" s="164">
        <v>0.64116898148148149</v>
      </c>
      <c r="D1493" s="159">
        <v>10</v>
      </c>
      <c r="E1493" s="166" t="s">
        <v>132</v>
      </c>
    </row>
    <row r="1494" spans="1:5">
      <c r="A1494" s="159">
        <f t="shared" si="15"/>
        <v>1493</v>
      </c>
      <c r="B1494" s="163">
        <v>45792</v>
      </c>
      <c r="C1494" s="164">
        <v>0.63702546296296292</v>
      </c>
      <c r="D1494" s="159">
        <v>10</v>
      </c>
      <c r="E1494" s="166" t="s">
        <v>1558</v>
      </c>
    </row>
    <row r="1495" spans="1:5">
      <c r="A1495" s="159">
        <f t="shared" si="15"/>
        <v>1494</v>
      </c>
      <c r="B1495" s="163">
        <v>45792</v>
      </c>
      <c r="C1495" s="164">
        <v>0.63495370370370374</v>
      </c>
      <c r="D1495" s="159">
        <v>10</v>
      </c>
      <c r="E1495" s="166" t="s">
        <v>1559</v>
      </c>
    </row>
    <row r="1496" spans="1:5">
      <c r="A1496" s="159">
        <f t="shared" si="15"/>
        <v>1495</v>
      </c>
      <c r="B1496" s="163">
        <v>45792</v>
      </c>
      <c r="C1496" s="164">
        <v>0.63390046296296299</v>
      </c>
      <c r="D1496" s="159">
        <v>10</v>
      </c>
      <c r="E1496" s="166" t="s">
        <v>1560</v>
      </c>
    </row>
    <row r="1497" spans="1:5">
      <c r="A1497" s="159">
        <f t="shared" si="15"/>
        <v>1496</v>
      </c>
      <c r="B1497" s="163">
        <v>45792</v>
      </c>
      <c r="C1497" s="164">
        <v>0.6321296296296296</v>
      </c>
      <c r="D1497" s="159">
        <v>10</v>
      </c>
      <c r="E1497" s="166" t="s">
        <v>557</v>
      </c>
    </row>
    <row r="1498" spans="1:5">
      <c r="A1498" s="159">
        <f t="shared" si="15"/>
        <v>1497</v>
      </c>
      <c r="B1498" s="163">
        <v>45792</v>
      </c>
      <c r="C1498" s="164">
        <v>0.62858796296296293</v>
      </c>
      <c r="D1498" s="159">
        <v>10</v>
      </c>
      <c r="E1498" s="166" t="s">
        <v>1561</v>
      </c>
    </row>
    <row r="1499" spans="1:5">
      <c r="A1499" s="159">
        <f t="shared" si="15"/>
        <v>1498</v>
      </c>
      <c r="B1499" s="163">
        <v>45792</v>
      </c>
      <c r="C1499" s="164">
        <v>0.6269675925925926</v>
      </c>
      <c r="D1499" s="159">
        <v>10</v>
      </c>
      <c r="E1499" s="166" t="s">
        <v>1562</v>
      </c>
    </row>
    <row r="1500" spans="1:5">
      <c r="A1500" s="159">
        <f t="shared" si="15"/>
        <v>1499</v>
      </c>
      <c r="B1500" s="163">
        <v>45792</v>
      </c>
      <c r="C1500" s="164">
        <v>0.62479166666666663</v>
      </c>
      <c r="D1500" s="159">
        <v>10</v>
      </c>
      <c r="E1500" s="166" t="s">
        <v>1563</v>
      </c>
    </row>
    <row r="1501" spans="1:5">
      <c r="A1501" s="159">
        <f t="shared" si="15"/>
        <v>1500</v>
      </c>
      <c r="B1501" s="163">
        <v>45792</v>
      </c>
      <c r="C1501" s="164">
        <v>0.62378472222222225</v>
      </c>
      <c r="D1501" s="159">
        <v>10</v>
      </c>
      <c r="E1501" s="166" t="s">
        <v>1564</v>
      </c>
    </row>
    <row r="1502" spans="1:5">
      <c r="A1502" s="159">
        <f t="shared" si="15"/>
        <v>1501</v>
      </c>
      <c r="B1502" s="163">
        <v>45792</v>
      </c>
      <c r="C1502" s="164">
        <v>0.62288194444444445</v>
      </c>
      <c r="D1502" s="159">
        <v>10</v>
      </c>
      <c r="E1502" s="166" t="s">
        <v>1565</v>
      </c>
    </row>
    <row r="1503" spans="1:5">
      <c r="A1503" s="159">
        <f t="shared" si="15"/>
        <v>1502</v>
      </c>
      <c r="B1503" s="163">
        <v>45792</v>
      </c>
      <c r="C1503" s="164">
        <v>0.60894675925925923</v>
      </c>
      <c r="D1503" s="159">
        <v>10</v>
      </c>
      <c r="E1503" s="166" t="s">
        <v>749</v>
      </c>
    </row>
    <row r="1504" spans="1:5">
      <c r="A1504" s="159">
        <f t="shared" si="15"/>
        <v>1503</v>
      </c>
      <c r="B1504" s="163">
        <v>45792</v>
      </c>
      <c r="C1504" s="164">
        <v>0.60789351851851847</v>
      </c>
      <c r="D1504" s="159">
        <v>10</v>
      </c>
      <c r="E1504" s="166" t="s">
        <v>1566</v>
      </c>
    </row>
    <row r="1505" spans="1:5">
      <c r="A1505" s="159">
        <f t="shared" si="15"/>
        <v>1504</v>
      </c>
      <c r="B1505" s="163">
        <v>45792</v>
      </c>
      <c r="C1505" s="164">
        <v>0.59942129629629626</v>
      </c>
      <c r="D1505" s="159">
        <v>10</v>
      </c>
      <c r="E1505" s="166" t="s">
        <v>1567</v>
      </c>
    </row>
    <row r="1506" spans="1:5">
      <c r="A1506" s="159">
        <f t="shared" si="15"/>
        <v>1505</v>
      </c>
      <c r="B1506" s="163">
        <v>45792</v>
      </c>
      <c r="C1506" s="164">
        <v>0.59237268518518515</v>
      </c>
      <c r="D1506" s="159">
        <v>10</v>
      </c>
      <c r="E1506" s="166" t="s">
        <v>1568</v>
      </c>
    </row>
    <row r="1507" spans="1:5">
      <c r="A1507" s="159">
        <f t="shared" si="15"/>
        <v>1506</v>
      </c>
      <c r="B1507" s="163">
        <v>45792</v>
      </c>
      <c r="C1507" s="164">
        <v>0.58914351851851854</v>
      </c>
      <c r="D1507" s="159">
        <v>10</v>
      </c>
      <c r="E1507" s="166" t="s">
        <v>1569</v>
      </c>
    </row>
    <row r="1508" spans="1:5">
      <c r="A1508" s="159">
        <f t="shared" si="15"/>
        <v>1507</v>
      </c>
      <c r="B1508" s="163">
        <v>45792</v>
      </c>
      <c r="C1508" s="164">
        <v>0.58706018518518521</v>
      </c>
      <c r="D1508" s="159">
        <v>10</v>
      </c>
      <c r="E1508" s="166" t="s">
        <v>1570</v>
      </c>
    </row>
    <row r="1509" spans="1:5">
      <c r="A1509" s="159">
        <f t="shared" si="15"/>
        <v>1508</v>
      </c>
      <c r="B1509" s="163">
        <v>45792</v>
      </c>
      <c r="C1509" s="164">
        <v>0.58704861111111117</v>
      </c>
      <c r="D1509" s="159">
        <v>10</v>
      </c>
      <c r="E1509" s="166" t="s">
        <v>1571</v>
      </c>
    </row>
    <row r="1510" spans="1:5">
      <c r="A1510" s="159">
        <f t="shared" si="15"/>
        <v>1509</v>
      </c>
      <c r="B1510" s="163">
        <v>45792</v>
      </c>
      <c r="C1510" s="164">
        <v>0.58123842592592589</v>
      </c>
      <c r="D1510" s="159">
        <v>10</v>
      </c>
      <c r="E1510" s="166" t="s">
        <v>1572</v>
      </c>
    </row>
    <row r="1511" spans="1:5">
      <c r="A1511" s="159">
        <f t="shared" si="15"/>
        <v>1510</v>
      </c>
      <c r="B1511" s="163">
        <v>45792</v>
      </c>
      <c r="C1511" s="164">
        <v>0.56125000000000003</v>
      </c>
      <c r="D1511" s="159">
        <v>10</v>
      </c>
      <c r="E1511" s="166" t="s">
        <v>1573</v>
      </c>
    </row>
    <row r="1512" spans="1:5">
      <c r="A1512" s="159">
        <f t="shared" si="15"/>
        <v>1511</v>
      </c>
      <c r="B1512" s="163">
        <v>45792</v>
      </c>
      <c r="C1512" s="164">
        <v>0.513738425925926</v>
      </c>
      <c r="D1512" s="159">
        <v>10</v>
      </c>
      <c r="E1512" s="166" t="s">
        <v>1574</v>
      </c>
    </row>
    <row r="1513" spans="1:5">
      <c r="A1513" s="159">
        <f t="shared" si="15"/>
        <v>1512</v>
      </c>
      <c r="B1513" s="163">
        <v>45792</v>
      </c>
      <c r="C1513" s="164">
        <v>0.51247685185185188</v>
      </c>
      <c r="D1513" s="159">
        <v>10</v>
      </c>
      <c r="E1513" s="166" t="s">
        <v>1575</v>
      </c>
    </row>
    <row r="1514" spans="1:5">
      <c r="A1514" s="159">
        <f t="shared" si="15"/>
        <v>1513</v>
      </c>
      <c r="B1514" s="163">
        <v>45792</v>
      </c>
      <c r="C1514" s="164">
        <v>0.5019675925925926</v>
      </c>
      <c r="D1514" s="159">
        <v>10</v>
      </c>
      <c r="E1514" s="166" t="s">
        <v>1576</v>
      </c>
    </row>
    <row r="1515" spans="1:5">
      <c r="A1515" s="159">
        <f t="shared" si="15"/>
        <v>1514</v>
      </c>
      <c r="B1515" s="163">
        <v>45792</v>
      </c>
      <c r="C1515" s="164">
        <v>0.49115740740740743</v>
      </c>
      <c r="D1515" s="159">
        <v>10</v>
      </c>
      <c r="E1515" s="166" t="s">
        <v>132</v>
      </c>
    </row>
    <row r="1516" spans="1:5">
      <c r="A1516" s="159">
        <f t="shared" si="15"/>
        <v>1515</v>
      </c>
      <c r="B1516" s="163">
        <v>45792</v>
      </c>
      <c r="C1516" s="164">
        <v>0.48876157407407406</v>
      </c>
      <c r="D1516" s="159">
        <v>10</v>
      </c>
      <c r="E1516" s="166" t="s">
        <v>1577</v>
      </c>
    </row>
    <row r="1517" spans="1:5">
      <c r="A1517" s="159">
        <f t="shared" si="15"/>
        <v>1516</v>
      </c>
      <c r="B1517" s="163">
        <v>45792</v>
      </c>
      <c r="C1517" s="164">
        <v>0.48797453703703703</v>
      </c>
      <c r="D1517" s="159">
        <v>10</v>
      </c>
      <c r="E1517" s="166" t="s">
        <v>1578</v>
      </c>
    </row>
    <row r="1518" spans="1:5">
      <c r="A1518" s="159">
        <f t="shared" si="15"/>
        <v>1517</v>
      </c>
      <c r="B1518" s="163">
        <v>45792</v>
      </c>
      <c r="C1518" s="164">
        <v>0.4839236111111111</v>
      </c>
      <c r="D1518" s="159">
        <v>10</v>
      </c>
      <c r="E1518" s="166" t="s">
        <v>1579</v>
      </c>
    </row>
    <row r="1519" spans="1:5">
      <c r="A1519" s="159">
        <f t="shared" si="15"/>
        <v>1518</v>
      </c>
      <c r="B1519" s="163">
        <v>45792</v>
      </c>
      <c r="C1519" s="164">
        <v>0.48271990740740739</v>
      </c>
      <c r="D1519" s="159">
        <v>10</v>
      </c>
      <c r="E1519" s="166" t="s">
        <v>1580</v>
      </c>
    </row>
    <row r="1520" spans="1:5">
      <c r="A1520" s="159">
        <f t="shared" si="15"/>
        <v>1519</v>
      </c>
      <c r="B1520" s="163">
        <v>45792</v>
      </c>
      <c r="C1520" s="164">
        <v>0.47938657407407409</v>
      </c>
      <c r="D1520" s="159">
        <v>10</v>
      </c>
      <c r="E1520" s="166" t="s">
        <v>1581</v>
      </c>
    </row>
    <row r="1521" spans="1:5">
      <c r="A1521" s="159">
        <f t="shared" si="15"/>
        <v>1520</v>
      </c>
      <c r="B1521" s="163">
        <v>45792</v>
      </c>
      <c r="C1521" s="164">
        <v>0.45105324074074077</v>
      </c>
      <c r="D1521" s="159">
        <v>10</v>
      </c>
      <c r="E1521" s="166" t="s">
        <v>1582</v>
      </c>
    </row>
    <row r="1522" spans="1:5" ht="27">
      <c r="A1522" s="159">
        <f t="shared" si="15"/>
        <v>1521</v>
      </c>
      <c r="B1522" s="163">
        <v>45792</v>
      </c>
      <c r="C1522" s="164">
        <v>0.42829861111111112</v>
      </c>
      <c r="D1522" s="159">
        <v>10</v>
      </c>
      <c r="E1522" s="166" t="s">
        <v>1583</v>
      </c>
    </row>
    <row r="1523" spans="1:5">
      <c r="A1523" s="159">
        <f t="shared" si="15"/>
        <v>1522</v>
      </c>
      <c r="B1523" s="163">
        <v>45792</v>
      </c>
      <c r="C1523" s="164">
        <v>0.42153935185185182</v>
      </c>
      <c r="D1523" s="159">
        <v>10</v>
      </c>
      <c r="E1523" s="166" t="s">
        <v>1584</v>
      </c>
    </row>
    <row r="1524" spans="1:5" ht="27">
      <c r="A1524" s="159">
        <f t="shared" si="15"/>
        <v>1523</v>
      </c>
      <c r="B1524" s="163">
        <v>45792</v>
      </c>
      <c r="C1524" s="164">
        <v>0.41100694444444441</v>
      </c>
      <c r="D1524" s="159">
        <v>10</v>
      </c>
      <c r="E1524" s="166" t="s">
        <v>1585</v>
      </c>
    </row>
    <row r="1525" spans="1:5">
      <c r="A1525" s="159">
        <f t="shared" ref="A1525:A1588" si="16">ROW()-1</f>
        <v>1524</v>
      </c>
      <c r="B1525" s="163">
        <v>45792</v>
      </c>
      <c r="C1525" s="164">
        <v>0.40807870370370369</v>
      </c>
      <c r="D1525" s="159">
        <v>10</v>
      </c>
      <c r="E1525" s="166" t="s">
        <v>1586</v>
      </c>
    </row>
    <row r="1526" spans="1:5">
      <c r="A1526" s="159">
        <f t="shared" si="16"/>
        <v>1525</v>
      </c>
      <c r="B1526" s="163">
        <v>45792</v>
      </c>
      <c r="C1526" s="164">
        <v>0.40777777777777779</v>
      </c>
      <c r="D1526" s="159">
        <v>10</v>
      </c>
      <c r="E1526" s="166" t="s">
        <v>1587</v>
      </c>
    </row>
    <row r="1527" spans="1:5" ht="27">
      <c r="A1527" s="159">
        <f t="shared" si="16"/>
        <v>1526</v>
      </c>
      <c r="B1527" s="163">
        <v>45792</v>
      </c>
      <c r="C1527" s="164">
        <v>0.40721064814814811</v>
      </c>
      <c r="D1527" s="159">
        <v>10</v>
      </c>
      <c r="E1527" s="166" t="s">
        <v>1588</v>
      </c>
    </row>
    <row r="1528" spans="1:5">
      <c r="A1528" s="159">
        <f t="shared" si="16"/>
        <v>1527</v>
      </c>
      <c r="B1528" s="163">
        <v>45792</v>
      </c>
      <c r="C1528" s="164">
        <v>0.40278935185185188</v>
      </c>
      <c r="D1528" s="159">
        <v>10</v>
      </c>
      <c r="E1528" s="166" t="s">
        <v>1589</v>
      </c>
    </row>
    <row r="1529" spans="1:5">
      <c r="A1529" s="159">
        <f t="shared" si="16"/>
        <v>1528</v>
      </c>
      <c r="B1529" s="163">
        <v>45792</v>
      </c>
      <c r="C1529" s="164">
        <v>0.40267361111111111</v>
      </c>
      <c r="D1529" s="159">
        <v>10</v>
      </c>
      <c r="E1529" s="166" t="s">
        <v>1590</v>
      </c>
    </row>
    <row r="1530" spans="1:5">
      <c r="A1530" s="159">
        <f t="shared" si="16"/>
        <v>1529</v>
      </c>
      <c r="B1530" s="163">
        <v>45792</v>
      </c>
      <c r="C1530" s="164">
        <v>0.39695601851851853</v>
      </c>
      <c r="D1530" s="159">
        <v>10</v>
      </c>
      <c r="E1530" s="166" t="s">
        <v>1591</v>
      </c>
    </row>
    <row r="1531" spans="1:5" ht="27">
      <c r="A1531" s="159">
        <f t="shared" si="16"/>
        <v>1530</v>
      </c>
      <c r="B1531" s="163">
        <v>45792</v>
      </c>
      <c r="C1531" s="164">
        <v>0.38379629629629625</v>
      </c>
      <c r="D1531" s="159">
        <v>10</v>
      </c>
      <c r="E1531" s="166" t="s">
        <v>1592</v>
      </c>
    </row>
    <row r="1532" spans="1:5">
      <c r="A1532" s="159">
        <f t="shared" si="16"/>
        <v>1531</v>
      </c>
      <c r="B1532" s="163">
        <v>45792</v>
      </c>
      <c r="C1532" s="164">
        <v>0.38307870370370373</v>
      </c>
      <c r="D1532" s="159">
        <v>10</v>
      </c>
      <c r="E1532" s="166" t="s">
        <v>1593</v>
      </c>
    </row>
    <row r="1533" spans="1:5">
      <c r="A1533" s="159">
        <f t="shared" si="16"/>
        <v>1532</v>
      </c>
      <c r="B1533" s="163">
        <v>45793</v>
      </c>
      <c r="C1533" s="164">
        <v>0.77993055555555557</v>
      </c>
      <c r="D1533" s="159">
        <v>10</v>
      </c>
      <c r="E1533" s="166" t="s">
        <v>1481</v>
      </c>
    </row>
    <row r="1534" spans="1:5">
      <c r="A1534" s="159">
        <f t="shared" si="16"/>
        <v>1533</v>
      </c>
      <c r="B1534" s="163">
        <v>45793</v>
      </c>
      <c r="C1534" s="164">
        <v>0.77792824074074074</v>
      </c>
      <c r="D1534" s="159">
        <v>10</v>
      </c>
      <c r="E1534" s="166" t="s">
        <v>1482</v>
      </c>
    </row>
    <row r="1535" spans="1:5">
      <c r="A1535" s="159">
        <f t="shared" si="16"/>
        <v>1534</v>
      </c>
      <c r="B1535" s="163">
        <v>45793</v>
      </c>
      <c r="C1535" s="164">
        <v>0.75300925925925932</v>
      </c>
      <c r="D1535" s="159">
        <v>10</v>
      </c>
      <c r="E1535" s="166" t="s">
        <v>1483</v>
      </c>
    </row>
    <row r="1536" spans="1:5">
      <c r="A1536" s="159">
        <f t="shared" si="16"/>
        <v>1535</v>
      </c>
      <c r="B1536" s="163">
        <v>45793</v>
      </c>
      <c r="C1536" s="164">
        <v>0.75092592592592589</v>
      </c>
      <c r="D1536" s="159">
        <v>10</v>
      </c>
      <c r="E1536" s="166" t="s">
        <v>1484</v>
      </c>
    </row>
    <row r="1537" spans="1:5">
      <c r="A1537" s="159">
        <f t="shared" si="16"/>
        <v>1536</v>
      </c>
      <c r="B1537" s="163">
        <v>45793</v>
      </c>
      <c r="C1537" s="164">
        <v>0.74421296296296291</v>
      </c>
      <c r="D1537" s="159">
        <v>10</v>
      </c>
      <c r="E1537" s="166" t="s">
        <v>1485</v>
      </c>
    </row>
    <row r="1538" spans="1:5">
      <c r="A1538" s="159">
        <f t="shared" si="16"/>
        <v>1537</v>
      </c>
      <c r="B1538" s="163">
        <v>45793</v>
      </c>
      <c r="C1538" s="164">
        <v>0.73842592592592593</v>
      </c>
      <c r="D1538" s="159">
        <v>10</v>
      </c>
      <c r="E1538" s="166" t="s">
        <v>1486</v>
      </c>
    </row>
    <row r="1539" spans="1:5">
      <c r="A1539" s="159">
        <f t="shared" si="16"/>
        <v>1538</v>
      </c>
      <c r="B1539" s="163">
        <v>45793</v>
      </c>
      <c r="C1539" s="164">
        <v>0.73284722222222232</v>
      </c>
      <c r="D1539" s="159">
        <v>10</v>
      </c>
      <c r="E1539" s="166" t="s">
        <v>1487</v>
      </c>
    </row>
    <row r="1540" spans="1:5">
      <c r="A1540" s="159">
        <f t="shared" si="16"/>
        <v>1539</v>
      </c>
      <c r="B1540" s="163">
        <v>45793</v>
      </c>
      <c r="C1540" s="164">
        <v>0.72912037037037036</v>
      </c>
      <c r="D1540" s="159">
        <v>10</v>
      </c>
      <c r="E1540" s="166" t="s">
        <v>1488</v>
      </c>
    </row>
    <row r="1541" spans="1:5">
      <c r="A1541" s="159">
        <f t="shared" si="16"/>
        <v>1540</v>
      </c>
      <c r="B1541" s="163">
        <v>45793</v>
      </c>
      <c r="C1541" s="164">
        <v>0.71850694444444452</v>
      </c>
      <c r="D1541" s="159">
        <v>10</v>
      </c>
      <c r="E1541" s="166" t="s">
        <v>1489</v>
      </c>
    </row>
    <row r="1542" spans="1:5">
      <c r="A1542" s="159">
        <f t="shared" si="16"/>
        <v>1541</v>
      </c>
      <c r="B1542" s="163">
        <v>45793</v>
      </c>
      <c r="C1542" s="164">
        <v>0.71826388888888892</v>
      </c>
      <c r="D1542" s="159">
        <v>10</v>
      </c>
      <c r="E1542" s="166" t="s">
        <v>1490</v>
      </c>
    </row>
    <row r="1543" spans="1:5">
      <c r="A1543" s="159">
        <f t="shared" si="16"/>
        <v>1542</v>
      </c>
      <c r="B1543" s="163">
        <v>45793</v>
      </c>
      <c r="C1543" s="164">
        <v>0.71458333333333324</v>
      </c>
      <c r="D1543" s="159">
        <v>10</v>
      </c>
      <c r="E1543" s="166" t="s">
        <v>1491</v>
      </c>
    </row>
    <row r="1544" spans="1:5">
      <c r="A1544" s="159">
        <f t="shared" si="16"/>
        <v>1543</v>
      </c>
      <c r="B1544" s="163">
        <v>45793</v>
      </c>
      <c r="C1544" s="164">
        <v>0.71418981481481481</v>
      </c>
      <c r="D1544" s="159">
        <v>10</v>
      </c>
      <c r="E1544" s="166" t="s">
        <v>1492</v>
      </c>
    </row>
    <row r="1545" spans="1:5">
      <c r="A1545" s="159">
        <f t="shared" si="16"/>
        <v>1544</v>
      </c>
      <c r="B1545" s="163">
        <v>45793</v>
      </c>
      <c r="C1545" s="164">
        <v>0.7127430555555555</v>
      </c>
      <c r="D1545" s="159">
        <v>10</v>
      </c>
      <c r="E1545" s="166" t="s">
        <v>1493</v>
      </c>
    </row>
    <row r="1546" spans="1:5">
      <c r="A1546" s="159">
        <f t="shared" si="16"/>
        <v>1545</v>
      </c>
      <c r="B1546" s="163">
        <v>45793</v>
      </c>
      <c r="C1546" s="164">
        <v>0.7079050925925926</v>
      </c>
      <c r="D1546" s="159">
        <v>10</v>
      </c>
      <c r="E1546" s="166" t="s">
        <v>1494</v>
      </c>
    </row>
    <row r="1547" spans="1:5">
      <c r="A1547" s="159">
        <f t="shared" si="16"/>
        <v>1546</v>
      </c>
      <c r="B1547" s="163">
        <v>45793</v>
      </c>
      <c r="C1547" s="164">
        <v>0.70785879629629633</v>
      </c>
      <c r="D1547" s="159">
        <v>7</v>
      </c>
      <c r="E1547" s="166" t="s">
        <v>246</v>
      </c>
    </row>
    <row r="1548" spans="1:5">
      <c r="A1548" s="159">
        <f t="shared" si="16"/>
        <v>1547</v>
      </c>
      <c r="B1548" s="163">
        <v>45793</v>
      </c>
      <c r="C1548" s="164">
        <v>0.70445601851851858</v>
      </c>
      <c r="D1548" s="159">
        <v>10</v>
      </c>
      <c r="E1548" s="166" t="s">
        <v>1495</v>
      </c>
    </row>
    <row r="1549" spans="1:5">
      <c r="A1549" s="159">
        <f t="shared" si="16"/>
        <v>1548</v>
      </c>
      <c r="B1549" s="163">
        <v>45793</v>
      </c>
      <c r="C1549" s="164">
        <v>0.6999305555555555</v>
      </c>
      <c r="D1549" s="159">
        <v>10</v>
      </c>
      <c r="E1549" s="166" t="s">
        <v>1496</v>
      </c>
    </row>
    <row r="1550" spans="1:5">
      <c r="A1550" s="159">
        <f t="shared" si="16"/>
        <v>1549</v>
      </c>
      <c r="B1550" s="163">
        <v>45793</v>
      </c>
      <c r="C1550" s="164">
        <v>0.68475694444444446</v>
      </c>
      <c r="D1550" s="159">
        <v>10</v>
      </c>
      <c r="E1550" s="166" t="s">
        <v>1094</v>
      </c>
    </row>
    <row r="1551" spans="1:5">
      <c r="A1551" s="159">
        <f t="shared" si="16"/>
        <v>1550</v>
      </c>
      <c r="B1551" s="163">
        <v>45793</v>
      </c>
      <c r="C1551" s="164">
        <v>0.6827199074074074</v>
      </c>
      <c r="D1551" s="159">
        <v>10</v>
      </c>
      <c r="E1551" s="166" t="s">
        <v>1497</v>
      </c>
    </row>
    <row r="1552" spans="1:5">
      <c r="A1552" s="159">
        <f t="shared" si="16"/>
        <v>1551</v>
      </c>
      <c r="B1552" s="163">
        <v>45793</v>
      </c>
      <c r="C1552" s="164">
        <v>0.67736111111111119</v>
      </c>
      <c r="D1552" s="159">
        <v>10</v>
      </c>
      <c r="E1552" s="166" t="s">
        <v>1498</v>
      </c>
    </row>
    <row r="1553" spans="1:5">
      <c r="A1553" s="159">
        <f t="shared" si="16"/>
        <v>1552</v>
      </c>
      <c r="B1553" s="163">
        <v>45793</v>
      </c>
      <c r="C1553" s="164">
        <v>0.67013888888888884</v>
      </c>
      <c r="D1553" s="159">
        <v>10</v>
      </c>
      <c r="E1553" s="166" t="s">
        <v>1499</v>
      </c>
    </row>
    <row r="1554" spans="1:5">
      <c r="A1554" s="159">
        <f t="shared" si="16"/>
        <v>1553</v>
      </c>
      <c r="B1554" s="163">
        <v>45793</v>
      </c>
      <c r="C1554" s="164">
        <v>0.66559027777777779</v>
      </c>
      <c r="D1554" s="159">
        <v>10</v>
      </c>
      <c r="E1554" s="166" t="s">
        <v>1500</v>
      </c>
    </row>
    <row r="1555" spans="1:5">
      <c r="A1555" s="159">
        <f t="shared" si="16"/>
        <v>1554</v>
      </c>
      <c r="B1555" s="163">
        <v>45793</v>
      </c>
      <c r="C1555" s="164">
        <v>0.66560185185185183</v>
      </c>
      <c r="D1555" s="159">
        <v>10</v>
      </c>
      <c r="E1555" s="166" t="s">
        <v>1501</v>
      </c>
    </row>
    <row r="1556" spans="1:5">
      <c r="A1556" s="159">
        <f t="shared" si="16"/>
        <v>1555</v>
      </c>
      <c r="B1556" s="163">
        <v>45793</v>
      </c>
      <c r="C1556" s="164">
        <v>0.66084490740740742</v>
      </c>
      <c r="D1556" s="159">
        <v>10</v>
      </c>
      <c r="E1556" s="166" t="s">
        <v>1502</v>
      </c>
    </row>
    <row r="1557" spans="1:5">
      <c r="A1557" s="159">
        <f t="shared" si="16"/>
        <v>1556</v>
      </c>
      <c r="B1557" s="163">
        <v>45793</v>
      </c>
      <c r="C1557" s="164">
        <v>0.646550925925926</v>
      </c>
      <c r="D1557" s="159">
        <v>10</v>
      </c>
      <c r="E1557" s="166" t="s">
        <v>1503</v>
      </c>
    </row>
    <row r="1558" spans="1:5">
      <c r="A1558" s="159">
        <f t="shared" si="16"/>
        <v>1557</v>
      </c>
      <c r="B1558" s="163">
        <v>45793</v>
      </c>
      <c r="C1558" s="164">
        <v>0.63806712962962964</v>
      </c>
      <c r="D1558" s="159">
        <v>10</v>
      </c>
      <c r="E1558" s="166" t="s">
        <v>1504</v>
      </c>
    </row>
    <row r="1559" spans="1:5">
      <c r="A1559" s="159">
        <f t="shared" si="16"/>
        <v>1558</v>
      </c>
      <c r="B1559" s="163">
        <v>45793</v>
      </c>
      <c r="C1559" s="164">
        <v>0.63725694444444447</v>
      </c>
      <c r="D1559" s="159">
        <v>10</v>
      </c>
      <c r="E1559" s="166" t="s">
        <v>1505</v>
      </c>
    </row>
    <row r="1560" spans="1:5" ht="27">
      <c r="A1560" s="159">
        <f t="shared" si="16"/>
        <v>1559</v>
      </c>
      <c r="B1560" s="163">
        <v>45793</v>
      </c>
      <c r="C1560" s="164">
        <v>0.62668981481481478</v>
      </c>
      <c r="D1560" s="159">
        <v>10</v>
      </c>
      <c r="E1560" s="166" t="s">
        <v>1597</v>
      </c>
    </row>
    <row r="1561" spans="1:5">
      <c r="A1561" s="159">
        <f t="shared" si="16"/>
        <v>1560</v>
      </c>
      <c r="B1561" s="163">
        <v>45793</v>
      </c>
      <c r="C1561" s="164">
        <v>0.61953703703703711</v>
      </c>
      <c r="D1561" s="159">
        <v>9</v>
      </c>
      <c r="E1561" s="166" t="s">
        <v>1506</v>
      </c>
    </row>
    <row r="1562" spans="1:5">
      <c r="A1562" s="159">
        <f t="shared" si="16"/>
        <v>1561</v>
      </c>
      <c r="B1562" s="163">
        <v>45793</v>
      </c>
      <c r="C1562" s="164">
        <v>0.61341435185185189</v>
      </c>
      <c r="D1562" s="159">
        <v>10</v>
      </c>
      <c r="E1562" s="166" t="s">
        <v>1507</v>
      </c>
    </row>
    <row r="1563" spans="1:5">
      <c r="A1563" s="159">
        <f t="shared" si="16"/>
        <v>1562</v>
      </c>
      <c r="B1563" s="163">
        <v>45793</v>
      </c>
      <c r="C1563" s="164">
        <v>0.61076388888888888</v>
      </c>
      <c r="D1563" s="159">
        <v>10</v>
      </c>
      <c r="E1563" s="166" t="s">
        <v>1508</v>
      </c>
    </row>
    <row r="1564" spans="1:5">
      <c r="A1564" s="159">
        <f t="shared" si="16"/>
        <v>1563</v>
      </c>
      <c r="B1564" s="163">
        <v>45793</v>
      </c>
      <c r="C1564" s="164">
        <v>0.60929398148148151</v>
      </c>
      <c r="D1564" s="159">
        <v>10</v>
      </c>
      <c r="E1564" s="166" t="s">
        <v>1509</v>
      </c>
    </row>
    <row r="1565" spans="1:5">
      <c r="A1565" s="159">
        <f t="shared" si="16"/>
        <v>1564</v>
      </c>
      <c r="B1565" s="163">
        <v>45793</v>
      </c>
      <c r="C1565" s="164">
        <v>0.60222222222222221</v>
      </c>
      <c r="D1565" s="159">
        <v>10</v>
      </c>
      <c r="E1565" s="166" t="s">
        <v>1510</v>
      </c>
    </row>
    <row r="1566" spans="1:5">
      <c r="A1566" s="159">
        <f t="shared" si="16"/>
        <v>1565</v>
      </c>
      <c r="B1566" s="163">
        <v>45793</v>
      </c>
      <c r="C1566" s="164">
        <v>0.59130787037037036</v>
      </c>
      <c r="D1566" s="159">
        <v>10</v>
      </c>
      <c r="E1566" s="166" t="s">
        <v>1511</v>
      </c>
    </row>
    <row r="1567" spans="1:5">
      <c r="A1567" s="159">
        <f t="shared" si="16"/>
        <v>1566</v>
      </c>
      <c r="B1567" s="163">
        <v>45793</v>
      </c>
      <c r="C1567" s="164">
        <v>0.5913194444444444</v>
      </c>
      <c r="D1567" s="159">
        <v>10</v>
      </c>
      <c r="E1567" s="166" t="s">
        <v>1512</v>
      </c>
    </row>
    <row r="1568" spans="1:5">
      <c r="A1568" s="159">
        <f t="shared" si="16"/>
        <v>1567</v>
      </c>
      <c r="B1568" s="163">
        <v>45793</v>
      </c>
      <c r="C1568" s="164">
        <v>0.58505787037037038</v>
      </c>
      <c r="D1568" s="159">
        <v>10</v>
      </c>
      <c r="E1568" s="166" t="s">
        <v>1513</v>
      </c>
    </row>
    <row r="1569" spans="1:5">
      <c r="A1569" s="159">
        <f t="shared" si="16"/>
        <v>1568</v>
      </c>
      <c r="B1569" s="163">
        <v>45793</v>
      </c>
      <c r="C1569" s="164">
        <v>0.58405092592592589</v>
      </c>
      <c r="D1569" s="159">
        <v>10</v>
      </c>
      <c r="E1569" s="166" t="s">
        <v>132</v>
      </c>
    </row>
    <row r="1570" spans="1:5">
      <c r="A1570" s="159">
        <f t="shared" si="16"/>
        <v>1569</v>
      </c>
      <c r="B1570" s="163">
        <v>45793</v>
      </c>
      <c r="C1570" s="164">
        <v>0.5628009259259259</v>
      </c>
      <c r="D1570" s="159">
        <v>10</v>
      </c>
      <c r="E1570" s="166" t="s">
        <v>244</v>
      </c>
    </row>
    <row r="1571" spans="1:5">
      <c r="A1571" s="159">
        <f t="shared" si="16"/>
        <v>1570</v>
      </c>
      <c r="B1571" s="163">
        <v>45793</v>
      </c>
      <c r="C1571" s="164">
        <v>0.55945601851851856</v>
      </c>
      <c r="D1571" s="159">
        <v>10</v>
      </c>
      <c r="E1571" s="166" t="s">
        <v>1514</v>
      </c>
    </row>
    <row r="1572" spans="1:5">
      <c r="A1572" s="159">
        <f t="shared" si="16"/>
        <v>1571</v>
      </c>
      <c r="B1572" s="163">
        <v>45793</v>
      </c>
      <c r="C1572" s="164">
        <v>0.55662037037037038</v>
      </c>
      <c r="D1572" s="159">
        <v>10</v>
      </c>
      <c r="E1572" s="166" t="s">
        <v>1515</v>
      </c>
    </row>
    <row r="1573" spans="1:5">
      <c r="A1573" s="159">
        <f t="shared" si="16"/>
        <v>1572</v>
      </c>
      <c r="B1573" s="163">
        <v>45793</v>
      </c>
      <c r="C1573" s="164">
        <v>0.55577546296296299</v>
      </c>
      <c r="D1573" s="159">
        <v>10</v>
      </c>
      <c r="E1573" s="166" t="s">
        <v>1516</v>
      </c>
    </row>
    <row r="1574" spans="1:5">
      <c r="A1574" s="159">
        <f t="shared" si="16"/>
        <v>1573</v>
      </c>
      <c r="B1574" s="163">
        <v>45793</v>
      </c>
      <c r="C1574" s="164">
        <v>0.55521990740740745</v>
      </c>
      <c r="D1574" s="159">
        <v>10</v>
      </c>
      <c r="E1574" s="166" t="s">
        <v>1517</v>
      </c>
    </row>
    <row r="1575" spans="1:5">
      <c r="A1575" s="159">
        <f t="shared" si="16"/>
        <v>1574</v>
      </c>
      <c r="B1575" s="163">
        <v>45793</v>
      </c>
      <c r="C1575" s="164">
        <v>0.55496527777777771</v>
      </c>
      <c r="D1575" s="159">
        <v>10</v>
      </c>
      <c r="E1575" s="166" t="s">
        <v>1518</v>
      </c>
    </row>
    <row r="1576" spans="1:5">
      <c r="A1576" s="159">
        <f t="shared" si="16"/>
        <v>1575</v>
      </c>
      <c r="B1576" s="163">
        <v>45793</v>
      </c>
      <c r="C1576" s="164">
        <v>0.55101851851851846</v>
      </c>
      <c r="D1576" s="159">
        <v>10</v>
      </c>
      <c r="E1576" s="166" t="s">
        <v>1596</v>
      </c>
    </row>
    <row r="1577" spans="1:5">
      <c r="A1577" s="159">
        <f t="shared" si="16"/>
        <v>1576</v>
      </c>
      <c r="B1577" s="163">
        <v>45793</v>
      </c>
      <c r="C1577" s="164">
        <v>0.54899305555555555</v>
      </c>
      <c r="D1577" s="159">
        <v>10</v>
      </c>
      <c r="E1577" s="166" t="s">
        <v>1519</v>
      </c>
    </row>
    <row r="1578" spans="1:5">
      <c r="A1578" s="159">
        <f t="shared" si="16"/>
        <v>1577</v>
      </c>
      <c r="B1578" s="163">
        <v>45793</v>
      </c>
      <c r="C1578" s="164">
        <v>0.52685185185185179</v>
      </c>
      <c r="D1578" s="159">
        <v>10</v>
      </c>
      <c r="E1578" s="166" t="s">
        <v>1520</v>
      </c>
    </row>
    <row r="1579" spans="1:5">
      <c r="A1579" s="159">
        <f t="shared" si="16"/>
        <v>1578</v>
      </c>
      <c r="B1579" s="163">
        <v>45793</v>
      </c>
      <c r="C1579" s="164">
        <v>0.52682870370370372</v>
      </c>
      <c r="D1579" s="159">
        <v>10</v>
      </c>
      <c r="E1579" s="166" t="s">
        <v>1521</v>
      </c>
    </row>
    <row r="1580" spans="1:5">
      <c r="A1580" s="159">
        <f t="shared" si="16"/>
        <v>1579</v>
      </c>
      <c r="B1580" s="163">
        <v>45793</v>
      </c>
      <c r="C1580" s="164">
        <v>0.5148611111111111</v>
      </c>
      <c r="D1580" s="159">
        <v>10</v>
      </c>
      <c r="E1580" s="166" t="s">
        <v>1522</v>
      </c>
    </row>
    <row r="1581" spans="1:5">
      <c r="A1581" s="159">
        <f t="shared" si="16"/>
        <v>1580</v>
      </c>
      <c r="B1581" s="163">
        <v>45793</v>
      </c>
      <c r="C1581" s="164">
        <v>0.49859953703703702</v>
      </c>
      <c r="D1581" s="159">
        <v>10</v>
      </c>
      <c r="E1581" s="166" t="s">
        <v>1523</v>
      </c>
    </row>
    <row r="1582" spans="1:5">
      <c r="A1582" s="159">
        <f t="shared" si="16"/>
        <v>1581</v>
      </c>
      <c r="B1582" s="163">
        <v>45793</v>
      </c>
      <c r="C1582" s="164">
        <v>0.49502314814814818</v>
      </c>
      <c r="D1582" s="159">
        <v>10</v>
      </c>
      <c r="E1582" s="166" t="s">
        <v>1524</v>
      </c>
    </row>
    <row r="1583" spans="1:5">
      <c r="A1583" s="159">
        <f t="shared" si="16"/>
        <v>1582</v>
      </c>
      <c r="B1583" s="163">
        <v>45793</v>
      </c>
      <c r="C1583" s="164">
        <v>0.49223379629629632</v>
      </c>
      <c r="D1583" s="159">
        <v>10</v>
      </c>
      <c r="E1583" s="166" t="s">
        <v>1525</v>
      </c>
    </row>
    <row r="1584" spans="1:5">
      <c r="A1584" s="159">
        <f t="shared" si="16"/>
        <v>1583</v>
      </c>
      <c r="B1584" s="163">
        <v>45793</v>
      </c>
      <c r="C1584" s="164">
        <v>0.48555555555555557</v>
      </c>
      <c r="D1584" s="159">
        <v>10</v>
      </c>
      <c r="E1584" s="166" t="s">
        <v>1526</v>
      </c>
    </row>
    <row r="1585" spans="1:5">
      <c r="A1585" s="159">
        <f t="shared" si="16"/>
        <v>1584</v>
      </c>
      <c r="B1585" s="163">
        <v>45793</v>
      </c>
      <c r="C1585" s="164">
        <v>0.48217592592592595</v>
      </c>
      <c r="D1585" s="159">
        <v>10</v>
      </c>
      <c r="E1585" s="166" t="s">
        <v>1527</v>
      </c>
    </row>
    <row r="1586" spans="1:5" ht="27">
      <c r="A1586" s="159">
        <f t="shared" si="16"/>
        <v>1585</v>
      </c>
      <c r="B1586" s="163">
        <v>45793</v>
      </c>
      <c r="C1586" s="164">
        <v>0.45454861111111106</v>
      </c>
      <c r="D1586" s="159">
        <v>10</v>
      </c>
      <c r="E1586" s="166" t="s">
        <v>1595</v>
      </c>
    </row>
    <row r="1587" spans="1:5">
      <c r="A1587" s="159">
        <f t="shared" si="16"/>
        <v>1586</v>
      </c>
      <c r="B1587" s="163">
        <v>45793</v>
      </c>
      <c r="C1587" s="164">
        <v>0.4536574074074074</v>
      </c>
      <c r="D1587" s="159">
        <v>10</v>
      </c>
      <c r="E1587" s="166" t="s">
        <v>1528</v>
      </c>
    </row>
    <row r="1588" spans="1:5">
      <c r="A1588" s="159">
        <f t="shared" si="16"/>
        <v>1587</v>
      </c>
      <c r="B1588" s="163">
        <v>45793</v>
      </c>
      <c r="C1588" s="164">
        <v>0.44989583333333333</v>
      </c>
      <c r="D1588" s="159">
        <v>10</v>
      </c>
      <c r="E1588" s="166" t="s">
        <v>1529</v>
      </c>
    </row>
    <row r="1589" spans="1:5">
      <c r="A1589" s="159">
        <f t="shared" ref="A1589:A1652" si="17">ROW()-1</f>
        <v>1588</v>
      </c>
      <c r="B1589" s="163">
        <v>45793</v>
      </c>
      <c r="C1589" s="164">
        <v>0.44750000000000001</v>
      </c>
      <c r="D1589" s="159">
        <v>10</v>
      </c>
      <c r="E1589" s="166" t="s">
        <v>1530</v>
      </c>
    </row>
    <row r="1590" spans="1:5">
      <c r="A1590" s="159">
        <f t="shared" si="17"/>
        <v>1589</v>
      </c>
      <c r="B1590" s="163">
        <v>45793</v>
      </c>
      <c r="C1590" s="164">
        <v>0.44335648148148149</v>
      </c>
      <c r="D1590" s="159">
        <v>10</v>
      </c>
      <c r="E1590" s="166" t="s">
        <v>1531</v>
      </c>
    </row>
    <row r="1591" spans="1:5">
      <c r="A1591" s="159">
        <f t="shared" si="17"/>
        <v>1590</v>
      </c>
      <c r="B1591" s="163">
        <v>45793</v>
      </c>
      <c r="C1591" s="164">
        <v>0.44225694444444441</v>
      </c>
      <c r="D1591" s="159">
        <v>9</v>
      </c>
      <c r="E1591" s="166" t="s">
        <v>1532</v>
      </c>
    </row>
    <row r="1592" spans="1:5">
      <c r="A1592" s="159">
        <f t="shared" si="17"/>
        <v>1591</v>
      </c>
      <c r="B1592" s="163">
        <v>45793</v>
      </c>
      <c r="C1592" s="164">
        <v>0.43930555555555556</v>
      </c>
      <c r="D1592" s="159">
        <v>10</v>
      </c>
      <c r="E1592" s="166" t="s">
        <v>1594</v>
      </c>
    </row>
    <row r="1593" spans="1:5">
      <c r="A1593" s="159">
        <f t="shared" si="17"/>
        <v>1592</v>
      </c>
      <c r="B1593" s="163">
        <v>45793</v>
      </c>
      <c r="C1593" s="164">
        <v>0.42371527777777779</v>
      </c>
      <c r="D1593" s="159">
        <v>10</v>
      </c>
      <c r="E1593" s="166" t="s">
        <v>1533</v>
      </c>
    </row>
    <row r="1594" spans="1:5">
      <c r="A1594" s="159">
        <f t="shared" si="17"/>
        <v>1593</v>
      </c>
      <c r="B1594" s="163">
        <v>45793</v>
      </c>
      <c r="C1594" s="164">
        <v>0.41879629629629633</v>
      </c>
      <c r="D1594" s="159">
        <v>10</v>
      </c>
      <c r="E1594" s="166" t="s">
        <v>132</v>
      </c>
    </row>
    <row r="1595" spans="1:5">
      <c r="A1595" s="159">
        <f t="shared" si="17"/>
        <v>1594</v>
      </c>
      <c r="B1595" s="163">
        <v>45793</v>
      </c>
      <c r="C1595" s="164">
        <v>0.39886574074074077</v>
      </c>
      <c r="D1595" s="159">
        <v>10</v>
      </c>
      <c r="E1595" s="166" t="s">
        <v>1534</v>
      </c>
    </row>
    <row r="1596" spans="1:5">
      <c r="A1596" s="159">
        <f t="shared" si="17"/>
        <v>1595</v>
      </c>
      <c r="B1596" s="163">
        <v>45794</v>
      </c>
      <c r="C1596" s="164">
        <v>0.72462962962962962</v>
      </c>
      <c r="D1596" s="159">
        <v>10</v>
      </c>
      <c r="E1596" s="166" t="s">
        <v>1474</v>
      </c>
    </row>
    <row r="1597" spans="1:5" ht="27">
      <c r="A1597" s="159">
        <f t="shared" si="17"/>
        <v>1596</v>
      </c>
      <c r="B1597" s="163">
        <v>45794</v>
      </c>
      <c r="C1597" s="164">
        <v>0.64439814814814811</v>
      </c>
      <c r="D1597" s="159">
        <v>10</v>
      </c>
      <c r="E1597" s="166" t="s">
        <v>1475</v>
      </c>
    </row>
    <row r="1598" spans="1:5">
      <c r="A1598" s="159">
        <f t="shared" si="17"/>
        <v>1597</v>
      </c>
      <c r="B1598" s="163">
        <v>45794</v>
      </c>
      <c r="C1598" s="164">
        <v>0.59974537037037035</v>
      </c>
      <c r="D1598" s="159">
        <v>10</v>
      </c>
      <c r="E1598" s="166" t="s">
        <v>1476</v>
      </c>
    </row>
    <row r="1599" spans="1:5">
      <c r="A1599" s="159">
        <f t="shared" si="17"/>
        <v>1598</v>
      </c>
      <c r="B1599" s="163">
        <v>45794</v>
      </c>
      <c r="C1599" s="164">
        <v>0.59707175925925926</v>
      </c>
      <c r="D1599" s="159">
        <v>10</v>
      </c>
      <c r="E1599" s="166" t="s">
        <v>1477</v>
      </c>
    </row>
    <row r="1600" spans="1:5">
      <c r="A1600" s="159">
        <f t="shared" si="17"/>
        <v>1599</v>
      </c>
      <c r="B1600" s="163">
        <v>45794</v>
      </c>
      <c r="C1600" s="164">
        <v>0.46608796296296301</v>
      </c>
      <c r="D1600" s="159">
        <v>10</v>
      </c>
      <c r="E1600" s="166" t="s">
        <v>1478</v>
      </c>
    </row>
    <row r="1601" spans="1:5">
      <c r="A1601" s="159">
        <f t="shared" si="17"/>
        <v>1600</v>
      </c>
      <c r="B1601" s="163">
        <v>45794</v>
      </c>
      <c r="C1601" s="164">
        <v>0.46254629629629629</v>
      </c>
      <c r="D1601" s="159">
        <v>10</v>
      </c>
      <c r="E1601" s="166" t="s">
        <v>1479</v>
      </c>
    </row>
    <row r="1602" spans="1:5">
      <c r="A1602" s="159">
        <f t="shared" si="17"/>
        <v>1601</v>
      </c>
      <c r="B1602" s="163">
        <v>45794</v>
      </c>
      <c r="C1602" s="164">
        <v>0.37953703703703701</v>
      </c>
      <c r="D1602" s="159">
        <v>10</v>
      </c>
      <c r="E1602" s="166" t="s">
        <v>1480</v>
      </c>
    </row>
    <row r="1603" spans="1:5">
      <c r="A1603" s="159">
        <f t="shared" si="17"/>
        <v>1602</v>
      </c>
      <c r="B1603" s="163">
        <v>45796</v>
      </c>
      <c r="C1603" s="164">
        <v>0.91221064814814812</v>
      </c>
      <c r="D1603" s="159">
        <v>10</v>
      </c>
      <c r="E1603" s="166" t="s">
        <v>1598</v>
      </c>
    </row>
    <row r="1604" spans="1:5">
      <c r="A1604" s="159">
        <f t="shared" si="17"/>
        <v>1603</v>
      </c>
      <c r="B1604" s="163">
        <v>45796</v>
      </c>
      <c r="C1604" s="164">
        <v>0.89616898148148139</v>
      </c>
      <c r="D1604" s="159">
        <v>10</v>
      </c>
      <c r="E1604" s="166" t="s">
        <v>1599</v>
      </c>
    </row>
    <row r="1605" spans="1:5">
      <c r="A1605" s="159">
        <f t="shared" si="17"/>
        <v>1604</v>
      </c>
      <c r="B1605" s="163">
        <v>45796</v>
      </c>
      <c r="C1605" s="164">
        <v>0.88931712962962972</v>
      </c>
      <c r="D1605" s="159">
        <v>10</v>
      </c>
      <c r="E1605" s="166" t="s">
        <v>1600</v>
      </c>
    </row>
    <row r="1606" spans="1:5">
      <c r="A1606" s="159">
        <f t="shared" si="17"/>
        <v>1605</v>
      </c>
      <c r="B1606" s="163">
        <v>45796</v>
      </c>
      <c r="C1606" s="164">
        <v>0.85171296296296306</v>
      </c>
      <c r="D1606" s="159">
        <v>10</v>
      </c>
      <c r="E1606" s="166" t="s">
        <v>1601</v>
      </c>
    </row>
    <row r="1607" spans="1:5">
      <c r="A1607" s="159">
        <f t="shared" si="17"/>
        <v>1606</v>
      </c>
      <c r="B1607" s="163">
        <v>45796</v>
      </c>
      <c r="C1607" s="164">
        <v>0.79049768518518526</v>
      </c>
      <c r="D1607" s="159">
        <v>10</v>
      </c>
      <c r="E1607" s="166" t="s">
        <v>148</v>
      </c>
    </row>
    <row r="1608" spans="1:5">
      <c r="A1608" s="159">
        <f t="shared" si="17"/>
        <v>1607</v>
      </c>
      <c r="B1608" s="163">
        <v>45796</v>
      </c>
      <c r="C1608" s="164">
        <v>0.78826388888888888</v>
      </c>
      <c r="D1608" s="159">
        <v>10</v>
      </c>
      <c r="E1608" s="166" t="s">
        <v>1602</v>
      </c>
    </row>
    <row r="1609" spans="1:5">
      <c r="A1609" s="159">
        <f t="shared" si="17"/>
        <v>1608</v>
      </c>
      <c r="B1609" s="163">
        <v>45796</v>
      </c>
      <c r="C1609" s="164">
        <v>0.7570486111111111</v>
      </c>
      <c r="D1609" s="159">
        <v>10</v>
      </c>
      <c r="E1609" s="166" t="s">
        <v>1603</v>
      </c>
    </row>
    <row r="1610" spans="1:5">
      <c r="A1610" s="159">
        <f t="shared" si="17"/>
        <v>1609</v>
      </c>
      <c r="B1610" s="163">
        <v>45796</v>
      </c>
      <c r="C1610" s="164">
        <v>0.74071759259259251</v>
      </c>
      <c r="D1610" s="159">
        <v>10</v>
      </c>
      <c r="E1610" s="166" t="s">
        <v>1604</v>
      </c>
    </row>
    <row r="1611" spans="1:5">
      <c r="A1611" s="159">
        <f t="shared" si="17"/>
        <v>1610</v>
      </c>
      <c r="B1611" s="163">
        <v>45796</v>
      </c>
      <c r="C1611" s="164">
        <v>0.7368865740740741</v>
      </c>
      <c r="D1611" s="159">
        <v>10</v>
      </c>
      <c r="E1611" s="166" t="s">
        <v>1605</v>
      </c>
    </row>
    <row r="1612" spans="1:5">
      <c r="A1612" s="159">
        <f t="shared" si="17"/>
        <v>1611</v>
      </c>
      <c r="B1612" s="163">
        <v>45796</v>
      </c>
      <c r="C1612" s="164">
        <v>0.72706018518518523</v>
      </c>
      <c r="D1612" s="159">
        <v>10</v>
      </c>
      <c r="E1612" s="166" t="s">
        <v>132</v>
      </c>
    </row>
    <row r="1613" spans="1:5">
      <c r="A1613" s="159">
        <f t="shared" si="17"/>
        <v>1612</v>
      </c>
      <c r="B1613" s="163">
        <v>45796</v>
      </c>
      <c r="C1613" s="164">
        <v>0.72027777777777768</v>
      </c>
      <c r="D1613" s="159">
        <v>10</v>
      </c>
      <c r="E1613" s="166" t="s">
        <v>1606</v>
      </c>
    </row>
    <row r="1614" spans="1:5">
      <c r="A1614" s="159">
        <f t="shared" si="17"/>
        <v>1613</v>
      </c>
      <c r="B1614" s="163">
        <v>45796</v>
      </c>
      <c r="C1614" s="164">
        <v>0.71354166666666663</v>
      </c>
      <c r="D1614" s="159">
        <v>10</v>
      </c>
      <c r="E1614" s="166" t="s">
        <v>1607</v>
      </c>
    </row>
    <row r="1615" spans="1:5">
      <c r="A1615" s="159">
        <f t="shared" si="17"/>
        <v>1614</v>
      </c>
      <c r="B1615" s="163">
        <v>45796</v>
      </c>
      <c r="C1615" s="164">
        <v>0.6947916666666667</v>
      </c>
      <c r="D1615" s="159">
        <v>10</v>
      </c>
      <c r="E1615" s="166" t="s">
        <v>1608</v>
      </c>
    </row>
    <row r="1616" spans="1:5">
      <c r="A1616" s="159">
        <f t="shared" si="17"/>
        <v>1615</v>
      </c>
      <c r="B1616" s="163">
        <v>45796</v>
      </c>
      <c r="C1616" s="164">
        <v>0.65192129629629625</v>
      </c>
      <c r="D1616" s="159">
        <v>10</v>
      </c>
      <c r="E1616" s="166" t="s">
        <v>1609</v>
      </c>
    </row>
    <row r="1617" spans="1:5">
      <c r="A1617" s="159">
        <f t="shared" si="17"/>
        <v>1616</v>
      </c>
      <c r="B1617" s="163">
        <v>45796</v>
      </c>
      <c r="C1617" s="164">
        <v>0.64356481481481487</v>
      </c>
      <c r="D1617" s="159">
        <v>10</v>
      </c>
      <c r="E1617" s="166" t="s">
        <v>1610</v>
      </c>
    </row>
    <row r="1618" spans="1:5">
      <c r="A1618" s="159">
        <f t="shared" si="17"/>
        <v>1617</v>
      </c>
      <c r="B1618" s="163">
        <v>45796</v>
      </c>
      <c r="C1618" s="164">
        <v>0.62439814814814809</v>
      </c>
      <c r="D1618" s="159">
        <v>10</v>
      </c>
      <c r="E1618" s="166" t="s">
        <v>1434</v>
      </c>
    </row>
    <row r="1619" spans="1:5">
      <c r="A1619" s="159">
        <f t="shared" si="17"/>
        <v>1618</v>
      </c>
      <c r="B1619" s="163">
        <v>45796</v>
      </c>
      <c r="C1619" s="164">
        <v>0.6101388888888889</v>
      </c>
      <c r="D1619" s="159">
        <v>10</v>
      </c>
      <c r="E1619" s="166" t="s">
        <v>1611</v>
      </c>
    </row>
    <row r="1620" spans="1:5">
      <c r="A1620" s="159">
        <f t="shared" si="17"/>
        <v>1619</v>
      </c>
      <c r="B1620" s="163">
        <v>45796</v>
      </c>
      <c r="C1620" s="164">
        <v>0.60405092592592591</v>
      </c>
      <c r="D1620" s="159">
        <v>10</v>
      </c>
      <c r="E1620" s="166" t="s">
        <v>1612</v>
      </c>
    </row>
    <row r="1621" spans="1:5">
      <c r="A1621" s="159">
        <f t="shared" si="17"/>
        <v>1620</v>
      </c>
      <c r="B1621" s="163">
        <v>45796</v>
      </c>
      <c r="C1621" s="164">
        <v>0.6039930555555556</v>
      </c>
      <c r="D1621" s="159">
        <v>10</v>
      </c>
      <c r="E1621" s="166" t="s">
        <v>1613</v>
      </c>
    </row>
    <row r="1622" spans="1:5">
      <c r="A1622" s="159">
        <f t="shared" si="17"/>
        <v>1621</v>
      </c>
      <c r="B1622" s="163">
        <v>45796</v>
      </c>
      <c r="C1622" s="164">
        <v>0.60180555555555559</v>
      </c>
      <c r="D1622" s="159">
        <v>10</v>
      </c>
      <c r="E1622" s="166" t="s">
        <v>1614</v>
      </c>
    </row>
    <row r="1623" spans="1:5">
      <c r="A1623" s="159">
        <f t="shared" si="17"/>
        <v>1622</v>
      </c>
      <c r="B1623" s="163">
        <v>45796</v>
      </c>
      <c r="C1623" s="164">
        <v>0.59729166666666667</v>
      </c>
      <c r="D1623" s="159">
        <v>10</v>
      </c>
      <c r="E1623" s="166" t="s">
        <v>1615</v>
      </c>
    </row>
    <row r="1624" spans="1:5">
      <c r="A1624" s="159">
        <f t="shared" si="17"/>
        <v>1623</v>
      </c>
      <c r="B1624" s="163">
        <v>45796</v>
      </c>
      <c r="C1624" s="164">
        <v>0.59231481481481485</v>
      </c>
      <c r="D1624" s="159">
        <v>10</v>
      </c>
      <c r="E1624" s="166" t="s">
        <v>1616</v>
      </c>
    </row>
    <row r="1625" spans="1:5">
      <c r="A1625" s="159">
        <f t="shared" si="17"/>
        <v>1624</v>
      </c>
      <c r="B1625" s="163">
        <v>45796</v>
      </c>
      <c r="C1625" s="164">
        <v>0.58608796296296295</v>
      </c>
      <c r="D1625" s="159">
        <v>10</v>
      </c>
      <c r="E1625" s="166" t="s">
        <v>1617</v>
      </c>
    </row>
    <row r="1626" spans="1:5">
      <c r="A1626" s="159">
        <f t="shared" si="17"/>
        <v>1625</v>
      </c>
      <c r="B1626" s="163">
        <v>45796</v>
      </c>
      <c r="C1626" s="164">
        <v>0.58300925925925928</v>
      </c>
      <c r="D1626" s="159">
        <v>10</v>
      </c>
      <c r="E1626" s="166" t="s">
        <v>1618</v>
      </c>
    </row>
    <row r="1627" spans="1:5">
      <c r="A1627" s="159">
        <f t="shared" si="17"/>
        <v>1626</v>
      </c>
      <c r="B1627" s="163">
        <v>45796</v>
      </c>
      <c r="C1627" s="164">
        <v>0.58223379629629635</v>
      </c>
      <c r="D1627" s="159">
        <v>10</v>
      </c>
      <c r="E1627" s="166" t="s">
        <v>1619</v>
      </c>
    </row>
    <row r="1628" spans="1:5">
      <c r="A1628" s="159">
        <f t="shared" si="17"/>
        <v>1627</v>
      </c>
      <c r="B1628" s="163">
        <v>45796</v>
      </c>
      <c r="C1628" s="164">
        <v>0.58135416666666673</v>
      </c>
      <c r="D1628" s="159">
        <v>10</v>
      </c>
      <c r="E1628" s="166" t="s">
        <v>1620</v>
      </c>
    </row>
    <row r="1629" spans="1:5">
      <c r="A1629" s="159">
        <f t="shared" si="17"/>
        <v>1628</v>
      </c>
      <c r="B1629" s="163">
        <v>45796</v>
      </c>
      <c r="C1629" s="164">
        <v>0.55587962962962967</v>
      </c>
      <c r="D1629" s="159">
        <v>10</v>
      </c>
      <c r="E1629" s="166" t="s">
        <v>1621</v>
      </c>
    </row>
    <row r="1630" spans="1:5">
      <c r="A1630" s="159">
        <f t="shared" si="17"/>
        <v>1629</v>
      </c>
      <c r="B1630" s="163">
        <v>45796</v>
      </c>
      <c r="C1630" s="164">
        <v>0.55479166666666668</v>
      </c>
      <c r="D1630" s="159">
        <v>10</v>
      </c>
      <c r="E1630" s="166" t="s">
        <v>1622</v>
      </c>
    </row>
    <row r="1631" spans="1:5">
      <c r="A1631" s="159">
        <f t="shared" si="17"/>
        <v>1630</v>
      </c>
      <c r="B1631" s="163">
        <v>45796</v>
      </c>
      <c r="C1631" s="164">
        <v>0.55476851851851849</v>
      </c>
      <c r="D1631" s="159">
        <v>10</v>
      </c>
      <c r="E1631" s="166" t="s">
        <v>1623</v>
      </c>
    </row>
    <row r="1632" spans="1:5">
      <c r="A1632" s="159">
        <f t="shared" si="17"/>
        <v>1631</v>
      </c>
      <c r="B1632" s="163">
        <v>45796</v>
      </c>
      <c r="C1632" s="164">
        <v>0.5451273148148148</v>
      </c>
      <c r="D1632" s="159">
        <v>10</v>
      </c>
      <c r="E1632" s="166" t="s">
        <v>1624</v>
      </c>
    </row>
    <row r="1633" spans="1:5" ht="27">
      <c r="A1633" s="159">
        <f t="shared" si="17"/>
        <v>1632</v>
      </c>
      <c r="B1633" s="163">
        <v>45796</v>
      </c>
      <c r="C1633" s="164">
        <v>0.50871527777777781</v>
      </c>
      <c r="D1633" s="159">
        <v>10</v>
      </c>
      <c r="E1633" s="166" t="s">
        <v>1639</v>
      </c>
    </row>
    <row r="1634" spans="1:5">
      <c r="A1634" s="159">
        <f t="shared" si="17"/>
        <v>1633</v>
      </c>
      <c r="B1634" s="163">
        <v>45796</v>
      </c>
      <c r="C1634" s="164">
        <v>0.49938657407407411</v>
      </c>
      <c r="D1634" s="159">
        <v>10</v>
      </c>
      <c r="E1634" s="166" t="s">
        <v>1625</v>
      </c>
    </row>
    <row r="1635" spans="1:5">
      <c r="A1635" s="159">
        <f t="shared" si="17"/>
        <v>1634</v>
      </c>
      <c r="B1635" s="163">
        <v>45796</v>
      </c>
      <c r="C1635" s="164">
        <v>0.49638888888888894</v>
      </c>
      <c r="D1635" s="159">
        <v>10</v>
      </c>
      <c r="E1635" s="166" t="s">
        <v>1626</v>
      </c>
    </row>
    <row r="1636" spans="1:5">
      <c r="A1636" s="159">
        <f t="shared" si="17"/>
        <v>1635</v>
      </c>
      <c r="B1636" s="163">
        <v>45796</v>
      </c>
      <c r="C1636" s="164">
        <v>0.45729166666666665</v>
      </c>
      <c r="D1636" s="159">
        <v>10</v>
      </c>
      <c r="E1636" s="166" t="s">
        <v>1627</v>
      </c>
    </row>
    <row r="1637" spans="1:5">
      <c r="A1637" s="159">
        <f t="shared" si="17"/>
        <v>1636</v>
      </c>
      <c r="B1637" s="163">
        <v>45796</v>
      </c>
      <c r="C1637" s="164">
        <v>0.45188657407407407</v>
      </c>
      <c r="D1637" s="159">
        <v>10</v>
      </c>
      <c r="E1637" s="166" t="s">
        <v>1628</v>
      </c>
    </row>
    <row r="1638" spans="1:5">
      <c r="A1638" s="159">
        <f t="shared" si="17"/>
        <v>1637</v>
      </c>
      <c r="B1638" s="163">
        <v>45796</v>
      </c>
      <c r="C1638" s="164">
        <v>0.44981481481481483</v>
      </c>
      <c r="D1638" s="159">
        <v>10</v>
      </c>
      <c r="E1638" s="166" t="s">
        <v>1629</v>
      </c>
    </row>
    <row r="1639" spans="1:5">
      <c r="A1639" s="159">
        <f t="shared" si="17"/>
        <v>1638</v>
      </c>
      <c r="B1639" s="163">
        <v>45796</v>
      </c>
      <c r="C1639" s="164">
        <v>0.4465277777777778</v>
      </c>
      <c r="D1639" s="159">
        <v>10</v>
      </c>
      <c r="E1639" s="166" t="s">
        <v>1630</v>
      </c>
    </row>
    <row r="1640" spans="1:5">
      <c r="A1640" s="159">
        <f t="shared" si="17"/>
        <v>1639</v>
      </c>
      <c r="B1640" s="163">
        <v>45796</v>
      </c>
      <c r="C1640" s="164">
        <v>0.43847222222222221</v>
      </c>
      <c r="D1640" s="159">
        <v>10</v>
      </c>
      <c r="E1640" s="166" t="s">
        <v>1631</v>
      </c>
    </row>
    <row r="1641" spans="1:5">
      <c r="A1641" s="159">
        <f t="shared" si="17"/>
        <v>1640</v>
      </c>
      <c r="B1641" s="163">
        <v>45796</v>
      </c>
      <c r="C1641" s="164">
        <v>0.43703703703703706</v>
      </c>
      <c r="D1641" s="159">
        <v>10</v>
      </c>
      <c r="E1641" s="166" t="s">
        <v>1632</v>
      </c>
    </row>
    <row r="1642" spans="1:5">
      <c r="A1642" s="159">
        <f t="shared" si="17"/>
        <v>1641</v>
      </c>
      <c r="B1642" s="163">
        <v>45796</v>
      </c>
      <c r="C1642" s="164">
        <v>0.43627314814814816</v>
      </c>
      <c r="D1642" s="159">
        <v>10</v>
      </c>
      <c r="E1642" s="166" t="s">
        <v>1633</v>
      </c>
    </row>
    <row r="1643" spans="1:5">
      <c r="A1643" s="159">
        <f t="shared" si="17"/>
        <v>1642</v>
      </c>
      <c r="B1643" s="163">
        <v>45796</v>
      </c>
      <c r="C1643" s="164">
        <v>0.43592592592592588</v>
      </c>
      <c r="D1643" s="159">
        <v>10</v>
      </c>
      <c r="E1643" s="166" t="s">
        <v>132</v>
      </c>
    </row>
    <row r="1644" spans="1:5" ht="27">
      <c r="A1644" s="159">
        <f t="shared" si="17"/>
        <v>1643</v>
      </c>
      <c r="B1644" s="163">
        <v>45796</v>
      </c>
      <c r="C1644" s="164">
        <v>0.43324074074074076</v>
      </c>
      <c r="D1644" s="159">
        <v>10</v>
      </c>
      <c r="E1644" s="166" t="s">
        <v>1638</v>
      </c>
    </row>
    <row r="1645" spans="1:5">
      <c r="A1645" s="159">
        <f t="shared" si="17"/>
        <v>1644</v>
      </c>
      <c r="B1645" s="163">
        <v>45796</v>
      </c>
      <c r="C1645" s="164">
        <v>0.4231712962962963</v>
      </c>
      <c r="D1645" s="159">
        <v>10</v>
      </c>
      <c r="E1645" s="166" t="s">
        <v>1637</v>
      </c>
    </row>
    <row r="1646" spans="1:5">
      <c r="A1646" s="159">
        <f t="shared" si="17"/>
        <v>1645</v>
      </c>
      <c r="B1646" s="163">
        <v>45796</v>
      </c>
      <c r="C1646" s="164">
        <v>0.40593750000000001</v>
      </c>
      <c r="D1646" s="159">
        <v>10</v>
      </c>
      <c r="E1646" s="166" t="s">
        <v>1634</v>
      </c>
    </row>
    <row r="1647" spans="1:5">
      <c r="A1647" s="159">
        <f t="shared" si="17"/>
        <v>1646</v>
      </c>
      <c r="B1647" s="163">
        <v>45796</v>
      </c>
      <c r="C1647" s="164">
        <v>0.39196759259259256</v>
      </c>
      <c r="D1647" s="159">
        <v>10</v>
      </c>
      <c r="E1647" s="166" t="s">
        <v>1635</v>
      </c>
    </row>
    <row r="1648" spans="1:5">
      <c r="A1648" s="159">
        <f t="shared" si="17"/>
        <v>1647</v>
      </c>
      <c r="B1648" s="163">
        <v>45796</v>
      </c>
      <c r="C1648" s="164">
        <v>0.38069444444444445</v>
      </c>
      <c r="D1648" s="159">
        <v>10</v>
      </c>
      <c r="E1648" s="166" t="s">
        <v>1636</v>
      </c>
    </row>
    <row r="1649" spans="1:5">
      <c r="A1649" s="159">
        <f t="shared" si="17"/>
        <v>1648</v>
      </c>
      <c r="B1649" s="163">
        <v>45797</v>
      </c>
      <c r="C1649" s="164">
        <v>0.9035185185185185</v>
      </c>
      <c r="D1649" s="159">
        <v>10</v>
      </c>
      <c r="E1649" s="166" t="s">
        <v>1640</v>
      </c>
    </row>
    <row r="1650" spans="1:5">
      <c r="A1650" s="159">
        <f t="shared" si="17"/>
        <v>1649</v>
      </c>
      <c r="B1650" s="163">
        <v>45797</v>
      </c>
      <c r="C1650" s="164">
        <v>0.88684027777777785</v>
      </c>
      <c r="D1650" s="159">
        <v>10</v>
      </c>
      <c r="E1650" s="166" t="s">
        <v>1641</v>
      </c>
    </row>
    <row r="1651" spans="1:5">
      <c r="A1651" s="159">
        <f t="shared" si="17"/>
        <v>1650</v>
      </c>
      <c r="B1651" s="163">
        <v>45797</v>
      </c>
      <c r="C1651" s="164">
        <v>0.88420138888888899</v>
      </c>
      <c r="D1651" s="159">
        <v>10</v>
      </c>
      <c r="E1651" s="166" t="s">
        <v>1642</v>
      </c>
    </row>
    <row r="1652" spans="1:5">
      <c r="A1652" s="159">
        <f t="shared" si="17"/>
        <v>1651</v>
      </c>
      <c r="B1652" s="163">
        <v>45797</v>
      </c>
      <c r="C1652" s="164">
        <v>0.88299768518518518</v>
      </c>
      <c r="D1652" s="159">
        <v>10</v>
      </c>
      <c r="E1652" s="166" t="s">
        <v>1643</v>
      </c>
    </row>
    <row r="1653" spans="1:5">
      <c r="A1653" s="159">
        <f t="shared" ref="A1653:A1716" si="18">ROW()-1</f>
        <v>1652</v>
      </c>
      <c r="B1653" s="163">
        <v>45797</v>
      </c>
      <c r="C1653" s="164">
        <v>0.86741898148148155</v>
      </c>
      <c r="D1653" s="159">
        <v>10</v>
      </c>
      <c r="E1653" s="166" t="s">
        <v>1644</v>
      </c>
    </row>
    <row r="1654" spans="1:5" ht="27">
      <c r="A1654" s="159">
        <f t="shared" si="18"/>
        <v>1653</v>
      </c>
      <c r="B1654" s="163">
        <v>45797</v>
      </c>
      <c r="C1654" s="164">
        <v>0.82597222222222222</v>
      </c>
      <c r="D1654" s="159">
        <v>10</v>
      </c>
      <c r="E1654" s="166" t="s">
        <v>1645</v>
      </c>
    </row>
    <row r="1655" spans="1:5">
      <c r="A1655" s="159">
        <f t="shared" si="18"/>
        <v>1654</v>
      </c>
      <c r="B1655" s="163">
        <v>45797</v>
      </c>
      <c r="C1655" s="164">
        <v>0.81694444444444436</v>
      </c>
      <c r="D1655" s="159">
        <v>10</v>
      </c>
      <c r="E1655" s="166" t="s">
        <v>1646</v>
      </c>
    </row>
    <row r="1656" spans="1:5">
      <c r="A1656" s="159">
        <f t="shared" si="18"/>
        <v>1655</v>
      </c>
      <c r="B1656" s="163">
        <v>45797</v>
      </c>
      <c r="C1656" s="164">
        <v>0.78030092592592604</v>
      </c>
      <c r="D1656" s="159">
        <v>10</v>
      </c>
      <c r="E1656" s="166" t="s">
        <v>1647</v>
      </c>
    </row>
    <row r="1657" spans="1:5">
      <c r="A1657" s="159">
        <f t="shared" si="18"/>
        <v>1656</v>
      </c>
      <c r="B1657" s="163">
        <v>45797</v>
      </c>
      <c r="C1657" s="164">
        <v>0.76001157407407405</v>
      </c>
      <c r="D1657" s="159">
        <v>10</v>
      </c>
      <c r="E1657" s="166" t="s">
        <v>1648</v>
      </c>
    </row>
    <row r="1658" spans="1:5">
      <c r="A1658" s="159">
        <f t="shared" si="18"/>
        <v>1657</v>
      </c>
      <c r="B1658" s="163">
        <v>45797</v>
      </c>
      <c r="C1658" s="164">
        <v>0.75277777777777777</v>
      </c>
      <c r="D1658" s="159">
        <v>10</v>
      </c>
      <c r="E1658" s="166" t="s">
        <v>1649</v>
      </c>
    </row>
    <row r="1659" spans="1:5">
      <c r="A1659" s="159">
        <f t="shared" si="18"/>
        <v>1658</v>
      </c>
      <c r="B1659" s="163">
        <v>45797</v>
      </c>
      <c r="C1659" s="164">
        <v>0.75164351851851852</v>
      </c>
      <c r="D1659" s="159">
        <v>10</v>
      </c>
      <c r="E1659" s="166" t="s">
        <v>1650</v>
      </c>
    </row>
    <row r="1660" spans="1:5" ht="27">
      <c r="A1660" s="159">
        <f t="shared" si="18"/>
        <v>1659</v>
      </c>
      <c r="B1660" s="163">
        <v>45797</v>
      </c>
      <c r="C1660" s="164">
        <v>0.74533564814814823</v>
      </c>
      <c r="D1660" s="159">
        <v>1</v>
      </c>
      <c r="E1660" s="166" t="s">
        <v>1651</v>
      </c>
    </row>
    <row r="1661" spans="1:5">
      <c r="A1661" s="159">
        <f t="shared" si="18"/>
        <v>1660</v>
      </c>
      <c r="B1661" s="163">
        <v>45797</v>
      </c>
      <c r="C1661" s="164">
        <v>0.73616898148148147</v>
      </c>
      <c r="D1661" s="159">
        <v>10</v>
      </c>
      <c r="E1661" s="166" t="s">
        <v>1652</v>
      </c>
    </row>
    <row r="1662" spans="1:5">
      <c r="A1662" s="159">
        <f t="shared" si="18"/>
        <v>1661</v>
      </c>
      <c r="B1662" s="163">
        <v>45797</v>
      </c>
      <c r="C1662" s="164">
        <v>0.72583333333333344</v>
      </c>
      <c r="D1662" s="159">
        <v>10</v>
      </c>
      <c r="E1662" s="166" t="s">
        <v>1653</v>
      </c>
    </row>
    <row r="1663" spans="1:5">
      <c r="A1663" s="159">
        <f t="shared" si="18"/>
        <v>1662</v>
      </c>
      <c r="B1663" s="163">
        <v>45797</v>
      </c>
      <c r="C1663" s="164">
        <v>0.71870370370370373</v>
      </c>
      <c r="D1663" s="159">
        <v>10</v>
      </c>
      <c r="E1663" s="166" t="s">
        <v>1654</v>
      </c>
    </row>
    <row r="1664" spans="1:5">
      <c r="A1664" s="159">
        <f t="shared" si="18"/>
        <v>1663</v>
      </c>
      <c r="B1664" s="163">
        <v>45797</v>
      </c>
      <c r="C1664" s="164">
        <v>0.71665509259259252</v>
      </c>
      <c r="D1664" s="159">
        <v>10</v>
      </c>
      <c r="E1664" s="166" t="s">
        <v>1254</v>
      </c>
    </row>
    <row r="1665" spans="1:5">
      <c r="A1665" s="159">
        <f t="shared" si="18"/>
        <v>1664</v>
      </c>
      <c r="B1665" s="163">
        <v>45797</v>
      </c>
      <c r="C1665" s="164">
        <v>0.70498842592592592</v>
      </c>
      <c r="D1665" s="159">
        <v>10</v>
      </c>
      <c r="E1665" s="166" t="s">
        <v>1681</v>
      </c>
    </row>
    <row r="1666" spans="1:5">
      <c r="A1666" s="159">
        <f t="shared" si="18"/>
        <v>1665</v>
      </c>
      <c r="B1666" s="163">
        <v>45797</v>
      </c>
      <c r="C1666" s="164">
        <v>0.69844907407407408</v>
      </c>
      <c r="D1666" s="159">
        <v>10</v>
      </c>
      <c r="E1666" s="166" t="s">
        <v>1655</v>
      </c>
    </row>
    <row r="1667" spans="1:5">
      <c r="A1667" s="159">
        <f t="shared" si="18"/>
        <v>1666</v>
      </c>
      <c r="B1667" s="163">
        <v>45797</v>
      </c>
      <c r="C1667" s="164">
        <v>0.65077546296296296</v>
      </c>
      <c r="D1667" s="159">
        <v>10</v>
      </c>
      <c r="E1667" s="166" t="s">
        <v>1656</v>
      </c>
    </row>
    <row r="1668" spans="1:5">
      <c r="A1668" s="159">
        <f t="shared" si="18"/>
        <v>1667</v>
      </c>
      <c r="B1668" s="163">
        <v>45797</v>
      </c>
      <c r="C1668" s="164">
        <v>0.64407407407407413</v>
      </c>
      <c r="D1668" s="159">
        <v>10</v>
      </c>
      <c r="E1668" s="166" t="s">
        <v>1657</v>
      </c>
    </row>
    <row r="1669" spans="1:5">
      <c r="A1669" s="159">
        <f t="shared" si="18"/>
        <v>1668</v>
      </c>
      <c r="B1669" s="163">
        <v>45797</v>
      </c>
      <c r="C1669" s="164">
        <v>0.62562499999999999</v>
      </c>
      <c r="D1669" s="159">
        <v>10</v>
      </c>
      <c r="E1669" s="166" t="s">
        <v>1658</v>
      </c>
    </row>
    <row r="1670" spans="1:5">
      <c r="A1670" s="159">
        <f t="shared" si="18"/>
        <v>1669</v>
      </c>
      <c r="B1670" s="163">
        <v>45797</v>
      </c>
      <c r="C1670" s="164">
        <v>0.62285879629629626</v>
      </c>
      <c r="D1670" s="159">
        <v>10</v>
      </c>
      <c r="E1670" s="166" t="s">
        <v>1659</v>
      </c>
    </row>
    <row r="1671" spans="1:5">
      <c r="A1671" s="159">
        <f t="shared" si="18"/>
        <v>1670</v>
      </c>
      <c r="B1671" s="163">
        <v>45797</v>
      </c>
      <c r="C1671" s="164">
        <v>0.62096064814814811</v>
      </c>
      <c r="D1671" s="159">
        <v>10</v>
      </c>
      <c r="E1671" s="166" t="s">
        <v>836</v>
      </c>
    </row>
    <row r="1672" spans="1:5">
      <c r="A1672" s="159">
        <f t="shared" si="18"/>
        <v>1671</v>
      </c>
      <c r="B1672" s="163">
        <v>45797</v>
      </c>
      <c r="C1672" s="164">
        <v>0.60902777777777783</v>
      </c>
      <c r="D1672" s="159">
        <v>10</v>
      </c>
      <c r="E1672" s="166" t="s">
        <v>1660</v>
      </c>
    </row>
    <row r="1673" spans="1:5" ht="27">
      <c r="A1673" s="159">
        <f t="shared" si="18"/>
        <v>1672</v>
      </c>
      <c r="B1673" s="163">
        <v>45797</v>
      </c>
      <c r="C1673" s="164">
        <v>0.6033680555555555</v>
      </c>
      <c r="D1673" s="159">
        <v>10</v>
      </c>
      <c r="E1673" s="166" t="s">
        <v>1680</v>
      </c>
    </row>
    <row r="1674" spans="1:5">
      <c r="A1674" s="159">
        <f t="shared" si="18"/>
        <v>1673</v>
      </c>
      <c r="B1674" s="163">
        <v>45797</v>
      </c>
      <c r="C1674" s="164">
        <v>0.5985300925925926</v>
      </c>
      <c r="D1674" s="159">
        <v>10</v>
      </c>
      <c r="E1674" s="166" t="s">
        <v>1661</v>
      </c>
    </row>
    <row r="1675" spans="1:5">
      <c r="A1675" s="159">
        <f t="shared" si="18"/>
        <v>1674</v>
      </c>
      <c r="B1675" s="163">
        <v>45797</v>
      </c>
      <c r="C1675" s="164">
        <v>0.5978472222222222</v>
      </c>
      <c r="D1675" s="159">
        <v>10</v>
      </c>
      <c r="E1675" s="166" t="s">
        <v>1662</v>
      </c>
    </row>
    <row r="1676" spans="1:5">
      <c r="A1676" s="159">
        <f t="shared" si="18"/>
        <v>1675</v>
      </c>
      <c r="B1676" s="163">
        <v>45797</v>
      </c>
      <c r="C1676" s="164">
        <v>0.59035879629629628</v>
      </c>
      <c r="D1676" s="159">
        <v>10</v>
      </c>
      <c r="E1676" s="166" t="s">
        <v>1663</v>
      </c>
    </row>
    <row r="1677" spans="1:5">
      <c r="A1677" s="159">
        <f t="shared" si="18"/>
        <v>1676</v>
      </c>
      <c r="B1677" s="163">
        <v>45797</v>
      </c>
      <c r="C1677" s="164">
        <v>0.58591435185185181</v>
      </c>
      <c r="D1677" s="159">
        <v>10</v>
      </c>
      <c r="E1677" s="166" t="s">
        <v>1664</v>
      </c>
    </row>
    <row r="1678" spans="1:5">
      <c r="A1678" s="159">
        <f t="shared" si="18"/>
        <v>1677</v>
      </c>
      <c r="B1678" s="163">
        <v>45797</v>
      </c>
      <c r="C1678" s="164">
        <v>0.58429398148148148</v>
      </c>
      <c r="D1678" s="159">
        <v>10</v>
      </c>
      <c r="E1678" s="166" t="s">
        <v>1665</v>
      </c>
    </row>
    <row r="1679" spans="1:5" ht="27">
      <c r="A1679" s="159">
        <f t="shared" si="18"/>
        <v>1678</v>
      </c>
      <c r="B1679" s="163">
        <v>45797</v>
      </c>
      <c r="C1679" s="164">
        <v>0.58053240740740741</v>
      </c>
      <c r="D1679" s="159">
        <v>10</v>
      </c>
      <c r="E1679" s="166" t="s">
        <v>1679</v>
      </c>
    </row>
    <row r="1680" spans="1:5">
      <c r="A1680" s="159">
        <f t="shared" si="18"/>
        <v>1679</v>
      </c>
      <c r="B1680" s="163">
        <v>45797</v>
      </c>
      <c r="C1680" s="164">
        <v>0.56913194444444437</v>
      </c>
      <c r="D1680" s="159">
        <v>10</v>
      </c>
      <c r="E1680" s="166" t="s">
        <v>1666</v>
      </c>
    </row>
    <row r="1681" spans="1:5">
      <c r="A1681" s="159">
        <f t="shared" si="18"/>
        <v>1680</v>
      </c>
      <c r="B1681" s="163">
        <v>45797</v>
      </c>
      <c r="C1681" s="164">
        <v>0.55849537037037034</v>
      </c>
      <c r="D1681" s="159">
        <v>10</v>
      </c>
      <c r="E1681" s="166" t="s">
        <v>1667</v>
      </c>
    </row>
    <row r="1682" spans="1:5">
      <c r="A1682" s="159">
        <f t="shared" si="18"/>
        <v>1681</v>
      </c>
      <c r="B1682" s="163">
        <v>45797</v>
      </c>
      <c r="C1682" s="164">
        <v>0.55317129629629636</v>
      </c>
      <c r="D1682" s="159">
        <v>10</v>
      </c>
      <c r="E1682" s="166" t="s">
        <v>1668</v>
      </c>
    </row>
    <row r="1683" spans="1:5">
      <c r="A1683" s="159">
        <f t="shared" si="18"/>
        <v>1682</v>
      </c>
      <c r="B1683" s="163">
        <v>45797</v>
      </c>
      <c r="C1683" s="164">
        <v>0.54714120370370367</v>
      </c>
      <c r="D1683" s="159">
        <v>10</v>
      </c>
      <c r="E1683" s="166" t="s">
        <v>1669</v>
      </c>
    </row>
    <row r="1684" spans="1:5">
      <c r="A1684" s="159">
        <f t="shared" si="18"/>
        <v>1683</v>
      </c>
      <c r="B1684" s="163">
        <v>45797</v>
      </c>
      <c r="C1684" s="164">
        <v>0.50247685185185187</v>
      </c>
      <c r="D1684" s="159">
        <v>10</v>
      </c>
      <c r="E1684" s="166" t="s">
        <v>1670</v>
      </c>
    </row>
    <row r="1685" spans="1:5">
      <c r="A1685" s="159">
        <f t="shared" si="18"/>
        <v>1684</v>
      </c>
      <c r="B1685" s="163">
        <v>45797</v>
      </c>
      <c r="C1685" s="164">
        <v>0.49074074074074076</v>
      </c>
      <c r="D1685" s="159">
        <v>10</v>
      </c>
      <c r="E1685" s="166" t="s">
        <v>1671</v>
      </c>
    </row>
    <row r="1686" spans="1:5">
      <c r="A1686" s="159">
        <f t="shared" si="18"/>
        <v>1685</v>
      </c>
      <c r="B1686" s="163">
        <v>45797</v>
      </c>
      <c r="C1686" s="164">
        <v>0.48804398148148148</v>
      </c>
      <c r="D1686" s="159">
        <v>10</v>
      </c>
      <c r="E1686" s="166" t="s">
        <v>1672</v>
      </c>
    </row>
    <row r="1687" spans="1:5">
      <c r="A1687" s="159">
        <f t="shared" si="18"/>
        <v>1686</v>
      </c>
      <c r="B1687" s="163">
        <v>45797</v>
      </c>
      <c r="C1687" s="164">
        <v>0.46879629629629632</v>
      </c>
      <c r="D1687" s="159">
        <v>10</v>
      </c>
      <c r="E1687" s="166" t="s">
        <v>1673</v>
      </c>
    </row>
    <row r="1688" spans="1:5">
      <c r="A1688" s="159">
        <f t="shared" si="18"/>
        <v>1687</v>
      </c>
      <c r="B1688" s="163">
        <v>45797</v>
      </c>
      <c r="C1688" s="164">
        <v>0.4682986111111111</v>
      </c>
      <c r="D1688" s="159">
        <v>10</v>
      </c>
      <c r="E1688" s="166" t="s">
        <v>1674</v>
      </c>
    </row>
    <row r="1689" spans="1:5">
      <c r="A1689" s="159">
        <f t="shared" si="18"/>
        <v>1688</v>
      </c>
      <c r="B1689" s="163">
        <v>45797</v>
      </c>
      <c r="C1689" s="164">
        <v>0.4670023148148148</v>
      </c>
      <c r="D1689" s="159">
        <v>10</v>
      </c>
      <c r="E1689" s="166" t="s">
        <v>1518</v>
      </c>
    </row>
    <row r="1690" spans="1:5">
      <c r="A1690" s="159">
        <f t="shared" si="18"/>
        <v>1689</v>
      </c>
      <c r="B1690" s="163">
        <v>45797</v>
      </c>
      <c r="C1690" s="164">
        <v>0.45855324074074072</v>
      </c>
      <c r="D1690" s="159">
        <v>10</v>
      </c>
      <c r="E1690" s="166" t="s">
        <v>1675</v>
      </c>
    </row>
    <row r="1691" spans="1:5">
      <c r="A1691" s="159">
        <f t="shared" si="18"/>
        <v>1690</v>
      </c>
      <c r="B1691" s="163">
        <v>45797</v>
      </c>
      <c r="C1691" s="164">
        <v>0.43019675925925926</v>
      </c>
      <c r="D1691" s="159">
        <v>10</v>
      </c>
      <c r="E1691" s="166" t="s">
        <v>1676</v>
      </c>
    </row>
    <row r="1692" spans="1:5">
      <c r="A1692" s="159">
        <f t="shared" si="18"/>
        <v>1691</v>
      </c>
      <c r="B1692" s="163">
        <v>45797</v>
      </c>
      <c r="C1692" s="164">
        <v>0.40706018518518516</v>
      </c>
      <c r="D1692" s="159">
        <v>10</v>
      </c>
      <c r="E1692" s="166" t="s">
        <v>1677</v>
      </c>
    </row>
    <row r="1693" spans="1:5">
      <c r="A1693" s="159">
        <f t="shared" si="18"/>
        <v>1692</v>
      </c>
      <c r="B1693" s="163">
        <v>45797</v>
      </c>
      <c r="C1693" s="164">
        <v>0.40402777777777782</v>
      </c>
      <c r="D1693" s="159">
        <v>10</v>
      </c>
      <c r="E1693" s="166" t="s">
        <v>1678</v>
      </c>
    </row>
    <row r="1694" spans="1:5">
      <c r="A1694" s="159">
        <f t="shared" si="18"/>
        <v>1693</v>
      </c>
      <c r="B1694" s="163">
        <v>45798</v>
      </c>
      <c r="C1694" s="164">
        <v>0.84429398148148149</v>
      </c>
      <c r="D1694" s="159">
        <v>10</v>
      </c>
      <c r="E1694" s="166" t="s">
        <v>1682</v>
      </c>
    </row>
    <row r="1695" spans="1:5">
      <c r="A1695" s="159">
        <f t="shared" si="18"/>
        <v>1694</v>
      </c>
      <c r="B1695" s="163">
        <v>45798</v>
      </c>
      <c r="C1695" s="164">
        <v>0.80924768518518519</v>
      </c>
      <c r="D1695" s="159">
        <v>10</v>
      </c>
      <c r="E1695" s="166" t="s">
        <v>1683</v>
      </c>
    </row>
    <row r="1696" spans="1:5">
      <c r="A1696" s="159">
        <f t="shared" si="18"/>
        <v>1695</v>
      </c>
      <c r="B1696" s="163">
        <v>45798</v>
      </c>
      <c r="C1696" s="164">
        <v>0.75725694444444447</v>
      </c>
      <c r="D1696" s="159">
        <v>10</v>
      </c>
      <c r="E1696" s="166" t="s">
        <v>1684</v>
      </c>
    </row>
    <row r="1697" spans="1:5">
      <c r="A1697" s="159">
        <f t="shared" si="18"/>
        <v>1696</v>
      </c>
      <c r="B1697" s="163">
        <v>45798</v>
      </c>
      <c r="C1697" s="164">
        <v>0.75557870370370372</v>
      </c>
      <c r="D1697" s="159">
        <v>10</v>
      </c>
      <c r="E1697" s="166" t="s">
        <v>1685</v>
      </c>
    </row>
    <row r="1698" spans="1:5">
      <c r="A1698" s="159">
        <f t="shared" si="18"/>
        <v>1697</v>
      </c>
      <c r="B1698" s="163">
        <v>45798</v>
      </c>
      <c r="C1698" s="164">
        <v>0.7428703703703704</v>
      </c>
      <c r="D1698" s="159">
        <v>10</v>
      </c>
      <c r="E1698" s="166" t="s">
        <v>1686</v>
      </c>
    </row>
    <row r="1699" spans="1:5">
      <c r="A1699" s="159">
        <f t="shared" si="18"/>
        <v>1698</v>
      </c>
      <c r="B1699" s="163">
        <v>45798</v>
      </c>
      <c r="C1699" s="164">
        <v>0.74143518518518514</v>
      </c>
      <c r="D1699" s="159">
        <v>10</v>
      </c>
      <c r="E1699" s="166" t="s">
        <v>1687</v>
      </c>
    </row>
    <row r="1700" spans="1:5">
      <c r="A1700" s="159">
        <f t="shared" si="18"/>
        <v>1699</v>
      </c>
      <c r="B1700" s="163">
        <v>45798</v>
      </c>
      <c r="C1700" s="164">
        <v>0.72789351851851858</v>
      </c>
      <c r="D1700" s="159">
        <v>10</v>
      </c>
      <c r="E1700" s="166" t="s">
        <v>1688</v>
      </c>
    </row>
    <row r="1701" spans="1:5">
      <c r="A1701" s="159">
        <f t="shared" si="18"/>
        <v>1700</v>
      </c>
      <c r="B1701" s="163">
        <v>45798</v>
      </c>
      <c r="C1701" s="164">
        <v>0.70530092592592597</v>
      </c>
      <c r="D1701" s="159">
        <v>10</v>
      </c>
      <c r="E1701" s="166" t="s">
        <v>1689</v>
      </c>
    </row>
    <row r="1702" spans="1:5">
      <c r="A1702" s="159">
        <f t="shared" si="18"/>
        <v>1701</v>
      </c>
      <c r="B1702" s="163">
        <v>45798</v>
      </c>
      <c r="C1702" s="164">
        <v>0.6880208333333333</v>
      </c>
      <c r="D1702" s="159">
        <v>10</v>
      </c>
      <c r="E1702" s="166" t="s">
        <v>1690</v>
      </c>
    </row>
    <row r="1703" spans="1:5">
      <c r="A1703" s="159">
        <f t="shared" si="18"/>
        <v>1702</v>
      </c>
      <c r="B1703" s="163">
        <v>45798</v>
      </c>
      <c r="C1703" s="164">
        <v>0.68334490740740739</v>
      </c>
      <c r="D1703" s="159">
        <v>10</v>
      </c>
      <c r="E1703" s="166" t="s">
        <v>1691</v>
      </c>
    </row>
    <row r="1704" spans="1:5">
      <c r="A1704" s="159">
        <f t="shared" si="18"/>
        <v>1703</v>
      </c>
      <c r="B1704" s="163">
        <v>45798</v>
      </c>
      <c r="C1704" s="164">
        <v>0.68089120370370371</v>
      </c>
      <c r="D1704" s="159">
        <v>10</v>
      </c>
      <c r="E1704" s="166" t="s">
        <v>1692</v>
      </c>
    </row>
    <row r="1705" spans="1:5">
      <c r="A1705" s="159">
        <f t="shared" si="18"/>
        <v>1704</v>
      </c>
      <c r="B1705" s="163">
        <v>45798</v>
      </c>
      <c r="C1705" s="164">
        <v>0.68026620370370372</v>
      </c>
      <c r="D1705" s="159">
        <v>10</v>
      </c>
      <c r="E1705" s="166" t="s">
        <v>1693</v>
      </c>
    </row>
    <row r="1706" spans="1:5">
      <c r="A1706" s="159">
        <f t="shared" si="18"/>
        <v>1705</v>
      </c>
      <c r="B1706" s="163">
        <v>45798</v>
      </c>
      <c r="C1706" s="164">
        <v>0.6622569444444445</v>
      </c>
      <c r="D1706" s="159">
        <v>10</v>
      </c>
      <c r="E1706" s="166" t="s">
        <v>288</v>
      </c>
    </row>
    <row r="1707" spans="1:5">
      <c r="A1707" s="159">
        <f t="shared" si="18"/>
        <v>1706</v>
      </c>
      <c r="B1707" s="163">
        <v>45798</v>
      </c>
      <c r="C1707" s="164">
        <v>0.64134259259259263</v>
      </c>
      <c r="D1707" s="159">
        <v>10</v>
      </c>
      <c r="E1707" s="166" t="s">
        <v>132</v>
      </c>
    </row>
    <row r="1708" spans="1:5">
      <c r="A1708" s="159">
        <f t="shared" si="18"/>
        <v>1707</v>
      </c>
      <c r="B1708" s="163">
        <v>45798</v>
      </c>
      <c r="C1708" s="164">
        <v>0.63550925925925927</v>
      </c>
      <c r="D1708" s="159">
        <v>10</v>
      </c>
      <c r="E1708" s="166" t="s">
        <v>749</v>
      </c>
    </row>
    <row r="1709" spans="1:5">
      <c r="A1709" s="159">
        <f t="shared" si="18"/>
        <v>1708</v>
      </c>
      <c r="B1709" s="163">
        <v>45798</v>
      </c>
      <c r="C1709" s="164">
        <v>0.62784722222222222</v>
      </c>
      <c r="D1709" s="159">
        <v>10</v>
      </c>
      <c r="E1709" s="166" t="s">
        <v>1694</v>
      </c>
    </row>
    <row r="1710" spans="1:5">
      <c r="A1710" s="159">
        <f t="shared" si="18"/>
        <v>1709</v>
      </c>
      <c r="B1710" s="163">
        <v>45798</v>
      </c>
      <c r="C1710" s="164">
        <v>0.61942129629629628</v>
      </c>
      <c r="D1710" s="159">
        <v>10</v>
      </c>
      <c r="E1710" s="166" t="s">
        <v>1695</v>
      </c>
    </row>
    <row r="1711" spans="1:5">
      <c r="A1711" s="159">
        <f t="shared" si="18"/>
        <v>1710</v>
      </c>
      <c r="B1711" s="163">
        <v>45798</v>
      </c>
      <c r="C1711" s="164">
        <v>0.61555555555555552</v>
      </c>
      <c r="D1711" s="159">
        <v>10</v>
      </c>
      <c r="E1711" s="166" t="s">
        <v>1696</v>
      </c>
    </row>
    <row r="1712" spans="1:5">
      <c r="A1712" s="159">
        <f t="shared" si="18"/>
        <v>1711</v>
      </c>
      <c r="B1712" s="163">
        <v>45798</v>
      </c>
      <c r="C1712" s="164">
        <v>0.61321759259259256</v>
      </c>
      <c r="D1712" s="159">
        <v>10</v>
      </c>
      <c r="E1712" s="166" t="s">
        <v>1697</v>
      </c>
    </row>
    <row r="1713" spans="1:5">
      <c r="A1713" s="159">
        <f t="shared" si="18"/>
        <v>1712</v>
      </c>
      <c r="B1713" s="163">
        <v>45798</v>
      </c>
      <c r="C1713" s="164">
        <v>0.61282407407407413</v>
      </c>
      <c r="D1713" s="159">
        <v>10</v>
      </c>
      <c r="E1713" s="166" t="s">
        <v>1698</v>
      </c>
    </row>
    <row r="1714" spans="1:5">
      <c r="A1714" s="159">
        <f t="shared" si="18"/>
        <v>1713</v>
      </c>
      <c r="B1714" s="163">
        <v>45798</v>
      </c>
      <c r="C1714" s="164">
        <v>0.60388888888888892</v>
      </c>
      <c r="D1714" s="159">
        <v>10</v>
      </c>
      <c r="E1714" s="166" t="s">
        <v>1699</v>
      </c>
    </row>
    <row r="1715" spans="1:5">
      <c r="A1715" s="159">
        <f t="shared" si="18"/>
        <v>1714</v>
      </c>
      <c r="B1715" s="163">
        <v>45798</v>
      </c>
      <c r="C1715" s="164">
        <v>0.60159722222222223</v>
      </c>
      <c r="D1715" s="159">
        <v>10</v>
      </c>
      <c r="E1715" s="166" t="s">
        <v>1700</v>
      </c>
    </row>
    <row r="1716" spans="1:5">
      <c r="A1716" s="159">
        <f t="shared" si="18"/>
        <v>1715</v>
      </c>
      <c r="B1716" s="163">
        <v>45798</v>
      </c>
      <c r="C1716" s="164">
        <v>0.60010416666666666</v>
      </c>
      <c r="D1716" s="159">
        <v>10</v>
      </c>
      <c r="E1716" s="166" t="s">
        <v>1701</v>
      </c>
    </row>
    <row r="1717" spans="1:5">
      <c r="A1717" s="159">
        <f t="shared" ref="A1717:A1780" si="19">ROW()-1</f>
        <v>1716</v>
      </c>
      <c r="B1717" s="163">
        <v>45798</v>
      </c>
      <c r="C1717" s="164">
        <v>0.59065972222222218</v>
      </c>
      <c r="D1717" s="159">
        <v>10</v>
      </c>
      <c r="E1717" s="166" t="s">
        <v>1702</v>
      </c>
    </row>
    <row r="1718" spans="1:5">
      <c r="A1718" s="159">
        <f t="shared" si="19"/>
        <v>1717</v>
      </c>
      <c r="B1718" s="163">
        <v>45798</v>
      </c>
      <c r="C1718" s="164">
        <v>0.5896527777777778</v>
      </c>
      <c r="D1718" s="159">
        <v>10</v>
      </c>
      <c r="E1718" s="166" t="s">
        <v>1722</v>
      </c>
    </row>
    <row r="1719" spans="1:5">
      <c r="A1719" s="159">
        <f t="shared" si="19"/>
        <v>1718</v>
      </c>
      <c r="B1719" s="163">
        <v>45798</v>
      </c>
      <c r="C1719" s="164">
        <v>0.58909722222222227</v>
      </c>
      <c r="D1719" s="159">
        <v>10</v>
      </c>
      <c r="E1719" s="166" t="s">
        <v>1703</v>
      </c>
    </row>
    <row r="1720" spans="1:5">
      <c r="A1720" s="159">
        <f t="shared" si="19"/>
        <v>1719</v>
      </c>
      <c r="B1720" s="163">
        <v>45798</v>
      </c>
      <c r="C1720" s="164">
        <v>0.58501157407407411</v>
      </c>
      <c r="D1720" s="159">
        <v>10</v>
      </c>
      <c r="E1720" s="166" t="s">
        <v>1704</v>
      </c>
    </row>
    <row r="1721" spans="1:5">
      <c r="A1721" s="159">
        <f t="shared" si="19"/>
        <v>1720</v>
      </c>
      <c r="B1721" s="163">
        <v>45798</v>
      </c>
      <c r="C1721" s="164">
        <v>0.57484953703703701</v>
      </c>
      <c r="D1721" s="159">
        <v>10</v>
      </c>
      <c r="E1721" s="166" t="s">
        <v>1705</v>
      </c>
    </row>
    <row r="1722" spans="1:5">
      <c r="A1722" s="159">
        <f t="shared" si="19"/>
        <v>1721</v>
      </c>
      <c r="B1722" s="163">
        <v>45798</v>
      </c>
      <c r="C1722" s="164">
        <v>0.57534722222222223</v>
      </c>
      <c r="D1722" s="159">
        <v>10</v>
      </c>
      <c r="E1722" s="166" t="s">
        <v>1706</v>
      </c>
    </row>
    <row r="1723" spans="1:5">
      <c r="A1723" s="159">
        <f t="shared" si="19"/>
        <v>1722</v>
      </c>
      <c r="B1723" s="163">
        <v>45798</v>
      </c>
      <c r="C1723" s="164">
        <v>0.55469907407407404</v>
      </c>
      <c r="D1723" s="159">
        <v>10</v>
      </c>
      <c r="E1723" s="166" t="s">
        <v>1707</v>
      </c>
    </row>
    <row r="1724" spans="1:5">
      <c r="A1724" s="159">
        <f t="shared" si="19"/>
        <v>1723</v>
      </c>
      <c r="B1724" s="163">
        <v>45798</v>
      </c>
      <c r="C1724" s="164">
        <v>0.55359953703703701</v>
      </c>
      <c r="D1724" s="159">
        <v>10</v>
      </c>
      <c r="E1724" s="166" t="s">
        <v>1708</v>
      </c>
    </row>
    <row r="1725" spans="1:5">
      <c r="A1725" s="159">
        <f t="shared" si="19"/>
        <v>1724</v>
      </c>
      <c r="B1725" s="163">
        <v>45798</v>
      </c>
      <c r="C1725" s="164">
        <v>0.55237268518518523</v>
      </c>
      <c r="D1725" s="159">
        <v>10</v>
      </c>
      <c r="E1725" s="166" t="s">
        <v>1709</v>
      </c>
    </row>
    <row r="1726" spans="1:5">
      <c r="A1726" s="159">
        <f t="shared" si="19"/>
        <v>1725</v>
      </c>
      <c r="B1726" s="163">
        <v>45798</v>
      </c>
      <c r="C1726" s="164">
        <v>0.54945601851851855</v>
      </c>
      <c r="D1726" s="159">
        <v>10</v>
      </c>
      <c r="E1726" s="166" t="s">
        <v>1710</v>
      </c>
    </row>
    <row r="1727" spans="1:5">
      <c r="A1727" s="159">
        <f t="shared" si="19"/>
        <v>1726</v>
      </c>
      <c r="B1727" s="163">
        <v>45798</v>
      </c>
      <c r="C1727" s="164">
        <v>0.53650462962962964</v>
      </c>
      <c r="D1727" s="159">
        <v>10</v>
      </c>
      <c r="E1727" s="166" t="s">
        <v>415</v>
      </c>
    </row>
    <row r="1728" spans="1:5">
      <c r="A1728" s="159">
        <f t="shared" si="19"/>
        <v>1727</v>
      </c>
      <c r="B1728" s="163">
        <v>45798</v>
      </c>
      <c r="C1728" s="164">
        <v>0.47290509259259261</v>
      </c>
      <c r="D1728" s="159">
        <v>10</v>
      </c>
      <c r="E1728" s="166" t="s">
        <v>1711</v>
      </c>
    </row>
    <row r="1729" spans="1:5" ht="40.5">
      <c r="A1729" s="159">
        <f t="shared" si="19"/>
        <v>1728</v>
      </c>
      <c r="B1729" s="163">
        <v>45798</v>
      </c>
      <c r="C1729" s="164">
        <v>0.46160879629629631</v>
      </c>
      <c r="D1729" s="159">
        <v>10</v>
      </c>
      <c r="E1729" s="166" t="s">
        <v>1721</v>
      </c>
    </row>
    <row r="1730" spans="1:5">
      <c r="A1730" s="159">
        <f t="shared" si="19"/>
        <v>1729</v>
      </c>
      <c r="B1730" s="163">
        <v>45798</v>
      </c>
      <c r="C1730" s="164">
        <v>0.45542824074074079</v>
      </c>
      <c r="D1730" s="159">
        <v>10</v>
      </c>
      <c r="E1730" s="166" t="s">
        <v>1712</v>
      </c>
    </row>
    <row r="1731" spans="1:5">
      <c r="A1731" s="159">
        <f t="shared" si="19"/>
        <v>1730</v>
      </c>
      <c r="B1731" s="163">
        <v>45798</v>
      </c>
      <c r="C1731" s="164">
        <v>0.45436342592592593</v>
      </c>
      <c r="D1731" s="159">
        <v>10</v>
      </c>
      <c r="E1731" s="166" t="s">
        <v>1713</v>
      </c>
    </row>
    <row r="1732" spans="1:5">
      <c r="A1732" s="159">
        <f t="shared" si="19"/>
        <v>1731</v>
      </c>
      <c r="B1732" s="163">
        <v>45798</v>
      </c>
      <c r="C1732" s="164">
        <v>0.44743055555555555</v>
      </c>
      <c r="D1732" s="159">
        <v>10</v>
      </c>
      <c r="E1732" s="166" t="s">
        <v>1714</v>
      </c>
    </row>
    <row r="1733" spans="1:5">
      <c r="A1733" s="159">
        <f t="shared" si="19"/>
        <v>1732</v>
      </c>
      <c r="B1733" s="163">
        <v>45798</v>
      </c>
      <c r="C1733" s="164">
        <v>0.4357638888888889</v>
      </c>
      <c r="D1733" s="159">
        <v>10</v>
      </c>
      <c r="E1733" s="166" t="s">
        <v>1715</v>
      </c>
    </row>
    <row r="1734" spans="1:5">
      <c r="A1734" s="159">
        <f t="shared" si="19"/>
        <v>1733</v>
      </c>
      <c r="B1734" s="163">
        <v>45798</v>
      </c>
      <c r="C1734" s="164">
        <v>0.41979166666666662</v>
      </c>
      <c r="D1734" s="159">
        <v>10</v>
      </c>
      <c r="E1734" s="166" t="s">
        <v>479</v>
      </c>
    </row>
    <row r="1735" spans="1:5">
      <c r="A1735" s="159">
        <f t="shared" si="19"/>
        <v>1734</v>
      </c>
      <c r="B1735" s="163">
        <v>45798</v>
      </c>
      <c r="C1735" s="164">
        <v>0.41450231481481481</v>
      </c>
      <c r="D1735" s="159">
        <v>10</v>
      </c>
      <c r="E1735" s="166" t="s">
        <v>1716</v>
      </c>
    </row>
    <row r="1736" spans="1:5">
      <c r="A1736" s="159">
        <f t="shared" si="19"/>
        <v>1735</v>
      </c>
      <c r="B1736" s="163">
        <v>45798</v>
      </c>
      <c r="C1736" s="164">
        <v>0.4095138888888889</v>
      </c>
      <c r="D1736" s="159">
        <v>10</v>
      </c>
      <c r="E1736" s="166" t="s">
        <v>1717</v>
      </c>
    </row>
    <row r="1737" spans="1:5" ht="27">
      <c r="A1737" s="159">
        <f t="shared" si="19"/>
        <v>1736</v>
      </c>
      <c r="B1737" s="163">
        <v>45798</v>
      </c>
      <c r="C1737" s="164">
        <v>0.40300925925925929</v>
      </c>
      <c r="D1737" s="159">
        <v>10</v>
      </c>
      <c r="E1737" s="166" t="s">
        <v>1720</v>
      </c>
    </row>
    <row r="1738" spans="1:5">
      <c r="A1738" s="159">
        <f t="shared" si="19"/>
        <v>1737</v>
      </c>
      <c r="B1738" s="163">
        <v>45798</v>
      </c>
      <c r="C1738" s="164">
        <v>0.38815972222222223</v>
      </c>
      <c r="D1738" s="159">
        <v>5</v>
      </c>
      <c r="E1738" s="166" t="s">
        <v>1718</v>
      </c>
    </row>
    <row r="1739" spans="1:5">
      <c r="A1739" s="159">
        <f t="shared" si="19"/>
        <v>1738</v>
      </c>
      <c r="B1739" s="163">
        <v>45798</v>
      </c>
      <c r="C1739" s="164">
        <v>0.38314814814814818</v>
      </c>
      <c r="D1739" s="159">
        <v>10</v>
      </c>
      <c r="E1739" s="166" t="s">
        <v>1719</v>
      </c>
    </row>
    <row r="1740" spans="1:5">
      <c r="A1740" s="159">
        <f t="shared" si="19"/>
        <v>1739</v>
      </c>
      <c r="B1740" s="163">
        <v>45799</v>
      </c>
      <c r="C1740" s="164">
        <v>0.8846180555555555</v>
      </c>
      <c r="D1740" s="159">
        <v>10</v>
      </c>
      <c r="E1740" s="166" t="s">
        <v>1723</v>
      </c>
    </row>
    <row r="1741" spans="1:5">
      <c r="A1741" s="159">
        <f t="shared" si="19"/>
        <v>1740</v>
      </c>
      <c r="B1741" s="163">
        <v>45799</v>
      </c>
      <c r="C1741" s="164">
        <v>0.85597222222222225</v>
      </c>
      <c r="D1741" s="159">
        <v>10</v>
      </c>
      <c r="E1741" s="166" t="s">
        <v>1724</v>
      </c>
    </row>
    <row r="1742" spans="1:5">
      <c r="A1742" s="159">
        <f t="shared" si="19"/>
        <v>1741</v>
      </c>
      <c r="B1742" s="163">
        <v>45799</v>
      </c>
      <c r="C1742" s="164">
        <v>0.84640046296296301</v>
      </c>
      <c r="D1742" s="159">
        <v>10</v>
      </c>
      <c r="E1742" s="166" t="s">
        <v>1725</v>
      </c>
    </row>
    <row r="1743" spans="1:5">
      <c r="A1743" s="159">
        <f t="shared" si="19"/>
        <v>1742</v>
      </c>
      <c r="B1743" s="163">
        <v>45799</v>
      </c>
      <c r="C1743" s="164">
        <v>0.7336921296296296</v>
      </c>
      <c r="D1743" s="159">
        <v>10</v>
      </c>
      <c r="E1743" s="166" t="s">
        <v>1726</v>
      </c>
    </row>
    <row r="1744" spans="1:5">
      <c r="A1744" s="159">
        <f t="shared" si="19"/>
        <v>1743</v>
      </c>
      <c r="B1744" s="163">
        <v>45799</v>
      </c>
      <c r="C1744" s="164">
        <v>0.7297569444444445</v>
      </c>
      <c r="D1744" s="159">
        <v>10</v>
      </c>
      <c r="E1744" s="166" t="s">
        <v>1727</v>
      </c>
    </row>
    <row r="1745" spans="1:5">
      <c r="A1745" s="159">
        <f t="shared" si="19"/>
        <v>1744</v>
      </c>
      <c r="B1745" s="163">
        <v>45799</v>
      </c>
      <c r="C1745" s="164">
        <v>0.72628472222222218</v>
      </c>
      <c r="D1745" s="159">
        <v>10</v>
      </c>
      <c r="E1745" s="166" t="s">
        <v>1728</v>
      </c>
    </row>
    <row r="1746" spans="1:5" ht="27">
      <c r="A1746" s="159">
        <f t="shared" si="19"/>
        <v>1745</v>
      </c>
      <c r="B1746" s="163">
        <v>45799</v>
      </c>
      <c r="C1746" s="164">
        <v>0.7257407407407408</v>
      </c>
      <c r="D1746" s="159">
        <v>10</v>
      </c>
      <c r="E1746" s="166" t="s">
        <v>1763</v>
      </c>
    </row>
    <row r="1747" spans="1:5">
      <c r="A1747" s="159">
        <f t="shared" si="19"/>
        <v>1746</v>
      </c>
      <c r="B1747" s="163">
        <v>45799</v>
      </c>
      <c r="C1747" s="164">
        <v>0.70906249999999993</v>
      </c>
      <c r="D1747" s="159">
        <v>10</v>
      </c>
      <c r="E1747" s="166" t="s">
        <v>1729</v>
      </c>
    </row>
    <row r="1748" spans="1:5">
      <c r="A1748" s="159">
        <f t="shared" si="19"/>
        <v>1747</v>
      </c>
      <c r="B1748" s="163">
        <v>45799</v>
      </c>
      <c r="C1748" s="164">
        <v>0.70546296296296296</v>
      </c>
      <c r="D1748" s="159">
        <v>10</v>
      </c>
      <c r="E1748" s="166" t="s">
        <v>1730</v>
      </c>
    </row>
    <row r="1749" spans="1:5">
      <c r="A1749" s="159">
        <f t="shared" si="19"/>
        <v>1748</v>
      </c>
      <c r="B1749" s="163">
        <v>45799</v>
      </c>
      <c r="C1749" s="164">
        <v>0.69811342592592596</v>
      </c>
      <c r="D1749" s="159">
        <v>10</v>
      </c>
      <c r="E1749" s="166" t="s">
        <v>1731</v>
      </c>
    </row>
    <row r="1750" spans="1:5">
      <c r="A1750" s="159">
        <f t="shared" si="19"/>
        <v>1749</v>
      </c>
      <c r="B1750" s="163">
        <v>45799</v>
      </c>
      <c r="C1750" s="164">
        <v>0.69146990740740744</v>
      </c>
      <c r="D1750" s="159">
        <v>10</v>
      </c>
      <c r="E1750" s="166" t="s">
        <v>1732</v>
      </c>
    </row>
    <row r="1751" spans="1:5">
      <c r="A1751" s="159">
        <f t="shared" si="19"/>
        <v>1750</v>
      </c>
      <c r="B1751" s="163">
        <v>45799</v>
      </c>
      <c r="C1751" s="164">
        <v>0.68892361111111111</v>
      </c>
      <c r="D1751" s="159">
        <v>10</v>
      </c>
      <c r="E1751" s="166" t="s">
        <v>415</v>
      </c>
    </row>
    <row r="1752" spans="1:5">
      <c r="A1752" s="159">
        <f t="shared" si="19"/>
        <v>1751</v>
      </c>
      <c r="B1752" s="163">
        <v>45799</v>
      </c>
      <c r="C1752" s="164">
        <v>0.68543981481481486</v>
      </c>
      <c r="D1752" s="159">
        <v>10</v>
      </c>
      <c r="E1752" s="166" t="s">
        <v>1733</v>
      </c>
    </row>
    <row r="1753" spans="1:5">
      <c r="A1753" s="159">
        <f t="shared" si="19"/>
        <v>1752</v>
      </c>
      <c r="B1753" s="163">
        <v>45799</v>
      </c>
      <c r="C1753" s="164">
        <v>0.68256944444444445</v>
      </c>
      <c r="D1753" s="159">
        <v>10</v>
      </c>
      <c r="E1753" s="166" t="s">
        <v>1734</v>
      </c>
    </row>
    <row r="1754" spans="1:5">
      <c r="A1754" s="159">
        <f t="shared" si="19"/>
        <v>1753</v>
      </c>
      <c r="B1754" s="163">
        <v>45799</v>
      </c>
      <c r="C1754" s="164">
        <v>0.68011574074074066</v>
      </c>
      <c r="D1754" s="159">
        <v>10</v>
      </c>
      <c r="E1754" s="166" t="s">
        <v>1735</v>
      </c>
    </row>
    <row r="1755" spans="1:5">
      <c r="A1755" s="159">
        <f t="shared" si="19"/>
        <v>1754</v>
      </c>
      <c r="B1755" s="163">
        <v>45799</v>
      </c>
      <c r="C1755" s="164">
        <v>0.67913194444444447</v>
      </c>
      <c r="D1755" s="159">
        <v>10</v>
      </c>
      <c r="E1755" s="166" t="s">
        <v>244</v>
      </c>
    </row>
    <row r="1756" spans="1:5">
      <c r="A1756" s="159">
        <f t="shared" si="19"/>
        <v>1755</v>
      </c>
      <c r="B1756" s="163">
        <v>45799</v>
      </c>
      <c r="C1756" s="164">
        <v>0.67079861111111105</v>
      </c>
      <c r="D1756" s="159">
        <v>10</v>
      </c>
      <c r="E1756" s="166" t="s">
        <v>1736</v>
      </c>
    </row>
    <row r="1757" spans="1:5">
      <c r="A1757" s="159">
        <f t="shared" si="19"/>
        <v>1756</v>
      </c>
      <c r="B1757" s="163">
        <v>45799</v>
      </c>
      <c r="C1757" s="164">
        <v>0.66214120370370366</v>
      </c>
      <c r="D1757" s="159">
        <v>10</v>
      </c>
      <c r="E1757" s="166" t="s">
        <v>1737</v>
      </c>
    </row>
    <row r="1758" spans="1:5">
      <c r="A1758" s="159">
        <f t="shared" si="19"/>
        <v>1757</v>
      </c>
      <c r="B1758" s="163">
        <v>45799</v>
      </c>
      <c r="C1758" s="164">
        <v>0.65091435185185187</v>
      </c>
      <c r="D1758" s="159">
        <v>10</v>
      </c>
      <c r="E1758" s="166" t="s">
        <v>1738</v>
      </c>
    </row>
    <row r="1759" spans="1:5">
      <c r="A1759" s="159">
        <f t="shared" si="19"/>
        <v>1758</v>
      </c>
      <c r="B1759" s="163">
        <v>45799</v>
      </c>
      <c r="C1759" s="164">
        <v>0.65076388888888892</v>
      </c>
      <c r="D1759" s="159">
        <v>10</v>
      </c>
      <c r="E1759" s="166" t="s">
        <v>1739</v>
      </c>
    </row>
    <row r="1760" spans="1:5">
      <c r="A1760" s="159">
        <f t="shared" si="19"/>
        <v>1759</v>
      </c>
      <c r="B1760" s="163">
        <v>45799</v>
      </c>
      <c r="C1760" s="164">
        <v>0.6444212962962963</v>
      </c>
      <c r="D1760" s="159">
        <v>10</v>
      </c>
      <c r="E1760" s="166" t="s">
        <v>1740</v>
      </c>
    </row>
    <row r="1761" spans="1:5">
      <c r="A1761" s="159">
        <f t="shared" si="19"/>
        <v>1760</v>
      </c>
      <c r="B1761" s="163">
        <v>45799</v>
      </c>
      <c r="C1761" s="164">
        <v>0.62733796296296296</v>
      </c>
      <c r="D1761" s="159">
        <v>10</v>
      </c>
      <c r="E1761" s="166" t="s">
        <v>201</v>
      </c>
    </row>
    <row r="1762" spans="1:5">
      <c r="A1762" s="159">
        <f t="shared" si="19"/>
        <v>1761</v>
      </c>
      <c r="B1762" s="163">
        <v>45799</v>
      </c>
      <c r="C1762" s="164">
        <v>0.62525462962962963</v>
      </c>
      <c r="D1762" s="159">
        <v>10</v>
      </c>
      <c r="E1762" s="166" t="s">
        <v>1741</v>
      </c>
    </row>
    <row r="1763" spans="1:5">
      <c r="A1763" s="159">
        <f t="shared" si="19"/>
        <v>1762</v>
      </c>
      <c r="B1763" s="163">
        <v>45799</v>
      </c>
      <c r="C1763" s="164">
        <v>0.61574074074074081</v>
      </c>
      <c r="D1763" s="159">
        <v>10</v>
      </c>
      <c r="E1763" s="166" t="s">
        <v>1742</v>
      </c>
    </row>
    <row r="1764" spans="1:5">
      <c r="A1764" s="159">
        <f t="shared" si="19"/>
        <v>1763</v>
      </c>
      <c r="B1764" s="163">
        <v>45799</v>
      </c>
      <c r="C1764" s="164">
        <v>0.59598379629629628</v>
      </c>
      <c r="D1764" s="159">
        <v>10</v>
      </c>
      <c r="E1764" s="166" t="s">
        <v>1743</v>
      </c>
    </row>
    <row r="1765" spans="1:5">
      <c r="A1765" s="159">
        <f t="shared" si="19"/>
        <v>1764</v>
      </c>
      <c r="B1765" s="163">
        <v>45799</v>
      </c>
      <c r="C1765" s="164">
        <v>0.59006944444444442</v>
      </c>
      <c r="D1765" s="159">
        <v>10</v>
      </c>
    </row>
    <row r="1766" spans="1:5">
      <c r="A1766" s="159">
        <f t="shared" si="19"/>
        <v>1765</v>
      </c>
      <c r="B1766" s="163">
        <v>45799</v>
      </c>
      <c r="C1766" s="164">
        <v>0.58460648148148142</v>
      </c>
      <c r="D1766" s="159">
        <v>10</v>
      </c>
      <c r="E1766" s="166" t="s">
        <v>1744</v>
      </c>
    </row>
    <row r="1767" spans="1:5">
      <c r="A1767" s="159">
        <f t="shared" si="19"/>
        <v>1766</v>
      </c>
      <c r="B1767" s="163">
        <v>45799</v>
      </c>
      <c r="C1767" s="164">
        <v>0.57640046296296299</v>
      </c>
      <c r="D1767" s="159">
        <v>10</v>
      </c>
      <c r="E1767" s="166" t="s">
        <v>1745</v>
      </c>
    </row>
    <row r="1768" spans="1:5" ht="27">
      <c r="A1768" s="159">
        <f t="shared" si="19"/>
        <v>1767</v>
      </c>
      <c r="B1768" s="163">
        <v>45799</v>
      </c>
      <c r="C1768" s="164">
        <v>0.57547453703703699</v>
      </c>
      <c r="D1768" s="159">
        <v>10</v>
      </c>
      <c r="E1768" s="166" t="s">
        <v>1762</v>
      </c>
    </row>
    <row r="1769" spans="1:5">
      <c r="A1769" s="159">
        <f t="shared" si="19"/>
        <v>1768</v>
      </c>
      <c r="B1769" s="163">
        <v>45799</v>
      </c>
      <c r="C1769" s="164">
        <v>0.56802083333333331</v>
      </c>
      <c r="D1769" s="159">
        <v>10</v>
      </c>
      <c r="E1769" s="166" t="s">
        <v>1746</v>
      </c>
    </row>
    <row r="1770" spans="1:5">
      <c r="A1770" s="159">
        <f t="shared" si="19"/>
        <v>1769</v>
      </c>
      <c r="B1770" s="163">
        <v>45799</v>
      </c>
      <c r="C1770" s="164">
        <v>0.5472569444444445</v>
      </c>
      <c r="D1770" s="159">
        <v>10</v>
      </c>
      <c r="E1770" s="166" t="s">
        <v>1747</v>
      </c>
    </row>
    <row r="1771" spans="1:5">
      <c r="A1771" s="159">
        <f t="shared" si="19"/>
        <v>1770</v>
      </c>
      <c r="B1771" s="163">
        <v>45799</v>
      </c>
      <c r="C1771" s="164">
        <v>0.52995370370370376</v>
      </c>
      <c r="D1771" s="159">
        <v>10</v>
      </c>
      <c r="E1771" s="166" t="s">
        <v>1748</v>
      </c>
    </row>
    <row r="1772" spans="1:5">
      <c r="A1772" s="159">
        <f t="shared" si="19"/>
        <v>1771</v>
      </c>
      <c r="B1772" s="163">
        <v>45799</v>
      </c>
      <c r="C1772" s="164">
        <v>0.49810185185185185</v>
      </c>
      <c r="D1772" s="159">
        <v>10</v>
      </c>
      <c r="E1772" s="166" t="s">
        <v>1749</v>
      </c>
    </row>
    <row r="1773" spans="1:5">
      <c r="A1773" s="159">
        <f t="shared" si="19"/>
        <v>1772</v>
      </c>
      <c r="B1773" s="163">
        <v>45799</v>
      </c>
      <c r="C1773" s="164">
        <v>0.47628472222222223</v>
      </c>
      <c r="D1773" s="159">
        <v>10</v>
      </c>
      <c r="E1773" s="166" t="s">
        <v>1750</v>
      </c>
    </row>
    <row r="1774" spans="1:5">
      <c r="A1774" s="159">
        <f t="shared" si="19"/>
        <v>1773</v>
      </c>
      <c r="B1774" s="163">
        <v>45799</v>
      </c>
      <c r="C1774" s="164">
        <v>0.45846064814814813</v>
      </c>
      <c r="D1774" s="159">
        <v>10</v>
      </c>
      <c r="E1774" s="166" t="s">
        <v>1751</v>
      </c>
    </row>
    <row r="1775" spans="1:5">
      <c r="A1775" s="159">
        <f t="shared" si="19"/>
        <v>1774</v>
      </c>
      <c r="B1775" s="163">
        <v>45799</v>
      </c>
      <c r="C1775" s="164">
        <v>0.45596064814814818</v>
      </c>
      <c r="D1775" s="159">
        <v>10</v>
      </c>
      <c r="E1775" s="166" t="s">
        <v>1752</v>
      </c>
    </row>
    <row r="1776" spans="1:5">
      <c r="A1776" s="159">
        <f t="shared" si="19"/>
        <v>1775</v>
      </c>
      <c r="B1776" s="163">
        <v>45799</v>
      </c>
      <c r="C1776" s="164">
        <v>0.44890046296296293</v>
      </c>
      <c r="D1776" s="159">
        <v>10</v>
      </c>
      <c r="E1776" s="166" t="s">
        <v>1753</v>
      </c>
    </row>
    <row r="1777" spans="1:5">
      <c r="A1777" s="159">
        <f t="shared" si="19"/>
        <v>1776</v>
      </c>
      <c r="B1777" s="163">
        <v>45799</v>
      </c>
      <c r="C1777" s="164">
        <v>0.44712962962962965</v>
      </c>
      <c r="D1777" s="159">
        <v>10</v>
      </c>
      <c r="E1777" s="166" t="s">
        <v>1754</v>
      </c>
    </row>
    <row r="1778" spans="1:5">
      <c r="A1778" s="159">
        <f t="shared" si="19"/>
        <v>1777</v>
      </c>
      <c r="B1778" s="163">
        <v>45799</v>
      </c>
      <c r="C1778" s="164">
        <v>0.44625000000000004</v>
      </c>
      <c r="D1778" s="159">
        <v>10</v>
      </c>
      <c r="E1778" s="166" t="s">
        <v>132</v>
      </c>
    </row>
    <row r="1779" spans="1:5">
      <c r="A1779" s="159">
        <f t="shared" si="19"/>
        <v>1778</v>
      </c>
      <c r="B1779" s="163">
        <v>45799</v>
      </c>
      <c r="C1779" s="164">
        <v>0.43940972222222219</v>
      </c>
      <c r="D1779" s="159">
        <v>10</v>
      </c>
      <c r="E1779" s="166" t="s">
        <v>1755</v>
      </c>
    </row>
    <row r="1780" spans="1:5">
      <c r="A1780" s="159">
        <f t="shared" si="19"/>
        <v>1779</v>
      </c>
      <c r="B1780" s="163">
        <v>45799</v>
      </c>
      <c r="C1780" s="164">
        <v>0.43341435185185184</v>
      </c>
      <c r="D1780" s="159">
        <v>10</v>
      </c>
      <c r="E1780" s="166" t="s">
        <v>1756</v>
      </c>
    </row>
    <row r="1781" spans="1:5">
      <c r="A1781" s="159">
        <f t="shared" ref="A1781:A1844" si="20">ROW()-1</f>
        <v>1780</v>
      </c>
      <c r="B1781" s="163">
        <v>45799</v>
      </c>
      <c r="C1781" s="164">
        <v>0.42778935185185185</v>
      </c>
      <c r="D1781" s="159">
        <v>10</v>
      </c>
      <c r="E1781" s="166" t="s">
        <v>179</v>
      </c>
    </row>
    <row r="1782" spans="1:5">
      <c r="A1782" s="159">
        <f t="shared" si="20"/>
        <v>1781</v>
      </c>
      <c r="B1782" s="163">
        <v>45799</v>
      </c>
      <c r="C1782" s="164">
        <v>0.42181712962962964</v>
      </c>
      <c r="D1782" s="159">
        <v>10</v>
      </c>
      <c r="E1782" s="166" t="s">
        <v>1757</v>
      </c>
    </row>
    <row r="1783" spans="1:5">
      <c r="A1783" s="159">
        <f t="shared" si="20"/>
        <v>1782</v>
      </c>
      <c r="B1783" s="163">
        <v>45799</v>
      </c>
      <c r="C1783" s="164">
        <v>0.41644675925925928</v>
      </c>
      <c r="D1783" s="159">
        <v>10</v>
      </c>
      <c r="E1783" s="166" t="s">
        <v>557</v>
      </c>
    </row>
    <row r="1784" spans="1:5">
      <c r="A1784" s="159">
        <f t="shared" si="20"/>
        <v>1783</v>
      </c>
      <c r="B1784" s="163">
        <v>45799</v>
      </c>
      <c r="C1784" s="164">
        <v>0.41003472222222226</v>
      </c>
      <c r="D1784" s="159">
        <v>10</v>
      </c>
      <c r="E1784" s="166" t="s">
        <v>288</v>
      </c>
    </row>
    <row r="1785" spans="1:5">
      <c r="A1785" s="159">
        <f t="shared" si="20"/>
        <v>1784</v>
      </c>
      <c r="B1785" s="163">
        <v>45799</v>
      </c>
      <c r="C1785" s="164">
        <v>0.40476851851851853</v>
      </c>
      <c r="D1785" s="159">
        <v>10</v>
      </c>
      <c r="E1785" s="166" t="s">
        <v>1758</v>
      </c>
    </row>
    <row r="1786" spans="1:5">
      <c r="A1786" s="159">
        <f t="shared" si="20"/>
        <v>1785</v>
      </c>
      <c r="B1786" s="163">
        <v>45799</v>
      </c>
      <c r="C1786" s="164">
        <v>0.39749999999999996</v>
      </c>
      <c r="D1786" s="159">
        <v>10</v>
      </c>
      <c r="E1786" s="166" t="s">
        <v>1759</v>
      </c>
    </row>
    <row r="1787" spans="1:5">
      <c r="A1787" s="159">
        <f t="shared" si="20"/>
        <v>1786</v>
      </c>
      <c r="B1787" s="163">
        <v>45799</v>
      </c>
      <c r="C1787" s="164">
        <v>0.39740740740740743</v>
      </c>
      <c r="D1787" s="159">
        <v>10</v>
      </c>
      <c r="E1787" s="166" t="s">
        <v>1760</v>
      </c>
    </row>
    <row r="1788" spans="1:5">
      <c r="A1788" s="159">
        <f t="shared" si="20"/>
        <v>1787</v>
      </c>
      <c r="B1788" s="163">
        <v>45799</v>
      </c>
      <c r="C1788" s="164">
        <v>0.38167824074074069</v>
      </c>
      <c r="D1788" s="159">
        <v>10</v>
      </c>
      <c r="E1788" s="166" t="s">
        <v>1761</v>
      </c>
    </row>
    <row r="1789" spans="1:5">
      <c r="A1789" s="159">
        <f t="shared" si="20"/>
        <v>1788</v>
      </c>
      <c r="B1789" s="163">
        <v>45800</v>
      </c>
      <c r="C1789" s="164">
        <v>0.87861111111111112</v>
      </c>
      <c r="D1789" s="159">
        <v>10</v>
      </c>
      <c r="E1789" s="166" t="s">
        <v>1776</v>
      </c>
    </row>
    <row r="1790" spans="1:5">
      <c r="A1790" s="159">
        <f t="shared" si="20"/>
        <v>1789</v>
      </c>
      <c r="B1790" s="163">
        <v>45800</v>
      </c>
      <c r="C1790" s="164">
        <v>0.8759837962962963</v>
      </c>
      <c r="D1790" s="159">
        <v>10</v>
      </c>
      <c r="E1790" s="166" t="s">
        <v>1777</v>
      </c>
    </row>
    <row r="1791" spans="1:5">
      <c r="A1791" s="159">
        <f t="shared" si="20"/>
        <v>1790</v>
      </c>
      <c r="B1791" s="163">
        <v>45800</v>
      </c>
      <c r="C1791" s="164">
        <v>0.80359953703703713</v>
      </c>
      <c r="D1791" s="159">
        <v>10</v>
      </c>
      <c r="E1791" s="166" t="s">
        <v>1778</v>
      </c>
    </row>
    <row r="1792" spans="1:5">
      <c r="A1792" s="159">
        <f t="shared" si="20"/>
        <v>1791</v>
      </c>
      <c r="B1792" s="163">
        <v>45800</v>
      </c>
      <c r="C1792" s="164">
        <v>0.7591782407407407</v>
      </c>
      <c r="D1792" s="159">
        <v>10</v>
      </c>
      <c r="E1792" s="166" t="s">
        <v>1779</v>
      </c>
    </row>
    <row r="1793" spans="1:5">
      <c r="A1793" s="159">
        <f t="shared" si="20"/>
        <v>1792</v>
      </c>
      <c r="B1793" s="163">
        <v>45800</v>
      </c>
      <c r="C1793" s="164">
        <v>0.7509837962962963</v>
      </c>
      <c r="D1793" s="159">
        <v>10</v>
      </c>
      <c r="E1793" s="166" t="s">
        <v>1780</v>
      </c>
    </row>
    <row r="1794" spans="1:5">
      <c r="A1794" s="159">
        <f t="shared" si="20"/>
        <v>1793</v>
      </c>
      <c r="B1794" s="163">
        <v>45800</v>
      </c>
      <c r="C1794" s="164">
        <v>0.74451388888888881</v>
      </c>
      <c r="D1794" s="159">
        <v>10</v>
      </c>
      <c r="E1794" s="166" t="s">
        <v>1781</v>
      </c>
    </row>
    <row r="1795" spans="1:5">
      <c r="A1795" s="159">
        <f t="shared" si="20"/>
        <v>1794</v>
      </c>
      <c r="B1795" s="163">
        <v>45800</v>
      </c>
      <c r="C1795" s="164">
        <v>0.74487268518518512</v>
      </c>
      <c r="D1795" s="159">
        <v>10</v>
      </c>
      <c r="E1795" s="166" t="s">
        <v>1782</v>
      </c>
    </row>
    <row r="1796" spans="1:5">
      <c r="A1796" s="159">
        <f t="shared" si="20"/>
        <v>1795</v>
      </c>
      <c r="B1796" s="163">
        <v>45800</v>
      </c>
      <c r="C1796" s="164">
        <v>0.74410879629629623</v>
      </c>
      <c r="D1796" s="159">
        <v>10</v>
      </c>
      <c r="E1796" s="166" t="s">
        <v>1783</v>
      </c>
    </row>
    <row r="1797" spans="1:5">
      <c r="A1797" s="159">
        <f t="shared" si="20"/>
        <v>1796</v>
      </c>
      <c r="B1797" s="163">
        <v>45800</v>
      </c>
      <c r="C1797" s="164">
        <v>0.72862268518518514</v>
      </c>
      <c r="D1797" s="159">
        <v>10</v>
      </c>
      <c r="E1797" s="166" t="s">
        <v>1784</v>
      </c>
    </row>
    <row r="1798" spans="1:5">
      <c r="A1798" s="159">
        <f t="shared" si="20"/>
        <v>1797</v>
      </c>
      <c r="B1798" s="163">
        <v>45800</v>
      </c>
      <c r="C1798" s="164">
        <v>0.69233796296296291</v>
      </c>
      <c r="D1798" s="159">
        <v>10</v>
      </c>
      <c r="E1798" s="166" t="s">
        <v>1785</v>
      </c>
    </row>
    <row r="1799" spans="1:5">
      <c r="A1799" s="159">
        <f t="shared" si="20"/>
        <v>1798</v>
      </c>
      <c r="B1799" s="163">
        <v>45800</v>
      </c>
      <c r="C1799" s="164">
        <v>0.68907407407407406</v>
      </c>
      <c r="D1799" s="159">
        <v>10</v>
      </c>
      <c r="E1799" s="166" t="s">
        <v>1786</v>
      </c>
    </row>
    <row r="1800" spans="1:5">
      <c r="A1800" s="159">
        <f t="shared" si="20"/>
        <v>1799</v>
      </c>
      <c r="B1800" s="163">
        <v>45800</v>
      </c>
      <c r="C1800" s="164">
        <v>0.68533564814814818</v>
      </c>
      <c r="D1800" s="159">
        <v>10</v>
      </c>
      <c r="E1800" s="166" t="s">
        <v>1787</v>
      </c>
    </row>
    <row r="1801" spans="1:5">
      <c r="A1801" s="159">
        <f t="shared" si="20"/>
        <v>1800</v>
      </c>
      <c r="B1801" s="163">
        <v>45800</v>
      </c>
      <c r="C1801" s="164">
        <v>0.67866898148148147</v>
      </c>
      <c r="D1801" s="159">
        <v>10</v>
      </c>
      <c r="E1801" s="166" t="s">
        <v>1788</v>
      </c>
    </row>
    <row r="1802" spans="1:5">
      <c r="A1802" s="159">
        <f t="shared" si="20"/>
        <v>1801</v>
      </c>
      <c r="B1802" s="163">
        <v>45800</v>
      </c>
      <c r="C1802" s="164">
        <v>0.67534722222222221</v>
      </c>
      <c r="D1802" s="159">
        <v>10</v>
      </c>
      <c r="E1802" s="166" t="s">
        <v>1789</v>
      </c>
    </row>
    <row r="1803" spans="1:5">
      <c r="A1803" s="159">
        <f t="shared" si="20"/>
        <v>1802</v>
      </c>
      <c r="B1803" s="163">
        <v>45800</v>
      </c>
      <c r="C1803" s="164">
        <v>0.6739814814814814</v>
      </c>
      <c r="D1803" s="159">
        <v>10</v>
      </c>
      <c r="E1803" s="166" t="s">
        <v>1790</v>
      </c>
    </row>
    <row r="1804" spans="1:5">
      <c r="A1804" s="159">
        <f t="shared" si="20"/>
        <v>1803</v>
      </c>
      <c r="B1804" s="163">
        <v>45800</v>
      </c>
      <c r="C1804" s="164">
        <v>0.66487268518518516</v>
      </c>
      <c r="D1804" s="159">
        <v>10</v>
      </c>
      <c r="E1804" s="166" t="s">
        <v>1791</v>
      </c>
    </row>
    <row r="1805" spans="1:5">
      <c r="A1805" s="159">
        <f t="shared" si="20"/>
        <v>1804</v>
      </c>
      <c r="B1805" s="163">
        <v>45800</v>
      </c>
      <c r="C1805" s="164">
        <v>0.6523958333333334</v>
      </c>
      <c r="D1805" s="159">
        <v>10</v>
      </c>
      <c r="E1805" s="166" t="s">
        <v>1792</v>
      </c>
    </row>
    <row r="1806" spans="1:5">
      <c r="A1806" s="159">
        <f t="shared" si="20"/>
        <v>1805</v>
      </c>
      <c r="B1806" s="163">
        <v>45800</v>
      </c>
      <c r="C1806" s="164">
        <v>0.6519328703703704</v>
      </c>
      <c r="D1806" s="159">
        <v>10</v>
      </c>
      <c r="E1806" s="166" t="s">
        <v>1793</v>
      </c>
    </row>
    <row r="1807" spans="1:5">
      <c r="A1807" s="159">
        <f t="shared" si="20"/>
        <v>1806</v>
      </c>
      <c r="B1807" s="163">
        <v>45800</v>
      </c>
      <c r="C1807" s="164">
        <v>0.64370370370370367</v>
      </c>
      <c r="D1807" s="159">
        <v>10</v>
      </c>
      <c r="E1807" s="166" t="s">
        <v>479</v>
      </c>
    </row>
    <row r="1808" spans="1:5">
      <c r="A1808" s="159">
        <f t="shared" si="20"/>
        <v>1807</v>
      </c>
      <c r="B1808" s="163">
        <v>45800</v>
      </c>
      <c r="C1808" s="164">
        <v>0.64239583333333339</v>
      </c>
      <c r="D1808" s="159">
        <v>10</v>
      </c>
      <c r="E1808" s="166" t="s">
        <v>1794</v>
      </c>
    </row>
    <row r="1809" spans="1:5">
      <c r="A1809" s="159">
        <f t="shared" si="20"/>
        <v>1808</v>
      </c>
      <c r="B1809" s="163">
        <v>45800</v>
      </c>
      <c r="C1809" s="164">
        <v>0.64043981481481482</v>
      </c>
      <c r="D1809" s="159">
        <v>10</v>
      </c>
      <c r="E1809" s="166" t="s">
        <v>1795</v>
      </c>
    </row>
    <row r="1810" spans="1:5">
      <c r="A1810" s="159">
        <f t="shared" si="20"/>
        <v>1809</v>
      </c>
      <c r="B1810" s="163">
        <v>45800</v>
      </c>
      <c r="C1810" s="164">
        <v>0.6407870370370371</v>
      </c>
      <c r="D1810" s="159">
        <v>10</v>
      </c>
      <c r="E1810" s="166" t="s">
        <v>1796</v>
      </c>
    </row>
    <row r="1811" spans="1:5">
      <c r="A1811" s="159">
        <f t="shared" si="20"/>
        <v>1810</v>
      </c>
      <c r="B1811" s="163">
        <v>45800</v>
      </c>
      <c r="C1811" s="164">
        <v>0.64027777777777783</v>
      </c>
      <c r="D1811" s="159">
        <v>10</v>
      </c>
      <c r="E1811" s="166" t="s">
        <v>1797</v>
      </c>
    </row>
    <row r="1812" spans="1:5">
      <c r="A1812" s="159">
        <f t="shared" si="20"/>
        <v>1811</v>
      </c>
      <c r="B1812" s="163">
        <v>45800</v>
      </c>
      <c r="C1812" s="164">
        <v>0.61310185185185184</v>
      </c>
      <c r="D1812" s="159">
        <v>10</v>
      </c>
      <c r="E1812" s="166" t="s">
        <v>1798</v>
      </c>
    </row>
    <row r="1813" spans="1:5">
      <c r="A1813" s="159">
        <f t="shared" si="20"/>
        <v>1812</v>
      </c>
      <c r="B1813" s="163">
        <v>45800</v>
      </c>
      <c r="C1813" s="164">
        <v>0.5724421296296297</v>
      </c>
      <c r="D1813" s="159">
        <v>10</v>
      </c>
      <c r="E1813" s="166" t="s">
        <v>1799</v>
      </c>
    </row>
    <row r="1814" spans="1:5">
      <c r="A1814" s="159">
        <f t="shared" si="20"/>
        <v>1813</v>
      </c>
      <c r="B1814" s="163">
        <v>45800</v>
      </c>
      <c r="C1814" s="164">
        <v>0.56686342592592587</v>
      </c>
      <c r="D1814" s="159">
        <v>10</v>
      </c>
      <c r="E1814" s="166" t="s">
        <v>1800</v>
      </c>
    </row>
    <row r="1815" spans="1:5">
      <c r="A1815" s="159">
        <f t="shared" si="20"/>
        <v>1814</v>
      </c>
      <c r="B1815" s="163">
        <v>45800</v>
      </c>
      <c r="C1815" s="164">
        <v>0.53531249999999997</v>
      </c>
      <c r="D1815" s="159">
        <v>10</v>
      </c>
      <c r="E1815" s="166" t="s">
        <v>1801</v>
      </c>
    </row>
    <row r="1816" spans="1:5">
      <c r="A1816" s="159">
        <f t="shared" si="20"/>
        <v>1815</v>
      </c>
      <c r="B1816" s="163">
        <v>45800</v>
      </c>
      <c r="C1816" s="164">
        <v>0.50163194444444448</v>
      </c>
      <c r="D1816" s="159">
        <v>10</v>
      </c>
      <c r="E1816" s="166" t="s">
        <v>1802</v>
      </c>
    </row>
    <row r="1817" spans="1:5">
      <c r="A1817" s="159">
        <f t="shared" si="20"/>
        <v>1816</v>
      </c>
      <c r="B1817" s="163">
        <v>45800</v>
      </c>
      <c r="C1817" s="164">
        <v>0.49475694444444446</v>
      </c>
      <c r="D1817" s="159">
        <v>10</v>
      </c>
      <c r="E1817" s="166" t="s">
        <v>1803</v>
      </c>
    </row>
    <row r="1818" spans="1:5">
      <c r="A1818" s="159">
        <f t="shared" si="20"/>
        <v>1817</v>
      </c>
      <c r="B1818" s="163">
        <v>45800</v>
      </c>
      <c r="C1818" s="164">
        <v>0.48591435185185183</v>
      </c>
      <c r="D1818" s="159">
        <v>10</v>
      </c>
      <c r="E1818" s="166" t="s">
        <v>1804</v>
      </c>
    </row>
    <row r="1819" spans="1:5">
      <c r="A1819" s="159">
        <f t="shared" si="20"/>
        <v>1818</v>
      </c>
      <c r="B1819" s="163">
        <v>45800</v>
      </c>
      <c r="C1819" s="164">
        <v>0.47379629629629627</v>
      </c>
      <c r="D1819" s="159">
        <v>10</v>
      </c>
      <c r="E1819" s="166" t="s">
        <v>1805</v>
      </c>
    </row>
    <row r="1820" spans="1:5">
      <c r="A1820" s="159">
        <f t="shared" si="20"/>
        <v>1819</v>
      </c>
      <c r="B1820" s="163">
        <v>45800</v>
      </c>
      <c r="C1820" s="164">
        <v>0.45885416666666662</v>
      </c>
      <c r="D1820" s="159">
        <v>10</v>
      </c>
      <c r="E1820" s="166" t="s">
        <v>1806</v>
      </c>
    </row>
    <row r="1821" spans="1:5">
      <c r="A1821" s="159">
        <f t="shared" si="20"/>
        <v>1820</v>
      </c>
      <c r="B1821" s="163">
        <v>45800</v>
      </c>
      <c r="C1821" s="164">
        <v>0.45758101851851851</v>
      </c>
      <c r="D1821" s="159">
        <v>10</v>
      </c>
      <c r="E1821" s="166" t="s">
        <v>1807</v>
      </c>
    </row>
    <row r="1822" spans="1:5">
      <c r="A1822" s="159">
        <f t="shared" si="20"/>
        <v>1821</v>
      </c>
      <c r="B1822" s="163">
        <v>45800</v>
      </c>
      <c r="C1822" s="164">
        <v>0.44465277777777779</v>
      </c>
      <c r="D1822" s="159">
        <v>10</v>
      </c>
      <c r="E1822" s="166" t="s">
        <v>1808</v>
      </c>
    </row>
    <row r="1823" spans="1:5">
      <c r="A1823" s="159">
        <f t="shared" si="20"/>
        <v>1822</v>
      </c>
      <c r="B1823" s="163">
        <v>45800</v>
      </c>
      <c r="C1823" s="164">
        <v>0.4418287037037037</v>
      </c>
      <c r="D1823" s="159">
        <v>10</v>
      </c>
      <c r="E1823" s="166" t="s">
        <v>418</v>
      </c>
    </row>
    <row r="1824" spans="1:5" ht="27">
      <c r="A1824" s="159">
        <f t="shared" si="20"/>
        <v>1823</v>
      </c>
      <c r="B1824" s="163">
        <v>45800</v>
      </c>
      <c r="C1824" s="164">
        <v>0.42075231481481484</v>
      </c>
      <c r="D1824" s="159">
        <v>10</v>
      </c>
      <c r="E1824" s="166" t="s">
        <v>1813</v>
      </c>
    </row>
    <row r="1825" spans="1:5">
      <c r="A1825" s="159">
        <f t="shared" si="20"/>
        <v>1824</v>
      </c>
      <c r="B1825" s="163">
        <v>45800</v>
      </c>
      <c r="C1825" s="164">
        <v>0.4208217592592593</v>
      </c>
      <c r="D1825" s="159">
        <v>10</v>
      </c>
      <c r="E1825" s="166" t="s">
        <v>1809</v>
      </c>
    </row>
    <row r="1826" spans="1:5">
      <c r="A1826" s="159">
        <f t="shared" si="20"/>
        <v>1825</v>
      </c>
      <c r="B1826" s="163">
        <v>45800</v>
      </c>
      <c r="C1826" s="164">
        <v>0.41974537037037035</v>
      </c>
      <c r="D1826" s="159">
        <v>10</v>
      </c>
      <c r="E1826" s="166" t="s">
        <v>537</v>
      </c>
    </row>
    <row r="1827" spans="1:5" ht="27">
      <c r="A1827" s="159">
        <f t="shared" si="20"/>
        <v>1826</v>
      </c>
      <c r="B1827" s="163">
        <v>45800</v>
      </c>
      <c r="C1827" s="164">
        <v>0.41124999999999995</v>
      </c>
      <c r="D1827" s="159">
        <v>10</v>
      </c>
      <c r="E1827" s="166" t="s">
        <v>1812</v>
      </c>
    </row>
    <row r="1828" spans="1:5">
      <c r="A1828" s="159">
        <f t="shared" si="20"/>
        <v>1827</v>
      </c>
      <c r="B1828" s="163">
        <v>45800</v>
      </c>
      <c r="C1828" s="164">
        <v>0.40965277777777781</v>
      </c>
      <c r="D1828" s="159">
        <v>10</v>
      </c>
      <c r="E1828" s="166" t="s">
        <v>1811</v>
      </c>
    </row>
    <row r="1829" spans="1:5">
      <c r="A1829" s="159">
        <f t="shared" si="20"/>
        <v>1828</v>
      </c>
      <c r="B1829" s="163">
        <v>45800</v>
      </c>
      <c r="C1829" s="164">
        <v>0.39776620370370369</v>
      </c>
      <c r="D1829" s="159">
        <v>10</v>
      </c>
      <c r="E1829" s="166" t="s">
        <v>1810</v>
      </c>
    </row>
    <row r="1830" spans="1:5">
      <c r="A1830" s="159">
        <f t="shared" si="20"/>
        <v>1829</v>
      </c>
      <c r="B1830" s="163">
        <v>45800</v>
      </c>
      <c r="C1830" s="164">
        <v>0.39090277777777777</v>
      </c>
      <c r="D1830" s="159">
        <v>10</v>
      </c>
      <c r="E1830" s="166" t="s">
        <v>194</v>
      </c>
    </row>
    <row r="1831" spans="1:5">
      <c r="A1831" s="159">
        <f t="shared" si="20"/>
        <v>1830</v>
      </c>
      <c r="B1831" s="163">
        <v>45801</v>
      </c>
      <c r="C1831" s="164">
        <v>0.73427083333333332</v>
      </c>
      <c r="D1831" s="159">
        <v>9</v>
      </c>
      <c r="E1831" s="166" t="s">
        <v>1764</v>
      </c>
    </row>
    <row r="1832" spans="1:5">
      <c r="A1832" s="159">
        <f t="shared" si="20"/>
        <v>1831</v>
      </c>
      <c r="B1832" s="163">
        <v>45801</v>
      </c>
      <c r="C1832" s="164">
        <v>0.60787037037037039</v>
      </c>
      <c r="D1832" s="159">
        <v>10</v>
      </c>
      <c r="E1832" s="166" t="s">
        <v>132</v>
      </c>
    </row>
    <row r="1833" spans="1:5">
      <c r="A1833" s="159">
        <f t="shared" si="20"/>
        <v>1832</v>
      </c>
      <c r="B1833" s="163">
        <v>45801</v>
      </c>
      <c r="C1833" s="164">
        <v>0.56405092592592598</v>
      </c>
      <c r="D1833" s="159">
        <v>10</v>
      </c>
      <c r="E1833" s="166" t="s">
        <v>1765</v>
      </c>
    </row>
    <row r="1834" spans="1:5">
      <c r="A1834" s="159">
        <f t="shared" si="20"/>
        <v>1833</v>
      </c>
      <c r="B1834" s="163">
        <v>45801</v>
      </c>
      <c r="C1834" s="164">
        <v>0.55922453703703701</v>
      </c>
      <c r="D1834" s="159">
        <v>10</v>
      </c>
      <c r="E1834" s="166" t="s">
        <v>1766</v>
      </c>
    </row>
    <row r="1835" spans="1:5">
      <c r="A1835" s="159">
        <f t="shared" si="20"/>
        <v>1834</v>
      </c>
      <c r="B1835" s="163">
        <v>45801</v>
      </c>
      <c r="C1835" s="164">
        <v>0.52696759259259263</v>
      </c>
      <c r="D1835" s="159">
        <v>10</v>
      </c>
      <c r="E1835" s="166" t="s">
        <v>1767</v>
      </c>
    </row>
    <row r="1836" spans="1:5">
      <c r="A1836" s="159">
        <f t="shared" si="20"/>
        <v>1835</v>
      </c>
      <c r="B1836" s="163">
        <v>45801</v>
      </c>
      <c r="C1836" s="164">
        <v>0.51106481481481481</v>
      </c>
      <c r="D1836" s="159">
        <v>10</v>
      </c>
      <c r="E1836" s="166" t="s">
        <v>1768</v>
      </c>
    </row>
    <row r="1837" spans="1:5">
      <c r="A1837" s="159">
        <f t="shared" si="20"/>
        <v>1836</v>
      </c>
      <c r="B1837" s="163">
        <v>45801</v>
      </c>
      <c r="C1837" s="164">
        <v>0.47799768518518521</v>
      </c>
      <c r="D1837" s="159">
        <v>10</v>
      </c>
      <c r="E1837" s="166" t="s">
        <v>1769</v>
      </c>
    </row>
    <row r="1838" spans="1:5">
      <c r="A1838" s="159">
        <f t="shared" si="20"/>
        <v>1837</v>
      </c>
      <c r="B1838" s="163">
        <v>45801</v>
      </c>
      <c r="C1838" s="164">
        <v>0.45467592592592593</v>
      </c>
      <c r="D1838" s="159">
        <v>10</v>
      </c>
      <c r="E1838" s="166" t="s">
        <v>1770</v>
      </c>
    </row>
    <row r="1839" spans="1:5">
      <c r="A1839" s="159">
        <f t="shared" si="20"/>
        <v>1838</v>
      </c>
      <c r="B1839" s="163">
        <v>45801</v>
      </c>
      <c r="C1839" s="164">
        <v>0.44951388888888894</v>
      </c>
      <c r="D1839" s="159">
        <v>10</v>
      </c>
      <c r="E1839" s="166" t="s">
        <v>1771</v>
      </c>
    </row>
    <row r="1840" spans="1:5">
      <c r="A1840" s="159">
        <f t="shared" si="20"/>
        <v>1839</v>
      </c>
      <c r="B1840" s="163">
        <v>45801</v>
      </c>
      <c r="C1840" s="164">
        <v>0.43723379629629627</v>
      </c>
      <c r="D1840" s="159">
        <v>10</v>
      </c>
      <c r="E1840" s="166" t="s">
        <v>1772</v>
      </c>
    </row>
    <row r="1841" spans="1:5">
      <c r="A1841" s="159">
        <f t="shared" si="20"/>
        <v>1840</v>
      </c>
      <c r="B1841" s="163">
        <v>45801</v>
      </c>
      <c r="C1841" s="164">
        <v>0.41731481481481486</v>
      </c>
      <c r="D1841" s="159">
        <v>10</v>
      </c>
      <c r="E1841" s="166" t="s">
        <v>1773</v>
      </c>
    </row>
    <row r="1842" spans="1:5">
      <c r="A1842" s="159">
        <f t="shared" si="20"/>
        <v>1841</v>
      </c>
      <c r="B1842" s="163">
        <v>45801</v>
      </c>
      <c r="C1842" s="164">
        <v>0.40386574074074072</v>
      </c>
      <c r="D1842" s="159">
        <v>10</v>
      </c>
      <c r="E1842" s="166" t="s">
        <v>132</v>
      </c>
    </row>
    <row r="1843" spans="1:5">
      <c r="A1843" s="159">
        <f t="shared" si="20"/>
        <v>1842</v>
      </c>
      <c r="B1843" s="163">
        <v>45801</v>
      </c>
      <c r="C1843" s="164">
        <v>0.38853009259259258</v>
      </c>
      <c r="D1843" s="159">
        <v>10</v>
      </c>
      <c r="E1843" s="166" t="s">
        <v>1774</v>
      </c>
    </row>
    <row r="1844" spans="1:5">
      <c r="A1844" s="159">
        <f t="shared" si="20"/>
        <v>1843</v>
      </c>
      <c r="B1844" s="163">
        <v>45801</v>
      </c>
      <c r="C1844" s="164">
        <v>0.38603009259259258</v>
      </c>
      <c r="D1844" s="159">
        <v>10</v>
      </c>
      <c r="E1844" s="166" t="s">
        <v>1775</v>
      </c>
    </row>
    <row r="1845" spans="1:5">
      <c r="A1845" s="159">
        <f t="shared" ref="A1845:A1908" si="21">ROW()-1</f>
        <v>1844</v>
      </c>
      <c r="B1845" s="163">
        <v>45803</v>
      </c>
      <c r="C1845" s="164">
        <v>0.90793981481481489</v>
      </c>
      <c r="D1845" s="159">
        <v>10</v>
      </c>
      <c r="E1845" s="166" t="s">
        <v>1814</v>
      </c>
    </row>
    <row r="1846" spans="1:5">
      <c r="A1846" s="159">
        <f t="shared" si="21"/>
        <v>1845</v>
      </c>
      <c r="B1846" s="163">
        <v>45803</v>
      </c>
      <c r="C1846" s="164">
        <v>0.85481481481481481</v>
      </c>
      <c r="D1846" s="159">
        <v>10</v>
      </c>
      <c r="E1846" s="166" t="s">
        <v>1815</v>
      </c>
    </row>
    <row r="1847" spans="1:5">
      <c r="A1847" s="159">
        <f t="shared" si="21"/>
        <v>1846</v>
      </c>
      <c r="B1847" s="163">
        <v>45803</v>
      </c>
      <c r="C1847" s="164">
        <v>0.81587962962962957</v>
      </c>
      <c r="D1847" s="159">
        <v>10</v>
      </c>
      <c r="E1847" s="166" t="s">
        <v>1816</v>
      </c>
    </row>
    <row r="1848" spans="1:5">
      <c r="A1848" s="159">
        <f t="shared" si="21"/>
        <v>1847</v>
      </c>
      <c r="B1848" s="163">
        <v>45803</v>
      </c>
      <c r="C1848" s="164">
        <v>0.79912037037037031</v>
      </c>
      <c r="D1848" s="159">
        <v>10</v>
      </c>
      <c r="E1848" s="166" t="s">
        <v>194</v>
      </c>
    </row>
    <row r="1849" spans="1:5">
      <c r="A1849" s="159">
        <f t="shared" si="21"/>
        <v>1848</v>
      </c>
      <c r="B1849" s="163">
        <v>45803</v>
      </c>
      <c r="C1849" s="164">
        <v>0.78721064814814812</v>
      </c>
      <c r="D1849" s="159">
        <v>10</v>
      </c>
      <c r="E1849" s="166" t="s">
        <v>690</v>
      </c>
    </row>
    <row r="1850" spans="1:5">
      <c r="A1850" s="159">
        <f t="shared" si="21"/>
        <v>1849</v>
      </c>
      <c r="B1850" s="163">
        <v>45803</v>
      </c>
      <c r="C1850" s="164">
        <v>0.76496527777777779</v>
      </c>
      <c r="D1850" s="159">
        <v>10</v>
      </c>
      <c r="E1850" s="166" t="s">
        <v>1817</v>
      </c>
    </row>
    <row r="1851" spans="1:5">
      <c r="A1851" s="159">
        <f t="shared" si="21"/>
        <v>1850</v>
      </c>
      <c r="B1851" s="163">
        <v>45803</v>
      </c>
      <c r="C1851" s="164">
        <v>0.76484953703703706</v>
      </c>
      <c r="D1851" s="159">
        <v>10</v>
      </c>
      <c r="E1851" s="166" t="s">
        <v>1818</v>
      </c>
    </row>
    <row r="1852" spans="1:5">
      <c r="A1852" s="159">
        <f t="shared" si="21"/>
        <v>1851</v>
      </c>
      <c r="B1852" s="163">
        <v>45803</v>
      </c>
      <c r="C1852" s="164">
        <v>0.76482638888888888</v>
      </c>
      <c r="D1852" s="159">
        <v>10</v>
      </c>
      <c r="E1852" s="166" t="s">
        <v>1819</v>
      </c>
    </row>
    <row r="1853" spans="1:5">
      <c r="A1853" s="159">
        <f t="shared" si="21"/>
        <v>1852</v>
      </c>
      <c r="B1853" s="163">
        <v>45803</v>
      </c>
      <c r="C1853" s="164">
        <v>0.75557870370370372</v>
      </c>
      <c r="D1853" s="159">
        <v>10</v>
      </c>
      <c r="E1853" s="166" t="s">
        <v>1820</v>
      </c>
    </row>
    <row r="1854" spans="1:5">
      <c r="A1854" s="159">
        <f t="shared" si="21"/>
        <v>1853</v>
      </c>
      <c r="B1854" s="163">
        <v>45803</v>
      </c>
      <c r="C1854" s="164">
        <v>0.75307870370370367</v>
      </c>
      <c r="D1854" s="159">
        <v>10</v>
      </c>
      <c r="E1854" s="166" t="s">
        <v>1821</v>
      </c>
    </row>
    <row r="1855" spans="1:5">
      <c r="A1855" s="159">
        <f t="shared" si="21"/>
        <v>1854</v>
      </c>
      <c r="B1855" s="163">
        <v>45803</v>
      </c>
      <c r="C1855" s="164">
        <v>0.73901620370370369</v>
      </c>
      <c r="D1855" s="159">
        <v>10</v>
      </c>
      <c r="E1855" s="166" t="s">
        <v>1822</v>
      </c>
    </row>
    <row r="1856" spans="1:5">
      <c r="A1856" s="159">
        <f t="shared" si="21"/>
        <v>1855</v>
      </c>
      <c r="B1856" s="163">
        <v>45803</v>
      </c>
      <c r="C1856" s="164">
        <v>0.73255787037037035</v>
      </c>
      <c r="D1856" s="159">
        <v>10</v>
      </c>
      <c r="E1856" s="166" t="s">
        <v>1823</v>
      </c>
    </row>
    <row r="1857" spans="1:5">
      <c r="A1857" s="159">
        <f t="shared" si="21"/>
        <v>1856</v>
      </c>
      <c r="B1857" s="163">
        <v>45803</v>
      </c>
      <c r="C1857" s="164">
        <v>0.72986111111111107</v>
      </c>
      <c r="D1857" s="159">
        <v>10</v>
      </c>
      <c r="E1857" s="166" t="s">
        <v>1824</v>
      </c>
    </row>
    <row r="1858" spans="1:5" ht="27">
      <c r="A1858" s="159">
        <f t="shared" si="21"/>
        <v>1857</v>
      </c>
      <c r="B1858" s="163">
        <v>45803</v>
      </c>
      <c r="C1858" s="164">
        <v>0.7225462962962963</v>
      </c>
      <c r="D1858" s="159">
        <v>10</v>
      </c>
      <c r="E1858" s="166" t="s">
        <v>1825</v>
      </c>
    </row>
    <row r="1859" spans="1:5">
      <c r="A1859" s="159">
        <f t="shared" si="21"/>
        <v>1858</v>
      </c>
      <c r="B1859" s="163">
        <v>45803</v>
      </c>
      <c r="C1859" s="164">
        <v>0.7225462962962963</v>
      </c>
      <c r="D1859" s="159">
        <v>10</v>
      </c>
      <c r="E1859" s="166" t="s">
        <v>1826</v>
      </c>
    </row>
    <row r="1860" spans="1:5">
      <c r="A1860" s="159">
        <f t="shared" si="21"/>
        <v>1859</v>
      </c>
      <c r="B1860" s="163">
        <v>45803</v>
      </c>
      <c r="C1860" s="164">
        <v>0.71774305555555562</v>
      </c>
      <c r="D1860" s="159">
        <v>10</v>
      </c>
      <c r="E1860" s="166" t="s">
        <v>1827</v>
      </c>
    </row>
    <row r="1861" spans="1:5">
      <c r="A1861" s="159">
        <f t="shared" si="21"/>
        <v>1860</v>
      </c>
      <c r="B1861" s="163">
        <v>45803</v>
      </c>
      <c r="C1861" s="164">
        <v>0.71513888888888888</v>
      </c>
      <c r="D1861" s="159">
        <v>10</v>
      </c>
      <c r="E1861" s="166" t="s">
        <v>1828</v>
      </c>
    </row>
    <row r="1862" spans="1:5">
      <c r="A1862" s="159">
        <f t="shared" si="21"/>
        <v>1861</v>
      </c>
      <c r="B1862" s="163">
        <v>45803</v>
      </c>
      <c r="C1862" s="164">
        <v>0.7130671296296297</v>
      </c>
      <c r="D1862" s="159">
        <v>10</v>
      </c>
      <c r="E1862" s="166" t="s">
        <v>1829</v>
      </c>
    </row>
    <row r="1863" spans="1:5">
      <c r="A1863" s="159">
        <f t="shared" si="21"/>
        <v>1862</v>
      </c>
      <c r="B1863" s="163">
        <v>45803</v>
      </c>
      <c r="C1863" s="164">
        <v>0.69407407407407407</v>
      </c>
      <c r="D1863" s="159">
        <v>8</v>
      </c>
      <c r="E1863" s="166" t="s">
        <v>1830</v>
      </c>
    </row>
    <row r="1864" spans="1:5">
      <c r="A1864" s="159">
        <f t="shared" si="21"/>
        <v>1863</v>
      </c>
      <c r="B1864" s="163">
        <v>45803</v>
      </c>
      <c r="C1864" s="164">
        <v>0.69070601851851843</v>
      </c>
      <c r="D1864" s="159">
        <v>10</v>
      </c>
      <c r="E1864" s="166" t="s">
        <v>244</v>
      </c>
    </row>
    <row r="1865" spans="1:5">
      <c r="A1865" s="159">
        <f t="shared" si="21"/>
        <v>1864</v>
      </c>
      <c r="B1865" s="163">
        <v>45803</v>
      </c>
      <c r="C1865" s="164">
        <v>0.6905324074074074</v>
      </c>
      <c r="D1865" s="159">
        <v>10</v>
      </c>
      <c r="E1865" s="166" t="s">
        <v>1831</v>
      </c>
    </row>
    <row r="1866" spans="1:5">
      <c r="A1866" s="159">
        <f t="shared" si="21"/>
        <v>1865</v>
      </c>
      <c r="B1866" s="163">
        <v>45803</v>
      </c>
      <c r="C1866" s="164">
        <v>0.68755787037037042</v>
      </c>
      <c r="D1866" s="159">
        <v>10</v>
      </c>
      <c r="E1866" s="166" t="s">
        <v>1832</v>
      </c>
    </row>
    <row r="1867" spans="1:5">
      <c r="A1867" s="159">
        <f t="shared" si="21"/>
        <v>1866</v>
      </c>
      <c r="B1867" s="163">
        <v>45803</v>
      </c>
      <c r="C1867" s="164">
        <v>0.68152777777777773</v>
      </c>
      <c r="D1867" s="159">
        <v>10</v>
      </c>
      <c r="E1867" s="166" t="s">
        <v>1833</v>
      </c>
    </row>
    <row r="1868" spans="1:5">
      <c r="A1868" s="159">
        <f t="shared" si="21"/>
        <v>1867</v>
      </c>
      <c r="B1868" s="163">
        <v>45803</v>
      </c>
      <c r="C1868" s="164">
        <v>0.67805555555555552</v>
      </c>
      <c r="D1868" s="159">
        <v>10</v>
      </c>
      <c r="E1868" s="166" t="s">
        <v>1834</v>
      </c>
    </row>
    <row r="1869" spans="1:5">
      <c r="A1869" s="159">
        <f t="shared" si="21"/>
        <v>1868</v>
      </c>
      <c r="B1869" s="163">
        <v>45803</v>
      </c>
      <c r="C1869" s="164">
        <v>0.67079861111111105</v>
      </c>
      <c r="D1869" s="159">
        <v>10</v>
      </c>
      <c r="E1869" s="166" t="s">
        <v>1835</v>
      </c>
    </row>
    <row r="1870" spans="1:5">
      <c r="A1870" s="159">
        <f t="shared" si="21"/>
        <v>1869</v>
      </c>
      <c r="B1870" s="163">
        <v>45803</v>
      </c>
      <c r="C1870" s="164">
        <v>0.66770833333333324</v>
      </c>
      <c r="D1870" s="159">
        <v>10</v>
      </c>
      <c r="E1870" s="166" t="s">
        <v>1836</v>
      </c>
    </row>
    <row r="1871" spans="1:5" ht="27">
      <c r="A1871" s="159">
        <f t="shared" si="21"/>
        <v>1870</v>
      </c>
      <c r="B1871" s="163">
        <v>45803</v>
      </c>
      <c r="C1871" s="164">
        <v>0.66178240740740735</v>
      </c>
      <c r="D1871" s="159">
        <v>10</v>
      </c>
      <c r="E1871" s="166" t="s">
        <v>1837</v>
      </c>
    </row>
    <row r="1872" spans="1:5">
      <c r="A1872" s="159">
        <f t="shared" si="21"/>
        <v>1871</v>
      </c>
      <c r="B1872" s="163">
        <v>45803</v>
      </c>
      <c r="C1872" s="164">
        <v>0.63428240740740738</v>
      </c>
      <c r="D1872" s="159">
        <v>10</v>
      </c>
      <c r="E1872" s="166" t="s">
        <v>1838</v>
      </c>
    </row>
    <row r="1873" spans="1:5">
      <c r="A1873" s="159">
        <f t="shared" si="21"/>
        <v>1872</v>
      </c>
      <c r="B1873" s="163">
        <v>45803</v>
      </c>
      <c r="C1873" s="164">
        <v>0.6274305555555556</v>
      </c>
      <c r="D1873" s="159">
        <v>10</v>
      </c>
      <c r="E1873" s="166" t="s">
        <v>1839</v>
      </c>
    </row>
    <row r="1874" spans="1:5">
      <c r="A1874" s="159">
        <f t="shared" si="21"/>
        <v>1873</v>
      </c>
      <c r="B1874" s="163">
        <v>45803</v>
      </c>
      <c r="C1874" s="164">
        <v>0.62159722222222225</v>
      </c>
      <c r="D1874" s="159">
        <v>10</v>
      </c>
      <c r="E1874" s="166" t="s">
        <v>284</v>
      </c>
    </row>
    <row r="1875" spans="1:5">
      <c r="A1875" s="159">
        <f t="shared" si="21"/>
        <v>1874</v>
      </c>
      <c r="B1875" s="163">
        <v>45803</v>
      </c>
      <c r="C1875" s="164">
        <v>0.61993055555555554</v>
      </c>
      <c r="D1875" s="159">
        <v>10</v>
      </c>
      <c r="E1875" s="166" t="s">
        <v>1840</v>
      </c>
    </row>
    <row r="1876" spans="1:5">
      <c r="A1876" s="159">
        <f t="shared" si="21"/>
        <v>1875</v>
      </c>
      <c r="B1876" s="163">
        <v>45803</v>
      </c>
      <c r="C1876" s="164">
        <v>0.61940972222222224</v>
      </c>
      <c r="D1876" s="159">
        <v>10</v>
      </c>
      <c r="E1876" s="166" t="s">
        <v>1841</v>
      </c>
    </row>
    <row r="1877" spans="1:5">
      <c r="A1877" s="159">
        <f t="shared" si="21"/>
        <v>1876</v>
      </c>
      <c r="B1877" s="163">
        <v>45803</v>
      </c>
      <c r="C1877" s="164">
        <v>0.60745370370370366</v>
      </c>
      <c r="D1877" s="159">
        <v>10</v>
      </c>
      <c r="E1877" s="166" t="s">
        <v>132</v>
      </c>
    </row>
    <row r="1878" spans="1:5">
      <c r="A1878" s="159">
        <f t="shared" si="21"/>
        <v>1877</v>
      </c>
      <c r="B1878" s="163">
        <v>45803</v>
      </c>
      <c r="C1878" s="164">
        <v>0.60384259259259265</v>
      </c>
      <c r="D1878" s="159">
        <v>10</v>
      </c>
      <c r="E1878" s="166" t="s">
        <v>1842</v>
      </c>
    </row>
    <row r="1879" spans="1:5">
      <c r="A1879" s="159">
        <f t="shared" si="21"/>
        <v>1878</v>
      </c>
      <c r="B1879" s="163">
        <v>45803</v>
      </c>
      <c r="C1879" s="164">
        <v>0.60199074074074077</v>
      </c>
      <c r="D1879" s="159">
        <v>10</v>
      </c>
      <c r="E1879" s="166" t="s">
        <v>1843</v>
      </c>
    </row>
    <row r="1880" spans="1:5" ht="27">
      <c r="A1880" s="159">
        <f t="shared" si="21"/>
        <v>1879</v>
      </c>
      <c r="B1880" s="163">
        <v>45803</v>
      </c>
      <c r="C1880" s="164">
        <v>0.59409722222222217</v>
      </c>
      <c r="D1880" s="159">
        <v>10</v>
      </c>
      <c r="E1880" s="166" t="s">
        <v>1844</v>
      </c>
    </row>
    <row r="1881" spans="1:5">
      <c r="A1881" s="159">
        <f t="shared" si="21"/>
        <v>1880</v>
      </c>
      <c r="B1881" s="163">
        <v>45803</v>
      </c>
      <c r="C1881" s="164">
        <v>0.58910879629629631</v>
      </c>
      <c r="D1881" s="159">
        <v>10</v>
      </c>
      <c r="E1881" s="166" t="s">
        <v>1845</v>
      </c>
    </row>
    <row r="1882" spans="1:5">
      <c r="A1882" s="159">
        <f t="shared" si="21"/>
        <v>1881</v>
      </c>
      <c r="B1882" s="163">
        <v>45803</v>
      </c>
      <c r="C1882" s="164">
        <v>0.58825231481481477</v>
      </c>
      <c r="D1882" s="159">
        <v>10</v>
      </c>
      <c r="E1882" s="166" t="s">
        <v>1846</v>
      </c>
    </row>
    <row r="1883" spans="1:5">
      <c r="A1883" s="159">
        <f t="shared" si="21"/>
        <v>1882</v>
      </c>
      <c r="B1883" s="163">
        <v>45803</v>
      </c>
      <c r="C1883" s="164">
        <v>0.58824074074074073</v>
      </c>
      <c r="D1883" s="159">
        <v>10</v>
      </c>
      <c r="E1883" s="166" t="s">
        <v>1847</v>
      </c>
    </row>
    <row r="1884" spans="1:5">
      <c r="A1884" s="159">
        <f t="shared" si="21"/>
        <v>1883</v>
      </c>
      <c r="B1884" s="163">
        <v>45803</v>
      </c>
      <c r="C1884" s="164">
        <v>0.58714120370370371</v>
      </c>
      <c r="D1884" s="159">
        <v>10</v>
      </c>
      <c r="E1884" s="166" t="s">
        <v>1848</v>
      </c>
    </row>
    <row r="1885" spans="1:5">
      <c r="A1885" s="159">
        <f t="shared" si="21"/>
        <v>1884</v>
      </c>
      <c r="B1885" s="163">
        <v>45803</v>
      </c>
      <c r="C1885" s="164">
        <v>0.58254629629629628</v>
      </c>
      <c r="D1885" s="159">
        <v>10</v>
      </c>
      <c r="E1885" s="166" t="s">
        <v>1849</v>
      </c>
    </row>
    <row r="1886" spans="1:5">
      <c r="A1886" s="159">
        <f t="shared" si="21"/>
        <v>1885</v>
      </c>
      <c r="B1886" s="163">
        <v>45803</v>
      </c>
      <c r="C1886" s="164">
        <v>0.57267361111111115</v>
      </c>
      <c r="D1886" s="159">
        <v>10</v>
      </c>
      <c r="E1886" s="166" t="s">
        <v>288</v>
      </c>
    </row>
    <row r="1887" spans="1:5" ht="27">
      <c r="A1887" s="159">
        <f t="shared" si="21"/>
        <v>1886</v>
      </c>
      <c r="B1887" s="163">
        <v>45803</v>
      </c>
      <c r="C1887" s="164">
        <v>0.57177083333333334</v>
      </c>
      <c r="D1887" s="159">
        <v>10</v>
      </c>
      <c r="E1887" s="166" t="s">
        <v>1875</v>
      </c>
    </row>
    <row r="1888" spans="1:5">
      <c r="A1888" s="159">
        <f t="shared" si="21"/>
        <v>1887</v>
      </c>
      <c r="B1888" s="163">
        <v>45803</v>
      </c>
      <c r="C1888" s="164">
        <v>0.560613425925926</v>
      </c>
      <c r="D1888" s="159">
        <v>10</v>
      </c>
      <c r="E1888" s="166" t="s">
        <v>418</v>
      </c>
    </row>
    <row r="1889" spans="1:5">
      <c r="A1889" s="159">
        <f t="shared" si="21"/>
        <v>1888</v>
      </c>
      <c r="B1889" s="163">
        <v>45803</v>
      </c>
      <c r="C1889" s="164">
        <v>0.55905092592592587</v>
      </c>
      <c r="D1889" s="159">
        <v>10</v>
      </c>
      <c r="E1889" s="166" t="s">
        <v>1850</v>
      </c>
    </row>
    <row r="1890" spans="1:5">
      <c r="A1890" s="159">
        <f t="shared" si="21"/>
        <v>1889</v>
      </c>
      <c r="B1890" s="163">
        <v>45803</v>
      </c>
      <c r="C1890" s="164">
        <v>0.55518518518518511</v>
      </c>
      <c r="D1890" s="159">
        <v>10</v>
      </c>
      <c r="E1890" s="166" t="s">
        <v>1851</v>
      </c>
    </row>
    <row r="1891" spans="1:5">
      <c r="A1891" s="159">
        <f t="shared" si="21"/>
        <v>1890</v>
      </c>
      <c r="B1891" s="163">
        <v>45803</v>
      </c>
      <c r="C1891" s="164">
        <v>0.55523148148148149</v>
      </c>
      <c r="D1891" s="159">
        <v>10</v>
      </c>
      <c r="E1891" s="166" t="s">
        <v>1852</v>
      </c>
    </row>
    <row r="1892" spans="1:5">
      <c r="A1892" s="159">
        <f t="shared" si="21"/>
        <v>1891</v>
      </c>
      <c r="B1892" s="163">
        <v>45803</v>
      </c>
      <c r="C1892" s="164">
        <v>0.55077546296296298</v>
      </c>
      <c r="D1892" s="159">
        <v>10</v>
      </c>
      <c r="E1892" s="166" t="s">
        <v>1874</v>
      </c>
    </row>
    <row r="1893" spans="1:5">
      <c r="A1893" s="159">
        <f t="shared" si="21"/>
        <v>1892</v>
      </c>
      <c r="B1893" s="163">
        <v>45803</v>
      </c>
      <c r="C1893" s="164">
        <v>0.507349537037037</v>
      </c>
      <c r="D1893" s="159">
        <v>10</v>
      </c>
      <c r="E1893" s="166" t="s">
        <v>1853</v>
      </c>
    </row>
    <row r="1894" spans="1:5">
      <c r="A1894" s="159">
        <f t="shared" si="21"/>
        <v>1893</v>
      </c>
      <c r="B1894" s="163">
        <v>45803</v>
      </c>
      <c r="C1894" s="164">
        <v>0.50643518518518515</v>
      </c>
      <c r="D1894" s="159">
        <v>10</v>
      </c>
      <c r="E1894" s="166" t="s">
        <v>1854</v>
      </c>
    </row>
    <row r="1895" spans="1:5">
      <c r="A1895" s="159">
        <f t="shared" si="21"/>
        <v>1894</v>
      </c>
      <c r="B1895" s="163">
        <v>45803</v>
      </c>
      <c r="C1895" s="164">
        <v>0.49365740740740738</v>
      </c>
      <c r="D1895" s="159">
        <v>10</v>
      </c>
      <c r="E1895" s="166" t="s">
        <v>1855</v>
      </c>
    </row>
    <row r="1896" spans="1:5">
      <c r="A1896" s="159">
        <f t="shared" si="21"/>
        <v>1895</v>
      </c>
      <c r="B1896" s="163">
        <v>45803</v>
      </c>
      <c r="C1896" s="164">
        <v>0.4911342592592593</v>
      </c>
      <c r="D1896" s="159">
        <v>10</v>
      </c>
      <c r="E1896" s="166" t="s">
        <v>1856</v>
      </c>
    </row>
    <row r="1897" spans="1:5">
      <c r="A1897" s="159">
        <f t="shared" si="21"/>
        <v>1896</v>
      </c>
      <c r="B1897" s="163">
        <v>45803</v>
      </c>
      <c r="C1897" s="164">
        <v>0.486875</v>
      </c>
      <c r="D1897" s="159">
        <v>10</v>
      </c>
      <c r="E1897" s="166" t="s">
        <v>1857</v>
      </c>
    </row>
    <row r="1898" spans="1:5">
      <c r="A1898" s="159">
        <f t="shared" si="21"/>
        <v>1897</v>
      </c>
      <c r="B1898" s="163">
        <v>45803</v>
      </c>
      <c r="C1898" s="164">
        <v>0.4856712962962963</v>
      </c>
      <c r="D1898" s="159">
        <v>10</v>
      </c>
      <c r="E1898" s="166" t="s">
        <v>1858</v>
      </c>
    </row>
    <row r="1899" spans="1:5">
      <c r="A1899" s="159">
        <f t="shared" si="21"/>
        <v>1898</v>
      </c>
      <c r="B1899" s="163">
        <v>45803</v>
      </c>
      <c r="C1899" s="164">
        <v>0.48469907407407403</v>
      </c>
      <c r="D1899" s="159">
        <v>10</v>
      </c>
      <c r="E1899" s="166" t="s">
        <v>1859</v>
      </c>
    </row>
    <row r="1900" spans="1:5">
      <c r="A1900" s="159">
        <f t="shared" si="21"/>
        <v>1899</v>
      </c>
      <c r="B1900" s="163">
        <v>45803</v>
      </c>
      <c r="C1900" s="164">
        <v>0.47954861111111113</v>
      </c>
      <c r="D1900" s="159">
        <v>10</v>
      </c>
      <c r="E1900" s="166" t="s">
        <v>1860</v>
      </c>
    </row>
    <row r="1901" spans="1:5">
      <c r="A1901" s="159">
        <f t="shared" si="21"/>
        <v>1900</v>
      </c>
      <c r="B1901" s="163">
        <v>45803</v>
      </c>
      <c r="C1901" s="164">
        <v>0.4740625</v>
      </c>
      <c r="D1901" s="159">
        <v>10</v>
      </c>
      <c r="E1901" s="166" t="s">
        <v>1861</v>
      </c>
    </row>
    <row r="1902" spans="1:5">
      <c r="A1902" s="159">
        <f t="shared" si="21"/>
        <v>1901</v>
      </c>
      <c r="B1902" s="163">
        <v>45803</v>
      </c>
      <c r="C1902" s="164">
        <v>0.47203703703703703</v>
      </c>
      <c r="D1902" s="159">
        <v>10</v>
      </c>
      <c r="E1902" s="166" t="s">
        <v>1862</v>
      </c>
    </row>
    <row r="1903" spans="1:5">
      <c r="A1903" s="159">
        <f t="shared" si="21"/>
        <v>1902</v>
      </c>
      <c r="B1903" s="163">
        <v>45803</v>
      </c>
      <c r="C1903" s="164">
        <v>0.45370370370370372</v>
      </c>
      <c r="D1903" s="159">
        <v>10</v>
      </c>
      <c r="E1903" s="166" t="s">
        <v>1873</v>
      </c>
    </row>
    <row r="1904" spans="1:5">
      <c r="A1904" s="159">
        <f t="shared" si="21"/>
        <v>1903</v>
      </c>
      <c r="B1904" s="163">
        <v>45803</v>
      </c>
      <c r="C1904" s="164">
        <v>0.44826388888888885</v>
      </c>
      <c r="D1904" s="159">
        <v>10</v>
      </c>
      <c r="E1904" s="166" t="s">
        <v>1627</v>
      </c>
    </row>
    <row r="1905" spans="1:5">
      <c r="A1905" s="159">
        <f t="shared" si="21"/>
        <v>1904</v>
      </c>
      <c r="B1905" s="163">
        <v>45803</v>
      </c>
      <c r="C1905" s="164">
        <v>0.44641203703703702</v>
      </c>
      <c r="D1905" s="159">
        <v>10</v>
      </c>
      <c r="E1905" s="166" t="s">
        <v>288</v>
      </c>
    </row>
    <row r="1906" spans="1:5">
      <c r="A1906" s="159">
        <f t="shared" si="21"/>
        <v>1905</v>
      </c>
      <c r="B1906" s="163">
        <v>45803</v>
      </c>
      <c r="C1906" s="164">
        <v>0.44149305555555557</v>
      </c>
      <c r="D1906" s="159">
        <v>10</v>
      </c>
      <c r="E1906" s="166" t="s">
        <v>1863</v>
      </c>
    </row>
    <row r="1907" spans="1:5">
      <c r="A1907" s="159">
        <f t="shared" si="21"/>
        <v>1906</v>
      </c>
      <c r="B1907" s="163">
        <v>45803</v>
      </c>
      <c r="C1907" s="164">
        <v>0.44124999999999998</v>
      </c>
      <c r="D1907" s="159">
        <v>10</v>
      </c>
      <c r="E1907" s="166" t="s">
        <v>1864</v>
      </c>
    </row>
    <row r="1908" spans="1:5">
      <c r="A1908" s="159">
        <f t="shared" si="21"/>
        <v>1907</v>
      </c>
      <c r="B1908" s="163">
        <v>45803</v>
      </c>
      <c r="C1908" s="164">
        <v>0.43564814814814817</v>
      </c>
      <c r="D1908" s="159">
        <v>10</v>
      </c>
      <c r="E1908" s="166" t="s">
        <v>1865</v>
      </c>
    </row>
    <row r="1909" spans="1:5">
      <c r="A1909" s="159">
        <f t="shared" ref="A1909:A1972" si="22">ROW()-1</f>
        <v>1908</v>
      </c>
      <c r="B1909" s="163">
        <v>45803</v>
      </c>
      <c r="C1909" s="164">
        <v>0.43151620370370369</v>
      </c>
      <c r="D1909" s="159">
        <v>10</v>
      </c>
      <c r="E1909" s="166" t="s">
        <v>1042</v>
      </c>
    </row>
    <row r="1910" spans="1:5">
      <c r="A1910" s="159">
        <f t="shared" si="22"/>
        <v>1909</v>
      </c>
      <c r="B1910" s="163">
        <v>45803</v>
      </c>
      <c r="C1910" s="164">
        <v>0.42581018518518521</v>
      </c>
      <c r="D1910" s="159">
        <v>10</v>
      </c>
      <c r="E1910" s="166" t="s">
        <v>1866</v>
      </c>
    </row>
    <row r="1911" spans="1:5">
      <c r="A1911" s="159">
        <f t="shared" si="22"/>
        <v>1910</v>
      </c>
      <c r="B1911" s="163">
        <v>45803</v>
      </c>
      <c r="C1911" s="164">
        <v>0.41749999999999998</v>
      </c>
      <c r="D1911" s="159">
        <v>10</v>
      </c>
      <c r="E1911" s="166" t="s">
        <v>1867</v>
      </c>
    </row>
    <row r="1912" spans="1:5">
      <c r="A1912" s="159">
        <f t="shared" si="22"/>
        <v>1911</v>
      </c>
      <c r="B1912" s="163">
        <v>45803</v>
      </c>
      <c r="C1912" s="164">
        <v>0.41311342592592593</v>
      </c>
      <c r="D1912" s="159">
        <v>9</v>
      </c>
      <c r="E1912" s="166" t="s">
        <v>1868</v>
      </c>
    </row>
    <row r="1913" spans="1:5">
      <c r="A1913" s="159">
        <f t="shared" si="22"/>
        <v>1912</v>
      </c>
      <c r="B1913" s="163">
        <v>45803</v>
      </c>
      <c r="C1913" s="164">
        <v>0.40353009259259259</v>
      </c>
      <c r="D1913" s="159">
        <v>7</v>
      </c>
      <c r="E1913" s="166" t="s">
        <v>1869</v>
      </c>
    </row>
    <row r="1914" spans="1:5">
      <c r="A1914" s="159">
        <f t="shared" si="22"/>
        <v>1913</v>
      </c>
      <c r="B1914" s="163">
        <v>45803</v>
      </c>
      <c r="C1914" s="164">
        <v>0.40160879629629626</v>
      </c>
      <c r="D1914" s="159">
        <v>10</v>
      </c>
      <c r="E1914" s="166" t="s">
        <v>1870</v>
      </c>
    </row>
    <row r="1915" spans="1:5">
      <c r="A1915" s="159">
        <f t="shared" si="22"/>
        <v>1914</v>
      </c>
      <c r="B1915" s="163">
        <v>45803</v>
      </c>
      <c r="C1915" s="164">
        <v>0.3967013888888889</v>
      </c>
      <c r="D1915" s="159">
        <v>10</v>
      </c>
      <c r="E1915" s="166" t="s">
        <v>1871</v>
      </c>
    </row>
    <row r="1916" spans="1:5">
      <c r="A1916" s="159">
        <f t="shared" si="22"/>
        <v>1915</v>
      </c>
      <c r="B1916" s="163">
        <v>45803</v>
      </c>
      <c r="C1916" s="164">
        <v>0.38870370370370372</v>
      </c>
      <c r="D1916" s="159">
        <v>10</v>
      </c>
      <c r="E1916" s="166" t="s">
        <v>1872</v>
      </c>
    </row>
    <row r="1917" spans="1:5">
      <c r="A1917" s="159">
        <f t="shared" si="22"/>
        <v>1916</v>
      </c>
      <c r="B1917" s="163">
        <v>45803</v>
      </c>
      <c r="C1917" s="164">
        <v>0.38415509259259256</v>
      </c>
      <c r="D1917" s="159">
        <v>10</v>
      </c>
      <c r="E1917" s="166" t="s">
        <v>246</v>
      </c>
    </row>
    <row r="1918" spans="1:5">
      <c r="A1918" s="159">
        <f t="shared" si="22"/>
        <v>1917</v>
      </c>
      <c r="B1918" s="163">
        <v>45804</v>
      </c>
      <c r="C1918" s="164">
        <v>0.90307870370370369</v>
      </c>
      <c r="D1918" s="159">
        <v>10</v>
      </c>
      <c r="E1918" s="166" t="s">
        <v>1876</v>
      </c>
    </row>
    <row r="1919" spans="1:5">
      <c r="A1919" s="159">
        <f t="shared" si="22"/>
        <v>1918</v>
      </c>
      <c r="B1919" s="163">
        <v>45804</v>
      </c>
      <c r="C1919" s="164">
        <v>0.88377314814814811</v>
      </c>
      <c r="D1919" s="159">
        <v>10</v>
      </c>
      <c r="E1919" s="166" t="s">
        <v>1877</v>
      </c>
    </row>
    <row r="1920" spans="1:5" ht="27">
      <c r="A1920" s="159">
        <f t="shared" si="22"/>
        <v>1919</v>
      </c>
      <c r="B1920" s="163">
        <v>45804</v>
      </c>
      <c r="C1920" s="164">
        <v>0.84758101851851853</v>
      </c>
      <c r="D1920" s="159">
        <v>10</v>
      </c>
      <c r="E1920" s="166" t="s">
        <v>1878</v>
      </c>
    </row>
    <row r="1921" spans="1:5">
      <c r="A1921" s="159">
        <f t="shared" si="22"/>
        <v>1920</v>
      </c>
      <c r="B1921" s="163">
        <v>45804</v>
      </c>
      <c r="C1921" s="164">
        <v>0.82934027777777775</v>
      </c>
      <c r="D1921" s="159">
        <v>10</v>
      </c>
      <c r="E1921" s="166" t="s">
        <v>1480</v>
      </c>
    </row>
    <row r="1922" spans="1:5">
      <c r="A1922" s="159">
        <f t="shared" si="22"/>
        <v>1921</v>
      </c>
      <c r="B1922" s="163">
        <v>45804</v>
      </c>
      <c r="C1922" s="164">
        <v>0.82876157407407414</v>
      </c>
      <c r="D1922" s="159">
        <v>10</v>
      </c>
      <c r="E1922" s="166" t="s">
        <v>1879</v>
      </c>
    </row>
    <row r="1923" spans="1:5" ht="27">
      <c r="A1923" s="159">
        <f t="shared" si="22"/>
        <v>1922</v>
      </c>
      <c r="B1923" s="163">
        <v>45804</v>
      </c>
      <c r="C1923" s="164">
        <v>0.78527777777777785</v>
      </c>
      <c r="D1923" s="159">
        <v>10</v>
      </c>
      <c r="E1923" s="166" t="s">
        <v>1880</v>
      </c>
    </row>
    <row r="1924" spans="1:5">
      <c r="A1924" s="159">
        <f t="shared" si="22"/>
        <v>1923</v>
      </c>
      <c r="B1924" s="163">
        <v>45804</v>
      </c>
      <c r="C1924" s="164">
        <v>0.76519675925925934</v>
      </c>
      <c r="D1924" s="159">
        <v>10</v>
      </c>
      <c r="E1924" s="166" t="s">
        <v>1881</v>
      </c>
    </row>
    <row r="1925" spans="1:5">
      <c r="A1925" s="159">
        <f t="shared" si="22"/>
        <v>1924</v>
      </c>
      <c r="B1925" s="163">
        <v>45804</v>
      </c>
      <c r="C1925" s="164">
        <v>0.74003472222222222</v>
      </c>
      <c r="D1925" s="159">
        <v>10</v>
      </c>
      <c r="E1925" s="166" t="s">
        <v>1882</v>
      </c>
    </row>
    <row r="1926" spans="1:5">
      <c r="A1926" s="159">
        <f t="shared" si="22"/>
        <v>1925</v>
      </c>
      <c r="B1926" s="163">
        <v>45804</v>
      </c>
      <c r="C1926" s="164">
        <v>0.73515046296296294</v>
      </c>
      <c r="D1926" s="159">
        <v>10</v>
      </c>
      <c r="E1926" s="166" t="s">
        <v>1883</v>
      </c>
    </row>
    <row r="1927" spans="1:5">
      <c r="A1927" s="159">
        <f t="shared" si="22"/>
        <v>1926</v>
      </c>
      <c r="B1927" s="163">
        <v>45804</v>
      </c>
      <c r="C1927" s="164">
        <v>0.7244560185185186</v>
      </c>
      <c r="D1927" s="159">
        <v>10</v>
      </c>
      <c r="E1927" s="166" t="s">
        <v>1884</v>
      </c>
    </row>
    <row r="1928" spans="1:5">
      <c r="A1928" s="159">
        <f t="shared" si="22"/>
        <v>1927</v>
      </c>
      <c r="B1928" s="163">
        <v>45804</v>
      </c>
      <c r="C1928" s="164">
        <v>0.72268518518518521</v>
      </c>
      <c r="D1928" s="159">
        <v>10</v>
      </c>
      <c r="E1928" s="166" t="s">
        <v>1885</v>
      </c>
    </row>
    <row r="1929" spans="1:5">
      <c r="A1929" s="159">
        <f t="shared" si="22"/>
        <v>1928</v>
      </c>
      <c r="B1929" s="163">
        <v>45804</v>
      </c>
      <c r="C1929" s="164">
        <v>0.71706018518518511</v>
      </c>
      <c r="D1929" s="159">
        <v>10</v>
      </c>
      <c r="E1929" s="166" t="s">
        <v>1886</v>
      </c>
    </row>
    <row r="1930" spans="1:5">
      <c r="A1930" s="159">
        <f t="shared" si="22"/>
        <v>1929</v>
      </c>
      <c r="B1930" s="163">
        <v>45804</v>
      </c>
      <c r="C1930" s="164">
        <v>0.7120023148148148</v>
      </c>
      <c r="D1930" s="159">
        <v>10</v>
      </c>
      <c r="E1930" s="166" t="s">
        <v>1887</v>
      </c>
    </row>
    <row r="1931" spans="1:5">
      <c r="A1931" s="159">
        <f t="shared" si="22"/>
        <v>1930</v>
      </c>
      <c r="B1931" s="163">
        <v>45804</v>
      </c>
      <c r="C1931" s="164">
        <v>0.70067129629629632</v>
      </c>
      <c r="D1931" s="159">
        <v>10</v>
      </c>
      <c r="E1931" s="166" t="s">
        <v>1888</v>
      </c>
    </row>
    <row r="1932" spans="1:5">
      <c r="A1932" s="159">
        <f t="shared" si="22"/>
        <v>1931</v>
      </c>
      <c r="B1932" s="163">
        <v>45804</v>
      </c>
      <c r="C1932" s="164">
        <v>0.68746527777777777</v>
      </c>
      <c r="D1932" s="159">
        <v>10</v>
      </c>
      <c r="E1932" s="166" t="s">
        <v>1889</v>
      </c>
    </row>
    <row r="1933" spans="1:5">
      <c r="A1933" s="159">
        <f t="shared" si="22"/>
        <v>1932</v>
      </c>
      <c r="B1933" s="163">
        <v>45804</v>
      </c>
      <c r="C1933" s="164">
        <v>0.68696759259259255</v>
      </c>
      <c r="D1933" s="159">
        <v>10</v>
      </c>
      <c r="E1933" s="166" t="s">
        <v>1890</v>
      </c>
    </row>
    <row r="1934" spans="1:5">
      <c r="A1934" s="159">
        <f t="shared" si="22"/>
        <v>1933</v>
      </c>
      <c r="B1934" s="163">
        <v>45804</v>
      </c>
      <c r="C1934" s="164">
        <v>0.6708101851851852</v>
      </c>
      <c r="D1934" s="159">
        <v>10</v>
      </c>
      <c r="E1934" s="166" t="s">
        <v>1891</v>
      </c>
    </row>
    <row r="1935" spans="1:5">
      <c r="A1935" s="159">
        <f t="shared" si="22"/>
        <v>1934</v>
      </c>
      <c r="B1935" s="163">
        <v>45804</v>
      </c>
      <c r="C1935" s="164">
        <v>0.65144675925925932</v>
      </c>
      <c r="D1935" s="159">
        <v>10</v>
      </c>
      <c r="E1935" s="166" t="s">
        <v>244</v>
      </c>
    </row>
    <row r="1936" spans="1:5">
      <c r="A1936" s="159">
        <f t="shared" si="22"/>
        <v>1935</v>
      </c>
      <c r="B1936" s="163">
        <v>45804</v>
      </c>
      <c r="C1936" s="164">
        <v>0.65077546296296296</v>
      </c>
      <c r="D1936" s="159">
        <v>10</v>
      </c>
      <c r="E1936" s="166" t="s">
        <v>1892</v>
      </c>
    </row>
    <row r="1937" spans="1:5">
      <c r="A1937" s="159">
        <f t="shared" si="22"/>
        <v>1936</v>
      </c>
      <c r="B1937" s="163">
        <v>45804</v>
      </c>
      <c r="C1937" s="164">
        <v>0.64380787037037035</v>
      </c>
      <c r="D1937" s="159">
        <v>10</v>
      </c>
      <c r="E1937" s="166" t="s">
        <v>1893</v>
      </c>
    </row>
    <row r="1938" spans="1:5">
      <c r="A1938" s="159">
        <f t="shared" si="22"/>
        <v>1937</v>
      </c>
      <c r="B1938" s="163">
        <v>45804</v>
      </c>
      <c r="C1938" s="164">
        <v>0.63917824074074081</v>
      </c>
      <c r="D1938" s="159">
        <v>10</v>
      </c>
      <c r="E1938" s="166" t="s">
        <v>1894</v>
      </c>
    </row>
    <row r="1939" spans="1:5" ht="27">
      <c r="A1939" s="159">
        <f t="shared" si="22"/>
        <v>1938</v>
      </c>
      <c r="B1939" s="163">
        <v>45804</v>
      </c>
      <c r="C1939" s="164">
        <v>0.6314467592592593</v>
      </c>
      <c r="D1939" s="159">
        <v>10</v>
      </c>
      <c r="E1939" s="166" t="s">
        <v>1895</v>
      </c>
    </row>
    <row r="1940" spans="1:5">
      <c r="A1940" s="159">
        <f t="shared" si="22"/>
        <v>1939</v>
      </c>
      <c r="B1940" s="163">
        <v>45804</v>
      </c>
      <c r="C1940" s="164">
        <v>0.62709490740740736</v>
      </c>
      <c r="D1940" s="159">
        <v>10</v>
      </c>
      <c r="E1940" s="166" t="s">
        <v>1896</v>
      </c>
    </row>
    <row r="1941" spans="1:5" ht="27">
      <c r="A1941" s="159">
        <f t="shared" si="22"/>
        <v>1940</v>
      </c>
      <c r="B1941" s="163">
        <v>45804</v>
      </c>
      <c r="C1941" s="164">
        <v>0.62329861111111107</v>
      </c>
      <c r="D1941" s="159">
        <v>10</v>
      </c>
      <c r="E1941" s="166" t="s">
        <v>1897</v>
      </c>
    </row>
    <row r="1942" spans="1:5">
      <c r="A1942" s="159">
        <f t="shared" si="22"/>
        <v>1941</v>
      </c>
      <c r="B1942" s="163">
        <v>45804</v>
      </c>
      <c r="C1942" s="164">
        <v>0.61378472222222225</v>
      </c>
      <c r="D1942" s="159">
        <v>10</v>
      </c>
      <c r="E1942" s="166" t="s">
        <v>1898</v>
      </c>
    </row>
    <row r="1943" spans="1:5" ht="40.5">
      <c r="A1943" s="159">
        <f t="shared" si="22"/>
        <v>1942</v>
      </c>
      <c r="B1943" s="163">
        <v>45804</v>
      </c>
      <c r="C1943" s="164">
        <v>0.61126157407407411</v>
      </c>
      <c r="D1943" s="159">
        <v>10</v>
      </c>
      <c r="E1943" s="166" t="s">
        <v>1899</v>
      </c>
    </row>
    <row r="1944" spans="1:5">
      <c r="A1944" s="159">
        <f t="shared" si="22"/>
        <v>1943</v>
      </c>
      <c r="B1944" s="163">
        <v>45804</v>
      </c>
      <c r="C1944" s="164">
        <v>0.60773148148148148</v>
      </c>
      <c r="D1944" s="159">
        <v>10</v>
      </c>
      <c r="E1944" s="166" t="s">
        <v>1900</v>
      </c>
    </row>
    <row r="1945" spans="1:5">
      <c r="A1945" s="159">
        <f t="shared" si="22"/>
        <v>1944</v>
      </c>
      <c r="B1945" s="163">
        <v>45804</v>
      </c>
      <c r="C1945" s="164">
        <v>0.5932291666666667</v>
      </c>
      <c r="D1945" s="159">
        <v>10</v>
      </c>
      <c r="E1945" s="166" t="s">
        <v>1901</v>
      </c>
    </row>
    <row r="1946" spans="1:5">
      <c r="A1946" s="159">
        <f t="shared" si="22"/>
        <v>1945</v>
      </c>
      <c r="B1946" s="163">
        <v>45804</v>
      </c>
      <c r="C1946" s="164">
        <v>0.57133101851851853</v>
      </c>
      <c r="D1946" s="159">
        <v>10</v>
      </c>
      <c r="E1946" s="166" t="s">
        <v>1902</v>
      </c>
    </row>
    <row r="1947" spans="1:5">
      <c r="A1947" s="159">
        <f t="shared" si="22"/>
        <v>1946</v>
      </c>
      <c r="B1947" s="163">
        <v>45804</v>
      </c>
      <c r="C1947" s="164">
        <v>0.56951388888888888</v>
      </c>
      <c r="D1947" s="159">
        <v>10</v>
      </c>
      <c r="E1947" s="166" t="s">
        <v>530</v>
      </c>
    </row>
    <row r="1948" spans="1:5">
      <c r="A1948" s="159">
        <f t="shared" si="22"/>
        <v>1947</v>
      </c>
      <c r="B1948" s="163">
        <v>45804</v>
      </c>
      <c r="C1948" s="164">
        <v>0.56297453703703704</v>
      </c>
      <c r="D1948" s="159">
        <v>10</v>
      </c>
      <c r="E1948" s="166" t="s">
        <v>1903</v>
      </c>
    </row>
    <row r="1949" spans="1:5">
      <c r="A1949" s="159">
        <f t="shared" si="22"/>
        <v>1948</v>
      </c>
      <c r="B1949" s="163">
        <v>45804</v>
      </c>
      <c r="C1949" s="164">
        <v>0.56201388888888892</v>
      </c>
      <c r="D1949" s="159">
        <v>10</v>
      </c>
      <c r="E1949" s="166" t="s">
        <v>1904</v>
      </c>
    </row>
    <row r="1950" spans="1:5">
      <c r="A1950" s="159">
        <f t="shared" si="22"/>
        <v>1949</v>
      </c>
      <c r="B1950" s="163">
        <v>45804</v>
      </c>
      <c r="C1950" s="164">
        <v>0.56090277777777775</v>
      </c>
      <c r="D1950" s="159">
        <v>10</v>
      </c>
      <c r="E1950" s="166" t="s">
        <v>1905</v>
      </c>
    </row>
    <row r="1951" spans="1:5" ht="27">
      <c r="A1951" s="159">
        <f t="shared" si="22"/>
        <v>1950</v>
      </c>
      <c r="B1951" s="163">
        <v>45804</v>
      </c>
      <c r="C1951" s="164">
        <v>0.51060185185185192</v>
      </c>
      <c r="D1951" s="159">
        <v>10</v>
      </c>
      <c r="E1951" s="166" t="s">
        <v>1906</v>
      </c>
    </row>
    <row r="1952" spans="1:5">
      <c r="A1952" s="159">
        <f t="shared" si="22"/>
        <v>1951</v>
      </c>
      <c r="B1952" s="163">
        <v>45804</v>
      </c>
      <c r="C1952" s="164">
        <v>0.50567129629629626</v>
      </c>
      <c r="D1952" s="159">
        <v>10</v>
      </c>
      <c r="E1952" s="166" t="s">
        <v>1907</v>
      </c>
    </row>
    <row r="1953" spans="1:5">
      <c r="A1953" s="159">
        <f t="shared" si="22"/>
        <v>1952</v>
      </c>
      <c r="B1953" s="163">
        <v>45804</v>
      </c>
      <c r="C1953" s="164">
        <v>0.50461805555555561</v>
      </c>
      <c r="D1953" s="159">
        <v>10</v>
      </c>
      <c r="E1953" s="166" t="s">
        <v>1908</v>
      </c>
    </row>
    <row r="1954" spans="1:5">
      <c r="A1954" s="159">
        <f t="shared" si="22"/>
        <v>1953</v>
      </c>
      <c r="B1954" s="163">
        <v>45804</v>
      </c>
      <c r="C1954" s="164">
        <v>0.4889236111111111</v>
      </c>
      <c r="D1954" s="159">
        <v>10</v>
      </c>
      <c r="E1954" s="166" t="s">
        <v>1909</v>
      </c>
    </row>
    <row r="1955" spans="1:5">
      <c r="A1955" s="159">
        <f t="shared" si="22"/>
        <v>1954</v>
      </c>
      <c r="B1955" s="163">
        <v>45804</v>
      </c>
      <c r="C1955" s="164">
        <v>0.47232638888888889</v>
      </c>
      <c r="D1955" s="159">
        <v>10</v>
      </c>
      <c r="E1955" s="166" t="s">
        <v>1910</v>
      </c>
    </row>
    <row r="1956" spans="1:5">
      <c r="A1956" s="159">
        <f t="shared" si="22"/>
        <v>1955</v>
      </c>
      <c r="B1956" s="163">
        <v>45804</v>
      </c>
      <c r="C1956" s="164">
        <v>0.45773148148148146</v>
      </c>
      <c r="D1956" s="159">
        <v>10</v>
      </c>
      <c r="E1956" s="166" t="s">
        <v>1911</v>
      </c>
    </row>
    <row r="1957" spans="1:5">
      <c r="A1957" s="159">
        <f t="shared" si="22"/>
        <v>1956</v>
      </c>
      <c r="B1957" s="163">
        <v>45804</v>
      </c>
      <c r="C1957" s="164">
        <v>0.45666666666666672</v>
      </c>
      <c r="D1957" s="159">
        <v>10</v>
      </c>
      <c r="E1957" s="166" t="s">
        <v>1912</v>
      </c>
    </row>
    <row r="1958" spans="1:5">
      <c r="A1958" s="159">
        <f t="shared" si="22"/>
        <v>1957</v>
      </c>
      <c r="B1958" s="163">
        <v>45804</v>
      </c>
      <c r="C1958" s="164">
        <v>0.44458333333333333</v>
      </c>
      <c r="D1958" s="159">
        <v>10</v>
      </c>
      <c r="E1958" s="166" t="s">
        <v>1913</v>
      </c>
    </row>
    <row r="1959" spans="1:5">
      <c r="A1959" s="159">
        <f t="shared" si="22"/>
        <v>1958</v>
      </c>
      <c r="B1959" s="163">
        <v>45804</v>
      </c>
      <c r="C1959" s="164">
        <v>0.43089120370370365</v>
      </c>
      <c r="D1959" s="159">
        <v>10</v>
      </c>
      <c r="E1959" s="166" t="s">
        <v>1914</v>
      </c>
    </row>
    <row r="1960" spans="1:5">
      <c r="A1960" s="159">
        <f t="shared" si="22"/>
        <v>1959</v>
      </c>
      <c r="B1960" s="163">
        <v>45804</v>
      </c>
      <c r="C1960" s="164">
        <v>0.42920138888888887</v>
      </c>
      <c r="D1960" s="159">
        <v>10</v>
      </c>
      <c r="E1960" s="166" t="s">
        <v>1915</v>
      </c>
    </row>
    <row r="1961" spans="1:5">
      <c r="A1961" s="159">
        <f t="shared" si="22"/>
        <v>1960</v>
      </c>
      <c r="B1961" s="163">
        <v>45804</v>
      </c>
      <c r="C1961" s="164">
        <v>0.42891203703703701</v>
      </c>
      <c r="D1961" s="159">
        <v>10</v>
      </c>
      <c r="E1961" s="166" t="s">
        <v>1916</v>
      </c>
    </row>
    <row r="1962" spans="1:5">
      <c r="A1962" s="159">
        <f t="shared" si="22"/>
        <v>1961</v>
      </c>
      <c r="B1962" s="163">
        <v>45804</v>
      </c>
      <c r="C1962" s="164">
        <v>0.42325231481481485</v>
      </c>
      <c r="D1962" s="159">
        <v>10</v>
      </c>
      <c r="E1962" s="166" t="s">
        <v>1917</v>
      </c>
    </row>
    <row r="1963" spans="1:5">
      <c r="A1963" s="159">
        <f t="shared" si="22"/>
        <v>1962</v>
      </c>
      <c r="B1963" s="163">
        <v>45804</v>
      </c>
      <c r="C1963" s="164">
        <v>0.41806712962962966</v>
      </c>
      <c r="D1963" s="159">
        <v>10</v>
      </c>
      <c r="E1963" s="166" t="s">
        <v>1918</v>
      </c>
    </row>
    <row r="1964" spans="1:5">
      <c r="A1964" s="159">
        <f t="shared" si="22"/>
        <v>1963</v>
      </c>
      <c r="B1964" s="163">
        <v>45804</v>
      </c>
      <c r="C1964" s="164">
        <v>0.41842592592592592</v>
      </c>
      <c r="D1964" s="159">
        <v>10</v>
      </c>
      <c r="E1964" s="166" t="s">
        <v>1919</v>
      </c>
    </row>
    <row r="1965" spans="1:5">
      <c r="A1965" s="159">
        <f t="shared" si="22"/>
        <v>1964</v>
      </c>
      <c r="B1965" s="163">
        <v>45804</v>
      </c>
      <c r="C1965" s="164">
        <v>0.39751157407407406</v>
      </c>
      <c r="D1965" s="159">
        <v>10</v>
      </c>
      <c r="E1965" s="166" t="s">
        <v>1920</v>
      </c>
    </row>
    <row r="1966" spans="1:5">
      <c r="A1966" s="159">
        <f t="shared" si="22"/>
        <v>1965</v>
      </c>
      <c r="B1966" s="163">
        <v>45804</v>
      </c>
      <c r="C1966" s="164">
        <v>0.39500000000000002</v>
      </c>
      <c r="D1966" s="159">
        <v>10</v>
      </c>
      <c r="E1966" s="166" t="s">
        <v>1921</v>
      </c>
    </row>
    <row r="1967" spans="1:5">
      <c r="A1967" s="159">
        <f t="shared" si="22"/>
        <v>1966</v>
      </c>
      <c r="B1967" s="163">
        <v>45804</v>
      </c>
      <c r="C1967" s="164">
        <v>0.39120370370370372</v>
      </c>
      <c r="D1967" s="159">
        <v>10</v>
      </c>
      <c r="E1967" s="166" t="s">
        <v>1922</v>
      </c>
    </row>
    <row r="1968" spans="1:5">
      <c r="A1968" s="159">
        <f t="shared" si="22"/>
        <v>1967</v>
      </c>
      <c r="B1968" s="163">
        <v>45804</v>
      </c>
      <c r="C1968" s="164">
        <v>0.90307870370370369</v>
      </c>
      <c r="D1968" s="159">
        <v>10</v>
      </c>
      <c r="E1968" s="166" t="s">
        <v>1876</v>
      </c>
    </row>
    <row r="1969" spans="1:5">
      <c r="A1969" s="159">
        <f t="shared" si="22"/>
        <v>1968</v>
      </c>
      <c r="B1969" s="163">
        <v>45804</v>
      </c>
      <c r="C1969" s="164">
        <v>0.88377314814814811</v>
      </c>
      <c r="D1969" s="159">
        <v>10</v>
      </c>
      <c r="E1969" s="166" t="s">
        <v>1877</v>
      </c>
    </row>
    <row r="1970" spans="1:5" ht="27">
      <c r="A1970" s="159">
        <f t="shared" si="22"/>
        <v>1969</v>
      </c>
      <c r="B1970" s="163">
        <v>45804</v>
      </c>
      <c r="C1970" s="164">
        <v>0.84758101851851853</v>
      </c>
      <c r="D1970" s="159">
        <v>10</v>
      </c>
      <c r="E1970" s="166" t="s">
        <v>1878</v>
      </c>
    </row>
    <row r="1971" spans="1:5">
      <c r="A1971" s="159">
        <f t="shared" si="22"/>
        <v>1970</v>
      </c>
      <c r="B1971" s="163">
        <v>45804</v>
      </c>
      <c r="C1971" s="164">
        <v>0.82934027777777775</v>
      </c>
      <c r="D1971" s="159">
        <v>10</v>
      </c>
      <c r="E1971" s="166" t="s">
        <v>1480</v>
      </c>
    </row>
    <row r="1972" spans="1:5">
      <c r="A1972" s="159">
        <f t="shared" si="22"/>
        <v>1971</v>
      </c>
      <c r="B1972" s="163">
        <v>45804</v>
      </c>
      <c r="C1972" s="164">
        <v>0.82876157407407414</v>
      </c>
      <c r="D1972" s="159">
        <v>10</v>
      </c>
      <c r="E1972" s="166" t="s">
        <v>1879</v>
      </c>
    </row>
    <row r="1973" spans="1:5" ht="27">
      <c r="A1973" s="159">
        <f t="shared" ref="A1973:A2036" si="23">ROW()-1</f>
        <v>1972</v>
      </c>
      <c r="B1973" s="163">
        <v>45804</v>
      </c>
      <c r="C1973" s="164">
        <v>0.78527777777777785</v>
      </c>
      <c r="D1973" s="159">
        <v>10</v>
      </c>
      <c r="E1973" s="166" t="s">
        <v>1880</v>
      </c>
    </row>
    <row r="1974" spans="1:5">
      <c r="A1974" s="159">
        <f t="shared" si="23"/>
        <v>1973</v>
      </c>
      <c r="B1974" s="163">
        <v>45804</v>
      </c>
      <c r="C1974" s="164">
        <v>0.76519675925925934</v>
      </c>
      <c r="D1974" s="159">
        <v>10</v>
      </c>
      <c r="E1974" s="166" t="s">
        <v>1881</v>
      </c>
    </row>
    <row r="1975" spans="1:5">
      <c r="A1975" s="159">
        <f t="shared" si="23"/>
        <v>1974</v>
      </c>
      <c r="B1975" s="163">
        <v>45804</v>
      </c>
      <c r="C1975" s="164">
        <v>0.74003472222222222</v>
      </c>
      <c r="D1975" s="159">
        <v>10</v>
      </c>
      <c r="E1975" s="166" t="s">
        <v>1882</v>
      </c>
    </row>
    <row r="1976" spans="1:5">
      <c r="A1976" s="159">
        <f t="shared" si="23"/>
        <v>1975</v>
      </c>
      <c r="B1976" s="163">
        <v>45804</v>
      </c>
      <c r="C1976" s="164">
        <v>0.73515046296296294</v>
      </c>
      <c r="D1976" s="159">
        <v>10</v>
      </c>
      <c r="E1976" s="166" t="s">
        <v>1883</v>
      </c>
    </row>
    <row r="1977" spans="1:5">
      <c r="A1977" s="159">
        <f t="shared" si="23"/>
        <v>1976</v>
      </c>
      <c r="B1977" s="163">
        <v>45804</v>
      </c>
      <c r="C1977" s="164">
        <v>0.7244560185185186</v>
      </c>
      <c r="D1977" s="159">
        <v>10</v>
      </c>
      <c r="E1977" s="166" t="s">
        <v>1884</v>
      </c>
    </row>
    <row r="1978" spans="1:5">
      <c r="A1978" s="159">
        <f t="shared" si="23"/>
        <v>1977</v>
      </c>
      <c r="B1978" s="163">
        <v>45804</v>
      </c>
      <c r="C1978" s="164">
        <v>0.72268518518518521</v>
      </c>
      <c r="D1978" s="159">
        <v>10</v>
      </c>
      <c r="E1978" s="166" t="s">
        <v>1885</v>
      </c>
    </row>
    <row r="1979" spans="1:5">
      <c r="A1979" s="159">
        <f t="shared" si="23"/>
        <v>1978</v>
      </c>
      <c r="B1979" s="163">
        <v>45804</v>
      </c>
      <c r="C1979" s="164">
        <v>0.71706018518518511</v>
      </c>
      <c r="D1979" s="159">
        <v>10</v>
      </c>
      <c r="E1979" s="166" t="s">
        <v>1886</v>
      </c>
    </row>
    <row r="1980" spans="1:5">
      <c r="A1980" s="159">
        <f t="shared" si="23"/>
        <v>1979</v>
      </c>
      <c r="B1980" s="163">
        <v>45804</v>
      </c>
      <c r="C1980" s="164">
        <v>0.7120023148148148</v>
      </c>
      <c r="D1980" s="159">
        <v>10</v>
      </c>
      <c r="E1980" s="166" t="s">
        <v>1887</v>
      </c>
    </row>
    <row r="1981" spans="1:5">
      <c r="A1981" s="159">
        <f t="shared" si="23"/>
        <v>1980</v>
      </c>
      <c r="B1981" s="163">
        <v>45804</v>
      </c>
      <c r="C1981" s="164">
        <v>0.70067129629629632</v>
      </c>
      <c r="D1981" s="159">
        <v>10</v>
      </c>
      <c r="E1981" s="166" t="s">
        <v>1888</v>
      </c>
    </row>
    <row r="1982" spans="1:5">
      <c r="A1982" s="159">
        <f t="shared" si="23"/>
        <v>1981</v>
      </c>
      <c r="B1982" s="163">
        <v>45804</v>
      </c>
      <c r="C1982" s="164">
        <v>0.68746527777777777</v>
      </c>
      <c r="D1982" s="159">
        <v>10</v>
      </c>
      <c r="E1982" s="166" t="s">
        <v>1889</v>
      </c>
    </row>
    <row r="1983" spans="1:5">
      <c r="A1983" s="159">
        <f t="shared" si="23"/>
        <v>1982</v>
      </c>
      <c r="B1983" s="163">
        <v>45804</v>
      </c>
      <c r="C1983" s="164">
        <v>0.68696759259259255</v>
      </c>
      <c r="D1983" s="159">
        <v>10</v>
      </c>
      <c r="E1983" s="166" t="s">
        <v>1890</v>
      </c>
    </row>
    <row r="1984" spans="1:5">
      <c r="A1984" s="159">
        <f t="shared" si="23"/>
        <v>1983</v>
      </c>
      <c r="B1984" s="163">
        <v>45804</v>
      </c>
      <c r="C1984" s="164">
        <v>0.6708101851851852</v>
      </c>
      <c r="D1984" s="159">
        <v>10</v>
      </c>
      <c r="E1984" s="166" t="s">
        <v>1891</v>
      </c>
    </row>
    <row r="1985" spans="1:5">
      <c r="A1985" s="159">
        <f t="shared" si="23"/>
        <v>1984</v>
      </c>
      <c r="B1985" s="163">
        <v>45804</v>
      </c>
      <c r="C1985" s="164">
        <v>0.65144675925925932</v>
      </c>
      <c r="D1985" s="159">
        <v>10</v>
      </c>
      <c r="E1985" s="166" t="s">
        <v>244</v>
      </c>
    </row>
    <row r="1986" spans="1:5">
      <c r="A1986" s="159">
        <f t="shared" si="23"/>
        <v>1985</v>
      </c>
      <c r="B1986" s="163">
        <v>45804</v>
      </c>
      <c r="C1986" s="164">
        <v>0.65077546296296296</v>
      </c>
      <c r="D1986" s="159">
        <v>10</v>
      </c>
      <c r="E1986" s="166" t="s">
        <v>1892</v>
      </c>
    </row>
    <row r="1987" spans="1:5">
      <c r="A1987" s="159">
        <f t="shared" si="23"/>
        <v>1986</v>
      </c>
      <c r="B1987" s="163">
        <v>45804</v>
      </c>
      <c r="C1987" s="164">
        <v>0.64380787037037035</v>
      </c>
      <c r="D1987" s="159">
        <v>10</v>
      </c>
      <c r="E1987" s="166" t="s">
        <v>1893</v>
      </c>
    </row>
    <row r="1988" spans="1:5">
      <c r="A1988" s="159">
        <f t="shared" si="23"/>
        <v>1987</v>
      </c>
      <c r="B1988" s="163">
        <v>45804</v>
      </c>
      <c r="C1988" s="164">
        <v>0.63917824074074081</v>
      </c>
      <c r="D1988" s="159">
        <v>10</v>
      </c>
      <c r="E1988" s="166" t="s">
        <v>1894</v>
      </c>
    </row>
    <row r="1989" spans="1:5" ht="27">
      <c r="A1989" s="159">
        <f t="shared" si="23"/>
        <v>1988</v>
      </c>
      <c r="B1989" s="163">
        <v>45804</v>
      </c>
      <c r="C1989" s="164">
        <v>0.6314467592592593</v>
      </c>
      <c r="D1989" s="159">
        <v>10</v>
      </c>
      <c r="E1989" s="166" t="s">
        <v>1895</v>
      </c>
    </row>
    <row r="1990" spans="1:5">
      <c r="A1990" s="159">
        <f t="shared" si="23"/>
        <v>1989</v>
      </c>
      <c r="B1990" s="163">
        <v>45804</v>
      </c>
      <c r="C1990" s="164">
        <v>0.62709490740740736</v>
      </c>
      <c r="D1990" s="159">
        <v>10</v>
      </c>
      <c r="E1990" s="166" t="s">
        <v>1896</v>
      </c>
    </row>
    <row r="1991" spans="1:5" ht="27">
      <c r="A1991" s="159">
        <f t="shared" si="23"/>
        <v>1990</v>
      </c>
      <c r="B1991" s="163">
        <v>45804</v>
      </c>
      <c r="C1991" s="164">
        <v>0.62329861111111107</v>
      </c>
      <c r="D1991" s="159">
        <v>10</v>
      </c>
      <c r="E1991" s="166" t="s">
        <v>1925</v>
      </c>
    </row>
    <row r="1992" spans="1:5">
      <c r="A1992" s="159">
        <f t="shared" si="23"/>
        <v>1991</v>
      </c>
      <c r="B1992" s="163">
        <v>45804</v>
      </c>
      <c r="C1992" s="164">
        <v>0.61378472222222225</v>
      </c>
      <c r="D1992" s="159">
        <v>10</v>
      </c>
      <c r="E1992" s="166" t="s">
        <v>1898</v>
      </c>
    </row>
    <row r="1993" spans="1:5" ht="40.5">
      <c r="A1993" s="159">
        <f t="shared" si="23"/>
        <v>1992</v>
      </c>
      <c r="B1993" s="163">
        <v>45804</v>
      </c>
      <c r="C1993" s="164">
        <v>0.61126157407407411</v>
      </c>
      <c r="D1993" s="159">
        <v>10</v>
      </c>
      <c r="E1993" s="166" t="s">
        <v>1924</v>
      </c>
    </row>
    <row r="1994" spans="1:5">
      <c r="A1994" s="159">
        <f t="shared" si="23"/>
        <v>1993</v>
      </c>
      <c r="B1994" s="163">
        <v>45804</v>
      </c>
      <c r="C1994" s="164">
        <v>0.60773148148148148</v>
      </c>
      <c r="D1994" s="159">
        <v>10</v>
      </c>
      <c r="E1994" s="166" t="s">
        <v>1900</v>
      </c>
    </row>
    <row r="1995" spans="1:5">
      <c r="A1995" s="159">
        <f t="shared" si="23"/>
        <v>1994</v>
      </c>
      <c r="B1995" s="163">
        <v>45804</v>
      </c>
      <c r="C1995" s="164">
        <v>0.5932291666666667</v>
      </c>
      <c r="D1995" s="159">
        <v>10</v>
      </c>
      <c r="E1995" s="166" t="s">
        <v>1901</v>
      </c>
    </row>
    <row r="1996" spans="1:5">
      <c r="A1996" s="159">
        <f t="shared" si="23"/>
        <v>1995</v>
      </c>
      <c r="B1996" s="163">
        <v>45804</v>
      </c>
      <c r="C1996" s="164">
        <v>0.57133101851851853</v>
      </c>
      <c r="D1996" s="159">
        <v>10</v>
      </c>
      <c r="E1996" s="166" t="s">
        <v>1902</v>
      </c>
    </row>
    <row r="1997" spans="1:5">
      <c r="A1997" s="159">
        <f t="shared" si="23"/>
        <v>1996</v>
      </c>
      <c r="B1997" s="163">
        <v>45804</v>
      </c>
      <c r="C1997" s="164">
        <v>0.56951388888888888</v>
      </c>
      <c r="D1997" s="159">
        <v>10</v>
      </c>
      <c r="E1997" s="166" t="s">
        <v>530</v>
      </c>
    </row>
    <row r="1998" spans="1:5">
      <c r="A1998" s="159">
        <f t="shared" si="23"/>
        <v>1997</v>
      </c>
      <c r="B1998" s="163">
        <v>45804</v>
      </c>
      <c r="C1998" s="164">
        <v>0.56297453703703704</v>
      </c>
      <c r="D1998" s="159">
        <v>10</v>
      </c>
      <c r="E1998" s="166" t="s">
        <v>1903</v>
      </c>
    </row>
    <row r="1999" spans="1:5">
      <c r="A1999" s="159">
        <f t="shared" si="23"/>
        <v>1998</v>
      </c>
      <c r="B1999" s="163">
        <v>45804</v>
      </c>
      <c r="C1999" s="164">
        <v>0.56201388888888892</v>
      </c>
      <c r="D1999" s="159">
        <v>10</v>
      </c>
      <c r="E1999" s="166" t="s">
        <v>1904</v>
      </c>
    </row>
    <row r="2000" spans="1:5">
      <c r="A2000" s="159">
        <f t="shared" si="23"/>
        <v>1999</v>
      </c>
      <c r="B2000" s="163">
        <v>45804</v>
      </c>
      <c r="C2000" s="164">
        <v>0.56090277777777775</v>
      </c>
      <c r="D2000" s="159">
        <v>10</v>
      </c>
      <c r="E2000" s="166" t="s">
        <v>1905</v>
      </c>
    </row>
    <row r="2001" spans="1:5" ht="27">
      <c r="A2001" s="159">
        <f t="shared" si="23"/>
        <v>2000</v>
      </c>
      <c r="B2001" s="163">
        <v>45804</v>
      </c>
      <c r="C2001" s="164">
        <v>0.51060185185185192</v>
      </c>
      <c r="D2001" s="159">
        <v>10</v>
      </c>
      <c r="E2001" s="166" t="s">
        <v>1923</v>
      </c>
    </row>
    <row r="2002" spans="1:5">
      <c r="A2002" s="159">
        <f t="shared" si="23"/>
        <v>2001</v>
      </c>
      <c r="B2002" s="163">
        <v>45804</v>
      </c>
      <c r="C2002" s="164">
        <v>0.50567129629629626</v>
      </c>
      <c r="D2002" s="159">
        <v>10</v>
      </c>
      <c r="E2002" s="166" t="s">
        <v>1907</v>
      </c>
    </row>
    <row r="2003" spans="1:5">
      <c r="A2003" s="159">
        <f t="shared" si="23"/>
        <v>2002</v>
      </c>
      <c r="B2003" s="163">
        <v>45804</v>
      </c>
      <c r="C2003" s="164">
        <v>0.50461805555555561</v>
      </c>
      <c r="D2003" s="159">
        <v>10</v>
      </c>
      <c r="E2003" s="166" t="s">
        <v>1908</v>
      </c>
    </row>
    <row r="2004" spans="1:5">
      <c r="A2004" s="159">
        <f t="shared" si="23"/>
        <v>2003</v>
      </c>
      <c r="B2004" s="163">
        <v>45804</v>
      </c>
      <c r="C2004" s="164">
        <v>0.4889236111111111</v>
      </c>
      <c r="D2004" s="159">
        <v>10</v>
      </c>
      <c r="E2004" s="166" t="s">
        <v>1909</v>
      </c>
    </row>
    <row r="2005" spans="1:5">
      <c r="A2005" s="159">
        <f t="shared" si="23"/>
        <v>2004</v>
      </c>
      <c r="B2005" s="163">
        <v>45804</v>
      </c>
      <c r="C2005" s="164">
        <v>0.47232638888888889</v>
      </c>
      <c r="D2005" s="159">
        <v>10</v>
      </c>
      <c r="E2005" s="166" t="s">
        <v>1910</v>
      </c>
    </row>
    <row r="2006" spans="1:5">
      <c r="A2006" s="159">
        <f t="shared" si="23"/>
        <v>2005</v>
      </c>
      <c r="B2006" s="163">
        <v>45804</v>
      </c>
      <c r="C2006" s="164">
        <v>0.45773148148148146</v>
      </c>
      <c r="D2006" s="159">
        <v>10</v>
      </c>
      <c r="E2006" s="166" t="s">
        <v>1911</v>
      </c>
    </row>
    <row r="2007" spans="1:5">
      <c r="A2007" s="159">
        <f t="shared" si="23"/>
        <v>2006</v>
      </c>
      <c r="B2007" s="163">
        <v>45804</v>
      </c>
      <c r="C2007" s="164">
        <v>0.45666666666666672</v>
      </c>
      <c r="D2007" s="159">
        <v>10</v>
      </c>
      <c r="E2007" s="166" t="s">
        <v>1912</v>
      </c>
    </row>
    <row r="2008" spans="1:5">
      <c r="A2008" s="159">
        <f t="shared" si="23"/>
        <v>2007</v>
      </c>
      <c r="B2008" s="163">
        <v>45804</v>
      </c>
      <c r="C2008" s="164">
        <v>0.44458333333333333</v>
      </c>
      <c r="D2008" s="159">
        <v>10</v>
      </c>
      <c r="E2008" s="166" t="s">
        <v>1913</v>
      </c>
    </row>
    <row r="2009" spans="1:5">
      <c r="A2009" s="159">
        <f t="shared" si="23"/>
        <v>2008</v>
      </c>
      <c r="B2009" s="163">
        <v>45804</v>
      </c>
      <c r="C2009" s="164">
        <v>0.43089120370370365</v>
      </c>
      <c r="D2009" s="159">
        <v>10</v>
      </c>
      <c r="E2009" s="166" t="s">
        <v>1914</v>
      </c>
    </row>
    <row r="2010" spans="1:5">
      <c r="A2010" s="159">
        <f t="shared" si="23"/>
        <v>2009</v>
      </c>
      <c r="B2010" s="163">
        <v>45804</v>
      </c>
      <c r="C2010" s="164">
        <v>0.42920138888888887</v>
      </c>
      <c r="D2010" s="159">
        <v>10</v>
      </c>
      <c r="E2010" s="166" t="s">
        <v>1915</v>
      </c>
    </row>
    <row r="2011" spans="1:5">
      <c r="A2011" s="159">
        <f t="shared" si="23"/>
        <v>2010</v>
      </c>
      <c r="B2011" s="163">
        <v>45804</v>
      </c>
      <c r="C2011" s="164">
        <v>0.42891203703703701</v>
      </c>
      <c r="D2011" s="159">
        <v>10</v>
      </c>
      <c r="E2011" s="166" t="s">
        <v>1916</v>
      </c>
    </row>
    <row r="2012" spans="1:5">
      <c r="A2012" s="159">
        <f t="shared" si="23"/>
        <v>2011</v>
      </c>
      <c r="B2012" s="163">
        <v>45804</v>
      </c>
      <c r="C2012" s="164">
        <v>0.42325231481481485</v>
      </c>
      <c r="D2012" s="159">
        <v>10</v>
      </c>
      <c r="E2012" s="166" t="s">
        <v>1917</v>
      </c>
    </row>
    <row r="2013" spans="1:5">
      <c r="A2013" s="159">
        <f t="shared" si="23"/>
        <v>2012</v>
      </c>
      <c r="B2013" s="163">
        <v>45804</v>
      </c>
      <c r="C2013" s="164">
        <v>0.41806712962962966</v>
      </c>
      <c r="D2013" s="159">
        <v>10</v>
      </c>
      <c r="E2013" s="166" t="s">
        <v>1918</v>
      </c>
    </row>
    <row r="2014" spans="1:5">
      <c r="A2014" s="159">
        <f t="shared" si="23"/>
        <v>2013</v>
      </c>
      <c r="B2014" s="163">
        <v>45804</v>
      </c>
      <c r="C2014" s="164">
        <v>0.41842592592592592</v>
      </c>
      <c r="D2014" s="159">
        <v>10</v>
      </c>
      <c r="E2014" s="166" t="s">
        <v>1919</v>
      </c>
    </row>
    <row r="2015" spans="1:5">
      <c r="A2015" s="159">
        <f t="shared" si="23"/>
        <v>2014</v>
      </c>
      <c r="B2015" s="163">
        <v>45804</v>
      </c>
      <c r="C2015" s="164">
        <v>0.39751157407407406</v>
      </c>
      <c r="D2015" s="159">
        <v>10</v>
      </c>
      <c r="E2015" s="166" t="s">
        <v>1920</v>
      </c>
    </row>
    <row r="2016" spans="1:5">
      <c r="A2016" s="159">
        <f t="shared" si="23"/>
        <v>2015</v>
      </c>
      <c r="B2016" s="163">
        <v>45804</v>
      </c>
      <c r="C2016" s="164">
        <v>0.39500000000000002</v>
      </c>
      <c r="D2016" s="159">
        <v>10</v>
      </c>
      <c r="E2016" s="166" t="s">
        <v>1921</v>
      </c>
    </row>
    <row r="2017" spans="1:5">
      <c r="A2017" s="159">
        <f t="shared" si="23"/>
        <v>2016</v>
      </c>
      <c r="B2017" s="163">
        <v>45804</v>
      </c>
      <c r="C2017" s="164">
        <v>0.39120370370370372</v>
      </c>
      <c r="D2017" s="159">
        <v>10</v>
      </c>
      <c r="E2017" s="166" t="s">
        <v>1922</v>
      </c>
    </row>
    <row r="2018" spans="1:5">
      <c r="A2018" s="159">
        <f t="shared" si="23"/>
        <v>2017</v>
      </c>
      <c r="B2018" s="163">
        <v>45805</v>
      </c>
      <c r="C2018" s="164">
        <v>0.9083796296296297</v>
      </c>
      <c r="D2018" s="159">
        <v>10</v>
      </c>
      <c r="E2018" s="166" t="s">
        <v>1926</v>
      </c>
    </row>
    <row r="2019" spans="1:5">
      <c r="A2019" s="159">
        <f t="shared" si="23"/>
        <v>2018</v>
      </c>
      <c r="B2019" s="163">
        <v>45805</v>
      </c>
      <c r="C2019" s="164">
        <v>0.88858796296296294</v>
      </c>
      <c r="D2019" s="159">
        <v>10</v>
      </c>
      <c r="E2019" s="166" t="s">
        <v>1927</v>
      </c>
    </row>
    <row r="2020" spans="1:5">
      <c r="A2020" s="159">
        <f t="shared" si="23"/>
        <v>2019</v>
      </c>
      <c r="B2020" s="163">
        <v>45805</v>
      </c>
      <c r="C2020" s="164">
        <v>0.88103009259259257</v>
      </c>
      <c r="D2020" s="159">
        <v>10</v>
      </c>
      <c r="E2020" s="166" t="s">
        <v>1928</v>
      </c>
    </row>
    <row r="2021" spans="1:5">
      <c r="A2021" s="159">
        <f t="shared" si="23"/>
        <v>2020</v>
      </c>
      <c r="B2021" s="163">
        <v>45805</v>
      </c>
      <c r="C2021" s="164">
        <v>0.84437499999999999</v>
      </c>
      <c r="D2021" s="159">
        <v>10</v>
      </c>
      <c r="E2021" s="166" t="s">
        <v>1929</v>
      </c>
    </row>
    <row r="2022" spans="1:5">
      <c r="A2022" s="159">
        <f t="shared" si="23"/>
        <v>2021</v>
      </c>
      <c r="B2022" s="163">
        <v>45805</v>
      </c>
      <c r="C2022" s="164">
        <v>0.84409722222222217</v>
      </c>
      <c r="D2022" s="159">
        <v>10</v>
      </c>
      <c r="E2022" s="166" t="s">
        <v>1930</v>
      </c>
    </row>
    <row r="2023" spans="1:5">
      <c r="A2023" s="159">
        <f t="shared" si="23"/>
        <v>2022</v>
      </c>
      <c r="B2023" s="163">
        <v>45805</v>
      </c>
      <c r="C2023" s="164">
        <v>0.83211805555555562</v>
      </c>
      <c r="D2023" s="159">
        <v>10</v>
      </c>
      <c r="E2023" s="166" t="s">
        <v>1931</v>
      </c>
    </row>
    <row r="2024" spans="1:5">
      <c r="A2024" s="159">
        <f t="shared" si="23"/>
        <v>2023</v>
      </c>
      <c r="B2024" s="163">
        <v>45805</v>
      </c>
      <c r="C2024" s="164">
        <v>0.77416666666666656</v>
      </c>
      <c r="D2024" s="159">
        <v>10</v>
      </c>
      <c r="E2024" s="166" t="s">
        <v>1932</v>
      </c>
    </row>
    <row r="2025" spans="1:5">
      <c r="A2025" s="159">
        <f t="shared" si="23"/>
        <v>2024</v>
      </c>
      <c r="B2025" s="163">
        <v>45805</v>
      </c>
      <c r="C2025" s="164">
        <v>0.76415509259259251</v>
      </c>
      <c r="D2025" s="159">
        <v>10</v>
      </c>
      <c r="E2025" s="166" t="s">
        <v>1933</v>
      </c>
    </row>
    <row r="2026" spans="1:5">
      <c r="A2026" s="159">
        <f t="shared" si="23"/>
        <v>2025</v>
      </c>
      <c r="B2026" s="163">
        <v>45805</v>
      </c>
      <c r="C2026" s="164">
        <v>0.76075231481481476</v>
      </c>
      <c r="D2026" s="159">
        <v>10</v>
      </c>
      <c r="E2026" s="166" t="s">
        <v>246</v>
      </c>
    </row>
    <row r="2027" spans="1:5">
      <c r="A2027" s="159">
        <f t="shared" si="23"/>
        <v>2026</v>
      </c>
      <c r="B2027" s="163">
        <v>45805</v>
      </c>
      <c r="C2027" s="164">
        <v>0.75168981481481489</v>
      </c>
      <c r="D2027" s="159">
        <v>10</v>
      </c>
      <c r="E2027" s="166" t="s">
        <v>1934</v>
      </c>
    </row>
    <row r="2028" spans="1:5">
      <c r="A2028" s="159">
        <f t="shared" si="23"/>
        <v>2027</v>
      </c>
      <c r="B2028" s="163">
        <v>45805</v>
      </c>
      <c r="C2028" s="164">
        <v>0.74747685185185186</v>
      </c>
      <c r="D2028" s="159">
        <v>10</v>
      </c>
      <c r="E2028" s="166" t="s">
        <v>1935</v>
      </c>
    </row>
    <row r="2029" spans="1:5">
      <c r="A2029" s="159">
        <f t="shared" si="23"/>
        <v>2028</v>
      </c>
      <c r="B2029" s="163">
        <v>45805</v>
      </c>
      <c r="C2029" s="164">
        <v>0.74637731481481484</v>
      </c>
      <c r="D2029" s="159">
        <v>10</v>
      </c>
      <c r="E2029" s="166" t="s">
        <v>215</v>
      </c>
    </row>
    <row r="2030" spans="1:5">
      <c r="A2030" s="159">
        <f t="shared" si="23"/>
        <v>2029</v>
      </c>
      <c r="B2030" s="163">
        <v>45805</v>
      </c>
      <c r="C2030" s="164">
        <v>0.74511574074074083</v>
      </c>
      <c r="D2030" s="159">
        <v>10</v>
      </c>
      <c r="E2030" s="166" t="s">
        <v>1936</v>
      </c>
    </row>
    <row r="2031" spans="1:5">
      <c r="A2031" s="159">
        <f t="shared" si="23"/>
        <v>2030</v>
      </c>
      <c r="B2031" s="163">
        <v>45805</v>
      </c>
      <c r="C2031" s="164">
        <v>0.74283564814814806</v>
      </c>
      <c r="D2031" s="159">
        <v>10</v>
      </c>
      <c r="E2031" s="166" t="s">
        <v>1937</v>
      </c>
    </row>
    <row r="2032" spans="1:5">
      <c r="A2032" s="159">
        <f t="shared" si="23"/>
        <v>2031</v>
      </c>
      <c r="B2032" s="163">
        <v>45805</v>
      </c>
      <c r="C2032" s="164">
        <v>0.73799768518518516</v>
      </c>
      <c r="D2032" s="159">
        <v>10</v>
      </c>
      <c r="E2032" s="166" t="s">
        <v>1938</v>
      </c>
    </row>
    <row r="2033" spans="1:5">
      <c r="A2033" s="159">
        <f t="shared" si="23"/>
        <v>2032</v>
      </c>
      <c r="B2033" s="163">
        <v>45805</v>
      </c>
      <c r="C2033" s="164">
        <v>0.73045138888888894</v>
      </c>
      <c r="D2033" s="159">
        <v>10</v>
      </c>
      <c r="E2033" s="166" t="s">
        <v>1939</v>
      </c>
    </row>
    <row r="2034" spans="1:5">
      <c r="A2034" s="159">
        <f t="shared" si="23"/>
        <v>2033</v>
      </c>
      <c r="B2034" s="163">
        <v>45805</v>
      </c>
      <c r="C2034" s="164">
        <v>0.72490740740740733</v>
      </c>
      <c r="D2034" s="159">
        <v>10</v>
      </c>
      <c r="E2034" s="166" t="s">
        <v>1940</v>
      </c>
    </row>
    <row r="2035" spans="1:5">
      <c r="A2035" s="159">
        <f t="shared" si="23"/>
        <v>2034</v>
      </c>
      <c r="B2035" s="163">
        <v>45805</v>
      </c>
      <c r="C2035" s="164">
        <v>0.71704861111111118</v>
      </c>
      <c r="D2035" s="159">
        <v>10</v>
      </c>
      <c r="E2035" s="166" t="s">
        <v>1941</v>
      </c>
    </row>
    <row r="2036" spans="1:5">
      <c r="A2036" s="159">
        <f t="shared" si="23"/>
        <v>2035</v>
      </c>
      <c r="B2036" s="163">
        <v>45805</v>
      </c>
      <c r="C2036" s="164">
        <v>0.71494212962962955</v>
      </c>
      <c r="D2036" s="159">
        <v>10</v>
      </c>
      <c r="E2036" s="166" t="s">
        <v>1942</v>
      </c>
    </row>
    <row r="2037" spans="1:5">
      <c r="A2037" s="159">
        <f t="shared" ref="A2037:A2100" si="24">ROW()-1</f>
        <v>2036</v>
      </c>
      <c r="B2037" s="163">
        <v>45805</v>
      </c>
      <c r="C2037" s="164">
        <v>0.71422453703703714</v>
      </c>
      <c r="D2037" s="159">
        <v>10</v>
      </c>
      <c r="E2037" s="166" t="s">
        <v>1943</v>
      </c>
    </row>
    <row r="2038" spans="1:5">
      <c r="A2038" s="159">
        <f t="shared" si="24"/>
        <v>2037</v>
      </c>
      <c r="B2038" s="163">
        <v>45805</v>
      </c>
      <c r="C2038" s="164">
        <v>0.70104166666666667</v>
      </c>
      <c r="D2038" s="159">
        <v>10</v>
      </c>
      <c r="E2038" s="166" t="s">
        <v>1944</v>
      </c>
    </row>
    <row r="2039" spans="1:5">
      <c r="A2039" s="159">
        <f t="shared" si="24"/>
        <v>2038</v>
      </c>
      <c r="B2039" s="163">
        <v>45805</v>
      </c>
      <c r="C2039" s="164">
        <v>0.69510416666666675</v>
      </c>
      <c r="D2039" s="159">
        <v>10</v>
      </c>
      <c r="E2039" s="166" t="s">
        <v>1945</v>
      </c>
    </row>
    <row r="2040" spans="1:5">
      <c r="A2040" s="159">
        <f t="shared" si="24"/>
        <v>2039</v>
      </c>
      <c r="B2040" s="163">
        <v>45805</v>
      </c>
      <c r="C2040" s="164">
        <v>0.69086805555555564</v>
      </c>
      <c r="D2040" s="159">
        <v>10</v>
      </c>
      <c r="E2040" s="166" t="s">
        <v>1946</v>
      </c>
    </row>
    <row r="2041" spans="1:5">
      <c r="A2041" s="159">
        <f t="shared" si="24"/>
        <v>2040</v>
      </c>
      <c r="B2041" s="163">
        <v>45805</v>
      </c>
      <c r="C2041" s="164">
        <v>0.68332175925925931</v>
      </c>
      <c r="D2041" s="159">
        <v>10</v>
      </c>
      <c r="E2041" s="166" t="s">
        <v>1947</v>
      </c>
    </row>
    <row r="2042" spans="1:5">
      <c r="A2042" s="159">
        <f t="shared" si="24"/>
        <v>2041</v>
      </c>
      <c r="B2042" s="163">
        <v>45805</v>
      </c>
      <c r="C2042" s="164">
        <v>0.6814930555555555</v>
      </c>
      <c r="D2042" s="159">
        <v>10</v>
      </c>
      <c r="E2042" s="166" t="s">
        <v>1948</v>
      </c>
    </row>
    <row r="2043" spans="1:5">
      <c r="A2043" s="159">
        <f t="shared" si="24"/>
        <v>2042</v>
      </c>
      <c r="B2043" s="163">
        <v>45805</v>
      </c>
      <c r="C2043" s="164">
        <v>0.68023148148148149</v>
      </c>
      <c r="D2043" s="159">
        <v>10</v>
      </c>
      <c r="E2043" s="166" t="s">
        <v>1971</v>
      </c>
    </row>
    <row r="2044" spans="1:5">
      <c r="A2044" s="159">
        <f t="shared" si="24"/>
        <v>2043</v>
      </c>
      <c r="B2044" s="163">
        <v>45805</v>
      </c>
      <c r="C2044" s="164">
        <v>0.6761921296296296</v>
      </c>
      <c r="D2044" s="159">
        <v>10</v>
      </c>
      <c r="E2044" s="166" t="s">
        <v>1949</v>
      </c>
    </row>
    <row r="2045" spans="1:5">
      <c r="A2045" s="159">
        <f t="shared" si="24"/>
        <v>2044</v>
      </c>
      <c r="B2045" s="163">
        <v>45805</v>
      </c>
      <c r="C2045" s="164">
        <v>0.66467592592592595</v>
      </c>
      <c r="D2045" s="159">
        <v>10</v>
      </c>
      <c r="E2045" s="166" t="s">
        <v>1950</v>
      </c>
    </row>
    <row r="2046" spans="1:5">
      <c r="A2046" s="159">
        <f t="shared" si="24"/>
        <v>2045</v>
      </c>
      <c r="B2046" s="163">
        <v>45805</v>
      </c>
      <c r="C2046" s="164">
        <v>0.66224537037037035</v>
      </c>
      <c r="D2046" s="159">
        <v>10</v>
      </c>
      <c r="E2046" s="166" t="s">
        <v>1951</v>
      </c>
    </row>
    <row r="2047" spans="1:5">
      <c r="A2047" s="159">
        <f t="shared" si="24"/>
        <v>2046</v>
      </c>
      <c r="B2047" s="163">
        <v>45805</v>
      </c>
      <c r="C2047" s="164">
        <v>0.66135416666666669</v>
      </c>
      <c r="D2047" s="159">
        <v>10</v>
      </c>
      <c r="E2047" s="166" t="s">
        <v>1952</v>
      </c>
    </row>
    <row r="2048" spans="1:5">
      <c r="A2048" s="159">
        <f t="shared" si="24"/>
        <v>2047</v>
      </c>
      <c r="B2048" s="163">
        <v>45805</v>
      </c>
      <c r="C2048" s="164">
        <v>0.64790509259259255</v>
      </c>
      <c r="D2048" s="159">
        <v>10</v>
      </c>
      <c r="E2048" s="166" t="s">
        <v>1953</v>
      </c>
    </row>
    <row r="2049" spans="1:5">
      <c r="A2049" s="159">
        <f t="shared" si="24"/>
        <v>2048</v>
      </c>
      <c r="B2049" s="163">
        <v>45805</v>
      </c>
      <c r="C2049" s="164">
        <v>0.64604166666666674</v>
      </c>
      <c r="D2049" s="159">
        <v>10</v>
      </c>
      <c r="E2049" s="166" t="s">
        <v>1954</v>
      </c>
    </row>
    <row r="2050" spans="1:5">
      <c r="A2050" s="159">
        <f t="shared" si="24"/>
        <v>2049</v>
      </c>
      <c r="B2050" s="163">
        <v>45805</v>
      </c>
      <c r="C2050" s="164">
        <v>0.64503472222222225</v>
      </c>
      <c r="D2050" s="159">
        <v>10</v>
      </c>
      <c r="E2050" s="166" t="s">
        <v>1955</v>
      </c>
    </row>
    <row r="2051" spans="1:5" ht="27">
      <c r="A2051" s="159">
        <f t="shared" si="24"/>
        <v>2050</v>
      </c>
      <c r="B2051" s="163">
        <v>45805</v>
      </c>
      <c r="C2051" s="164">
        <v>0.60648148148148151</v>
      </c>
      <c r="D2051" s="159">
        <v>10</v>
      </c>
      <c r="E2051" s="166" t="s">
        <v>1970</v>
      </c>
    </row>
    <row r="2052" spans="1:5">
      <c r="A2052" s="159">
        <f t="shared" si="24"/>
        <v>2051</v>
      </c>
      <c r="B2052" s="163">
        <v>45805</v>
      </c>
      <c r="C2052" s="164">
        <v>0.58643518518518511</v>
      </c>
      <c r="D2052" s="159">
        <v>10</v>
      </c>
      <c r="E2052" s="166" t="s">
        <v>1956</v>
      </c>
    </row>
    <row r="2053" spans="1:5">
      <c r="A2053" s="159">
        <f t="shared" si="24"/>
        <v>2052</v>
      </c>
      <c r="B2053" s="163">
        <v>45805</v>
      </c>
      <c r="C2053" s="164">
        <v>0.58608796296296295</v>
      </c>
      <c r="D2053" s="159">
        <v>10</v>
      </c>
      <c r="E2053" s="166" t="s">
        <v>1957</v>
      </c>
    </row>
    <row r="2054" spans="1:5">
      <c r="A2054" s="159">
        <f t="shared" si="24"/>
        <v>2053</v>
      </c>
      <c r="B2054" s="163">
        <v>45805</v>
      </c>
      <c r="C2054" s="164">
        <v>0.58157407407407413</v>
      </c>
      <c r="D2054" s="159">
        <v>10</v>
      </c>
      <c r="E2054" s="166" t="s">
        <v>1958</v>
      </c>
    </row>
    <row r="2055" spans="1:5">
      <c r="A2055" s="159">
        <f t="shared" si="24"/>
        <v>2054</v>
      </c>
      <c r="B2055" s="163">
        <v>45805</v>
      </c>
      <c r="C2055" s="164">
        <v>0.57355324074074077</v>
      </c>
      <c r="D2055" s="159">
        <v>10</v>
      </c>
      <c r="E2055" s="166" t="s">
        <v>1959</v>
      </c>
    </row>
    <row r="2056" spans="1:5">
      <c r="A2056" s="159">
        <f t="shared" si="24"/>
        <v>2055</v>
      </c>
      <c r="B2056" s="163">
        <v>45805</v>
      </c>
      <c r="C2056" s="164">
        <v>0.57288194444444451</v>
      </c>
      <c r="D2056" s="159">
        <v>10</v>
      </c>
      <c r="E2056" s="166" t="s">
        <v>288</v>
      </c>
    </row>
    <row r="2057" spans="1:5">
      <c r="A2057" s="159">
        <f t="shared" si="24"/>
        <v>2056</v>
      </c>
      <c r="B2057" s="163">
        <v>45805</v>
      </c>
      <c r="C2057" s="164">
        <v>0.57060185185185186</v>
      </c>
      <c r="D2057" s="159">
        <v>10</v>
      </c>
      <c r="E2057" s="166" t="s">
        <v>1960</v>
      </c>
    </row>
    <row r="2058" spans="1:5">
      <c r="A2058" s="159">
        <f t="shared" si="24"/>
        <v>2057</v>
      </c>
      <c r="B2058" s="163">
        <v>45805</v>
      </c>
      <c r="C2058" s="164">
        <v>0.5509722222222222</v>
      </c>
      <c r="D2058" s="159">
        <v>10</v>
      </c>
      <c r="E2058" s="166" t="s">
        <v>1961</v>
      </c>
    </row>
    <row r="2059" spans="1:5">
      <c r="A2059" s="159">
        <f t="shared" si="24"/>
        <v>2058</v>
      </c>
      <c r="B2059" s="163">
        <v>45805</v>
      </c>
      <c r="C2059" s="164">
        <v>0.54980324074074072</v>
      </c>
      <c r="D2059" s="159">
        <v>10</v>
      </c>
      <c r="E2059" s="166" t="s">
        <v>1962</v>
      </c>
    </row>
    <row r="2060" spans="1:5">
      <c r="A2060" s="159">
        <f t="shared" si="24"/>
        <v>2059</v>
      </c>
      <c r="B2060" s="163">
        <v>45805</v>
      </c>
      <c r="C2060" s="164">
        <v>0.47443287037037035</v>
      </c>
      <c r="D2060" s="159">
        <v>10</v>
      </c>
      <c r="E2060" s="166" t="s">
        <v>1963</v>
      </c>
    </row>
    <row r="2061" spans="1:5">
      <c r="A2061" s="159">
        <f t="shared" si="24"/>
        <v>2060</v>
      </c>
      <c r="B2061" s="163">
        <v>45805</v>
      </c>
      <c r="C2061" s="164">
        <v>0.4496412037037037</v>
      </c>
      <c r="D2061" s="159">
        <v>10</v>
      </c>
      <c r="E2061" s="166" t="s">
        <v>1964</v>
      </c>
    </row>
    <row r="2062" spans="1:5">
      <c r="A2062" s="159">
        <f t="shared" si="24"/>
        <v>2061</v>
      </c>
      <c r="B2062" s="163">
        <v>45805</v>
      </c>
      <c r="C2062" s="164">
        <v>0.44938657407407406</v>
      </c>
      <c r="D2062" s="159">
        <v>10</v>
      </c>
      <c r="E2062" s="166" t="s">
        <v>1965</v>
      </c>
    </row>
    <row r="2063" spans="1:5">
      <c r="A2063" s="159">
        <f t="shared" si="24"/>
        <v>2062</v>
      </c>
      <c r="B2063" s="163">
        <v>45805</v>
      </c>
      <c r="C2063" s="164">
        <v>0.43298611111111113</v>
      </c>
      <c r="D2063" s="159">
        <v>10</v>
      </c>
      <c r="E2063" s="166" t="s">
        <v>1966</v>
      </c>
    </row>
    <row r="2064" spans="1:5">
      <c r="A2064" s="159">
        <f t="shared" si="24"/>
        <v>2063</v>
      </c>
      <c r="B2064" s="163">
        <v>45805</v>
      </c>
      <c r="C2064" s="164">
        <v>0.42773148148148149</v>
      </c>
      <c r="D2064" s="159">
        <v>10</v>
      </c>
      <c r="E2064" s="166" t="s">
        <v>1967</v>
      </c>
    </row>
    <row r="2065" spans="1:5">
      <c r="A2065" s="159">
        <f t="shared" si="24"/>
        <v>2064</v>
      </c>
      <c r="B2065" s="163">
        <v>45805</v>
      </c>
      <c r="C2065" s="164">
        <v>0.4135300925925926</v>
      </c>
      <c r="D2065" s="159">
        <v>10</v>
      </c>
      <c r="E2065" s="166" t="s">
        <v>1968</v>
      </c>
    </row>
    <row r="2066" spans="1:5" ht="27">
      <c r="A2066" s="159">
        <f t="shared" si="24"/>
        <v>2065</v>
      </c>
      <c r="B2066" s="163">
        <v>45805</v>
      </c>
      <c r="C2066" s="164">
        <v>0.39151620370370371</v>
      </c>
      <c r="D2066" s="159">
        <v>10</v>
      </c>
      <c r="E2066" s="166" t="s">
        <v>1969</v>
      </c>
    </row>
    <row r="2067" spans="1:5">
      <c r="A2067" s="159">
        <f t="shared" si="24"/>
        <v>2066</v>
      </c>
      <c r="B2067" s="163">
        <v>45806</v>
      </c>
      <c r="C2067" s="164">
        <v>0.91516203703703702</v>
      </c>
      <c r="D2067" s="159">
        <v>10</v>
      </c>
      <c r="E2067" s="166" t="s">
        <v>1972</v>
      </c>
    </row>
    <row r="2068" spans="1:5">
      <c r="A2068" s="159">
        <f t="shared" si="24"/>
        <v>2067</v>
      </c>
      <c r="B2068" s="163">
        <v>45806</v>
      </c>
      <c r="C2068" s="164">
        <v>0.84472222222222226</v>
      </c>
      <c r="D2068" s="159">
        <v>10</v>
      </c>
      <c r="E2068" s="166" t="s">
        <v>1973</v>
      </c>
    </row>
    <row r="2069" spans="1:5">
      <c r="A2069" s="159">
        <f t="shared" si="24"/>
        <v>2068</v>
      </c>
      <c r="B2069" s="163">
        <v>45806</v>
      </c>
      <c r="C2069" s="164">
        <v>0.81243055555555566</v>
      </c>
      <c r="D2069" s="159">
        <v>10</v>
      </c>
      <c r="E2069" s="166" t="s">
        <v>1974</v>
      </c>
    </row>
    <row r="2070" spans="1:5">
      <c r="A2070" s="159">
        <f t="shared" si="24"/>
        <v>2069</v>
      </c>
      <c r="B2070" s="163">
        <v>45806</v>
      </c>
      <c r="C2070" s="164">
        <v>0.80953703703703705</v>
      </c>
      <c r="D2070" s="159">
        <v>10</v>
      </c>
      <c r="E2070" s="166" t="s">
        <v>1975</v>
      </c>
    </row>
    <row r="2071" spans="1:5">
      <c r="A2071" s="159">
        <f t="shared" si="24"/>
        <v>2070</v>
      </c>
      <c r="B2071" s="163">
        <v>45806</v>
      </c>
      <c r="C2071" s="164">
        <v>0.74679398148148157</v>
      </c>
      <c r="D2071" s="159">
        <v>10</v>
      </c>
      <c r="E2071" s="166" t="s">
        <v>1976</v>
      </c>
    </row>
    <row r="2072" spans="1:5">
      <c r="A2072" s="159">
        <f t="shared" si="24"/>
        <v>2071</v>
      </c>
      <c r="B2072" s="163">
        <v>45806</v>
      </c>
      <c r="C2072" s="164">
        <v>0.74072916666666666</v>
      </c>
      <c r="D2072" s="159">
        <v>10</v>
      </c>
      <c r="E2072" s="166" t="s">
        <v>288</v>
      </c>
    </row>
    <row r="2073" spans="1:5">
      <c r="A2073" s="159">
        <f t="shared" si="24"/>
        <v>2072</v>
      </c>
      <c r="B2073" s="163">
        <v>45806</v>
      </c>
      <c r="C2073" s="164">
        <v>0.73370370370370364</v>
      </c>
      <c r="D2073" s="159">
        <v>10</v>
      </c>
      <c r="E2073" s="166" t="s">
        <v>1977</v>
      </c>
    </row>
    <row r="2074" spans="1:5">
      <c r="A2074" s="159">
        <f t="shared" si="24"/>
        <v>2073</v>
      </c>
      <c r="B2074" s="163">
        <v>45806</v>
      </c>
      <c r="C2074" s="164">
        <v>0.7306597222222222</v>
      </c>
      <c r="D2074" s="159">
        <v>10</v>
      </c>
      <c r="E2074" s="166" t="s">
        <v>841</v>
      </c>
    </row>
    <row r="2075" spans="1:5">
      <c r="A2075" s="159">
        <f t="shared" si="24"/>
        <v>2074</v>
      </c>
      <c r="B2075" s="163">
        <v>45806</v>
      </c>
      <c r="C2075" s="164">
        <v>0.72079861111111121</v>
      </c>
      <c r="D2075" s="159">
        <v>10</v>
      </c>
      <c r="E2075" s="166" t="s">
        <v>1978</v>
      </c>
    </row>
    <row r="2076" spans="1:5">
      <c r="A2076" s="159">
        <f t="shared" si="24"/>
        <v>2075</v>
      </c>
      <c r="B2076" s="163">
        <v>45806</v>
      </c>
      <c r="C2076" s="164">
        <v>0.68732638888888886</v>
      </c>
      <c r="D2076" s="159">
        <v>10</v>
      </c>
      <c r="E2076" s="166" t="s">
        <v>1979</v>
      </c>
    </row>
    <row r="2077" spans="1:5">
      <c r="A2077" s="159">
        <f t="shared" si="24"/>
        <v>2076</v>
      </c>
      <c r="B2077" s="163">
        <v>45806</v>
      </c>
      <c r="C2077" s="164">
        <v>0.68223379629629621</v>
      </c>
      <c r="D2077" s="159">
        <v>10</v>
      </c>
      <c r="E2077" s="166" t="s">
        <v>313</v>
      </c>
    </row>
    <row r="2078" spans="1:5">
      <c r="A2078" s="159">
        <f t="shared" si="24"/>
        <v>2077</v>
      </c>
      <c r="B2078" s="163">
        <v>45806</v>
      </c>
      <c r="C2078" s="164">
        <v>0.68077546296296287</v>
      </c>
      <c r="D2078" s="159">
        <v>10</v>
      </c>
      <c r="E2078" s="166" t="s">
        <v>1980</v>
      </c>
    </row>
    <row r="2079" spans="1:5">
      <c r="A2079" s="159">
        <f t="shared" si="24"/>
        <v>2078</v>
      </c>
      <c r="B2079" s="163">
        <v>45806</v>
      </c>
      <c r="C2079" s="164">
        <v>0.67841435185185184</v>
      </c>
      <c r="D2079" s="159">
        <v>10</v>
      </c>
      <c r="E2079" s="166" t="s">
        <v>132</v>
      </c>
    </row>
    <row r="2080" spans="1:5">
      <c r="A2080" s="159">
        <f t="shared" si="24"/>
        <v>2079</v>
      </c>
      <c r="B2080" s="163">
        <v>45806</v>
      </c>
      <c r="C2080" s="164">
        <v>0.67494212962962974</v>
      </c>
      <c r="D2080" s="159">
        <v>10</v>
      </c>
      <c r="E2080" s="166" t="s">
        <v>1981</v>
      </c>
    </row>
    <row r="2081" spans="1:5">
      <c r="A2081" s="159">
        <f t="shared" si="24"/>
        <v>2080</v>
      </c>
      <c r="B2081" s="163">
        <v>45806</v>
      </c>
      <c r="C2081" s="164">
        <v>0.67042824074074081</v>
      </c>
      <c r="D2081" s="159">
        <v>10</v>
      </c>
      <c r="E2081" s="166" t="s">
        <v>179</v>
      </c>
    </row>
    <row r="2082" spans="1:5">
      <c r="A2082" s="159">
        <f t="shared" si="24"/>
        <v>2081</v>
      </c>
      <c r="B2082" s="163">
        <v>45806</v>
      </c>
      <c r="C2082" s="164">
        <v>0.65905092592592596</v>
      </c>
      <c r="D2082" s="159">
        <v>10</v>
      </c>
      <c r="E2082" s="166" t="s">
        <v>1982</v>
      </c>
    </row>
    <row r="2083" spans="1:5">
      <c r="A2083" s="159">
        <f t="shared" si="24"/>
        <v>2082</v>
      </c>
      <c r="B2083" s="163">
        <v>45806</v>
      </c>
      <c r="C2083" s="164">
        <v>0.64675925925925926</v>
      </c>
      <c r="D2083" s="159">
        <v>10</v>
      </c>
      <c r="E2083" s="166" t="s">
        <v>132</v>
      </c>
    </row>
    <row r="2084" spans="1:5">
      <c r="A2084" s="159">
        <f t="shared" si="24"/>
        <v>2083</v>
      </c>
      <c r="B2084" s="163">
        <v>45806</v>
      </c>
      <c r="C2084" s="164">
        <v>0.63893518518518522</v>
      </c>
      <c r="D2084" s="159">
        <v>10</v>
      </c>
      <c r="E2084" s="166" t="s">
        <v>1983</v>
      </c>
    </row>
    <row r="2085" spans="1:5">
      <c r="A2085" s="159">
        <f t="shared" si="24"/>
        <v>2084</v>
      </c>
      <c r="B2085" s="163">
        <v>45806</v>
      </c>
      <c r="C2085" s="164">
        <v>0.63201388888888888</v>
      </c>
      <c r="D2085" s="159">
        <v>10</v>
      </c>
      <c r="E2085" s="166" t="s">
        <v>1984</v>
      </c>
    </row>
    <row r="2086" spans="1:5">
      <c r="A2086" s="159">
        <f t="shared" si="24"/>
        <v>2085</v>
      </c>
      <c r="B2086" s="163">
        <v>45806</v>
      </c>
      <c r="C2086" s="164">
        <v>0.62442129629629628</v>
      </c>
      <c r="D2086" s="159">
        <v>10</v>
      </c>
      <c r="E2086" s="166" t="s">
        <v>132</v>
      </c>
    </row>
    <row r="2087" spans="1:5">
      <c r="A2087" s="159">
        <f t="shared" si="24"/>
        <v>2086</v>
      </c>
      <c r="B2087" s="163">
        <v>45806</v>
      </c>
      <c r="C2087" s="164">
        <v>0.62200231481481483</v>
      </c>
      <c r="D2087" s="159">
        <v>10</v>
      </c>
      <c r="E2087" s="166" t="s">
        <v>1985</v>
      </c>
    </row>
    <row r="2088" spans="1:5">
      <c r="A2088" s="159">
        <f t="shared" si="24"/>
        <v>2087</v>
      </c>
      <c r="B2088" s="163">
        <v>45806</v>
      </c>
      <c r="C2088" s="164">
        <v>0.60682870370370368</v>
      </c>
      <c r="D2088" s="159">
        <v>10</v>
      </c>
      <c r="E2088" s="166" t="s">
        <v>1986</v>
      </c>
    </row>
    <row r="2089" spans="1:5">
      <c r="A2089" s="159">
        <f t="shared" si="24"/>
        <v>2088</v>
      </c>
      <c r="B2089" s="163">
        <v>45806</v>
      </c>
      <c r="C2089" s="164">
        <v>0.60636574074074068</v>
      </c>
      <c r="D2089" s="159">
        <v>10</v>
      </c>
      <c r="E2089" s="166" t="s">
        <v>1987</v>
      </c>
    </row>
    <row r="2090" spans="1:5">
      <c r="A2090" s="159">
        <f t="shared" si="24"/>
        <v>2089</v>
      </c>
      <c r="B2090" s="163">
        <v>45806</v>
      </c>
      <c r="C2090" s="164">
        <v>0.60040509259259256</v>
      </c>
      <c r="D2090" s="159">
        <v>10</v>
      </c>
      <c r="E2090" s="166" t="s">
        <v>2010</v>
      </c>
    </row>
    <row r="2091" spans="1:5">
      <c r="A2091" s="159">
        <f t="shared" si="24"/>
        <v>2090</v>
      </c>
      <c r="B2091" s="163">
        <v>45806</v>
      </c>
      <c r="C2091" s="164">
        <v>0.59756944444444449</v>
      </c>
      <c r="D2091" s="159">
        <v>10</v>
      </c>
      <c r="E2091" s="166" t="s">
        <v>1988</v>
      </c>
    </row>
    <row r="2092" spans="1:5">
      <c r="A2092" s="159">
        <f t="shared" si="24"/>
        <v>2091</v>
      </c>
      <c r="B2092" s="163">
        <v>45806</v>
      </c>
      <c r="C2092" s="164">
        <v>0.59574074074074079</v>
      </c>
      <c r="D2092" s="159">
        <v>10</v>
      </c>
      <c r="E2092" s="166" t="s">
        <v>1989</v>
      </c>
    </row>
    <row r="2093" spans="1:5">
      <c r="A2093" s="159">
        <f t="shared" si="24"/>
        <v>2092</v>
      </c>
      <c r="B2093" s="163">
        <v>45806</v>
      </c>
      <c r="C2093" s="164">
        <v>0.57592592592592595</v>
      </c>
      <c r="D2093" s="159">
        <v>10</v>
      </c>
      <c r="E2093" s="166" t="s">
        <v>1990</v>
      </c>
    </row>
    <row r="2094" spans="1:5">
      <c r="A2094" s="159">
        <f t="shared" si="24"/>
        <v>2093</v>
      </c>
      <c r="B2094" s="163">
        <v>45806</v>
      </c>
      <c r="C2094" s="164">
        <v>0.57342592592592589</v>
      </c>
      <c r="D2094" s="159">
        <v>10</v>
      </c>
      <c r="E2094" s="166" t="s">
        <v>1991</v>
      </c>
    </row>
    <row r="2095" spans="1:5">
      <c r="A2095" s="159">
        <f t="shared" si="24"/>
        <v>2094</v>
      </c>
      <c r="B2095" s="163">
        <v>45806</v>
      </c>
      <c r="C2095" s="164">
        <v>0.5736458333333333</v>
      </c>
      <c r="D2095" s="159">
        <v>10</v>
      </c>
      <c r="E2095" s="166" t="s">
        <v>1992</v>
      </c>
    </row>
    <row r="2096" spans="1:5">
      <c r="A2096" s="159">
        <f t="shared" si="24"/>
        <v>2095</v>
      </c>
      <c r="B2096" s="163">
        <v>45806</v>
      </c>
      <c r="C2096" s="164">
        <v>0.5589467592592593</v>
      </c>
      <c r="D2096" s="159">
        <v>10</v>
      </c>
      <c r="E2096" s="166" t="s">
        <v>1993</v>
      </c>
    </row>
    <row r="2097" spans="1:5">
      <c r="A2097" s="159">
        <f t="shared" si="24"/>
        <v>2096</v>
      </c>
      <c r="B2097" s="163">
        <v>45806</v>
      </c>
      <c r="C2097" s="164">
        <v>0.55289351851851853</v>
      </c>
      <c r="D2097" s="159">
        <v>10</v>
      </c>
      <c r="E2097" s="166" t="s">
        <v>1994</v>
      </c>
    </row>
    <row r="2098" spans="1:5">
      <c r="A2098" s="159">
        <f t="shared" si="24"/>
        <v>2097</v>
      </c>
      <c r="B2098" s="163">
        <v>45806</v>
      </c>
      <c r="C2098" s="164">
        <v>0.55259259259259264</v>
      </c>
      <c r="D2098" s="159">
        <v>10</v>
      </c>
      <c r="E2098" s="166" t="s">
        <v>1995</v>
      </c>
    </row>
    <row r="2099" spans="1:5">
      <c r="A2099" s="159">
        <f t="shared" si="24"/>
        <v>2098</v>
      </c>
      <c r="B2099" s="163">
        <v>45806</v>
      </c>
      <c r="C2099" s="164">
        <v>0.54910879629629628</v>
      </c>
      <c r="D2099" s="159">
        <v>10</v>
      </c>
      <c r="E2099" s="166" t="s">
        <v>1996</v>
      </c>
    </row>
    <row r="2100" spans="1:5">
      <c r="A2100" s="159">
        <f t="shared" si="24"/>
        <v>2099</v>
      </c>
      <c r="B2100" s="163">
        <v>45806</v>
      </c>
      <c r="C2100" s="164">
        <v>0.54659722222222229</v>
      </c>
      <c r="D2100" s="159">
        <v>10</v>
      </c>
      <c r="E2100" s="166" t="s">
        <v>1997</v>
      </c>
    </row>
    <row r="2101" spans="1:5">
      <c r="A2101" s="159">
        <f t="shared" ref="A2101:A2164" si="25">ROW()-1</f>
        <v>2100</v>
      </c>
      <c r="B2101" s="163">
        <v>45806</v>
      </c>
      <c r="C2101" s="164">
        <v>0.54593749999999996</v>
      </c>
      <c r="D2101" s="159">
        <v>10</v>
      </c>
      <c r="E2101" s="166" t="s">
        <v>448</v>
      </c>
    </row>
    <row r="2102" spans="1:5">
      <c r="A2102" s="159">
        <f t="shared" si="25"/>
        <v>2101</v>
      </c>
      <c r="B2102" s="163">
        <v>45806</v>
      </c>
      <c r="C2102" s="164">
        <v>0.53740740740740744</v>
      </c>
      <c r="D2102" s="159">
        <v>10</v>
      </c>
      <c r="E2102" s="166" t="s">
        <v>244</v>
      </c>
    </row>
    <row r="2103" spans="1:5">
      <c r="A2103" s="159">
        <f t="shared" si="25"/>
        <v>2102</v>
      </c>
      <c r="B2103" s="163">
        <v>45806</v>
      </c>
      <c r="C2103" s="164">
        <v>0.51074074074074072</v>
      </c>
      <c r="D2103" s="159">
        <v>10</v>
      </c>
      <c r="E2103" s="166" t="s">
        <v>1998</v>
      </c>
    </row>
    <row r="2104" spans="1:5">
      <c r="A2104" s="159">
        <f t="shared" si="25"/>
        <v>2103</v>
      </c>
      <c r="B2104" s="163">
        <v>45806</v>
      </c>
      <c r="C2104" s="164">
        <v>0.49571759259259257</v>
      </c>
      <c r="D2104" s="159">
        <v>10</v>
      </c>
      <c r="E2104" s="166" t="s">
        <v>2009</v>
      </c>
    </row>
    <row r="2105" spans="1:5">
      <c r="A2105" s="159">
        <f t="shared" si="25"/>
        <v>2104</v>
      </c>
      <c r="B2105" s="163">
        <v>45806</v>
      </c>
      <c r="C2105" s="164">
        <v>0.48771990740740739</v>
      </c>
      <c r="D2105" s="159">
        <v>10</v>
      </c>
      <c r="E2105" s="166" t="s">
        <v>1505</v>
      </c>
    </row>
    <row r="2106" spans="1:5">
      <c r="A2106" s="159">
        <f t="shared" si="25"/>
        <v>2105</v>
      </c>
      <c r="B2106" s="163">
        <v>45806</v>
      </c>
      <c r="C2106" s="164">
        <v>0.484375</v>
      </c>
      <c r="D2106" s="159">
        <v>10</v>
      </c>
      <c r="E2106" s="166" t="s">
        <v>1999</v>
      </c>
    </row>
    <row r="2107" spans="1:5">
      <c r="A2107" s="159">
        <f t="shared" si="25"/>
        <v>2106</v>
      </c>
      <c r="B2107" s="163">
        <v>45806</v>
      </c>
      <c r="C2107" s="164">
        <v>0.47652777777777783</v>
      </c>
      <c r="D2107" s="159">
        <v>10</v>
      </c>
      <c r="E2107" s="166" t="s">
        <v>2000</v>
      </c>
    </row>
    <row r="2108" spans="1:5">
      <c r="A2108" s="159">
        <f t="shared" si="25"/>
        <v>2107</v>
      </c>
      <c r="B2108" s="163">
        <v>45806</v>
      </c>
      <c r="C2108" s="164">
        <v>0.47281250000000002</v>
      </c>
      <c r="D2108" s="159">
        <v>10</v>
      </c>
      <c r="E2108" s="166" t="s">
        <v>2008</v>
      </c>
    </row>
    <row r="2109" spans="1:5">
      <c r="A2109" s="159">
        <f t="shared" si="25"/>
        <v>2108</v>
      </c>
      <c r="B2109" s="163">
        <v>45806</v>
      </c>
      <c r="C2109" s="164">
        <v>0.46988425925925931</v>
      </c>
      <c r="D2109" s="159">
        <v>10</v>
      </c>
      <c r="E2109" s="166" t="s">
        <v>2001</v>
      </c>
    </row>
    <row r="2110" spans="1:5">
      <c r="A2110" s="159">
        <f t="shared" si="25"/>
        <v>2109</v>
      </c>
      <c r="B2110" s="163">
        <v>45806</v>
      </c>
      <c r="C2110" s="164">
        <v>0.46763888888888888</v>
      </c>
      <c r="D2110" s="159">
        <v>10</v>
      </c>
      <c r="E2110" s="166" t="s">
        <v>2002</v>
      </c>
    </row>
    <row r="2111" spans="1:5">
      <c r="A2111" s="159">
        <f t="shared" si="25"/>
        <v>2110</v>
      </c>
      <c r="B2111" s="163">
        <v>45806</v>
      </c>
      <c r="C2111" s="164">
        <v>0.45730324074074075</v>
      </c>
      <c r="D2111" s="159">
        <v>10</v>
      </c>
      <c r="E2111" s="166" t="s">
        <v>244</v>
      </c>
    </row>
    <row r="2112" spans="1:5">
      <c r="A2112" s="159">
        <f t="shared" si="25"/>
        <v>2111</v>
      </c>
      <c r="B2112" s="163">
        <v>45806</v>
      </c>
      <c r="C2112" s="164">
        <v>0.45598379629629626</v>
      </c>
      <c r="D2112" s="159">
        <v>10</v>
      </c>
      <c r="E2112" s="166" t="s">
        <v>2003</v>
      </c>
    </row>
    <row r="2113" spans="1:5">
      <c r="A2113" s="159">
        <f t="shared" si="25"/>
        <v>2112</v>
      </c>
      <c r="B2113" s="163">
        <v>45806</v>
      </c>
      <c r="C2113" s="164">
        <v>0.45386574074074071</v>
      </c>
      <c r="D2113" s="159">
        <v>10</v>
      </c>
      <c r="E2113" s="166" t="s">
        <v>2004</v>
      </c>
    </row>
    <row r="2114" spans="1:5">
      <c r="A2114" s="159">
        <f t="shared" si="25"/>
        <v>2113</v>
      </c>
      <c r="B2114" s="163">
        <v>45806</v>
      </c>
      <c r="C2114" s="164">
        <v>0.44923611111111111</v>
      </c>
      <c r="D2114" s="159">
        <v>10</v>
      </c>
      <c r="E2114" s="166" t="s">
        <v>2005</v>
      </c>
    </row>
    <row r="2115" spans="1:5">
      <c r="A2115" s="159">
        <f t="shared" si="25"/>
        <v>2114</v>
      </c>
      <c r="B2115" s="163">
        <v>45806</v>
      </c>
      <c r="C2115" s="164">
        <v>0.4334027777777778</v>
      </c>
      <c r="D2115" s="159">
        <v>10</v>
      </c>
      <c r="E2115" s="166" t="s">
        <v>2006</v>
      </c>
    </row>
    <row r="2116" spans="1:5">
      <c r="A2116" s="159">
        <f t="shared" si="25"/>
        <v>2115</v>
      </c>
      <c r="B2116" s="163">
        <v>45806</v>
      </c>
      <c r="C2116" s="164">
        <v>0.4231712962962963</v>
      </c>
      <c r="D2116" s="159">
        <v>10</v>
      </c>
      <c r="E2116" s="166" t="s">
        <v>132</v>
      </c>
    </row>
    <row r="2117" spans="1:5">
      <c r="A2117" s="159">
        <f t="shared" si="25"/>
        <v>2116</v>
      </c>
      <c r="B2117" s="163">
        <v>45806</v>
      </c>
      <c r="C2117" s="164">
        <v>0.42144675925925923</v>
      </c>
      <c r="D2117" s="159">
        <v>10</v>
      </c>
      <c r="E2117" s="166" t="s">
        <v>2007</v>
      </c>
    </row>
    <row r="2118" spans="1:5">
      <c r="A2118" s="159">
        <f t="shared" si="25"/>
        <v>2117</v>
      </c>
      <c r="B2118" s="163">
        <v>45806</v>
      </c>
      <c r="C2118" s="164">
        <v>0.39671296296296293</v>
      </c>
      <c r="D2118" s="159">
        <v>10</v>
      </c>
      <c r="E2118" s="166" t="s">
        <v>326</v>
      </c>
    </row>
    <row r="2119" spans="1:5">
      <c r="A2119" s="159">
        <f t="shared" si="25"/>
        <v>2118</v>
      </c>
      <c r="B2119" s="163">
        <v>45807</v>
      </c>
      <c r="C2119" s="164">
        <v>0.90359953703703699</v>
      </c>
      <c r="D2119" s="159">
        <v>10</v>
      </c>
      <c r="E2119" s="166" t="s">
        <v>2021</v>
      </c>
    </row>
    <row r="2120" spans="1:5">
      <c r="A2120" s="159">
        <f t="shared" si="25"/>
        <v>2119</v>
      </c>
      <c r="B2120" s="163">
        <v>45807</v>
      </c>
      <c r="C2120" s="164">
        <v>0.89178240740740744</v>
      </c>
      <c r="D2120" s="159">
        <v>10</v>
      </c>
      <c r="E2120" s="166" t="s">
        <v>2022</v>
      </c>
    </row>
    <row r="2121" spans="1:5">
      <c r="A2121" s="159">
        <f t="shared" si="25"/>
        <v>2120</v>
      </c>
      <c r="B2121" s="163">
        <v>45807</v>
      </c>
      <c r="C2121" s="164">
        <v>0.87612268518518521</v>
      </c>
      <c r="D2121" s="159">
        <v>10</v>
      </c>
      <c r="E2121" s="166" t="s">
        <v>2023</v>
      </c>
    </row>
    <row r="2122" spans="1:5" ht="27">
      <c r="A2122" s="159">
        <f t="shared" si="25"/>
        <v>2121</v>
      </c>
      <c r="B2122" s="163">
        <v>45807</v>
      </c>
      <c r="C2122" s="164">
        <v>0.82712962962962966</v>
      </c>
      <c r="D2122" s="159">
        <v>10</v>
      </c>
      <c r="E2122" s="166" t="s">
        <v>2024</v>
      </c>
    </row>
    <row r="2123" spans="1:5">
      <c r="A2123" s="159">
        <f t="shared" si="25"/>
        <v>2122</v>
      </c>
      <c r="B2123" s="163">
        <v>45807</v>
      </c>
      <c r="C2123" s="164">
        <v>0.80181712962962959</v>
      </c>
      <c r="D2123" s="159">
        <v>10</v>
      </c>
      <c r="E2123" s="166" t="s">
        <v>2025</v>
      </c>
    </row>
    <row r="2124" spans="1:5">
      <c r="A2124" s="159">
        <f t="shared" si="25"/>
        <v>2123</v>
      </c>
      <c r="B2124" s="163">
        <v>45807</v>
      </c>
      <c r="C2124" s="164">
        <v>0.7877777777777778</v>
      </c>
      <c r="D2124" s="159">
        <v>10</v>
      </c>
      <c r="E2124" s="166" t="s">
        <v>2026</v>
      </c>
    </row>
    <row r="2125" spans="1:5">
      <c r="A2125" s="159">
        <f t="shared" si="25"/>
        <v>2124</v>
      </c>
      <c r="B2125" s="163">
        <v>45807</v>
      </c>
      <c r="C2125" s="164">
        <v>0.74672453703703701</v>
      </c>
      <c r="D2125" s="159">
        <v>10</v>
      </c>
      <c r="E2125" s="166" t="s">
        <v>2027</v>
      </c>
    </row>
    <row r="2126" spans="1:5">
      <c r="A2126" s="159">
        <f t="shared" si="25"/>
        <v>2125</v>
      </c>
      <c r="B2126" s="163">
        <v>45807</v>
      </c>
      <c r="C2126" s="164">
        <v>0.74376157407407406</v>
      </c>
      <c r="D2126" s="159">
        <v>10</v>
      </c>
      <c r="E2126" s="166" t="s">
        <v>2028</v>
      </c>
    </row>
    <row r="2127" spans="1:5">
      <c r="A2127" s="159">
        <f t="shared" si="25"/>
        <v>2126</v>
      </c>
      <c r="B2127" s="163">
        <v>45807</v>
      </c>
      <c r="C2127" s="164">
        <v>0.74202546296296301</v>
      </c>
      <c r="D2127" s="159">
        <v>10</v>
      </c>
      <c r="E2127" s="166" t="s">
        <v>575</v>
      </c>
    </row>
    <row r="2128" spans="1:5">
      <c r="A2128" s="159">
        <f t="shared" si="25"/>
        <v>2127</v>
      </c>
      <c r="B2128" s="163">
        <v>45807</v>
      </c>
      <c r="C2128" s="164">
        <v>0.72165509259259253</v>
      </c>
      <c r="D2128" s="159">
        <v>10</v>
      </c>
      <c r="E2128" s="166" t="s">
        <v>2029</v>
      </c>
    </row>
    <row r="2129" spans="1:5">
      <c r="A2129" s="159">
        <f t="shared" si="25"/>
        <v>2128</v>
      </c>
      <c r="B2129" s="163">
        <v>45807</v>
      </c>
      <c r="C2129" s="164">
        <v>0.71953703703703698</v>
      </c>
      <c r="D2129" s="159">
        <v>10</v>
      </c>
      <c r="E2129" s="166" t="s">
        <v>2030</v>
      </c>
    </row>
    <row r="2130" spans="1:5">
      <c r="A2130" s="159">
        <f t="shared" si="25"/>
        <v>2129</v>
      </c>
      <c r="B2130" s="163">
        <v>45807</v>
      </c>
      <c r="C2130" s="164">
        <v>0.71275462962962965</v>
      </c>
      <c r="D2130" s="159">
        <v>10</v>
      </c>
      <c r="E2130" s="166" t="s">
        <v>2031</v>
      </c>
    </row>
    <row r="2131" spans="1:5">
      <c r="A2131" s="159">
        <f t="shared" si="25"/>
        <v>2130</v>
      </c>
      <c r="B2131" s="163">
        <v>45807</v>
      </c>
      <c r="C2131" s="164">
        <v>0.70271990740740742</v>
      </c>
      <c r="D2131" s="159">
        <v>10</v>
      </c>
      <c r="E2131" s="166" t="s">
        <v>2032</v>
      </c>
    </row>
    <row r="2132" spans="1:5">
      <c r="A2132" s="159">
        <f t="shared" si="25"/>
        <v>2131</v>
      </c>
      <c r="B2132" s="163">
        <v>45807</v>
      </c>
      <c r="C2132" s="164">
        <v>0.7023611111111111</v>
      </c>
      <c r="D2132" s="159">
        <v>10</v>
      </c>
      <c r="E2132" s="166" t="s">
        <v>2033</v>
      </c>
    </row>
    <row r="2133" spans="1:5">
      <c r="A2133" s="159">
        <f t="shared" si="25"/>
        <v>2132</v>
      </c>
      <c r="B2133" s="163">
        <v>45807</v>
      </c>
      <c r="C2133" s="164">
        <v>0.6997106481481481</v>
      </c>
      <c r="D2133" s="159">
        <v>10</v>
      </c>
      <c r="E2133" s="166" t="s">
        <v>2034</v>
      </c>
    </row>
    <row r="2134" spans="1:5">
      <c r="A2134" s="159">
        <f t="shared" si="25"/>
        <v>2133</v>
      </c>
      <c r="B2134" s="163">
        <v>45807</v>
      </c>
      <c r="C2134" s="164">
        <v>0.69718750000000007</v>
      </c>
      <c r="D2134" s="159">
        <v>10</v>
      </c>
      <c r="E2134" s="166" t="s">
        <v>173</v>
      </c>
    </row>
    <row r="2135" spans="1:5">
      <c r="A2135" s="159">
        <f t="shared" si="25"/>
        <v>2134</v>
      </c>
      <c r="B2135" s="163">
        <v>45807</v>
      </c>
      <c r="C2135" s="164">
        <v>0.6814930555555555</v>
      </c>
      <c r="D2135" s="159">
        <v>10</v>
      </c>
      <c r="E2135" s="166" t="s">
        <v>2035</v>
      </c>
    </row>
    <row r="2136" spans="1:5">
      <c r="A2136" s="159">
        <f t="shared" si="25"/>
        <v>2135</v>
      </c>
      <c r="B2136" s="163">
        <v>45807</v>
      </c>
      <c r="C2136" s="164">
        <v>0.67033564814814817</v>
      </c>
      <c r="D2136" s="159">
        <v>10</v>
      </c>
      <c r="E2136" s="166" t="s">
        <v>2036</v>
      </c>
    </row>
    <row r="2137" spans="1:5">
      <c r="A2137" s="159">
        <f t="shared" si="25"/>
        <v>2136</v>
      </c>
      <c r="B2137" s="163">
        <v>45807</v>
      </c>
      <c r="C2137" s="164">
        <v>0.65833333333333333</v>
      </c>
      <c r="D2137" s="159">
        <v>10</v>
      </c>
      <c r="E2137" s="166" t="s">
        <v>2037</v>
      </c>
    </row>
    <row r="2138" spans="1:5" ht="27">
      <c r="A2138" s="159">
        <f t="shared" si="25"/>
        <v>2137</v>
      </c>
      <c r="B2138" s="163">
        <v>45807</v>
      </c>
      <c r="C2138" s="164">
        <v>0.65021990740740743</v>
      </c>
      <c r="D2138" s="159">
        <v>10</v>
      </c>
      <c r="E2138" s="166" t="s">
        <v>2062</v>
      </c>
    </row>
    <row r="2139" spans="1:5">
      <c r="A2139" s="159">
        <f t="shared" si="25"/>
        <v>2138</v>
      </c>
      <c r="B2139" s="163">
        <v>45807</v>
      </c>
      <c r="C2139" s="164">
        <v>0.64627314814814818</v>
      </c>
      <c r="D2139" s="159">
        <v>10</v>
      </c>
      <c r="E2139" s="166" t="s">
        <v>1042</v>
      </c>
    </row>
    <row r="2140" spans="1:5">
      <c r="A2140" s="159">
        <f t="shared" si="25"/>
        <v>2139</v>
      </c>
      <c r="B2140" s="163">
        <v>45807</v>
      </c>
      <c r="C2140" s="164">
        <v>0.63681712962962966</v>
      </c>
      <c r="D2140" s="159">
        <v>10</v>
      </c>
      <c r="E2140" s="166" t="s">
        <v>2038</v>
      </c>
    </row>
    <row r="2141" spans="1:5">
      <c r="A2141" s="159">
        <f t="shared" si="25"/>
        <v>2140</v>
      </c>
      <c r="B2141" s="163">
        <v>45807</v>
      </c>
      <c r="C2141" s="164">
        <v>0.63377314814814811</v>
      </c>
      <c r="D2141" s="159">
        <v>10</v>
      </c>
      <c r="E2141" s="166" t="s">
        <v>132</v>
      </c>
    </row>
    <row r="2142" spans="1:5">
      <c r="A2142" s="159">
        <f t="shared" si="25"/>
        <v>2141</v>
      </c>
      <c r="B2142" s="163">
        <v>45807</v>
      </c>
      <c r="C2142" s="164">
        <v>0.63164351851851852</v>
      </c>
      <c r="D2142" s="159">
        <v>10</v>
      </c>
      <c r="E2142" s="166" t="s">
        <v>1579</v>
      </c>
    </row>
    <row r="2143" spans="1:5">
      <c r="A2143" s="159">
        <f t="shared" si="25"/>
        <v>2142</v>
      </c>
      <c r="B2143" s="163">
        <v>45807</v>
      </c>
      <c r="C2143" s="164">
        <v>0.63049768518518523</v>
      </c>
      <c r="D2143" s="159">
        <v>10</v>
      </c>
      <c r="E2143" s="166" t="s">
        <v>132</v>
      </c>
    </row>
    <row r="2144" spans="1:5">
      <c r="A2144" s="159">
        <f t="shared" si="25"/>
        <v>2143</v>
      </c>
      <c r="B2144" s="163">
        <v>45807</v>
      </c>
      <c r="C2144" s="164">
        <v>0.62762731481481482</v>
      </c>
      <c r="D2144" s="159">
        <v>10</v>
      </c>
      <c r="E2144" s="166" t="s">
        <v>2039</v>
      </c>
    </row>
    <row r="2145" spans="1:5" ht="27">
      <c r="A2145" s="159">
        <f t="shared" si="25"/>
        <v>2144</v>
      </c>
      <c r="B2145" s="163">
        <v>45807</v>
      </c>
      <c r="C2145" s="164">
        <v>0.62078703703703708</v>
      </c>
      <c r="D2145" s="159">
        <v>10</v>
      </c>
      <c r="E2145" s="166" t="s">
        <v>2061</v>
      </c>
    </row>
    <row r="2146" spans="1:5">
      <c r="A2146" s="159">
        <f t="shared" si="25"/>
        <v>2145</v>
      </c>
      <c r="B2146" s="163">
        <v>45807</v>
      </c>
      <c r="C2146" s="164">
        <v>0.61996527777777777</v>
      </c>
      <c r="D2146" s="159">
        <v>10</v>
      </c>
      <c r="E2146" s="166" t="s">
        <v>2040</v>
      </c>
    </row>
    <row r="2147" spans="1:5">
      <c r="A2147" s="159">
        <f t="shared" si="25"/>
        <v>2146</v>
      </c>
      <c r="B2147" s="163">
        <v>45807</v>
      </c>
      <c r="C2147" s="164">
        <v>0.60370370370370374</v>
      </c>
      <c r="D2147" s="159">
        <v>10</v>
      </c>
      <c r="E2147" s="166" t="s">
        <v>2041</v>
      </c>
    </row>
    <row r="2148" spans="1:5">
      <c r="A2148" s="159">
        <f t="shared" si="25"/>
        <v>2147</v>
      </c>
      <c r="B2148" s="163">
        <v>45807</v>
      </c>
      <c r="C2148" s="164">
        <v>0.60135416666666663</v>
      </c>
      <c r="D2148" s="159">
        <v>10</v>
      </c>
      <c r="E2148" s="166" t="s">
        <v>2042</v>
      </c>
    </row>
    <row r="2149" spans="1:5">
      <c r="A2149" s="159">
        <f t="shared" si="25"/>
        <v>2148</v>
      </c>
      <c r="B2149" s="163">
        <v>45807</v>
      </c>
      <c r="C2149" s="164">
        <v>0.59138888888888885</v>
      </c>
      <c r="D2149" s="159">
        <v>10</v>
      </c>
      <c r="E2149" s="166" t="s">
        <v>2043</v>
      </c>
    </row>
    <row r="2150" spans="1:5">
      <c r="A2150" s="159">
        <f t="shared" si="25"/>
        <v>2149</v>
      </c>
      <c r="B2150" s="163">
        <v>45807</v>
      </c>
      <c r="C2150" s="164">
        <v>0.59076388888888887</v>
      </c>
      <c r="D2150" s="159">
        <v>10</v>
      </c>
      <c r="E2150" s="166" t="s">
        <v>2044</v>
      </c>
    </row>
    <row r="2151" spans="1:5">
      <c r="A2151" s="159">
        <f t="shared" si="25"/>
        <v>2150</v>
      </c>
      <c r="B2151" s="163">
        <v>45807</v>
      </c>
      <c r="C2151" s="164">
        <v>0.57570601851851855</v>
      </c>
      <c r="D2151" s="159">
        <v>10</v>
      </c>
      <c r="E2151" s="166" t="s">
        <v>2045</v>
      </c>
    </row>
    <row r="2152" spans="1:5">
      <c r="A2152" s="159">
        <f t="shared" si="25"/>
        <v>2151</v>
      </c>
      <c r="B2152" s="163">
        <v>45807</v>
      </c>
      <c r="C2152" s="164">
        <v>0.55474537037037031</v>
      </c>
      <c r="D2152" s="159">
        <v>10</v>
      </c>
      <c r="E2152" s="166" t="s">
        <v>2046</v>
      </c>
    </row>
    <row r="2153" spans="1:5">
      <c r="A2153" s="159">
        <f t="shared" si="25"/>
        <v>2152</v>
      </c>
      <c r="B2153" s="163">
        <v>45807</v>
      </c>
      <c r="C2153" s="164">
        <v>0.50145833333333334</v>
      </c>
      <c r="D2153" s="159">
        <v>10</v>
      </c>
      <c r="E2153" s="166" t="s">
        <v>2047</v>
      </c>
    </row>
    <row r="2154" spans="1:5">
      <c r="A2154" s="159">
        <f t="shared" si="25"/>
        <v>2153</v>
      </c>
      <c r="B2154" s="163">
        <v>45807</v>
      </c>
      <c r="C2154" s="164">
        <v>0.49057870370370371</v>
      </c>
      <c r="D2154" s="159">
        <v>10</v>
      </c>
      <c r="E2154" s="166" t="s">
        <v>2060</v>
      </c>
    </row>
    <row r="2155" spans="1:5">
      <c r="A2155" s="159">
        <f t="shared" si="25"/>
        <v>2154</v>
      </c>
      <c r="B2155" s="163">
        <v>45807</v>
      </c>
      <c r="C2155" s="164">
        <v>0.4644212962962963</v>
      </c>
      <c r="D2155" s="159">
        <v>10</v>
      </c>
      <c r="E2155" s="166" t="s">
        <v>132</v>
      </c>
    </row>
    <row r="2156" spans="1:5">
      <c r="A2156" s="159">
        <f t="shared" si="25"/>
        <v>2155</v>
      </c>
      <c r="B2156" s="163">
        <v>45807</v>
      </c>
      <c r="C2156" s="164">
        <v>0.45079861111111108</v>
      </c>
      <c r="D2156" s="159">
        <v>1</v>
      </c>
      <c r="E2156" s="166" t="s">
        <v>2048</v>
      </c>
    </row>
    <row r="2157" spans="1:5">
      <c r="A2157" s="159">
        <f t="shared" si="25"/>
        <v>2156</v>
      </c>
      <c r="B2157" s="163">
        <v>45807</v>
      </c>
      <c r="C2157" s="164">
        <v>0.4485763888888889</v>
      </c>
      <c r="D2157" s="159">
        <v>10</v>
      </c>
      <c r="E2157" s="166" t="s">
        <v>2049</v>
      </c>
    </row>
    <row r="2158" spans="1:5">
      <c r="A2158" s="159">
        <f t="shared" si="25"/>
        <v>2157</v>
      </c>
      <c r="B2158" s="163">
        <v>45807</v>
      </c>
      <c r="C2158" s="164">
        <v>0.44619212962962962</v>
      </c>
      <c r="D2158" s="159">
        <v>10</v>
      </c>
      <c r="E2158" s="166" t="s">
        <v>2050</v>
      </c>
    </row>
    <row r="2159" spans="1:5">
      <c r="A2159" s="159">
        <f t="shared" si="25"/>
        <v>2158</v>
      </c>
      <c r="B2159" s="163">
        <v>45807</v>
      </c>
      <c r="C2159" s="164">
        <v>0.4382523148148148</v>
      </c>
      <c r="D2159" s="159">
        <v>10</v>
      </c>
      <c r="E2159" s="166" t="s">
        <v>2051</v>
      </c>
    </row>
    <row r="2160" spans="1:5">
      <c r="A2160" s="159">
        <f t="shared" si="25"/>
        <v>2159</v>
      </c>
      <c r="B2160" s="163">
        <v>45807</v>
      </c>
      <c r="C2160" s="164">
        <v>0.43065972222222221</v>
      </c>
      <c r="D2160" s="159">
        <v>10</v>
      </c>
      <c r="E2160" s="166" t="s">
        <v>2052</v>
      </c>
    </row>
    <row r="2161" spans="1:5">
      <c r="A2161" s="159">
        <f t="shared" si="25"/>
        <v>2160</v>
      </c>
      <c r="B2161" s="163">
        <v>45807</v>
      </c>
      <c r="C2161" s="164">
        <v>0.42365740740740737</v>
      </c>
      <c r="D2161" s="159">
        <v>10</v>
      </c>
      <c r="E2161" s="166" t="s">
        <v>2053</v>
      </c>
    </row>
    <row r="2162" spans="1:5" ht="27">
      <c r="A2162" s="159">
        <f t="shared" si="25"/>
        <v>2161</v>
      </c>
      <c r="B2162" s="163">
        <v>45807</v>
      </c>
      <c r="C2162" s="164">
        <v>0.41715277777777776</v>
      </c>
      <c r="D2162" s="159">
        <v>10</v>
      </c>
      <c r="E2162" s="166" t="s">
        <v>2059</v>
      </c>
    </row>
    <row r="2163" spans="1:5">
      <c r="A2163" s="159">
        <f t="shared" si="25"/>
        <v>2162</v>
      </c>
      <c r="B2163" s="163">
        <v>45807</v>
      </c>
      <c r="C2163" s="164">
        <v>0.41328703703703701</v>
      </c>
      <c r="D2163" s="159">
        <v>10</v>
      </c>
      <c r="E2163" s="166" t="s">
        <v>2054</v>
      </c>
    </row>
    <row r="2164" spans="1:5">
      <c r="A2164" s="159">
        <f t="shared" si="25"/>
        <v>2163</v>
      </c>
      <c r="B2164" s="163">
        <v>45807</v>
      </c>
      <c r="C2164" s="164">
        <v>0.41092592592592592</v>
      </c>
      <c r="D2164" s="159">
        <v>10</v>
      </c>
      <c r="E2164" s="166" t="s">
        <v>2055</v>
      </c>
    </row>
    <row r="2165" spans="1:5">
      <c r="A2165" s="159">
        <f t="shared" ref="A2165:A2228" si="26">ROW()-1</f>
        <v>2164</v>
      </c>
      <c r="B2165" s="163">
        <v>45807</v>
      </c>
      <c r="C2165" s="164">
        <v>0.40528935185185189</v>
      </c>
      <c r="D2165" s="159">
        <v>10</v>
      </c>
      <c r="E2165" s="166" t="s">
        <v>2056</v>
      </c>
    </row>
    <row r="2166" spans="1:5">
      <c r="A2166" s="159">
        <f t="shared" si="26"/>
        <v>2165</v>
      </c>
      <c r="B2166" s="163">
        <v>45807</v>
      </c>
      <c r="C2166" s="164">
        <v>0.39305555555555555</v>
      </c>
      <c r="D2166" s="159">
        <v>10</v>
      </c>
      <c r="E2166" s="166" t="s">
        <v>2057</v>
      </c>
    </row>
    <row r="2167" spans="1:5">
      <c r="A2167" s="159">
        <f t="shared" si="26"/>
        <v>2166</v>
      </c>
      <c r="B2167" s="163">
        <v>45807</v>
      </c>
      <c r="C2167" s="164">
        <v>0.38878472222222221</v>
      </c>
      <c r="D2167" s="159">
        <v>10</v>
      </c>
      <c r="E2167" s="166" t="s">
        <v>2058</v>
      </c>
    </row>
    <row r="2168" spans="1:5">
      <c r="A2168" s="159">
        <f t="shared" si="26"/>
        <v>2167</v>
      </c>
      <c r="B2168" s="163">
        <v>45808</v>
      </c>
      <c r="C2168" s="164">
        <v>0.67163194444444452</v>
      </c>
      <c r="D2168" s="159">
        <v>10</v>
      </c>
      <c r="E2168" s="166" t="s">
        <v>2011</v>
      </c>
    </row>
    <row r="2169" spans="1:5">
      <c r="A2169" s="159">
        <f t="shared" si="26"/>
        <v>2168</v>
      </c>
      <c r="B2169" s="163">
        <v>45808</v>
      </c>
      <c r="C2169" s="164">
        <v>0.64516203703703701</v>
      </c>
      <c r="D2169" s="159">
        <v>10</v>
      </c>
      <c r="E2169" s="166" t="s">
        <v>2012</v>
      </c>
    </row>
    <row r="2170" spans="1:5">
      <c r="A2170" s="159">
        <f t="shared" si="26"/>
        <v>2169</v>
      </c>
      <c r="B2170" s="163">
        <v>45808</v>
      </c>
      <c r="C2170" s="164">
        <v>0.62837962962962968</v>
      </c>
      <c r="D2170" s="159">
        <v>10</v>
      </c>
      <c r="E2170" s="166" t="s">
        <v>2013</v>
      </c>
    </row>
    <row r="2171" spans="1:5">
      <c r="A2171" s="159">
        <f t="shared" si="26"/>
        <v>2170</v>
      </c>
      <c r="B2171" s="163">
        <v>45808</v>
      </c>
      <c r="C2171" s="164">
        <v>0.59872685185185182</v>
      </c>
      <c r="D2171" s="159">
        <v>10</v>
      </c>
    </row>
    <row r="2172" spans="1:5">
      <c r="A2172" s="159">
        <f t="shared" si="26"/>
        <v>2171</v>
      </c>
      <c r="B2172" s="163">
        <v>45808</v>
      </c>
      <c r="C2172" s="164">
        <v>0.59290509259259261</v>
      </c>
      <c r="D2172" s="159">
        <v>10</v>
      </c>
      <c r="E2172" s="166" t="s">
        <v>2014</v>
      </c>
    </row>
    <row r="2173" spans="1:5">
      <c r="A2173" s="159">
        <f t="shared" si="26"/>
        <v>2172</v>
      </c>
      <c r="B2173" s="163">
        <v>45808</v>
      </c>
      <c r="C2173" s="164">
        <v>0.57342592592592589</v>
      </c>
      <c r="D2173" s="159">
        <v>10</v>
      </c>
      <c r="E2173" s="166" t="s">
        <v>2015</v>
      </c>
    </row>
    <row r="2174" spans="1:5">
      <c r="A2174" s="159">
        <f t="shared" si="26"/>
        <v>2173</v>
      </c>
      <c r="B2174" s="163">
        <v>45808</v>
      </c>
      <c r="C2174" s="164">
        <v>0.4685185185185185</v>
      </c>
      <c r="D2174" s="159">
        <v>10</v>
      </c>
      <c r="E2174" s="166" t="s">
        <v>2016</v>
      </c>
    </row>
    <row r="2175" spans="1:5">
      <c r="A2175" s="159">
        <f t="shared" si="26"/>
        <v>2174</v>
      </c>
      <c r="B2175" s="163">
        <v>45808</v>
      </c>
      <c r="C2175" s="164">
        <v>0.46363425925925927</v>
      </c>
      <c r="D2175" s="159">
        <v>10</v>
      </c>
      <c r="E2175" s="166" t="s">
        <v>194</v>
      </c>
    </row>
    <row r="2176" spans="1:5">
      <c r="A2176" s="159">
        <f t="shared" si="26"/>
        <v>2175</v>
      </c>
      <c r="B2176" s="163">
        <v>45808</v>
      </c>
      <c r="C2176" s="164">
        <v>0.46216435185185184</v>
      </c>
      <c r="D2176" s="159">
        <v>10</v>
      </c>
      <c r="E2176" s="166" t="s">
        <v>2017</v>
      </c>
    </row>
    <row r="2177" spans="1:5">
      <c r="A2177" s="159">
        <f t="shared" si="26"/>
        <v>2176</v>
      </c>
      <c r="B2177" s="163">
        <v>45808</v>
      </c>
      <c r="C2177" s="164">
        <v>0.44813657407407409</v>
      </c>
      <c r="D2177" s="159">
        <v>10</v>
      </c>
      <c r="E2177" s="166" t="s">
        <v>132</v>
      </c>
    </row>
    <row r="2178" spans="1:5">
      <c r="A2178" s="159">
        <f t="shared" si="26"/>
        <v>2177</v>
      </c>
      <c r="B2178" s="163">
        <v>45808</v>
      </c>
      <c r="C2178" s="164">
        <v>0.4075462962962963</v>
      </c>
      <c r="D2178" s="159">
        <v>10</v>
      </c>
      <c r="E2178" s="166" t="s">
        <v>2018</v>
      </c>
    </row>
    <row r="2179" spans="1:5" ht="27">
      <c r="A2179" s="159">
        <f t="shared" si="26"/>
        <v>2178</v>
      </c>
      <c r="B2179" s="163">
        <v>45808</v>
      </c>
      <c r="C2179" s="164">
        <v>0.38173611111111111</v>
      </c>
      <c r="D2179" s="159">
        <v>10</v>
      </c>
      <c r="E2179" s="166" t="s">
        <v>2019</v>
      </c>
    </row>
    <row r="2180" spans="1:5">
      <c r="A2180" s="159">
        <f t="shared" si="26"/>
        <v>2179</v>
      </c>
      <c r="B2180" s="163">
        <v>45808</v>
      </c>
      <c r="C2180" s="164">
        <v>0.37677083333333333</v>
      </c>
      <c r="D2180" s="159">
        <v>10</v>
      </c>
      <c r="E2180" s="166" t="s">
        <v>2020</v>
      </c>
    </row>
    <row r="2181" spans="1:5">
      <c r="A2181" s="159">
        <f t="shared" si="26"/>
        <v>2180</v>
      </c>
      <c r="B2181" s="163">
        <v>45810</v>
      </c>
      <c r="C2181" s="164">
        <v>0.83840277777777772</v>
      </c>
      <c r="D2181" s="159">
        <v>10</v>
      </c>
      <c r="E2181" s="166" t="s">
        <v>2063</v>
      </c>
    </row>
    <row r="2182" spans="1:5">
      <c r="A2182" s="159">
        <f t="shared" si="26"/>
        <v>2181</v>
      </c>
      <c r="B2182" s="163">
        <v>45810</v>
      </c>
      <c r="C2182" s="164">
        <v>0.83665509259259263</v>
      </c>
      <c r="D2182" s="159">
        <v>10</v>
      </c>
      <c r="E2182" s="166" t="s">
        <v>2064</v>
      </c>
    </row>
    <row r="2183" spans="1:5">
      <c r="A2183" s="159">
        <f t="shared" si="26"/>
        <v>2182</v>
      </c>
      <c r="B2183" s="163">
        <v>45810</v>
      </c>
      <c r="C2183" s="164">
        <v>0.81111111111111101</v>
      </c>
      <c r="D2183" s="159">
        <v>10</v>
      </c>
      <c r="E2183" s="166" t="s">
        <v>2065</v>
      </c>
    </row>
    <row r="2184" spans="1:5">
      <c r="A2184" s="159">
        <f t="shared" si="26"/>
        <v>2183</v>
      </c>
      <c r="B2184" s="163">
        <v>45810</v>
      </c>
      <c r="C2184" s="164">
        <v>0.79260416666666667</v>
      </c>
      <c r="D2184" s="159">
        <v>10</v>
      </c>
      <c r="E2184" s="166" t="s">
        <v>2066</v>
      </c>
    </row>
    <row r="2185" spans="1:5">
      <c r="A2185" s="159">
        <f t="shared" si="26"/>
        <v>2184</v>
      </c>
      <c r="B2185" s="163">
        <v>45810</v>
      </c>
      <c r="C2185" s="164">
        <v>0.74827546296296299</v>
      </c>
      <c r="D2185" s="159">
        <v>10</v>
      </c>
      <c r="E2185" s="166" t="s">
        <v>2067</v>
      </c>
    </row>
    <row r="2186" spans="1:5">
      <c r="A2186" s="159">
        <f t="shared" si="26"/>
        <v>2185</v>
      </c>
      <c r="B2186" s="163">
        <v>45810</v>
      </c>
      <c r="C2186" s="164">
        <v>0.74245370370370367</v>
      </c>
      <c r="D2186" s="159">
        <v>10</v>
      </c>
      <c r="E2186" s="166" t="s">
        <v>2068</v>
      </c>
    </row>
    <row r="2187" spans="1:5">
      <c r="A2187" s="159">
        <f t="shared" si="26"/>
        <v>2186</v>
      </c>
      <c r="B2187" s="163">
        <v>45810</v>
      </c>
      <c r="C2187" s="164">
        <v>0.73578703703703707</v>
      </c>
      <c r="D2187" s="159">
        <v>10</v>
      </c>
      <c r="E2187" s="166" t="s">
        <v>2069</v>
      </c>
    </row>
    <row r="2188" spans="1:5">
      <c r="A2188" s="159">
        <f t="shared" si="26"/>
        <v>2187</v>
      </c>
      <c r="B2188" s="163">
        <v>45810</v>
      </c>
      <c r="C2188" s="164">
        <v>0.73383101851851851</v>
      </c>
      <c r="D2188" s="159">
        <v>10</v>
      </c>
      <c r="E2188" s="166" t="s">
        <v>313</v>
      </c>
    </row>
    <row r="2189" spans="1:5">
      <c r="A2189" s="159">
        <f t="shared" si="26"/>
        <v>2188</v>
      </c>
      <c r="B2189" s="163">
        <v>45810</v>
      </c>
      <c r="C2189" s="164">
        <v>0.71959490740740739</v>
      </c>
      <c r="D2189" s="159">
        <v>10</v>
      </c>
      <c r="E2189" s="166" t="s">
        <v>2070</v>
      </c>
    </row>
    <row r="2190" spans="1:5">
      <c r="A2190" s="159">
        <f t="shared" si="26"/>
        <v>2189</v>
      </c>
      <c r="B2190" s="163">
        <v>45810</v>
      </c>
      <c r="C2190" s="164">
        <v>0.71910879629629632</v>
      </c>
      <c r="D2190" s="159">
        <v>10</v>
      </c>
      <c r="E2190" s="166" t="s">
        <v>2071</v>
      </c>
    </row>
    <row r="2191" spans="1:5">
      <c r="A2191" s="159">
        <f t="shared" si="26"/>
        <v>2190</v>
      </c>
      <c r="B2191" s="163">
        <v>45810</v>
      </c>
      <c r="C2191" s="164">
        <v>0.71578703703703705</v>
      </c>
      <c r="D2191" s="159">
        <v>10</v>
      </c>
      <c r="E2191" s="166" t="s">
        <v>2072</v>
      </c>
    </row>
    <row r="2192" spans="1:5">
      <c r="A2192" s="159">
        <f t="shared" si="26"/>
        <v>2191</v>
      </c>
      <c r="B2192" s="163">
        <v>45810</v>
      </c>
      <c r="C2192" s="164">
        <v>0.70976851851851841</v>
      </c>
      <c r="D2192" s="159">
        <v>10</v>
      </c>
      <c r="E2192" s="166" t="s">
        <v>2073</v>
      </c>
    </row>
    <row r="2193" spans="1:5">
      <c r="A2193" s="159">
        <f t="shared" si="26"/>
        <v>2192</v>
      </c>
      <c r="B2193" s="163">
        <v>45810</v>
      </c>
      <c r="C2193" s="164">
        <v>0.7085300925925927</v>
      </c>
      <c r="D2193" s="159">
        <v>10</v>
      </c>
      <c r="E2193" s="166" t="s">
        <v>2074</v>
      </c>
    </row>
    <row r="2194" spans="1:5">
      <c r="A2194" s="159">
        <f t="shared" si="26"/>
        <v>2193</v>
      </c>
      <c r="B2194" s="163">
        <v>45810</v>
      </c>
      <c r="C2194" s="164">
        <v>0.70432870370370371</v>
      </c>
      <c r="D2194" s="159">
        <v>10</v>
      </c>
      <c r="E2194" s="166" t="s">
        <v>132</v>
      </c>
    </row>
    <row r="2195" spans="1:5">
      <c r="A2195" s="159">
        <f t="shared" si="26"/>
        <v>2194</v>
      </c>
      <c r="B2195" s="163">
        <v>45810</v>
      </c>
      <c r="C2195" s="164">
        <v>0.69274305555555549</v>
      </c>
      <c r="D2195" s="159">
        <v>10</v>
      </c>
      <c r="E2195" s="166" t="s">
        <v>2075</v>
      </c>
    </row>
    <row r="2196" spans="1:5">
      <c r="A2196" s="159">
        <f t="shared" si="26"/>
        <v>2195</v>
      </c>
      <c r="B2196" s="163">
        <v>45810</v>
      </c>
      <c r="C2196" s="164">
        <v>0.68092592592592593</v>
      </c>
      <c r="D2196" s="159">
        <v>10</v>
      </c>
      <c r="E2196" s="166" t="s">
        <v>2076</v>
      </c>
    </row>
    <row r="2197" spans="1:5">
      <c r="A2197" s="159">
        <f t="shared" si="26"/>
        <v>2196</v>
      </c>
      <c r="B2197" s="163">
        <v>45810</v>
      </c>
      <c r="C2197" s="164">
        <v>0.66892361111111109</v>
      </c>
      <c r="D2197" s="159">
        <v>10</v>
      </c>
      <c r="E2197" s="166" t="s">
        <v>2077</v>
      </c>
    </row>
    <row r="2198" spans="1:5">
      <c r="A2198" s="159">
        <f t="shared" si="26"/>
        <v>2197</v>
      </c>
      <c r="B2198" s="163">
        <v>45810</v>
      </c>
      <c r="C2198" s="164">
        <v>0.66804398148148147</v>
      </c>
      <c r="D2198" s="159">
        <v>10</v>
      </c>
      <c r="E2198" s="166" t="s">
        <v>2078</v>
      </c>
    </row>
    <row r="2199" spans="1:5">
      <c r="A2199" s="159">
        <f t="shared" si="26"/>
        <v>2198</v>
      </c>
      <c r="B2199" s="163">
        <v>45810</v>
      </c>
      <c r="C2199" s="164">
        <v>0.65995370370370365</v>
      </c>
      <c r="D2199" s="159">
        <v>10</v>
      </c>
      <c r="E2199" s="166" t="s">
        <v>2079</v>
      </c>
    </row>
    <row r="2200" spans="1:5">
      <c r="A2200" s="159">
        <f t="shared" si="26"/>
        <v>2199</v>
      </c>
      <c r="B2200" s="163">
        <v>45810</v>
      </c>
      <c r="C2200" s="164">
        <v>0.6567708333333333</v>
      </c>
      <c r="D2200" s="159">
        <v>10</v>
      </c>
      <c r="E2200" s="166" t="s">
        <v>2080</v>
      </c>
    </row>
    <row r="2201" spans="1:5">
      <c r="A2201" s="159">
        <f t="shared" si="26"/>
        <v>2200</v>
      </c>
      <c r="B2201" s="163">
        <v>45810</v>
      </c>
      <c r="C2201" s="164">
        <v>0.64678240740740744</v>
      </c>
      <c r="D2201" s="159">
        <v>10</v>
      </c>
      <c r="E2201" s="166" t="s">
        <v>2081</v>
      </c>
    </row>
    <row r="2202" spans="1:5">
      <c r="A2202" s="159">
        <f t="shared" si="26"/>
        <v>2201</v>
      </c>
      <c r="B2202" s="163">
        <v>45810</v>
      </c>
      <c r="C2202" s="164">
        <v>0.64278935185185182</v>
      </c>
      <c r="D2202" s="159">
        <v>10</v>
      </c>
      <c r="E2202" s="166" t="s">
        <v>2082</v>
      </c>
    </row>
    <row r="2203" spans="1:5">
      <c r="A2203" s="159">
        <f t="shared" si="26"/>
        <v>2202</v>
      </c>
      <c r="B2203" s="163">
        <v>45810</v>
      </c>
      <c r="C2203" s="164">
        <v>0.64131944444444444</v>
      </c>
      <c r="D2203" s="159">
        <v>10</v>
      </c>
      <c r="E2203" s="166" t="s">
        <v>2083</v>
      </c>
    </row>
    <row r="2204" spans="1:5">
      <c r="A2204" s="159">
        <f t="shared" si="26"/>
        <v>2203</v>
      </c>
      <c r="B2204" s="163">
        <v>45810</v>
      </c>
      <c r="C2204" s="164">
        <v>0.63997685185185182</v>
      </c>
      <c r="D2204" s="159">
        <v>10</v>
      </c>
      <c r="E2204" s="166" t="s">
        <v>246</v>
      </c>
    </row>
    <row r="2205" spans="1:5">
      <c r="A2205" s="159">
        <f t="shared" si="26"/>
        <v>2204</v>
      </c>
      <c r="B2205" s="163">
        <v>45810</v>
      </c>
      <c r="C2205" s="164">
        <v>0.63028935185185186</v>
      </c>
      <c r="D2205" s="159">
        <v>10</v>
      </c>
      <c r="E2205" s="166" t="s">
        <v>2084</v>
      </c>
    </row>
    <row r="2206" spans="1:5">
      <c r="A2206" s="159">
        <f t="shared" si="26"/>
        <v>2205</v>
      </c>
      <c r="B2206" s="163">
        <v>45810</v>
      </c>
      <c r="C2206" s="164">
        <v>0.62340277777777775</v>
      </c>
      <c r="D2206" s="159">
        <v>10</v>
      </c>
      <c r="E2206" s="166" t="s">
        <v>313</v>
      </c>
    </row>
    <row r="2207" spans="1:5">
      <c r="A2207" s="159">
        <f t="shared" si="26"/>
        <v>2206</v>
      </c>
      <c r="B2207" s="163">
        <v>45810</v>
      </c>
      <c r="C2207" s="164">
        <v>0.59920138888888885</v>
      </c>
      <c r="D2207" s="159">
        <v>10</v>
      </c>
      <c r="E2207" s="166" t="s">
        <v>2085</v>
      </c>
    </row>
    <row r="2208" spans="1:5">
      <c r="A2208" s="159">
        <f t="shared" si="26"/>
        <v>2207</v>
      </c>
      <c r="B2208" s="163">
        <v>45810</v>
      </c>
      <c r="C2208" s="164">
        <v>0.58589120370370373</v>
      </c>
      <c r="D2208" s="159">
        <v>10</v>
      </c>
      <c r="E2208" s="166" t="s">
        <v>2107</v>
      </c>
    </row>
    <row r="2209" spans="1:5">
      <c r="A2209" s="159">
        <f t="shared" si="26"/>
        <v>2208</v>
      </c>
      <c r="B2209" s="163">
        <v>45810</v>
      </c>
      <c r="C2209" s="164">
        <v>0.57969907407407406</v>
      </c>
      <c r="D2209" s="159">
        <v>10</v>
      </c>
      <c r="E2209" s="166" t="s">
        <v>2086</v>
      </c>
    </row>
    <row r="2210" spans="1:5">
      <c r="A2210" s="159">
        <f t="shared" si="26"/>
        <v>2209</v>
      </c>
      <c r="B2210" s="163">
        <v>45810</v>
      </c>
      <c r="C2210" s="164">
        <v>0.56009259259259259</v>
      </c>
      <c r="D2210" s="159">
        <v>10</v>
      </c>
      <c r="E2210" s="166" t="s">
        <v>2087</v>
      </c>
    </row>
    <row r="2211" spans="1:5">
      <c r="A2211" s="159">
        <f t="shared" si="26"/>
        <v>2210</v>
      </c>
      <c r="B2211" s="163">
        <v>45810</v>
      </c>
      <c r="C2211" s="164">
        <v>0.55950231481481483</v>
      </c>
      <c r="D2211" s="159">
        <v>10</v>
      </c>
      <c r="E2211" s="166" t="s">
        <v>2088</v>
      </c>
    </row>
    <row r="2212" spans="1:5">
      <c r="A2212" s="159">
        <f t="shared" si="26"/>
        <v>2211</v>
      </c>
      <c r="B2212" s="163">
        <v>45810</v>
      </c>
      <c r="C2212" s="164">
        <v>0.55814814814814817</v>
      </c>
      <c r="D2212" s="159">
        <v>10</v>
      </c>
      <c r="E2212" s="166" t="s">
        <v>2089</v>
      </c>
    </row>
    <row r="2213" spans="1:5">
      <c r="A2213" s="159">
        <f t="shared" si="26"/>
        <v>2212</v>
      </c>
      <c r="B2213" s="163">
        <v>45810</v>
      </c>
      <c r="C2213" s="164">
        <v>0.55871527777777785</v>
      </c>
      <c r="D2213" s="159">
        <v>10</v>
      </c>
      <c r="E2213" s="166" t="s">
        <v>2090</v>
      </c>
    </row>
    <row r="2214" spans="1:5">
      <c r="A2214" s="159">
        <f t="shared" si="26"/>
        <v>2213</v>
      </c>
      <c r="B2214" s="163">
        <v>45810</v>
      </c>
      <c r="C2214" s="164">
        <v>0.55787037037037035</v>
      </c>
      <c r="D2214" s="159">
        <v>10</v>
      </c>
      <c r="E2214" s="166" t="s">
        <v>2106</v>
      </c>
    </row>
    <row r="2215" spans="1:5">
      <c r="A2215" s="159">
        <f t="shared" si="26"/>
        <v>2214</v>
      </c>
      <c r="B2215" s="163">
        <v>45810</v>
      </c>
      <c r="C2215" s="164">
        <v>0.55437499999999995</v>
      </c>
      <c r="D2215" s="159">
        <v>10</v>
      </c>
      <c r="E2215" s="166" t="s">
        <v>565</v>
      </c>
    </row>
    <row r="2216" spans="1:5">
      <c r="A2216" s="159">
        <f t="shared" si="26"/>
        <v>2215</v>
      </c>
      <c r="B2216" s="163">
        <v>45810</v>
      </c>
      <c r="C2216" s="164">
        <v>0.49635416666666665</v>
      </c>
      <c r="D2216" s="159">
        <v>10</v>
      </c>
      <c r="E2216" s="166" t="s">
        <v>2091</v>
      </c>
    </row>
    <row r="2217" spans="1:5">
      <c r="A2217" s="159">
        <f t="shared" si="26"/>
        <v>2216</v>
      </c>
      <c r="B2217" s="163">
        <v>45810</v>
      </c>
      <c r="C2217" s="164">
        <v>0.49482638888888886</v>
      </c>
      <c r="D2217" s="159">
        <v>10</v>
      </c>
      <c r="E2217" s="166" t="s">
        <v>2092</v>
      </c>
    </row>
    <row r="2218" spans="1:5">
      <c r="A2218" s="159">
        <f t="shared" si="26"/>
        <v>2217</v>
      </c>
      <c r="B2218" s="163">
        <v>45810</v>
      </c>
      <c r="C2218" s="164">
        <v>0.48343749999999996</v>
      </c>
      <c r="D2218" s="159">
        <v>9</v>
      </c>
      <c r="E2218" s="166" t="s">
        <v>2093</v>
      </c>
    </row>
    <row r="2219" spans="1:5">
      <c r="A2219" s="159">
        <f t="shared" si="26"/>
        <v>2218</v>
      </c>
      <c r="B2219" s="163">
        <v>45810</v>
      </c>
      <c r="C2219" s="164">
        <v>0.48331018518518515</v>
      </c>
      <c r="D2219" s="159">
        <v>10</v>
      </c>
      <c r="E2219" s="166" t="s">
        <v>2094</v>
      </c>
    </row>
    <row r="2220" spans="1:5">
      <c r="A2220" s="159">
        <f t="shared" si="26"/>
        <v>2219</v>
      </c>
      <c r="B2220" s="163">
        <v>45810</v>
      </c>
      <c r="C2220" s="164">
        <v>0.47569444444444442</v>
      </c>
      <c r="D2220" s="159">
        <v>1</v>
      </c>
      <c r="E2220" s="166" t="s">
        <v>2095</v>
      </c>
    </row>
    <row r="2221" spans="1:5">
      <c r="A2221" s="159">
        <f t="shared" si="26"/>
        <v>2220</v>
      </c>
      <c r="B2221" s="163">
        <v>45810</v>
      </c>
      <c r="C2221" s="164">
        <v>0.46164351851851854</v>
      </c>
      <c r="D2221" s="159">
        <v>10</v>
      </c>
      <c r="E2221" s="166" t="s">
        <v>2096</v>
      </c>
    </row>
    <row r="2222" spans="1:5">
      <c r="A2222" s="159">
        <f t="shared" si="26"/>
        <v>2221</v>
      </c>
      <c r="B2222" s="163">
        <v>45810</v>
      </c>
      <c r="C2222" s="164">
        <v>0.43604166666666666</v>
      </c>
      <c r="D2222" s="159">
        <v>10</v>
      </c>
      <c r="E2222" s="166" t="s">
        <v>2097</v>
      </c>
    </row>
    <row r="2223" spans="1:5">
      <c r="A2223" s="159">
        <f t="shared" si="26"/>
        <v>2222</v>
      </c>
      <c r="B2223" s="163">
        <v>45810</v>
      </c>
      <c r="C2223" s="164">
        <v>0.42601851851851852</v>
      </c>
      <c r="D2223" s="159">
        <v>10</v>
      </c>
      <c r="E2223" s="166" t="s">
        <v>179</v>
      </c>
    </row>
    <row r="2224" spans="1:5">
      <c r="A2224" s="159">
        <f t="shared" si="26"/>
        <v>2223</v>
      </c>
      <c r="B2224" s="163">
        <v>45810</v>
      </c>
      <c r="C2224" s="164">
        <v>0.41965277777777782</v>
      </c>
      <c r="D2224" s="159">
        <v>10</v>
      </c>
      <c r="E2224" s="166" t="s">
        <v>2098</v>
      </c>
    </row>
    <row r="2225" spans="1:5">
      <c r="A2225" s="159">
        <f t="shared" si="26"/>
        <v>2224</v>
      </c>
      <c r="B2225" s="163">
        <v>45810</v>
      </c>
      <c r="C2225" s="164">
        <v>0.41942129629629626</v>
      </c>
      <c r="D2225" s="159">
        <v>7</v>
      </c>
      <c r="E2225" s="166" t="s">
        <v>690</v>
      </c>
    </row>
    <row r="2226" spans="1:5">
      <c r="A2226" s="159">
        <f t="shared" si="26"/>
        <v>2225</v>
      </c>
      <c r="B2226" s="163">
        <v>45810</v>
      </c>
      <c r="C2226" s="164">
        <v>0.41334490740740742</v>
      </c>
      <c r="D2226" s="159">
        <v>10</v>
      </c>
      <c r="E2226" s="166" t="s">
        <v>2099</v>
      </c>
    </row>
    <row r="2227" spans="1:5" ht="40.5">
      <c r="A2227" s="159">
        <f t="shared" si="26"/>
        <v>2226</v>
      </c>
      <c r="B2227" s="163">
        <v>45810</v>
      </c>
      <c r="C2227" s="164">
        <v>0.41047453703703707</v>
      </c>
      <c r="D2227" s="159">
        <v>10</v>
      </c>
      <c r="E2227" s="166" t="s">
        <v>2105</v>
      </c>
    </row>
    <row r="2228" spans="1:5">
      <c r="A2228" s="159">
        <f t="shared" si="26"/>
        <v>2227</v>
      </c>
      <c r="B2228" s="163">
        <v>45810</v>
      </c>
      <c r="C2228" s="164">
        <v>0.40226851851851847</v>
      </c>
      <c r="D2228" s="159">
        <v>10</v>
      </c>
      <c r="E2228" s="166" t="s">
        <v>2100</v>
      </c>
    </row>
    <row r="2229" spans="1:5">
      <c r="A2229" s="159">
        <f t="shared" ref="A2229:A2292" si="27">ROW()-1</f>
        <v>2228</v>
      </c>
      <c r="B2229" s="163">
        <v>45810</v>
      </c>
      <c r="C2229" s="164">
        <v>0.39667824074074076</v>
      </c>
      <c r="D2229" s="159">
        <v>10</v>
      </c>
      <c r="E2229" s="166" t="s">
        <v>2101</v>
      </c>
    </row>
    <row r="2230" spans="1:5">
      <c r="A2230" s="159">
        <f t="shared" si="27"/>
        <v>2229</v>
      </c>
      <c r="B2230" s="163">
        <v>45810</v>
      </c>
      <c r="C2230" s="164">
        <v>0.38408564814814811</v>
      </c>
      <c r="D2230" s="159">
        <v>10</v>
      </c>
      <c r="E2230" s="166" t="s">
        <v>2102</v>
      </c>
    </row>
    <row r="2231" spans="1:5">
      <c r="A2231" s="159">
        <f t="shared" si="27"/>
        <v>2230</v>
      </c>
      <c r="B2231" s="163">
        <v>45810</v>
      </c>
      <c r="C2231" s="164">
        <v>0.3830439814814815</v>
      </c>
      <c r="D2231" s="159">
        <v>10</v>
      </c>
      <c r="E2231" s="166" t="s">
        <v>2103</v>
      </c>
    </row>
    <row r="2232" spans="1:5">
      <c r="A2232" s="159">
        <f t="shared" si="27"/>
        <v>2231</v>
      </c>
      <c r="B2232" s="163">
        <v>45810</v>
      </c>
      <c r="C2232" s="164">
        <v>0.38210648148148146</v>
      </c>
      <c r="D2232" s="159">
        <v>10</v>
      </c>
      <c r="E2232" s="166" t="s">
        <v>2104</v>
      </c>
    </row>
    <row r="2233" spans="1:5">
      <c r="A2233" s="159">
        <f t="shared" si="27"/>
        <v>2232</v>
      </c>
      <c r="B2233" s="163">
        <v>45812</v>
      </c>
      <c r="C2233" s="164">
        <v>0.90114583333333342</v>
      </c>
      <c r="D2233" s="159">
        <v>10</v>
      </c>
      <c r="E2233" s="166" t="s">
        <v>2108</v>
      </c>
    </row>
    <row r="2234" spans="1:5">
      <c r="A2234" s="159">
        <f t="shared" si="27"/>
        <v>2233</v>
      </c>
      <c r="B2234" s="163">
        <v>45812</v>
      </c>
      <c r="C2234" s="164">
        <v>0.83321759259259265</v>
      </c>
      <c r="D2234" s="159">
        <v>10</v>
      </c>
      <c r="E2234" s="166" t="s">
        <v>2109</v>
      </c>
    </row>
    <row r="2235" spans="1:5">
      <c r="A2235" s="159">
        <f t="shared" si="27"/>
        <v>2234</v>
      </c>
      <c r="B2235" s="163">
        <v>45812</v>
      </c>
      <c r="C2235" s="164">
        <v>0.78070601851851851</v>
      </c>
      <c r="D2235" s="159">
        <v>10</v>
      </c>
      <c r="E2235" s="166" t="s">
        <v>132</v>
      </c>
    </row>
    <row r="2236" spans="1:5">
      <c r="A2236" s="159">
        <f t="shared" si="27"/>
        <v>2235</v>
      </c>
      <c r="B2236" s="163">
        <v>45812</v>
      </c>
      <c r="C2236" s="164">
        <v>0.77634259259259253</v>
      </c>
      <c r="D2236" s="159">
        <v>10</v>
      </c>
      <c r="E2236" s="166" t="s">
        <v>2110</v>
      </c>
    </row>
    <row r="2237" spans="1:5">
      <c r="A2237" s="159">
        <f t="shared" si="27"/>
        <v>2236</v>
      </c>
      <c r="B2237" s="163">
        <v>45812</v>
      </c>
      <c r="C2237" s="164">
        <v>0.7543171296296296</v>
      </c>
      <c r="D2237" s="159">
        <v>10</v>
      </c>
      <c r="E2237" s="166" t="s">
        <v>2111</v>
      </c>
    </row>
    <row r="2238" spans="1:5">
      <c r="A2238" s="159">
        <f t="shared" si="27"/>
        <v>2237</v>
      </c>
      <c r="B2238" s="163">
        <v>45812</v>
      </c>
      <c r="C2238" s="164">
        <v>0.74624999999999997</v>
      </c>
      <c r="D2238" s="159">
        <v>10</v>
      </c>
      <c r="E2238" s="166" t="s">
        <v>2112</v>
      </c>
    </row>
    <row r="2239" spans="1:5">
      <c r="A2239" s="159">
        <f t="shared" si="27"/>
        <v>2238</v>
      </c>
      <c r="B2239" s="163">
        <v>45812</v>
      </c>
      <c r="C2239" s="164">
        <v>0.74059027777777775</v>
      </c>
      <c r="D2239" s="159">
        <v>10</v>
      </c>
      <c r="E2239" s="166" t="s">
        <v>1347</v>
      </c>
    </row>
    <row r="2240" spans="1:5">
      <c r="A2240" s="159">
        <f t="shared" si="27"/>
        <v>2239</v>
      </c>
      <c r="B2240" s="163">
        <v>45812</v>
      </c>
      <c r="C2240" s="164">
        <v>0.73807870370370365</v>
      </c>
      <c r="D2240" s="159">
        <v>10</v>
      </c>
      <c r="E2240" s="166" t="s">
        <v>2113</v>
      </c>
    </row>
    <row r="2241" spans="1:5">
      <c r="A2241" s="159">
        <f t="shared" si="27"/>
        <v>2240</v>
      </c>
      <c r="B2241" s="163">
        <v>45812</v>
      </c>
      <c r="C2241" s="164">
        <v>0.73542824074074076</v>
      </c>
      <c r="D2241" s="159">
        <v>10</v>
      </c>
      <c r="E2241" s="166" t="s">
        <v>2114</v>
      </c>
    </row>
    <row r="2242" spans="1:5">
      <c r="A2242" s="159">
        <f t="shared" si="27"/>
        <v>2241</v>
      </c>
      <c r="B2242" s="163">
        <v>45812</v>
      </c>
      <c r="C2242" s="164">
        <v>0.72857638888888887</v>
      </c>
      <c r="D2242" s="159">
        <v>10</v>
      </c>
      <c r="E2242" s="166" t="s">
        <v>2115</v>
      </c>
    </row>
    <row r="2243" spans="1:5">
      <c r="A2243" s="159">
        <f t="shared" si="27"/>
        <v>2242</v>
      </c>
      <c r="B2243" s="163">
        <v>45812</v>
      </c>
      <c r="C2243" s="164">
        <v>0.69805555555555554</v>
      </c>
      <c r="D2243" s="159">
        <v>10</v>
      </c>
      <c r="E2243" s="166" t="s">
        <v>2116</v>
      </c>
    </row>
    <row r="2244" spans="1:5">
      <c r="A2244" s="159">
        <f t="shared" si="27"/>
        <v>2243</v>
      </c>
      <c r="B2244" s="163">
        <v>45812</v>
      </c>
      <c r="C2244" s="164">
        <v>0.69359953703703703</v>
      </c>
      <c r="D2244" s="159">
        <v>10</v>
      </c>
      <c r="E2244" s="166" t="s">
        <v>2117</v>
      </c>
    </row>
    <row r="2245" spans="1:5">
      <c r="A2245" s="159">
        <f t="shared" si="27"/>
        <v>2244</v>
      </c>
      <c r="B2245" s="163">
        <v>45812</v>
      </c>
      <c r="C2245" s="164">
        <v>0.6867361111111111</v>
      </c>
      <c r="D2245" s="159">
        <v>10</v>
      </c>
      <c r="E2245" s="166" t="s">
        <v>2118</v>
      </c>
    </row>
    <row r="2246" spans="1:5">
      <c r="A2246" s="159">
        <f t="shared" si="27"/>
        <v>2245</v>
      </c>
      <c r="B2246" s="163">
        <v>45812</v>
      </c>
      <c r="C2246" s="164">
        <v>0.68238425925925927</v>
      </c>
      <c r="D2246" s="159">
        <v>10</v>
      </c>
      <c r="E2246" s="166" t="s">
        <v>2119</v>
      </c>
    </row>
    <row r="2247" spans="1:5">
      <c r="A2247" s="159">
        <f t="shared" si="27"/>
        <v>2246</v>
      </c>
      <c r="B2247" s="163">
        <v>45812</v>
      </c>
      <c r="C2247" s="164">
        <v>0.67596064814814805</v>
      </c>
      <c r="D2247" s="159">
        <v>10</v>
      </c>
      <c r="E2247" s="166" t="s">
        <v>732</v>
      </c>
    </row>
    <row r="2248" spans="1:5">
      <c r="A2248" s="159">
        <f t="shared" si="27"/>
        <v>2247</v>
      </c>
      <c r="B2248" s="163">
        <v>45812</v>
      </c>
      <c r="C2248" s="164">
        <v>0.66112268518518513</v>
      </c>
      <c r="D2248" s="159">
        <v>10</v>
      </c>
      <c r="E2248" s="166" t="s">
        <v>2120</v>
      </c>
    </row>
    <row r="2249" spans="1:5">
      <c r="A2249" s="159">
        <f t="shared" si="27"/>
        <v>2248</v>
      </c>
      <c r="B2249" s="163">
        <v>45812</v>
      </c>
      <c r="C2249" s="164">
        <v>0.65734953703703702</v>
      </c>
      <c r="D2249" s="159">
        <v>10</v>
      </c>
      <c r="E2249" s="166" t="s">
        <v>2121</v>
      </c>
    </row>
    <row r="2250" spans="1:5">
      <c r="A2250" s="159">
        <f t="shared" si="27"/>
        <v>2249</v>
      </c>
      <c r="B2250" s="163">
        <v>45812</v>
      </c>
      <c r="C2250" s="164">
        <v>0.64888888888888896</v>
      </c>
      <c r="D2250" s="159">
        <v>10</v>
      </c>
      <c r="E2250" s="166" t="s">
        <v>2154</v>
      </c>
    </row>
    <row r="2251" spans="1:5">
      <c r="A2251" s="159">
        <f t="shared" si="27"/>
        <v>2250</v>
      </c>
      <c r="B2251" s="163">
        <v>45812</v>
      </c>
      <c r="C2251" s="164">
        <v>0.64687499999999998</v>
      </c>
      <c r="D2251" s="159">
        <v>10</v>
      </c>
      <c r="E2251" s="166" t="s">
        <v>2122</v>
      </c>
    </row>
    <row r="2252" spans="1:5">
      <c r="A2252" s="159">
        <f t="shared" si="27"/>
        <v>2251</v>
      </c>
      <c r="B2252" s="163">
        <v>45812</v>
      </c>
      <c r="C2252" s="164">
        <v>0.6424305555555555</v>
      </c>
      <c r="D2252" s="159">
        <v>10</v>
      </c>
      <c r="E2252" s="166" t="s">
        <v>2123</v>
      </c>
    </row>
    <row r="2253" spans="1:5">
      <c r="A2253" s="159">
        <f t="shared" si="27"/>
        <v>2252</v>
      </c>
      <c r="B2253" s="163">
        <v>45812</v>
      </c>
      <c r="C2253" s="164">
        <v>0.63814814814814813</v>
      </c>
      <c r="D2253" s="159">
        <v>10</v>
      </c>
      <c r="E2253" s="166" t="s">
        <v>2124</v>
      </c>
    </row>
    <row r="2254" spans="1:5">
      <c r="A2254" s="159">
        <f t="shared" si="27"/>
        <v>2253</v>
      </c>
      <c r="B2254" s="163">
        <v>45812</v>
      </c>
      <c r="C2254" s="164">
        <v>0.63096064814814812</v>
      </c>
      <c r="D2254" s="159">
        <v>10</v>
      </c>
      <c r="E2254" s="166" t="s">
        <v>2125</v>
      </c>
    </row>
    <row r="2255" spans="1:5">
      <c r="A2255" s="159">
        <f t="shared" si="27"/>
        <v>2254</v>
      </c>
      <c r="B2255" s="163">
        <v>45812</v>
      </c>
      <c r="C2255" s="164">
        <v>0.62118055555555551</v>
      </c>
      <c r="D2255" s="159">
        <v>10</v>
      </c>
      <c r="E2255" s="166" t="s">
        <v>2126</v>
      </c>
    </row>
    <row r="2256" spans="1:5">
      <c r="A2256" s="159">
        <f t="shared" si="27"/>
        <v>2255</v>
      </c>
      <c r="B2256" s="163">
        <v>45812</v>
      </c>
      <c r="C2256" s="164">
        <v>0.61622685185185189</v>
      </c>
      <c r="D2256" s="159">
        <v>10</v>
      </c>
      <c r="E2256" s="166" t="s">
        <v>2127</v>
      </c>
    </row>
    <row r="2257" spans="1:5">
      <c r="A2257" s="159">
        <f t="shared" si="27"/>
        <v>2256</v>
      </c>
      <c r="B2257" s="163">
        <v>45812</v>
      </c>
      <c r="C2257" s="164">
        <v>0.60651620370370374</v>
      </c>
      <c r="D2257" s="159">
        <v>10</v>
      </c>
      <c r="E2257" s="166" t="s">
        <v>492</v>
      </c>
    </row>
    <row r="2258" spans="1:5">
      <c r="A2258" s="159">
        <f t="shared" si="27"/>
        <v>2257</v>
      </c>
      <c r="B2258" s="163">
        <v>45812</v>
      </c>
      <c r="C2258" s="164">
        <v>0.59635416666666663</v>
      </c>
      <c r="D2258" s="159">
        <v>10</v>
      </c>
      <c r="E2258" s="166" t="s">
        <v>2128</v>
      </c>
    </row>
    <row r="2259" spans="1:5">
      <c r="A2259" s="159">
        <f t="shared" si="27"/>
        <v>2258</v>
      </c>
      <c r="B2259" s="163">
        <v>45812</v>
      </c>
      <c r="C2259" s="164">
        <v>0.58996527777777785</v>
      </c>
      <c r="D2259" s="159">
        <v>10</v>
      </c>
      <c r="E2259" s="166" t="s">
        <v>2129</v>
      </c>
    </row>
    <row r="2260" spans="1:5">
      <c r="A2260" s="159">
        <f t="shared" si="27"/>
        <v>2259</v>
      </c>
      <c r="B2260" s="163">
        <v>45812</v>
      </c>
      <c r="C2260" s="164">
        <v>0.57903935185185185</v>
      </c>
      <c r="D2260" s="159">
        <v>10</v>
      </c>
      <c r="E2260" s="166" t="s">
        <v>2005</v>
      </c>
    </row>
    <row r="2261" spans="1:5">
      <c r="A2261" s="159">
        <f t="shared" si="27"/>
        <v>2260</v>
      </c>
      <c r="B2261" s="163">
        <v>45812</v>
      </c>
      <c r="C2261" s="164">
        <v>0.57670138888888889</v>
      </c>
      <c r="D2261" s="159">
        <v>10</v>
      </c>
      <c r="E2261" s="166" t="s">
        <v>2130</v>
      </c>
    </row>
    <row r="2262" spans="1:5">
      <c r="A2262" s="159">
        <f t="shared" si="27"/>
        <v>2261</v>
      </c>
      <c r="B2262" s="163">
        <v>45812</v>
      </c>
      <c r="C2262" s="164">
        <v>0.57247685185185182</v>
      </c>
      <c r="D2262" s="159">
        <v>10</v>
      </c>
      <c r="E2262" s="166" t="s">
        <v>2131</v>
      </c>
    </row>
    <row r="2263" spans="1:5">
      <c r="A2263" s="159">
        <f t="shared" si="27"/>
        <v>2262</v>
      </c>
      <c r="B2263" s="163">
        <v>45812</v>
      </c>
      <c r="C2263" s="164">
        <v>0.56638888888888894</v>
      </c>
      <c r="D2263" s="159">
        <v>9</v>
      </c>
      <c r="E2263" s="166" t="s">
        <v>132</v>
      </c>
    </row>
    <row r="2264" spans="1:5">
      <c r="A2264" s="159">
        <f t="shared" si="27"/>
        <v>2263</v>
      </c>
      <c r="B2264" s="163">
        <v>45812</v>
      </c>
      <c r="C2264" s="164">
        <v>0.56594907407407413</v>
      </c>
      <c r="D2264" s="159">
        <v>10</v>
      </c>
      <c r="E2264" s="166" t="s">
        <v>2132</v>
      </c>
    </row>
    <row r="2265" spans="1:5">
      <c r="A2265" s="159">
        <f t="shared" si="27"/>
        <v>2264</v>
      </c>
      <c r="B2265" s="163">
        <v>45812</v>
      </c>
      <c r="C2265" s="164">
        <v>0.55092592592592593</v>
      </c>
      <c r="D2265" s="159">
        <v>10</v>
      </c>
      <c r="E2265" s="166" t="s">
        <v>2133</v>
      </c>
    </row>
    <row r="2266" spans="1:5">
      <c r="A2266" s="159">
        <f t="shared" si="27"/>
        <v>2265</v>
      </c>
      <c r="B2266" s="163">
        <v>45812</v>
      </c>
      <c r="C2266" s="164">
        <v>0.51606481481481481</v>
      </c>
      <c r="D2266" s="159">
        <v>10</v>
      </c>
      <c r="E2266" s="166" t="s">
        <v>2134</v>
      </c>
    </row>
    <row r="2267" spans="1:5">
      <c r="A2267" s="159">
        <f t="shared" si="27"/>
        <v>2266</v>
      </c>
      <c r="B2267" s="163">
        <v>45812</v>
      </c>
      <c r="C2267" s="164">
        <v>0.49408564814814815</v>
      </c>
      <c r="D2267" s="159">
        <v>10</v>
      </c>
      <c r="E2267" s="166" t="s">
        <v>2135</v>
      </c>
    </row>
    <row r="2268" spans="1:5">
      <c r="A2268" s="159">
        <f t="shared" si="27"/>
        <v>2267</v>
      </c>
      <c r="B2268" s="163">
        <v>45812</v>
      </c>
      <c r="C2268" s="164">
        <v>0.48762731481481486</v>
      </c>
      <c r="D2268" s="159">
        <v>10</v>
      </c>
      <c r="E2268" s="166" t="s">
        <v>2136</v>
      </c>
    </row>
    <row r="2269" spans="1:5">
      <c r="A2269" s="159">
        <f t="shared" si="27"/>
        <v>2268</v>
      </c>
      <c r="B2269" s="163">
        <v>45812</v>
      </c>
      <c r="C2269" s="164">
        <v>0.48532407407407407</v>
      </c>
      <c r="D2269" s="159">
        <v>10</v>
      </c>
      <c r="E2269" s="166" t="s">
        <v>2137</v>
      </c>
    </row>
    <row r="2270" spans="1:5">
      <c r="A2270" s="159">
        <f t="shared" si="27"/>
        <v>2269</v>
      </c>
      <c r="B2270" s="163">
        <v>45812</v>
      </c>
      <c r="C2270" s="164">
        <v>0.47965277777777776</v>
      </c>
      <c r="D2270" s="159">
        <v>10</v>
      </c>
      <c r="E2270" s="166" t="s">
        <v>2138</v>
      </c>
    </row>
    <row r="2271" spans="1:5">
      <c r="A2271" s="159">
        <f t="shared" si="27"/>
        <v>2270</v>
      </c>
      <c r="B2271" s="163">
        <v>45812</v>
      </c>
      <c r="C2271" s="164">
        <v>0.47523148148148148</v>
      </c>
      <c r="D2271" s="159">
        <v>10</v>
      </c>
      <c r="E2271" s="166" t="s">
        <v>2139</v>
      </c>
    </row>
    <row r="2272" spans="1:5">
      <c r="A2272" s="159">
        <f t="shared" si="27"/>
        <v>2271</v>
      </c>
      <c r="B2272" s="163">
        <v>45812</v>
      </c>
      <c r="C2272" s="164">
        <v>0.46407407407407408</v>
      </c>
      <c r="D2272" s="159">
        <v>10</v>
      </c>
      <c r="E2272" s="166" t="s">
        <v>2140</v>
      </c>
    </row>
    <row r="2273" spans="1:5">
      <c r="A2273" s="159">
        <f t="shared" si="27"/>
        <v>2272</v>
      </c>
      <c r="B2273" s="163">
        <v>45812</v>
      </c>
      <c r="C2273" s="164">
        <v>0.45734953703703707</v>
      </c>
      <c r="D2273" s="159">
        <v>10</v>
      </c>
      <c r="E2273" s="166" t="s">
        <v>2141</v>
      </c>
    </row>
    <row r="2274" spans="1:5">
      <c r="A2274" s="159">
        <f t="shared" si="27"/>
        <v>2273</v>
      </c>
      <c r="B2274" s="163">
        <v>45812</v>
      </c>
      <c r="C2274" s="164">
        <v>0.45516203703703706</v>
      </c>
      <c r="D2274" s="159">
        <v>10</v>
      </c>
      <c r="E2274" s="166" t="s">
        <v>2142</v>
      </c>
    </row>
    <row r="2275" spans="1:5">
      <c r="A2275" s="159">
        <f t="shared" si="27"/>
        <v>2274</v>
      </c>
      <c r="B2275" s="163">
        <v>45812</v>
      </c>
      <c r="C2275" s="164">
        <v>0.45549768518518513</v>
      </c>
      <c r="D2275" s="159">
        <v>10</v>
      </c>
      <c r="E2275" s="166" t="s">
        <v>2153</v>
      </c>
    </row>
    <row r="2276" spans="1:5">
      <c r="A2276" s="159">
        <f t="shared" si="27"/>
        <v>2275</v>
      </c>
      <c r="B2276" s="163">
        <v>45812</v>
      </c>
      <c r="C2276" s="164">
        <v>0.45222222222222225</v>
      </c>
      <c r="D2276" s="159">
        <v>10</v>
      </c>
      <c r="E2276" s="166" t="s">
        <v>2143</v>
      </c>
    </row>
    <row r="2277" spans="1:5" ht="27">
      <c r="A2277" s="159">
        <f t="shared" si="27"/>
        <v>2276</v>
      </c>
      <c r="B2277" s="163">
        <v>45812</v>
      </c>
      <c r="C2277" s="164">
        <v>0.44612268518518516</v>
      </c>
      <c r="D2277" s="159">
        <v>10</v>
      </c>
      <c r="E2277" s="166" t="s">
        <v>2152</v>
      </c>
    </row>
    <row r="2278" spans="1:5">
      <c r="A2278" s="159">
        <f t="shared" si="27"/>
        <v>2277</v>
      </c>
      <c r="B2278" s="163">
        <v>45812</v>
      </c>
      <c r="C2278" s="164">
        <v>0.44563657407407403</v>
      </c>
      <c r="D2278" s="159">
        <v>10</v>
      </c>
      <c r="E2278" s="166" t="s">
        <v>2144</v>
      </c>
    </row>
    <row r="2279" spans="1:5">
      <c r="A2279" s="159">
        <f t="shared" si="27"/>
        <v>2278</v>
      </c>
      <c r="B2279" s="163">
        <v>45812</v>
      </c>
      <c r="C2279" s="164">
        <v>0.43540509259259258</v>
      </c>
      <c r="D2279" s="159">
        <v>10</v>
      </c>
      <c r="E2279" s="166" t="s">
        <v>2145</v>
      </c>
    </row>
    <row r="2280" spans="1:5">
      <c r="A2280" s="159">
        <f t="shared" si="27"/>
        <v>2279</v>
      </c>
      <c r="B2280" s="163">
        <v>45812</v>
      </c>
      <c r="C2280" s="164">
        <v>0.40939814814814812</v>
      </c>
      <c r="D2280" s="159">
        <v>10</v>
      </c>
      <c r="E2280" s="166" t="s">
        <v>2146</v>
      </c>
    </row>
    <row r="2281" spans="1:5">
      <c r="A2281" s="159">
        <f t="shared" si="27"/>
        <v>2280</v>
      </c>
      <c r="B2281" s="163">
        <v>45812</v>
      </c>
      <c r="C2281" s="164">
        <v>0.4027546296296296</v>
      </c>
      <c r="D2281" s="159">
        <v>10</v>
      </c>
      <c r="E2281" s="166" t="s">
        <v>2147</v>
      </c>
    </row>
    <row r="2282" spans="1:5">
      <c r="A2282" s="159">
        <f t="shared" si="27"/>
        <v>2281</v>
      </c>
      <c r="B2282" s="163">
        <v>45812</v>
      </c>
      <c r="C2282" s="164">
        <v>0.40228009259259262</v>
      </c>
      <c r="D2282" s="159">
        <v>10</v>
      </c>
      <c r="E2282" s="166" t="s">
        <v>2148</v>
      </c>
    </row>
    <row r="2283" spans="1:5">
      <c r="A2283" s="159">
        <f t="shared" si="27"/>
        <v>2282</v>
      </c>
      <c r="B2283" s="163">
        <v>45812</v>
      </c>
      <c r="C2283" s="164">
        <v>0.40112268518518518</v>
      </c>
      <c r="D2283" s="159">
        <v>10</v>
      </c>
      <c r="E2283" s="166" t="s">
        <v>2149</v>
      </c>
    </row>
    <row r="2284" spans="1:5">
      <c r="A2284" s="159">
        <f t="shared" si="27"/>
        <v>2283</v>
      </c>
      <c r="B2284" s="163">
        <v>45812</v>
      </c>
      <c r="C2284" s="164">
        <v>0.3975231481481481</v>
      </c>
      <c r="D2284" s="159">
        <v>10</v>
      </c>
      <c r="E2284" s="166" t="s">
        <v>354</v>
      </c>
    </row>
    <row r="2285" spans="1:5">
      <c r="A2285" s="159">
        <f t="shared" si="27"/>
        <v>2284</v>
      </c>
      <c r="B2285" s="163">
        <v>45812</v>
      </c>
      <c r="C2285" s="164">
        <v>0.39060185185185187</v>
      </c>
      <c r="D2285" s="159">
        <v>10</v>
      </c>
      <c r="E2285" s="166" t="s">
        <v>2150</v>
      </c>
    </row>
    <row r="2286" spans="1:5">
      <c r="A2286" s="159">
        <f t="shared" si="27"/>
        <v>2285</v>
      </c>
      <c r="B2286" s="163">
        <v>45812</v>
      </c>
      <c r="C2286" s="164">
        <v>0.37792824074074072</v>
      </c>
      <c r="D2286" s="159">
        <v>10</v>
      </c>
      <c r="E2286" s="166" t="s">
        <v>2151</v>
      </c>
    </row>
    <row r="2287" spans="1:5">
      <c r="A2287" s="159">
        <f t="shared" si="27"/>
        <v>2286</v>
      </c>
      <c r="B2287" s="163">
        <v>45813</v>
      </c>
      <c r="C2287" s="164">
        <v>0.89640046296296294</v>
      </c>
      <c r="D2287" s="159">
        <v>10</v>
      </c>
      <c r="E2287" s="166" t="s">
        <v>2170</v>
      </c>
    </row>
    <row r="2288" spans="1:5">
      <c r="A2288" s="159">
        <f t="shared" si="27"/>
        <v>2287</v>
      </c>
      <c r="B2288" s="163">
        <v>45813</v>
      </c>
      <c r="C2288" s="164">
        <v>0.80512731481481481</v>
      </c>
      <c r="D2288" s="159">
        <v>10</v>
      </c>
      <c r="E2288" s="166" t="s">
        <v>2171</v>
      </c>
    </row>
    <row r="2289" spans="1:5" ht="27">
      <c r="A2289" s="159">
        <f t="shared" si="27"/>
        <v>2288</v>
      </c>
      <c r="B2289" s="163">
        <v>45813</v>
      </c>
      <c r="C2289" s="164">
        <v>0.79825231481481485</v>
      </c>
      <c r="D2289" s="159">
        <v>10</v>
      </c>
      <c r="E2289" s="166" t="s">
        <v>2172</v>
      </c>
    </row>
    <row r="2290" spans="1:5">
      <c r="A2290" s="159">
        <f t="shared" si="27"/>
        <v>2289</v>
      </c>
      <c r="B2290" s="163">
        <v>45813</v>
      </c>
      <c r="C2290" s="164">
        <v>0.77454861111111117</v>
      </c>
      <c r="D2290" s="159">
        <v>10</v>
      </c>
      <c r="E2290" s="166" t="s">
        <v>406</v>
      </c>
    </row>
    <row r="2291" spans="1:5">
      <c r="A2291" s="159">
        <f t="shared" si="27"/>
        <v>2290</v>
      </c>
      <c r="B2291" s="163">
        <v>45813</v>
      </c>
      <c r="C2291" s="164">
        <v>0.75883101851851853</v>
      </c>
      <c r="D2291" s="159">
        <v>10</v>
      </c>
      <c r="E2291" s="166" t="s">
        <v>2173</v>
      </c>
    </row>
    <row r="2292" spans="1:5" ht="27">
      <c r="A2292" s="159">
        <f t="shared" si="27"/>
        <v>2291</v>
      </c>
      <c r="B2292" s="163">
        <v>45813</v>
      </c>
      <c r="C2292" s="164">
        <v>0.75603009259259257</v>
      </c>
      <c r="D2292" s="159">
        <v>10</v>
      </c>
      <c r="E2292" s="166" t="s">
        <v>2174</v>
      </c>
    </row>
    <row r="2293" spans="1:5">
      <c r="A2293" s="159">
        <f t="shared" ref="A2293:A2356" si="28">ROW()-1</f>
        <v>2292</v>
      </c>
      <c r="B2293" s="163">
        <v>45813</v>
      </c>
      <c r="C2293" s="164">
        <v>0.74084490740740738</v>
      </c>
      <c r="D2293" s="159">
        <v>10</v>
      </c>
      <c r="E2293" s="166" t="s">
        <v>2175</v>
      </c>
    </row>
    <row r="2294" spans="1:5">
      <c r="A2294" s="159">
        <f t="shared" si="28"/>
        <v>2293</v>
      </c>
      <c r="B2294" s="163">
        <v>45813</v>
      </c>
      <c r="C2294" s="164">
        <v>0.73365740740740737</v>
      </c>
      <c r="D2294" s="159">
        <v>10</v>
      </c>
      <c r="E2294" s="166" t="s">
        <v>2176</v>
      </c>
    </row>
    <row r="2295" spans="1:5">
      <c r="A2295" s="159">
        <f t="shared" si="28"/>
        <v>2294</v>
      </c>
      <c r="B2295" s="163">
        <v>45813</v>
      </c>
      <c r="C2295" s="164">
        <v>0.73265046296296299</v>
      </c>
      <c r="D2295" s="159">
        <v>10</v>
      </c>
      <c r="E2295" s="166" t="s">
        <v>2177</v>
      </c>
    </row>
    <row r="2296" spans="1:5">
      <c r="A2296" s="159">
        <f t="shared" si="28"/>
        <v>2295</v>
      </c>
      <c r="B2296" s="163">
        <v>45813</v>
      </c>
      <c r="C2296" s="164">
        <v>0.72663194444444434</v>
      </c>
      <c r="D2296" s="159">
        <v>10</v>
      </c>
      <c r="E2296" s="166" t="s">
        <v>2178</v>
      </c>
    </row>
    <row r="2297" spans="1:5">
      <c r="A2297" s="159">
        <f t="shared" si="28"/>
        <v>2296</v>
      </c>
      <c r="B2297" s="163">
        <v>45813</v>
      </c>
      <c r="C2297" s="164">
        <v>0.7244560185185186</v>
      </c>
      <c r="D2297" s="159">
        <v>10</v>
      </c>
      <c r="E2297" s="166" t="s">
        <v>2179</v>
      </c>
    </row>
    <row r="2298" spans="1:5">
      <c r="A2298" s="159">
        <f t="shared" si="28"/>
        <v>2297</v>
      </c>
      <c r="B2298" s="163">
        <v>45813</v>
      </c>
      <c r="C2298" s="164">
        <v>0.72410879629629632</v>
      </c>
      <c r="D2298" s="159">
        <v>10</v>
      </c>
      <c r="E2298" s="166" t="s">
        <v>2180</v>
      </c>
    </row>
    <row r="2299" spans="1:5">
      <c r="A2299" s="159">
        <f t="shared" si="28"/>
        <v>2298</v>
      </c>
      <c r="B2299" s="163">
        <v>45813</v>
      </c>
      <c r="C2299" s="164">
        <v>0.71753472222222225</v>
      </c>
      <c r="D2299" s="159">
        <v>10</v>
      </c>
      <c r="E2299" s="166" t="s">
        <v>2181</v>
      </c>
    </row>
    <row r="2300" spans="1:5">
      <c r="A2300" s="159">
        <f t="shared" si="28"/>
        <v>2299</v>
      </c>
      <c r="B2300" s="163">
        <v>45813</v>
      </c>
      <c r="C2300" s="164">
        <v>0.70582175925925927</v>
      </c>
      <c r="D2300" s="159">
        <v>10</v>
      </c>
      <c r="E2300" s="166" t="s">
        <v>2182</v>
      </c>
    </row>
    <row r="2301" spans="1:5">
      <c r="A2301" s="159">
        <f t="shared" si="28"/>
        <v>2300</v>
      </c>
      <c r="B2301" s="163">
        <v>45813</v>
      </c>
      <c r="C2301" s="164">
        <v>0.69917824074074064</v>
      </c>
      <c r="D2301" s="159">
        <v>10</v>
      </c>
      <c r="E2301" s="166" t="s">
        <v>2183</v>
      </c>
    </row>
    <row r="2302" spans="1:5">
      <c r="A2302" s="159">
        <f t="shared" si="28"/>
        <v>2301</v>
      </c>
      <c r="B2302" s="163">
        <v>45813</v>
      </c>
      <c r="C2302" s="164">
        <v>0.68265046296296295</v>
      </c>
      <c r="D2302" s="159">
        <v>10</v>
      </c>
      <c r="E2302" s="166" t="s">
        <v>2184</v>
      </c>
    </row>
    <row r="2303" spans="1:5">
      <c r="A2303" s="159">
        <f t="shared" si="28"/>
        <v>2302</v>
      </c>
      <c r="B2303" s="163">
        <v>45813</v>
      </c>
      <c r="C2303" s="164">
        <v>0.68030092592592595</v>
      </c>
      <c r="D2303" s="159">
        <v>10</v>
      </c>
      <c r="E2303" s="166" t="s">
        <v>2185</v>
      </c>
    </row>
    <row r="2304" spans="1:5">
      <c r="A2304" s="159">
        <f t="shared" si="28"/>
        <v>2303</v>
      </c>
      <c r="B2304" s="163">
        <v>45813</v>
      </c>
      <c r="C2304" s="164">
        <v>0.67640046296296286</v>
      </c>
      <c r="D2304" s="159">
        <v>10</v>
      </c>
    </row>
    <row r="2305" spans="1:5">
      <c r="A2305" s="159">
        <f t="shared" si="28"/>
        <v>2304</v>
      </c>
      <c r="B2305" s="163">
        <v>45813</v>
      </c>
      <c r="C2305" s="164">
        <v>0.66964120370370372</v>
      </c>
      <c r="D2305" s="159">
        <v>10</v>
      </c>
      <c r="E2305" s="166" t="s">
        <v>2186</v>
      </c>
    </row>
    <row r="2306" spans="1:5">
      <c r="A2306" s="159">
        <f t="shared" si="28"/>
        <v>2305</v>
      </c>
      <c r="B2306" s="163">
        <v>45813</v>
      </c>
      <c r="C2306" s="164">
        <v>0.66956018518518512</v>
      </c>
      <c r="D2306" s="159">
        <v>10</v>
      </c>
      <c r="E2306" s="166" t="s">
        <v>2187</v>
      </c>
    </row>
    <row r="2307" spans="1:5">
      <c r="A2307" s="159">
        <f t="shared" si="28"/>
        <v>2306</v>
      </c>
      <c r="B2307" s="163">
        <v>45813</v>
      </c>
      <c r="C2307" s="164">
        <v>0.6691435185185185</v>
      </c>
      <c r="D2307" s="159">
        <v>10</v>
      </c>
      <c r="E2307" s="166" t="s">
        <v>2188</v>
      </c>
    </row>
    <row r="2308" spans="1:5">
      <c r="A2308" s="159">
        <f t="shared" si="28"/>
        <v>2307</v>
      </c>
      <c r="B2308" s="163">
        <v>45813</v>
      </c>
      <c r="C2308" s="164">
        <v>0.66346064814814809</v>
      </c>
      <c r="D2308" s="159">
        <v>10</v>
      </c>
      <c r="E2308" s="166" t="s">
        <v>2189</v>
      </c>
    </row>
    <row r="2309" spans="1:5">
      <c r="A2309" s="159">
        <f t="shared" si="28"/>
        <v>2308</v>
      </c>
      <c r="B2309" s="163">
        <v>45813</v>
      </c>
      <c r="C2309" s="164">
        <v>0.65737268518518521</v>
      </c>
      <c r="D2309" s="159">
        <v>10</v>
      </c>
      <c r="E2309" s="166" t="s">
        <v>2190</v>
      </c>
    </row>
    <row r="2310" spans="1:5">
      <c r="A2310" s="159">
        <f t="shared" si="28"/>
        <v>2309</v>
      </c>
      <c r="B2310" s="163">
        <v>45813</v>
      </c>
      <c r="C2310" s="164">
        <v>0.65628472222222223</v>
      </c>
      <c r="D2310" s="159">
        <v>10</v>
      </c>
      <c r="E2310" s="166" t="s">
        <v>2191</v>
      </c>
    </row>
    <row r="2311" spans="1:5">
      <c r="A2311" s="159">
        <f t="shared" si="28"/>
        <v>2310</v>
      </c>
      <c r="B2311" s="163">
        <v>45813</v>
      </c>
      <c r="C2311" s="164">
        <v>0.65456018518518522</v>
      </c>
      <c r="D2311" s="159">
        <v>10</v>
      </c>
      <c r="E2311" s="166" t="s">
        <v>2192</v>
      </c>
    </row>
    <row r="2312" spans="1:5">
      <c r="A2312" s="159">
        <f t="shared" si="28"/>
        <v>2311</v>
      </c>
      <c r="B2312" s="163">
        <v>45813</v>
      </c>
      <c r="C2312" s="164">
        <v>0.65082175925925922</v>
      </c>
      <c r="D2312" s="159">
        <v>10</v>
      </c>
      <c r="E2312" s="166" t="s">
        <v>2193</v>
      </c>
    </row>
    <row r="2313" spans="1:5">
      <c r="A2313" s="159">
        <f t="shared" si="28"/>
        <v>2312</v>
      </c>
      <c r="B2313" s="163">
        <v>45813</v>
      </c>
      <c r="C2313" s="164">
        <v>0.63585648148148144</v>
      </c>
      <c r="D2313" s="159">
        <v>10</v>
      </c>
      <c r="E2313" s="166" t="s">
        <v>2194</v>
      </c>
    </row>
    <row r="2314" spans="1:5">
      <c r="A2314" s="159">
        <f t="shared" si="28"/>
        <v>2313</v>
      </c>
      <c r="B2314" s="163">
        <v>45813</v>
      </c>
      <c r="C2314" s="164">
        <v>0.6338773148148148</v>
      </c>
      <c r="D2314" s="159">
        <v>10</v>
      </c>
      <c r="E2314" s="166" t="s">
        <v>132</v>
      </c>
    </row>
    <row r="2315" spans="1:5">
      <c r="A2315" s="159">
        <f t="shared" si="28"/>
        <v>2314</v>
      </c>
      <c r="B2315" s="163">
        <v>45813</v>
      </c>
      <c r="C2315" s="164">
        <v>0.62792824074074072</v>
      </c>
      <c r="D2315" s="159">
        <v>10</v>
      </c>
      <c r="E2315" s="166" t="s">
        <v>2195</v>
      </c>
    </row>
    <row r="2316" spans="1:5">
      <c r="A2316" s="159">
        <f t="shared" si="28"/>
        <v>2315</v>
      </c>
      <c r="B2316" s="163">
        <v>45813</v>
      </c>
      <c r="C2316" s="164">
        <v>0.61554398148148148</v>
      </c>
      <c r="D2316" s="159">
        <v>10</v>
      </c>
      <c r="E2316" s="166" t="s">
        <v>2196</v>
      </c>
    </row>
    <row r="2317" spans="1:5">
      <c r="A2317" s="159">
        <f t="shared" si="28"/>
        <v>2316</v>
      </c>
      <c r="B2317" s="163">
        <v>45813</v>
      </c>
      <c r="C2317" s="164">
        <v>0.61282407407407413</v>
      </c>
      <c r="D2317" s="159">
        <v>10</v>
      </c>
      <c r="E2317" s="166" t="s">
        <v>2197</v>
      </c>
    </row>
    <row r="2318" spans="1:5">
      <c r="A2318" s="159">
        <f t="shared" si="28"/>
        <v>2317</v>
      </c>
      <c r="B2318" s="163">
        <v>45813</v>
      </c>
      <c r="C2318" s="164">
        <v>0.61077546296296303</v>
      </c>
      <c r="D2318" s="159">
        <v>10</v>
      </c>
      <c r="E2318" s="166" t="s">
        <v>690</v>
      </c>
    </row>
    <row r="2319" spans="1:5">
      <c r="A2319" s="159">
        <f t="shared" si="28"/>
        <v>2318</v>
      </c>
      <c r="B2319" s="163">
        <v>45813</v>
      </c>
      <c r="C2319" s="164">
        <v>0.60648148148148151</v>
      </c>
      <c r="D2319" s="159">
        <v>10</v>
      </c>
      <c r="E2319" s="166" t="s">
        <v>2198</v>
      </c>
    </row>
    <row r="2320" spans="1:5">
      <c r="A2320" s="159">
        <f t="shared" si="28"/>
        <v>2319</v>
      </c>
      <c r="B2320" s="163">
        <v>45813</v>
      </c>
      <c r="C2320" s="164">
        <v>0.60629629629629633</v>
      </c>
      <c r="D2320" s="159">
        <v>10</v>
      </c>
      <c r="E2320" s="166" t="s">
        <v>2199</v>
      </c>
    </row>
    <row r="2321" spans="1:5">
      <c r="A2321" s="159">
        <f t="shared" si="28"/>
        <v>2320</v>
      </c>
      <c r="B2321" s="163">
        <v>45813</v>
      </c>
      <c r="C2321" s="164">
        <v>0.6036921296296297</v>
      </c>
      <c r="D2321" s="159">
        <v>10</v>
      </c>
      <c r="E2321" s="166" t="s">
        <v>2200</v>
      </c>
    </row>
    <row r="2322" spans="1:5" ht="40.5">
      <c r="A2322" s="159">
        <f t="shared" si="28"/>
        <v>2321</v>
      </c>
      <c r="B2322" s="163">
        <v>45813</v>
      </c>
      <c r="C2322" s="164">
        <v>0.60270833333333329</v>
      </c>
      <c r="D2322" s="159">
        <v>10</v>
      </c>
      <c r="E2322" s="166" t="s">
        <v>2221</v>
      </c>
    </row>
    <row r="2323" spans="1:5">
      <c r="A2323" s="159">
        <f t="shared" si="28"/>
        <v>2322</v>
      </c>
      <c r="B2323" s="163">
        <v>45813</v>
      </c>
      <c r="C2323" s="164">
        <v>0.59526620370370364</v>
      </c>
      <c r="D2323" s="159">
        <v>10</v>
      </c>
      <c r="E2323" s="166" t="s">
        <v>2201</v>
      </c>
    </row>
    <row r="2324" spans="1:5">
      <c r="A2324" s="159">
        <f t="shared" si="28"/>
        <v>2323</v>
      </c>
      <c r="B2324" s="163">
        <v>45813</v>
      </c>
      <c r="C2324" s="164">
        <v>0.58892361111111113</v>
      </c>
      <c r="D2324" s="159">
        <v>10</v>
      </c>
      <c r="E2324" s="166" t="s">
        <v>2202</v>
      </c>
    </row>
    <row r="2325" spans="1:5">
      <c r="A2325" s="159">
        <f t="shared" si="28"/>
        <v>2324</v>
      </c>
      <c r="B2325" s="163">
        <v>45813</v>
      </c>
      <c r="C2325" s="164">
        <v>0.58218749999999997</v>
      </c>
      <c r="D2325" s="159">
        <v>10</v>
      </c>
      <c r="E2325" s="166" t="s">
        <v>2203</v>
      </c>
    </row>
    <row r="2326" spans="1:5">
      <c r="A2326" s="159">
        <f t="shared" si="28"/>
        <v>2325</v>
      </c>
      <c r="B2326" s="163">
        <v>45813</v>
      </c>
      <c r="C2326" s="164">
        <v>0.5488425925925926</v>
      </c>
      <c r="D2326" s="159">
        <v>10</v>
      </c>
      <c r="E2326" s="166" t="s">
        <v>2204</v>
      </c>
    </row>
    <row r="2327" spans="1:5">
      <c r="A2327" s="159">
        <f t="shared" si="28"/>
        <v>2326</v>
      </c>
      <c r="B2327" s="163">
        <v>45813</v>
      </c>
      <c r="C2327" s="164">
        <v>0.5270717592592592</v>
      </c>
      <c r="D2327" s="159">
        <v>10</v>
      </c>
      <c r="E2327" s="166" t="s">
        <v>2205</v>
      </c>
    </row>
    <row r="2328" spans="1:5">
      <c r="A2328" s="159">
        <f t="shared" si="28"/>
        <v>2327</v>
      </c>
      <c r="B2328" s="163">
        <v>45813</v>
      </c>
      <c r="C2328" s="164">
        <v>0.4987847222222222</v>
      </c>
      <c r="D2328" s="159">
        <v>10</v>
      </c>
      <c r="E2328" s="166" t="s">
        <v>2206</v>
      </c>
    </row>
    <row r="2329" spans="1:5">
      <c r="A2329" s="159">
        <f t="shared" si="28"/>
        <v>2328</v>
      </c>
      <c r="B2329" s="163">
        <v>45813</v>
      </c>
      <c r="C2329" s="164">
        <v>0.48413194444444446</v>
      </c>
      <c r="D2329" s="159">
        <v>10</v>
      </c>
      <c r="E2329" s="166" t="s">
        <v>2207</v>
      </c>
    </row>
    <row r="2330" spans="1:5">
      <c r="A2330" s="159">
        <f t="shared" si="28"/>
        <v>2329</v>
      </c>
      <c r="B2330" s="163">
        <v>45813</v>
      </c>
      <c r="C2330" s="164">
        <v>0.47929398148148145</v>
      </c>
      <c r="D2330" s="159">
        <v>10</v>
      </c>
      <c r="E2330" s="166" t="s">
        <v>2208</v>
      </c>
    </row>
    <row r="2331" spans="1:5">
      <c r="A2331" s="159">
        <f t="shared" si="28"/>
        <v>2330</v>
      </c>
      <c r="B2331" s="163">
        <v>45813</v>
      </c>
      <c r="C2331" s="164">
        <v>0.47210648148148149</v>
      </c>
      <c r="D2331" s="159">
        <v>10</v>
      </c>
      <c r="E2331" s="166" t="s">
        <v>2209</v>
      </c>
    </row>
    <row r="2332" spans="1:5">
      <c r="A2332" s="159">
        <f t="shared" si="28"/>
        <v>2331</v>
      </c>
      <c r="B2332" s="163">
        <v>45813</v>
      </c>
      <c r="C2332" s="164">
        <v>0.47194444444444444</v>
      </c>
      <c r="D2332" s="159">
        <v>10</v>
      </c>
      <c r="E2332" s="166" t="s">
        <v>2210</v>
      </c>
    </row>
    <row r="2333" spans="1:5">
      <c r="A2333" s="159">
        <f t="shared" si="28"/>
        <v>2332</v>
      </c>
      <c r="B2333" s="163">
        <v>45813</v>
      </c>
      <c r="C2333" s="164">
        <v>0.45846064814814813</v>
      </c>
      <c r="D2333" s="159">
        <v>10</v>
      </c>
      <c r="E2333" s="166" t="s">
        <v>2211</v>
      </c>
    </row>
    <row r="2334" spans="1:5">
      <c r="A2334" s="159">
        <f t="shared" si="28"/>
        <v>2333</v>
      </c>
      <c r="B2334" s="163">
        <v>45813</v>
      </c>
      <c r="C2334" s="164">
        <v>0.45836805555555554</v>
      </c>
      <c r="D2334" s="159">
        <v>10</v>
      </c>
      <c r="E2334" s="166" t="s">
        <v>2212</v>
      </c>
    </row>
    <row r="2335" spans="1:5">
      <c r="A2335" s="159">
        <f t="shared" si="28"/>
        <v>2334</v>
      </c>
      <c r="B2335" s="163">
        <v>45813</v>
      </c>
      <c r="C2335" s="164">
        <v>0.45616898148148149</v>
      </c>
      <c r="D2335" s="159">
        <v>10</v>
      </c>
      <c r="E2335" s="166" t="s">
        <v>2213</v>
      </c>
    </row>
    <row r="2336" spans="1:5">
      <c r="A2336" s="159">
        <f t="shared" si="28"/>
        <v>2335</v>
      </c>
      <c r="B2336" s="163">
        <v>45813</v>
      </c>
      <c r="C2336" s="164">
        <v>0.45341435185185186</v>
      </c>
      <c r="D2336" s="159">
        <v>10</v>
      </c>
      <c r="E2336" s="166" t="s">
        <v>2214</v>
      </c>
    </row>
    <row r="2337" spans="1:5">
      <c r="A2337" s="159">
        <f t="shared" si="28"/>
        <v>2336</v>
      </c>
      <c r="B2337" s="163">
        <v>45813</v>
      </c>
      <c r="C2337" s="164">
        <v>0.45082175925925921</v>
      </c>
      <c r="D2337" s="159">
        <v>10</v>
      </c>
      <c r="E2337" s="166" t="s">
        <v>2215</v>
      </c>
    </row>
    <row r="2338" spans="1:5">
      <c r="A2338" s="159">
        <f t="shared" si="28"/>
        <v>2337</v>
      </c>
      <c r="B2338" s="163">
        <v>45813</v>
      </c>
      <c r="C2338" s="164">
        <v>0.44848379629629626</v>
      </c>
      <c r="D2338" s="159">
        <v>10</v>
      </c>
      <c r="E2338" s="166" t="s">
        <v>2216</v>
      </c>
    </row>
    <row r="2339" spans="1:5">
      <c r="A2339" s="159">
        <f t="shared" si="28"/>
        <v>2338</v>
      </c>
      <c r="B2339" s="163">
        <v>45813</v>
      </c>
      <c r="C2339" s="164">
        <v>0.4105671296296296</v>
      </c>
      <c r="D2339" s="159">
        <v>10</v>
      </c>
      <c r="E2339" s="166" t="s">
        <v>2217</v>
      </c>
    </row>
    <row r="2340" spans="1:5" ht="27">
      <c r="A2340" s="159">
        <f t="shared" si="28"/>
        <v>2339</v>
      </c>
      <c r="B2340" s="163">
        <v>45813</v>
      </c>
      <c r="C2340" s="164">
        <v>0.40228009259259262</v>
      </c>
      <c r="D2340" s="159">
        <v>10</v>
      </c>
      <c r="E2340" s="166" t="s">
        <v>2220</v>
      </c>
    </row>
    <row r="2341" spans="1:5">
      <c r="A2341" s="159">
        <f t="shared" si="28"/>
        <v>2340</v>
      </c>
      <c r="B2341" s="163">
        <v>45813</v>
      </c>
      <c r="C2341" s="164">
        <v>0.38833333333333336</v>
      </c>
      <c r="D2341" s="159">
        <v>10</v>
      </c>
      <c r="E2341" s="166" t="s">
        <v>2218</v>
      </c>
    </row>
    <row r="2342" spans="1:5">
      <c r="A2342" s="159">
        <f t="shared" si="28"/>
        <v>2341</v>
      </c>
      <c r="B2342" s="163">
        <v>45813</v>
      </c>
      <c r="C2342" s="164">
        <v>0.38010416666666669</v>
      </c>
      <c r="D2342" s="159">
        <v>9</v>
      </c>
      <c r="E2342" s="166" t="s">
        <v>2219</v>
      </c>
    </row>
    <row r="2343" spans="1:5">
      <c r="A2343" s="159">
        <f t="shared" si="28"/>
        <v>2342</v>
      </c>
      <c r="B2343" s="163">
        <v>45815</v>
      </c>
      <c r="C2343" s="164">
        <v>0.74219907407407415</v>
      </c>
      <c r="D2343" s="159">
        <v>10</v>
      </c>
      <c r="E2343" s="166" t="s">
        <v>2155</v>
      </c>
    </row>
    <row r="2344" spans="1:5">
      <c r="A2344" s="159">
        <f t="shared" si="28"/>
        <v>2343</v>
      </c>
      <c r="B2344" s="163">
        <v>45815</v>
      </c>
      <c r="C2344" s="164">
        <v>0.70619212962962974</v>
      </c>
      <c r="D2344" s="159">
        <v>10</v>
      </c>
      <c r="E2344" s="166" t="s">
        <v>2092</v>
      </c>
    </row>
    <row r="2345" spans="1:5">
      <c r="A2345" s="159">
        <f t="shared" si="28"/>
        <v>2344</v>
      </c>
      <c r="B2345" s="163">
        <v>45815</v>
      </c>
      <c r="C2345" s="164">
        <v>0.68987268518518519</v>
      </c>
      <c r="D2345" s="159">
        <v>10</v>
      </c>
      <c r="E2345" s="166" t="s">
        <v>2156</v>
      </c>
    </row>
    <row r="2346" spans="1:5">
      <c r="A2346" s="159">
        <f t="shared" si="28"/>
        <v>2345</v>
      </c>
      <c r="B2346" s="163">
        <v>45815</v>
      </c>
      <c r="C2346" s="164">
        <v>0.61109953703703701</v>
      </c>
      <c r="D2346" s="159">
        <v>10</v>
      </c>
      <c r="E2346" s="166" t="s">
        <v>2157</v>
      </c>
    </row>
    <row r="2347" spans="1:5">
      <c r="A2347" s="159">
        <f t="shared" si="28"/>
        <v>2346</v>
      </c>
      <c r="B2347" s="163">
        <v>45815</v>
      </c>
      <c r="C2347" s="164">
        <v>0.58575231481481482</v>
      </c>
      <c r="D2347" s="159">
        <v>10</v>
      </c>
      <c r="E2347" s="166" t="s">
        <v>2158</v>
      </c>
    </row>
    <row r="2348" spans="1:5">
      <c r="A2348" s="159">
        <f t="shared" si="28"/>
        <v>2347</v>
      </c>
      <c r="B2348" s="163">
        <v>45815</v>
      </c>
      <c r="C2348" s="164">
        <v>0.56415509259259256</v>
      </c>
      <c r="D2348" s="159">
        <v>10</v>
      </c>
      <c r="E2348" s="166" t="s">
        <v>2159</v>
      </c>
    </row>
    <row r="2349" spans="1:5">
      <c r="A2349" s="159">
        <f t="shared" si="28"/>
        <v>2348</v>
      </c>
      <c r="B2349" s="163">
        <v>45815</v>
      </c>
      <c r="C2349" s="164">
        <v>0.54237268518518522</v>
      </c>
      <c r="D2349" s="159">
        <v>10</v>
      </c>
      <c r="E2349" s="166" t="s">
        <v>2160</v>
      </c>
    </row>
    <row r="2350" spans="1:5">
      <c r="A2350" s="159">
        <f t="shared" si="28"/>
        <v>2349</v>
      </c>
      <c r="B2350" s="163">
        <v>45815</v>
      </c>
      <c r="C2350" s="164">
        <v>0.47706018518518517</v>
      </c>
      <c r="D2350" s="159">
        <v>10</v>
      </c>
      <c r="E2350" s="166" t="s">
        <v>2161</v>
      </c>
    </row>
    <row r="2351" spans="1:5">
      <c r="A2351" s="159">
        <f t="shared" si="28"/>
        <v>2350</v>
      </c>
      <c r="B2351" s="163">
        <v>45815</v>
      </c>
      <c r="C2351" s="164">
        <v>0.4713310185185185</v>
      </c>
      <c r="D2351" s="159">
        <v>10</v>
      </c>
      <c r="E2351" s="166" t="s">
        <v>2162</v>
      </c>
    </row>
    <row r="2352" spans="1:5">
      <c r="A2352" s="159">
        <f t="shared" si="28"/>
        <v>2351</v>
      </c>
      <c r="B2352" s="163">
        <v>45815</v>
      </c>
      <c r="C2352" s="164">
        <v>0.4645023148148148</v>
      </c>
      <c r="D2352" s="159">
        <v>10</v>
      </c>
      <c r="E2352" s="166" t="s">
        <v>2163</v>
      </c>
    </row>
    <row r="2353" spans="1:5">
      <c r="A2353" s="159">
        <f t="shared" si="28"/>
        <v>2352</v>
      </c>
      <c r="B2353" s="163">
        <v>45815</v>
      </c>
      <c r="C2353" s="164">
        <v>0.43274305555555559</v>
      </c>
      <c r="D2353" s="159">
        <v>10</v>
      </c>
      <c r="E2353" s="166" t="s">
        <v>2164</v>
      </c>
    </row>
    <row r="2354" spans="1:5">
      <c r="A2354" s="159">
        <f t="shared" si="28"/>
        <v>2353</v>
      </c>
      <c r="B2354" s="163">
        <v>45815</v>
      </c>
      <c r="C2354" s="164">
        <v>0.43170138888888893</v>
      </c>
      <c r="D2354" s="159">
        <v>10</v>
      </c>
      <c r="E2354" s="166" t="s">
        <v>2165</v>
      </c>
    </row>
    <row r="2355" spans="1:5">
      <c r="A2355" s="159">
        <f t="shared" si="28"/>
        <v>2354</v>
      </c>
      <c r="B2355" s="163">
        <v>45815</v>
      </c>
      <c r="C2355" s="164">
        <v>0.42001157407407402</v>
      </c>
      <c r="D2355" s="159">
        <v>10</v>
      </c>
      <c r="E2355" s="166" t="s">
        <v>2166</v>
      </c>
    </row>
    <row r="2356" spans="1:5">
      <c r="A2356" s="159">
        <f t="shared" si="28"/>
        <v>2355</v>
      </c>
      <c r="B2356" s="163">
        <v>45815</v>
      </c>
      <c r="C2356" s="164">
        <v>0.41782407407407413</v>
      </c>
      <c r="D2356" s="159">
        <v>10</v>
      </c>
      <c r="E2356" s="166" t="s">
        <v>2167</v>
      </c>
    </row>
    <row r="2357" spans="1:5">
      <c r="A2357" s="159">
        <f t="shared" ref="A2357:A2420" si="29">ROW()-1</f>
        <v>2356</v>
      </c>
      <c r="B2357" s="163">
        <v>45815</v>
      </c>
      <c r="C2357" s="164">
        <v>0.39961805555555557</v>
      </c>
      <c r="D2357" s="159">
        <v>10</v>
      </c>
      <c r="E2357" s="166" t="s">
        <v>2168</v>
      </c>
    </row>
    <row r="2358" spans="1:5">
      <c r="A2358" s="159">
        <f t="shared" si="29"/>
        <v>2357</v>
      </c>
      <c r="B2358" s="163">
        <v>45815</v>
      </c>
      <c r="C2358" s="164">
        <v>0.39189814814814811</v>
      </c>
      <c r="D2358" s="159">
        <v>10</v>
      </c>
      <c r="E2358" s="166" t="s">
        <v>749</v>
      </c>
    </row>
    <row r="2359" spans="1:5">
      <c r="A2359" s="159">
        <f t="shared" si="29"/>
        <v>2358</v>
      </c>
      <c r="B2359" s="163">
        <v>45815</v>
      </c>
      <c r="C2359" s="164">
        <v>0.38756944444444441</v>
      </c>
      <c r="D2359" s="159">
        <v>10</v>
      </c>
      <c r="E2359" s="166" t="s">
        <v>2169</v>
      </c>
    </row>
    <row r="2360" spans="1:5">
      <c r="A2360" s="159">
        <f t="shared" si="29"/>
        <v>2359</v>
      </c>
      <c r="B2360" s="163">
        <v>45817</v>
      </c>
      <c r="C2360" s="164">
        <v>0.8812268518518519</v>
      </c>
      <c r="D2360" s="159">
        <v>10</v>
      </c>
      <c r="E2360" s="166" t="s">
        <v>2222</v>
      </c>
    </row>
    <row r="2361" spans="1:5">
      <c r="A2361" s="159">
        <f t="shared" si="29"/>
        <v>2360</v>
      </c>
      <c r="B2361" s="163">
        <v>45817</v>
      </c>
      <c r="C2361" s="164">
        <v>0.84956018518518517</v>
      </c>
      <c r="D2361" s="159">
        <v>10</v>
      </c>
      <c r="E2361" s="166" t="s">
        <v>2223</v>
      </c>
    </row>
    <row r="2362" spans="1:5">
      <c r="A2362" s="159">
        <f t="shared" si="29"/>
        <v>2361</v>
      </c>
      <c r="B2362" s="163">
        <v>45817</v>
      </c>
      <c r="C2362" s="164">
        <v>0.83187500000000003</v>
      </c>
      <c r="D2362" s="159">
        <v>10</v>
      </c>
      <c r="E2362" s="166" t="s">
        <v>2224</v>
      </c>
    </row>
    <row r="2363" spans="1:5">
      <c r="A2363" s="159">
        <f t="shared" si="29"/>
        <v>2362</v>
      </c>
      <c r="B2363" s="163">
        <v>45817</v>
      </c>
      <c r="C2363" s="164">
        <v>0.82859953703703704</v>
      </c>
      <c r="D2363" s="159">
        <v>10</v>
      </c>
      <c r="E2363" s="166" t="s">
        <v>448</v>
      </c>
    </row>
    <row r="2364" spans="1:5">
      <c r="A2364" s="159">
        <f t="shared" si="29"/>
        <v>2363</v>
      </c>
      <c r="B2364" s="163">
        <v>45817</v>
      </c>
      <c r="C2364" s="164">
        <v>0.81886574074074081</v>
      </c>
      <c r="D2364" s="159">
        <v>10</v>
      </c>
      <c r="E2364" s="166" t="s">
        <v>2225</v>
      </c>
    </row>
    <row r="2365" spans="1:5">
      <c r="A2365" s="159">
        <f t="shared" si="29"/>
        <v>2364</v>
      </c>
      <c r="B2365" s="163">
        <v>45817</v>
      </c>
      <c r="C2365" s="164">
        <v>0.77270833333333344</v>
      </c>
      <c r="D2365" s="159">
        <v>10</v>
      </c>
      <c r="E2365" s="166" t="s">
        <v>2226</v>
      </c>
    </row>
    <row r="2366" spans="1:5">
      <c r="A2366" s="159">
        <f t="shared" si="29"/>
        <v>2365</v>
      </c>
      <c r="B2366" s="163">
        <v>45817</v>
      </c>
      <c r="C2366" s="164">
        <v>0.74589120370370365</v>
      </c>
      <c r="D2366" s="159">
        <v>10</v>
      </c>
      <c r="E2366" s="166" t="s">
        <v>2227</v>
      </c>
    </row>
    <row r="2367" spans="1:5">
      <c r="A2367" s="159">
        <f t="shared" si="29"/>
        <v>2366</v>
      </c>
      <c r="B2367" s="163">
        <v>45817</v>
      </c>
      <c r="C2367" s="164">
        <v>0.74273148148148149</v>
      </c>
      <c r="D2367" s="159">
        <v>10</v>
      </c>
      <c r="E2367" s="166" t="s">
        <v>2228</v>
      </c>
    </row>
    <row r="2368" spans="1:5">
      <c r="A2368" s="159">
        <f t="shared" si="29"/>
        <v>2367</v>
      </c>
      <c r="B2368" s="163">
        <v>45817</v>
      </c>
      <c r="C2368" s="164">
        <v>0.72932870370370362</v>
      </c>
      <c r="D2368" s="159">
        <v>10</v>
      </c>
      <c r="E2368" s="166" t="s">
        <v>2229</v>
      </c>
    </row>
    <row r="2369" spans="1:5">
      <c r="A2369" s="159">
        <f t="shared" si="29"/>
        <v>2368</v>
      </c>
      <c r="B2369" s="163">
        <v>45817</v>
      </c>
      <c r="C2369" s="164">
        <v>0.71993055555555552</v>
      </c>
      <c r="D2369" s="159">
        <v>10</v>
      </c>
      <c r="E2369" s="166" t="s">
        <v>2230</v>
      </c>
    </row>
    <row r="2370" spans="1:5">
      <c r="A2370" s="159">
        <f t="shared" si="29"/>
        <v>2369</v>
      </c>
      <c r="B2370" s="163">
        <v>45817</v>
      </c>
      <c r="C2370" s="164">
        <v>0.71810185185185194</v>
      </c>
      <c r="D2370" s="159">
        <v>10</v>
      </c>
      <c r="E2370" s="166" t="s">
        <v>198</v>
      </c>
    </row>
    <row r="2371" spans="1:5">
      <c r="A2371" s="159">
        <f t="shared" si="29"/>
        <v>2370</v>
      </c>
      <c r="B2371" s="163">
        <v>45817</v>
      </c>
      <c r="C2371" s="164">
        <v>0.71660879629629637</v>
      </c>
      <c r="D2371" s="159">
        <v>10</v>
      </c>
      <c r="E2371" s="166" t="s">
        <v>2231</v>
      </c>
    </row>
    <row r="2372" spans="1:5">
      <c r="A2372" s="159">
        <f t="shared" si="29"/>
        <v>2371</v>
      </c>
      <c r="B2372" s="163">
        <v>45817</v>
      </c>
      <c r="C2372" s="164">
        <v>0.71591435185185182</v>
      </c>
      <c r="D2372" s="159">
        <v>10</v>
      </c>
      <c r="E2372" s="166" t="s">
        <v>2232</v>
      </c>
    </row>
    <row r="2373" spans="1:5">
      <c r="A2373" s="159">
        <f t="shared" si="29"/>
        <v>2372</v>
      </c>
      <c r="B2373" s="163">
        <v>45817</v>
      </c>
      <c r="C2373" s="164">
        <v>0.71545138888888893</v>
      </c>
      <c r="D2373" s="159">
        <v>10</v>
      </c>
      <c r="E2373" s="166" t="s">
        <v>2273</v>
      </c>
    </row>
    <row r="2374" spans="1:5">
      <c r="A2374" s="159">
        <f t="shared" si="29"/>
        <v>2373</v>
      </c>
      <c r="B2374" s="163">
        <v>45817</v>
      </c>
      <c r="C2374" s="164">
        <v>0.68351851851851853</v>
      </c>
      <c r="D2374" s="159">
        <v>10</v>
      </c>
      <c r="E2374" s="166" t="s">
        <v>2233</v>
      </c>
    </row>
    <row r="2375" spans="1:5">
      <c r="A2375" s="159">
        <f t="shared" si="29"/>
        <v>2374</v>
      </c>
      <c r="B2375" s="163">
        <v>45817</v>
      </c>
      <c r="C2375" s="164">
        <v>0.68267361111111102</v>
      </c>
      <c r="D2375" s="159">
        <v>10</v>
      </c>
      <c r="E2375" s="166" t="s">
        <v>2234</v>
      </c>
    </row>
    <row r="2376" spans="1:5">
      <c r="A2376" s="159">
        <f t="shared" si="29"/>
        <v>2375</v>
      </c>
      <c r="B2376" s="163">
        <v>45817</v>
      </c>
      <c r="C2376" s="164">
        <v>0.68143518518518509</v>
      </c>
      <c r="D2376" s="159">
        <v>10</v>
      </c>
      <c r="E2376" s="166" t="s">
        <v>2235</v>
      </c>
    </row>
    <row r="2377" spans="1:5">
      <c r="A2377" s="159">
        <f t="shared" si="29"/>
        <v>2376</v>
      </c>
      <c r="B2377" s="163">
        <v>45817</v>
      </c>
      <c r="C2377" s="164">
        <v>0.67656250000000007</v>
      </c>
      <c r="D2377" s="159">
        <v>10</v>
      </c>
      <c r="E2377" s="166" t="s">
        <v>2236</v>
      </c>
    </row>
    <row r="2378" spans="1:5">
      <c r="A2378" s="159">
        <f t="shared" si="29"/>
        <v>2377</v>
      </c>
      <c r="B2378" s="163">
        <v>45817</v>
      </c>
      <c r="C2378" s="164">
        <v>0.65145833333333336</v>
      </c>
      <c r="D2378" s="159">
        <v>10</v>
      </c>
      <c r="E2378" s="166" t="s">
        <v>132</v>
      </c>
    </row>
    <row r="2379" spans="1:5">
      <c r="A2379" s="159">
        <f t="shared" si="29"/>
        <v>2378</v>
      </c>
      <c r="B2379" s="163">
        <v>45817</v>
      </c>
      <c r="C2379" s="164">
        <v>0.64958333333333329</v>
      </c>
      <c r="D2379" s="159">
        <v>10</v>
      </c>
      <c r="E2379" s="166" t="s">
        <v>2237</v>
      </c>
    </row>
    <row r="2380" spans="1:5">
      <c r="A2380" s="159">
        <f t="shared" si="29"/>
        <v>2379</v>
      </c>
      <c r="B2380" s="163">
        <v>45817</v>
      </c>
      <c r="C2380" s="164">
        <v>0.62061342592592594</v>
      </c>
      <c r="D2380" s="159">
        <v>10</v>
      </c>
      <c r="E2380" s="166" t="s">
        <v>2238</v>
      </c>
    </row>
    <row r="2381" spans="1:5">
      <c r="A2381" s="159">
        <f t="shared" si="29"/>
        <v>2380</v>
      </c>
      <c r="B2381" s="163">
        <v>45817</v>
      </c>
      <c r="C2381" s="164">
        <v>0.61199074074074067</v>
      </c>
      <c r="D2381" s="159">
        <v>10</v>
      </c>
      <c r="E2381" s="166" t="s">
        <v>2239</v>
      </c>
    </row>
    <row r="2382" spans="1:5">
      <c r="A2382" s="159">
        <f t="shared" si="29"/>
        <v>2381</v>
      </c>
      <c r="B2382" s="163">
        <v>45817</v>
      </c>
      <c r="C2382" s="164">
        <v>0.60914351851851845</v>
      </c>
      <c r="D2382" s="159">
        <v>10</v>
      </c>
      <c r="E2382" s="166" t="s">
        <v>2240</v>
      </c>
    </row>
    <row r="2383" spans="1:5">
      <c r="A2383" s="159">
        <f t="shared" si="29"/>
        <v>2382</v>
      </c>
      <c r="B2383" s="163">
        <v>45817</v>
      </c>
      <c r="C2383" s="164">
        <v>0.60709490740740735</v>
      </c>
      <c r="D2383" s="159">
        <v>10</v>
      </c>
      <c r="E2383" s="166" t="s">
        <v>194</v>
      </c>
    </row>
    <row r="2384" spans="1:5">
      <c r="A2384" s="159">
        <f t="shared" si="29"/>
        <v>2383</v>
      </c>
      <c r="B2384" s="163">
        <v>45817</v>
      </c>
      <c r="C2384" s="164">
        <v>0.60082175925925929</v>
      </c>
      <c r="D2384" s="159">
        <v>10</v>
      </c>
      <c r="E2384" s="166" t="s">
        <v>2241</v>
      </c>
    </row>
    <row r="2385" spans="1:5">
      <c r="A2385" s="159">
        <f t="shared" si="29"/>
        <v>2384</v>
      </c>
      <c r="B2385" s="163">
        <v>45817</v>
      </c>
      <c r="C2385" s="164">
        <v>0.59993055555555552</v>
      </c>
      <c r="D2385" s="159">
        <v>10</v>
      </c>
      <c r="E2385" s="166" t="s">
        <v>2242</v>
      </c>
    </row>
    <row r="2386" spans="1:5">
      <c r="A2386" s="159">
        <f t="shared" si="29"/>
        <v>2385</v>
      </c>
      <c r="B2386" s="163">
        <v>45817</v>
      </c>
      <c r="C2386" s="164">
        <v>0.58474537037037033</v>
      </c>
      <c r="D2386" s="159">
        <v>10</v>
      </c>
      <c r="E2386" s="166" t="s">
        <v>2243</v>
      </c>
    </row>
    <row r="2387" spans="1:5">
      <c r="A2387" s="159">
        <f t="shared" si="29"/>
        <v>2386</v>
      </c>
      <c r="B2387" s="163">
        <v>45817</v>
      </c>
      <c r="C2387" s="164">
        <v>0.56968750000000001</v>
      </c>
      <c r="D2387" s="159">
        <v>10</v>
      </c>
      <c r="E2387" s="166" t="s">
        <v>2244</v>
      </c>
    </row>
    <row r="2388" spans="1:5">
      <c r="A2388" s="159">
        <f t="shared" si="29"/>
        <v>2387</v>
      </c>
      <c r="B2388" s="163">
        <v>45817</v>
      </c>
      <c r="C2388" s="164">
        <v>0.56556712962962963</v>
      </c>
      <c r="D2388" s="159">
        <v>10</v>
      </c>
      <c r="E2388" s="166" t="s">
        <v>2245</v>
      </c>
    </row>
    <row r="2389" spans="1:5">
      <c r="A2389" s="159">
        <f t="shared" si="29"/>
        <v>2388</v>
      </c>
      <c r="B2389" s="163">
        <v>45817</v>
      </c>
      <c r="C2389" s="164">
        <v>0.56545138888888891</v>
      </c>
      <c r="D2389" s="159">
        <v>10</v>
      </c>
      <c r="E2389" s="166" t="s">
        <v>2246</v>
      </c>
    </row>
    <row r="2390" spans="1:5">
      <c r="A2390" s="159">
        <f t="shared" si="29"/>
        <v>2389</v>
      </c>
      <c r="B2390" s="163">
        <v>45817</v>
      </c>
      <c r="C2390" s="164">
        <v>0.5649305555555556</v>
      </c>
      <c r="D2390" s="159">
        <v>10</v>
      </c>
      <c r="E2390" s="166" t="s">
        <v>2247</v>
      </c>
    </row>
    <row r="2391" spans="1:5">
      <c r="A2391" s="159">
        <f t="shared" si="29"/>
        <v>2390</v>
      </c>
      <c r="B2391" s="163">
        <v>45817</v>
      </c>
      <c r="C2391" s="164">
        <v>0.56111111111111112</v>
      </c>
      <c r="D2391" s="159">
        <v>10</v>
      </c>
      <c r="E2391" s="166" t="s">
        <v>2248</v>
      </c>
    </row>
    <row r="2392" spans="1:5">
      <c r="A2392" s="159">
        <f t="shared" si="29"/>
        <v>2391</v>
      </c>
      <c r="B2392" s="163">
        <v>45817</v>
      </c>
      <c r="C2392" s="164">
        <v>0.56056712962962962</v>
      </c>
      <c r="D2392" s="159">
        <v>10</v>
      </c>
      <c r="E2392" s="166" t="s">
        <v>2249</v>
      </c>
    </row>
    <row r="2393" spans="1:5">
      <c r="A2393" s="159">
        <f t="shared" si="29"/>
        <v>2392</v>
      </c>
      <c r="B2393" s="163">
        <v>45817</v>
      </c>
      <c r="C2393" s="164">
        <v>0.55829861111111112</v>
      </c>
      <c r="D2393" s="159">
        <v>10</v>
      </c>
      <c r="E2393" s="166" t="s">
        <v>2250</v>
      </c>
    </row>
    <row r="2394" spans="1:5">
      <c r="A2394" s="159">
        <f t="shared" si="29"/>
        <v>2393</v>
      </c>
      <c r="B2394" s="163">
        <v>45817</v>
      </c>
      <c r="C2394" s="164">
        <v>0.55016203703703703</v>
      </c>
      <c r="D2394" s="159">
        <v>10</v>
      </c>
      <c r="E2394" s="166" t="s">
        <v>2251</v>
      </c>
    </row>
    <row r="2395" spans="1:5">
      <c r="A2395" s="159">
        <f t="shared" si="29"/>
        <v>2394</v>
      </c>
      <c r="B2395" s="163">
        <v>45817</v>
      </c>
      <c r="C2395" s="164">
        <v>0.54842592592592598</v>
      </c>
      <c r="D2395" s="159">
        <v>10</v>
      </c>
      <c r="E2395" s="166" t="s">
        <v>2252</v>
      </c>
    </row>
    <row r="2396" spans="1:5">
      <c r="A2396" s="159">
        <f t="shared" si="29"/>
        <v>2395</v>
      </c>
      <c r="B2396" s="163">
        <v>45817</v>
      </c>
      <c r="C2396" s="164">
        <v>0.53638888888888892</v>
      </c>
      <c r="D2396" s="159">
        <v>10</v>
      </c>
      <c r="E2396" s="166" t="s">
        <v>2253</v>
      </c>
    </row>
    <row r="2397" spans="1:5">
      <c r="A2397" s="159">
        <f t="shared" si="29"/>
        <v>2396</v>
      </c>
      <c r="B2397" s="163">
        <v>45817</v>
      </c>
      <c r="C2397" s="164">
        <v>0.50521990740740741</v>
      </c>
      <c r="D2397" s="159">
        <v>10</v>
      </c>
      <c r="E2397" s="166" t="s">
        <v>2254</v>
      </c>
    </row>
    <row r="2398" spans="1:5">
      <c r="A2398" s="159">
        <f t="shared" si="29"/>
        <v>2397</v>
      </c>
      <c r="B2398" s="163">
        <v>45817</v>
      </c>
      <c r="C2398" s="164">
        <v>0.49681712962962959</v>
      </c>
      <c r="D2398" s="159">
        <v>10</v>
      </c>
      <c r="E2398" s="166" t="s">
        <v>2255</v>
      </c>
    </row>
    <row r="2399" spans="1:5">
      <c r="A2399" s="159">
        <f t="shared" si="29"/>
        <v>2398</v>
      </c>
      <c r="B2399" s="163">
        <v>45817</v>
      </c>
      <c r="C2399" s="164">
        <v>0.48387731481481483</v>
      </c>
      <c r="D2399" s="159">
        <v>10</v>
      </c>
      <c r="E2399" s="166" t="s">
        <v>2272</v>
      </c>
    </row>
    <row r="2400" spans="1:5">
      <c r="A2400" s="159">
        <f t="shared" si="29"/>
        <v>2399</v>
      </c>
      <c r="B2400" s="163">
        <v>45817</v>
      </c>
      <c r="C2400" s="164">
        <v>0.48079861111111111</v>
      </c>
      <c r="D2400" s="159">
        <v>10</v>
      </c>
      <c r="E2400" s="166" t="s">
        <v>2256</v>
      </c>
    </row>
    <row r="2401" spans="1:5">
      <c r="A2401" s="159">
        <f t="shared" si="29"/>
        <v>2400</v>
      </c>
      <c r="B2401" s="163">
        <v>45817</v>
      </c>
      <c r="C2401" s="164">
        <v>0.47916666666666669</v>
      </c>
      <c r="D2401" s="159">
        <v>10</v>
      </c>
      <c r="E2401" s="166" t="s">
        <v>2257</v>
      </c>
    </row>
    <row r="2402" spans="1:5">
      <c r="A2402" s="159">
        <f t="shared" si="29"/>
        <v>2401</v>
      </c>
      <c r="B2402" s="163">
        <v>45817</v>
      </c>
      <c r="C2402" s="164">
        <v>0.46767361111111111</v>
      </c>
      <c r="D2402" s="159">
        <v>9</v>
      </c>
      <c r="E2402" s="166" t="s">
        <v>2258</v>
      </c>
    </row>
    <row r="2403" spans="1:5">
      <c r="A2403" s="159">
        <f t="shared" si="29"/>
        <v>2402</v>
      </c>
      <c r="B2403" s="163">
        <v>45817</v>
      </c>
      <c r="C2403" s="164">
        <v>0.46598379629629627</v>
      </c>
      <c r="D2403" s="159">
        <v>10</v>
      </c>
      <c r="E2403" s="166" t="s">
        <v>2259</v>
      </c>
    </row>
    <row r="2404" spans="1:5">
      <c r="A2404" s="159">
        <f t="shared" si="29"/>
        <v>2403</v>
      </c>
      <c r="B2404" s="163">
        <v>45817</v>
      </c>
      <c r="C2404" s="164">
        <v>0.45790509259259254</v>
      </c>
      <c r="D2404" s="159">
        <v>10</v>
      </c>
      <c r="E2404" s="166" t="s">
        <v>1457</v>
      </c>
    </row>
    <row r="2405" spans="1:5">
      <c r="A2405" s="159">
        <f t="shared" si="29"/>
        <v>2404</v>
      </c>
      <c r="B2405" s="163">
        <v>45817</v>
      </c>
      <c r="C2405" s="164">
        <v>0.453125</v>
      </c>
      <c r="D2405" s="159">
        <v>10</v>
      </c>
      <c r="E2405" s="166" t="s">
        <v>2260</v>
      </c>
    </row>
    <row r="2406" spans="1:5">
      <c r="A2406" s="159">
        <f t="shared" si="29"/>
        <v>2405</v>
      </c>
      <c r="B2406" s="163">
        <v>45817</v>
      </c>
      <c r="C2406" s="164">
        <v>0.44539351851851849</v>
      </c>
      <c r="D2406" s="159">
        <v>10</v>
      </c>
      <c r="E2406" s="166" t="s">
        <v>2261</v>
      </c>
    </row>
    <row r="2407" spans="1:5">
      <c r="A2407" s="159">
        <f t="shared" si="29"/>
        <v>2406</v>
      </c>
      <c r="B2407" s="163">
        <v>45817</v>
      </c>
      <c r="C2407" s="164">
        <v>0.44126157407407413</v>
      </c>
      <c r="D2407" s="159">
        <v>10</v>
      </c>
      <c r="E2407" s="166" t="s">
        <v>2262</v>
      </c>
    </row>
    <row r="2408" spans="1:5">
      <c r="A2408" s="159">
        <f t="shared" si="29"/>
        <v>2407</v>
      </c>
      <c r="B2408" s="163">
        <v>45817</v>
      </c>
      <c r="C2408" s="164">
        <v>0.44108796296296293</v>
      </c>
      <c r="D2408" s="159">
        <v>10</v>
      </c>
      <c r="E2408" s="166" t="s">
        <v>2263</v>
      </c>
    </row>
    <row r="2409" spans="1:5">
      <c r="A2409" s="159">
        <f t="shared" si="29"/>
        <v>2408</v>
      </c>
      <c r="B2409" s="163">
        <v>45817</v>
      </c>
      <c r="C2409" s="164">
        <v>0.43587962962962962</v>
      </c>
      <c r="D2409" s="159">
        <v>10</v>
      </c>
      <c r="E2409" s="166" t="s">
        <v>2264</v>
      </c>
    </row>
    <row r="2410" spans="1:5">
      <c r="A2410" s="159">
        <f t="shared" si="29"/>
        <v>2409</v>
      </c>
      <c r="B2410" s="163">
        <v>45817</v>
      </c>
      <c r="C2410" s="164">
        <v>0.42668981481481483</v>
      </c>
      <c r="D2410" s="159">
        <v>10</v>
      </c>
      <c r="E2410" s="166" t="s">
        <v>2265</v>
      </c>
    </row>
    <row r="2411" spans="1:5">
      <c r="A2411" s="159">
        <f t="shared" si="29"/>
        <v>2410</v>
      </c>
      <c r="B2411" s="163">
        <v>45817</v>
      </c>
      <c r="C2411" s="164">
        <v>0.41662037037037036</v>
      </c>
      <c r="D2411" s="159">
        <v>10</v>
      </c>
      <c r="E2411" s="166" t="s">
        <v>2266</v>
      </c>
    </row>
    <row r="2412" spans="1:5">
      <c r="A2412" s="159">
        <f t="shared" si="29"/>
        <v>2411</v>
      </c>
      <c r="B2412" s="163">
        <v>45817</v>
      </c>
      <c r="C2412" s="164">
        <v>0.41615740740740742</v>
      </c>
      <c r="D2412" s="159">
        <v>10</v>
      </c>
      <c r="E2412" s="166" t="s">
        <v>2267</v>
      </c>
    </row>
    <row r="2413" spans="1:5">
      <c r="A2413" s="159">
        <f t="shared" si="29"/>
        <v>2412</v>
      </c>
      <c r="B2413" s="163">
        <v>45817</v>
      </c>
      <c r="C2413" s="164">
        <v>0.39988425925925924</v>
      </c>
      <c r="D2413" s="159">
        <v>10</v>
      </c>
      <c r="E2413" s="166" t="s">
        <v>1579</v>
      </c>
    </row>
    <row r="2414" spans="1:5">
      <c r="A2414" s="159">
        <f t="shared" si="29"/>
        <v>2413</v>
      </c>
      <c r="B2414" s="163">
        <v>45817</v>
      </c>
      <c r="C2414" s="164">
        <v>0.39148148148148149</v>
      </c>
      <c r="D2414" s="159">
        <v>10</v>
      </c>
      <c r="E2414" s="166" t="s">
        <v>273</v>
      </c>
    </row>
    <row r="2415" spans="1:5">
      <c r="A2415" s="159">
        <f t="shared" si="29"/>
        <v>2414</v>
      </c>
      <c r="B2415" s="163">
        <v>45817</v>
      </c>
      <c r="C2415" s="164">
        <v>0.39050925925925922</v>
      </c>
      <c r="D2415" s="159">
        <v>10</v>
      </c>
      <c r="E2415" s="166" t="s">
        <v>2271</v>
      </c>
    </row>
    <row r="2416" spans="1:5">
      <c r="A2416" s="159">
        <f t="shared" si="29"/>
        <v>2415</v>
      </c>
      <c r="B2416" s="163">
        <v>45817</v>
      </c>
      <c r="C2416" s="164">
        <v>0.38876157407407402</v>
      </c>
      <c r="D2416" s="159">
        <v>10</v>
      </c>
      <c r="E2416" s="166" t="s">
        <v>2268</v>
      </c>
    </row>
    <row r="2417" spans="1:5">
      <c r="A2417" s="159">
        <f t="shared" si="29"/>
        <v>2416</v>
      </c>
      <c r="B2417" s="163">
        <v>45817</v>
      </c>
      <c r="C2417" s="164">
        <v>0.38497685185185188</v>
      </c>
      <c r="D2417" s="159">
        <v>10</v>
      </c>
      <c r="E2417" s="166" t="s">
        <v>2269</v>
      </c>
    </row>
    <row r="2418" spans="1:5">
      <c r="A2418" s="159">
        <f t="shared" si="29"/>
        <v>2417</v>
      </c>
      <c r="B2418" s="163">
        <v>45817</v>
      </c>
      <c r="C2418" s="164">
        <v>0.3832638888888889</v>
      </c>
      <c r="D2418" s="159">
        <v>10</v>
      </c>
      <c r="E2418" s="166" t="s">
        <v>2270</v>
      </c>
    </row>
    <row r="2419" spans="1:5">
      <c r="A2419" s="159">
        <f t="shared" si="29"/>
        <v>2418</v>
      </c>
      <c r="B2419" s="163">
        <v>45818</v>
      </c>
      <c r="C2419" s="164">
        <v>0.89521990740740742</v>
      </c>
      <c r="D2419" s="159">
        <v>10</v>
      </c>
      <c r="E2419" s="166" t="s">
        <v>2274</v>
      </c>
    </row>
    <row r="2420" spans="1:5">
      <c r="A2420" s="159">
        <f t="shared" si="29"/>
        <v>2419</v>
      </c>
      <c r="B2420" s="163">
        <v>45818</v>
      </c>
      <c r="C2420" s="164">
        <v>0.8759837962962963</v>
      </c>
      <c r="D2420" s="159">
        <v>10</v>
      </c>
      <c r="E2420" s="166" t="s">
        <v>2275</v>
      </c>
    </row>
    <row r="2421" spans="1:5">
      <c r="A2421" s="159">
        <f t="shared" ref="A2421:A2484" si="30">ROW()-1</f>
        <v>2420</v>
      </c>
      <c r="B2421" s="163">
        <v>45818</v>
      </c>
      <c r="C2421" s="164">
        <v>0.87004629629629626</v>
      </c>
      <c r="D2421" s="159">
        <v>10</v>
      </c>
      <c r="E2421" s="166" t="s">
        <v>2276</v>
      </c>
    </row>
    <row r="2422" spans="1:5">
      <c r="A2422" s="159">
        <f t="shared" si="30"/>
        <v>2421</v>
      </c>
      <c r="B2422" s="163">
        <v>45818</v>
      </c>
      <c r="C2422" s="164">
        <v>0.86655092592592586</v>
      </c>
      <c r="D2422" s="159">
        <v>10</v>
      </c>
      <c r="E2422" s="166" t="s">
        <v>2277</v>
      </c>
    </row>
    <row r="2423" spans="1:5">
      <c r="A2423" s="159">
        <f t="shared" si="30"/>
        <v>2422</v>
      </c>
      <c r="B2423" s="163">
        <v>45818</v>
      </c>
      <c r="C2423" s="164">
        <v>0.83225694444444442</v>
      </c>
      <c r="D2423" s="159">
        <v>10</v>
      </c>
      <c r="E2423" s="166" t="s">
        <v>2278</v>
      </c>
    </row>
    <row r="2424" spans="1:5">
      <c r="A2424" s="159">
        <f t="shared" si="30"/>
        <v>2423</v>
      </c>
      <c r="B2424" s="163">
        <v>45818</v>
      </c>
      <c r="C2424" s="164">
        <v>0.82003472222222218</v>
      </c>
      <c r="D2424" s="159">
        <v>10</v>
      </c>
      <c r="E2424" s="166" t="s">
        <v>2279</v>
      </c>
    </row>
    <row r="2425" spans="1:5">
      <c r="A2425" s="159">
        <f t="shared" si="30"/>
        <v>2424</v>
      </c>
      <c r="B2425" s="163">
        <v>45818</v>
      </c>
      <c r="C2425" s="164">
        <v>0.79364583333333327</v>
      </c>
      <c r="D2425" s="159">
        <v>10</v>
      </c>
      <c r="E2425" s="166" t="s">
        <v>2280</v>
      </c>
    </row>
    <row r="2426" spans="1:5">
      <c r="A2426" s="159">
        <f t="shared" si="30"/>
        <v>2425</v>
      </c>
      <c r="B2426" s="163">
        <v>45818</v>
      </c>
      <c r="C2426" s="164">
        <v>0.75550925925925927</v>
      </c>
      <c r="D2426" s="159">
        <v>10</v>
      </c>
      <c r="E2426" s="166" t="s">
        <v>2281</v>
      </c>
    </row>
    <row r="2427" spans="1:5">
      <c r="A2427" s="159">
        <f t="shared" si="30"/>
        <v>2426</v>
      </c>
      <c r="B2427" s="163">
        <v>45818</v>
      </c>
      <c r="C2427" s="164">
        <v>0.7546180555555555</v>
      </c>
      <c r="D2427" s="159">
        <v>10</v>
      </c>
      <c r="E2427" s="166" t="s">
        <v>2282</v>
      </c>
    </row>
    <row r="2428" spans="1:5">
      <c r="A2428" s="159">
        <f t="shared" si="30"/>
        <v>2427</v>
      </c>
      <c r="B2428" s="163">
        <v>45818</v>
      </c>
      <c r="C2428" s="164">
        <v>0.74859953703703708</v>
      </c>
      <c r="D2428" s="159">
        <v>10</v>
      </c>
      <c r="E2428" s="166" t="s">
        <v>2283</v>
      </c>
    </row>
    <row r="2429" spans="1:5">
      <c r="A2429" s="159">
        <f t="shared" si="30"/>
        <v>2428</v>
      </c>
      <c r="B2429" s="163">
        <v>45818</v>
      </c>
      <c r="C2429" s="164">
        <v>0.74612268518518521</v>
      </c>
      <c r="D2429" s="159">
        <v>10</v>
      </c>
      <c r="E2429" s="166" t="s">
        <v>2284</v>
      </c>
    </row>
    <row r="2430" spans="1:5">
      <c r="A2430" s="159">
        <f t="shared" si="30"/>
        <v>2429</v>
      </c>
      <c r="B2430" s="163">
        <v>45818</v>
      </c>
      <c r="C2430" s="164">
        <v>0.73936342592592597</v>
      </c>
      <c r="D2430" s="159">
        <v>10</v>
      </c>
      <c r="E2430" s="166" t="s">
        <v>2285</v>
      </c>
    </row>
    <row r="2431" spans="1:5">
      <c r="A2431" s="159">
        <f t="shared" si="30"/>
        <v>2430</v>
      </c>
      <c r="B2431" s="163">
        <v>45818</v>
      </c>
      <c r="C2431" s="164">
        <v>0.73324074074074075</v>
      </c>
      <c r="D2431" s="159">
        <v>10</v>
      </c>
      <c r="E2431" s="166" t="s">
        <v>2286</v>
      </c>
    </row>
    <row r="2432" spans="1:5" ht="27">
      <c r="A2432" s="159">
        <f t="shared" si="30"/>
        <v>2431</v>
      </c>
      <c r="B2432" s="163">
        <v>45818</v>
      </c>
      <c r="C2432" s="164">
        <v>0.73055555555555562</v>
      </c>
      <c r="D2432" s="159">
        <v>10</v>
      </c>
      <c r="E2432" s="166" t="s">
        <v>2287</v>
      </c>
    </row>
    <row r="2433" spans="1:5" ht="27">
      <c r="A2433" s="159">
        <f t="shared" si="30"/>
        <v>2432</v>
      </c>
      <c r="B2433" s="163">
        <v>45818</v>
      </c>
      <c r="C2433" s="164">
        <v>0.72903935185185187</v>
      </c>
      <c r="D2433" s="159">
        <v>10</v>
      </c>
      <c r="E2433" s="166" t="s">
        <v>2288</v>
      </c>
    </row>
    <row r="2434" spans="1:5">
      <c r="A2434" s="159">
        <f t="shared" si="30"/>
        <v>2433</v>
      </c>
      <c r="B2434" s="163">
        <v>45818</v>
      </c>
      <c r="C2434" s="164">
        <v>0.72271990740740744</v>
      </c>
      <c r="D2434" s="159">
        <v>10</v>
      </c>
      <c r="E2434" s="166" t="s">
        <v>2289</v>
      </c>
    </row>
    <row r="2435" spans="1:5">
      <c r="A2435" s="159">
        <f t="shared" si="30"/>
        <v>2434</v>
      </c>
      <c r="B2435" s="163">
        <v>45818</v>
      </c>
      <c r="C2435" s="164">
        <v>0.72259259259259256</v>
      </c>
      <c r="D2435" s="159">
        <v>10</v>
      </c>
      <c r="E2435" s="166" t="s">
        <v>244</v>
      </c>
    </row>
    <row r="2436" spans="1:5">
      <c r="A2436" s="159">
        <f t="shared" si="30"/>
        <v>2435</v>
      </c>
      <c r="B2436" s="163">
        <v>45818</v>
      </c>
      <c r="C2436" s="164">
        <v>0.69788194444444451</v>
      </c>
      <c r="D2436" s="159">
        <v>10</v>
      </c>
      <c r="E2436" s="166" t="s">
        <v>2290</v>
      </c>
    </row>
    <row r="2437" spans="1:5">
      <c r="A2437" s="159">
        <f t="shared" si="30"/>
        <v>2436</v>
      </c>
      <c r="B2437" s="163">
        <v>45818</v>
      </c>
      <c r="C2437" s="164">
        <v>0.6972222222222223</v>
      </c>
      <c r="D2437" s="159">
        <v>10</v>
      </c>
      <c r="E2437" s="166" t="s">
        <v>2291</v>
      </c>
    </row>
    <row r="2438" spans="1:5" ht="27">
      <c r="A2438" s="159">
        <f t="shared" si="30"/>
        <v>2437</v>
      </c>
      <c r="B2438" s="163">
        <v>45818</v>
      </c>
      <c r="C2438" s="164">
        <v>0.69693287037037033</v>
      </c>
      <c r="D2438" s="159">
        <v>10</v>
      </c>
      <c r="E2438" s="166" t="s">
        <v>2329</v>
      </c>
    </row>
    <row r="2439" spans="1:5">
      <c r="A2439" s="159">
        <f t="shared" si="30"/>
        <v>2438</v>
      </c>
      <c r="B2439" s="163">
        <v>45818</v>
      </c>
      <c r="C2439" s="164">
        <v>0.69675925925925919</v>
      </c>
      <c r="D2439" s="159">
        <v>10</v>
      </c>
      <c r="E2439" s="166" t="s">
        <v>2292</v>
      </c>
    </row>
    <row r="2440" spans="1:5">
      <c r="A2440" s="159">
        <f t="shared" si="30"/>
        <v>2439</v>
      </c>
      <c r="B2440" s="163">
        <v>45818</v>
      </c>
      <c r="C2440" s="164">
        <v>0.69328703703703709</v>
      </c>
      <c r="D2440" s="159">
        <v>10</v>
      </c>
      <c r="E2440" s="166" t="s">
        <v>2293</v>
      </c>
    </row>
    <row r="2441" spans="1:5">
      <c r="A2441" s="159">
        <f t="shared" si="30"/>
        <v>2440</v>
      </c>
      <c r="B2441" s="163">
        <v>45818</v>
      </c>
      <c r="C2441" s="164">
        <v>0.69158564814814805</v>
      </c>
      <c r="D2441" s="159">
        <v>10</v>
      </c>
      <c r="E2441" s="166" t="s">
        <v>264</v>
      </c>
    </row>
    <row r="2442" spans="1:5">
      <c r="A2442" s="159">
        <f t="shared" si="30"/>
        <v>2441</v>
      </c>
      <c r="B2442" s="163">
        <v>45818</v>
      </c>
      <c r="C2442" s="164">
        <v>0.69027777777777777</v>
      </c>
      <c r="D2442" s="159">
        <v>10</v>
      </c>
      <c r="E2442" s="166" t="s">
        <v>2294</v>
      </c>
    </row>
    <row r="2443" spans="1:5">
      <c r="A2443" s="159">
        <f t="shared" si="30"/>
        <v>2442</v>
      </c>
      <c r="B2443" s="163">
        <v>45818</v>
      </c>
      <c r="C2443" s="164">
        <v>0.68916666666666659</v>
      </c>
      <c r="D2443" s="159">
        <v>10</v>
      </c>
      <c r="E2443" s="166" t="s">
        <v>2295</v>
      </c>
    </row>
    <row r="2444" spans="1:5">
      <c r="A2444" s="159">
        <f t="shared" si="30"/>
        <v>2443</v>
      </c>
      <c r="B2444" s="163">
        <v>45818</v>
      </c>
      <c r="C2444" s="164">
        <v>0.68596064814814817</v>
      </c>
      <c r="D2444" s="159">
        <v>10</v>
      </c>
      <c r="E2444" s="166" t="s">
        <v>2296</v>
      </c>
    </row>
    <row r="2445" spans="1:5">
      <c r="A2445" s="159">
        <f t="shared" si="30"/>
        <v>2444</v>
      </c>
      <c r="B2445" s="163">
        <v>45818</v>
      </c>
      <c r="C2445" s="164">
        <v>0.68027777777777787</v>
      </c>
      <c r="D2445" s="159">
        <v>10</v>
      </c>
      <c r="E2445" s="166" t="s">
        <v>2297</v>
      </c>
    </row>
    <row r="2446" spans="1:5">
      <c r="A2446" s="159">
        <f t="shared" si="30"/>
        <v>2445</v>
      </c>
      <c r="B2446" s="163">
        <v>45818</v>
      </c>
      <c r="C2446" s="164">
        <v>0.67437499999999995</v>
      </c>
      <c r="D2446" s="159">
        <v>10</v>
      </c>
      <c r="E2446" s="166" t="s">
        <v>2298</v>
      </c>
    </row>
    <row r="2447" spans="1:5">
      <c r="A2447" s="159">
        <f t="shared" si="30"/>
        <v>2446</v>
      </c>
      <c r="B2447" s="163">
        <v>45818</v>
      </c>
      <c r="C2447" s="164">
        <v>0.66613425925925929</v>
      </c>
      <c r="D2447" s="159">
        <v>10</v>
      </c>
      <c r="E2447" s="166" t="s">
        <v>2299</v>
      </c>
    </row>
    <row r="2448" spans="1:5">
      <c r="A2448" s="159">
        <f t="shared" si="30"/>
        <v>2447</v>
      </c>
      <c r="B2448" s="163">
        <v>45818</v>
      </c>
      <c r="C2448" s="164">
        <v>0.65084490740740741</v>
      </c>
      <c r="D2448" s="159">
        <v>10</v>
      </c>
      <c r="E2448" s="166" t="s">
        <v>2300</v>
      </c>
    </row>
    <row r="2449" spans="1:5">
      <c r="A2449" s="159">
        <f t="shared" si="30"/>
        <v>2448</v>
      </c>
      <c r="B2449" s="163">
        <v>45818</v>
      </c>
      <c r="C2449" s="164">
        <v>0.63438657407407406</v>
      </c>
      <c r="D2449" s="159">
        <v>10</v>
      </c>
      <c r="E2449" s="166" t="s">
        <v>2301</v>
      </c>
    </row>
    <row r="2450" spans="1:5">
      <c r="A2450" s="159">
        <f t="shared" si="30"/>
        <v>2449</v>
      </c>
      <c r="B2450" s="163">
        <v>45818</v>
      </c>
      <c r="C2450" s="164">
        <v>0.61703703703703705</v>
      </c>
      <c r="D2450" s="159">
        <v>10</v>
      </c>
      <c r="E2450" s="166" t="s">
        <v>2302</v>
      </c>
    </row>
    <row r="2451" spans="1:5">
      <c r="A2451" s="159">
        <f t="shared" si="30"/>
        <v>2450</v>
      </c>
      <c r="B2451" s="163">
        <v>45818</v>
      </c>
      <c r="C2451" s="164">
        <v>0.61630787037037038</v>
      </c>
      <c r="D2451" s="159">
        <v>10</v>
      </c>
      <c r="E2451" s="166" t="s">
        <v>2303</v>
      </c>
    </row>
    <row r="2452" spans="1:5">
      <c r="A2452" s="159">
        <f t="shared" si="30"/>
        <v>2451</v>
      </c>
      <c r="B2452" s="163">
        <v>45818</v>
      </c>
      <c r="C2452" s="164">
        <v>0.58880787037037041</v>
      </c>
      <c r="D2452" s="159">
        <v>10</v>
      </c>
      <c r="E2452" s="166" t="s">
        <v>2304</v>
      </c>
    </row>
    <row r="2453" spans="1:5">
      <c r="A2453" s="159">
        <f t="shared" si="30"/>
        <v>2452</v>
      </c>
      <c r="B2453" s="163">
        <v>45818</v>
      </c>
      <c r="C2453" s="164">
        <v>0.57721064814814815</v>
      </c>
      <c r="D2453" s="159">
        <v>10</v>
      </c>
      <c r="E2453" s="166" t="s">
        <v>2305</v>
      </c>
    </row>
    <row r="2454" spans="1:5">
      <c r="A2454" s="159">
        <f t="shared" si="30"/>
        <v>2453</v>
      </c>
      <c r="B2454" s="163">
        <v>45818</v>
      </c>
      <c r="C2454" s="164">
        <v>0.57480324074074074</v>
      </c>
      <c r="D2454" s="159">
        <v>10</v>
      </c>
      <c r="E2454" s="166" t="s">
        <v>2306</v>
      </c>
    </row>
    <row r="2455" spans="1:5">
      <c r="A2455" s="159">
        <f t="shared" si="30"/>
        <v>2454</v>
      </c>
      <c r="B2455" s="163">
        <v>45818</v>
      </c>
      <c r="C2455" s="164">
        <v>0.57408564814814811</v>
      </c>
      <c r="D2455" s="159">
        <v>10</v>
      </c>
      <c r="E2455" s="166" t="s">
        <v>2307</v>
      </c>
    </row>
    <row r="2456" spans="1:5">
      <c r="A2456" s="159">
        <f t="shared" si="30"/>
        <v>2455</v>
      </c>
      <c r="B2456" s="163">
        <v>45818</v>
      </c>
      <c r="C2456" s="164">
        <v>0.54906250000000001</v>
      </c>
      <c r="D2456" s="159">
        <v>10</v>
      </c>
      <c r="E2456" s="166" t="s">
        <v>2308</v>
      </c>
    </row>
    <row r="2457" spans="1:5">
      <c r="A2457" s="159">
        <f t="shared" si="30"/>
        <v>2456</v>
      </c>
      <c r="B2457" s="163">
        <v>45818</v>
      </c>
      <c r="C2457" s="164">
        <v>0.52203703703703697</v>
      </c>
      <c r="D2457" s="159">
        <v>10</v>
      </c>
      <c r="E2457" s="166" t="s">
        <v>2309</v>
      </c>
    </row>
    <row r="2458" spans="1:5">
      <c r="A2458" s="159">
        <f t="shared" si="30"/>
        <v>2457</v>
      </c>
      <c r="B2458" s="163">
        <v>45818</v>
      </c>
      <c r="C2458" s="164">
        <v>0.50194444444444442</v>
      </c>
      <c r="D2458" s="159">
        <v>10</v>
      </c>
      <c r="E2458" s="166" t="s">
        <v>2310</v>
      </c>
    </row>
    <row r="2459" spans="1:5">
      <c r="A2459" s="159">
        <f t="shared" si="30"/>
        <v>2458</v>
      </c>
      <c r="B2459" s="163">
        <v>45818</v>
      </c>
      <c r="C2459" s="164">
        <v>0.48550925925925931</v>
      </c>
      <c r="D2459" s="159">
        <v>10</v>
      </c>
      <c r="E2459" s="166" t="s">
        <v>2328</v>
      </c>
    </row>
    <row r="2460" spans="1:5">
      <c r="A2460" s="159">
        <f t="shared" si="30"/>
        <v>2459</v>
      </c>
      <c r="B2460" s="163">
        <v>45818</v>
      </c>
      <c r="C2460" s="164">
        <v>0.47364583333333332</v>
      </c>
      <c r="D2460" s="159">
        <v>10</v>
      </c>
      <c r="E2460" s="166" t="s">
        <v>2311</v>
      </c>
    </row>
    <row r="2461" spans="1:5">
      <c r="A2461" s="159">
        <f t="shared" si="30"/>
        <v>2460</v>
      </c>
      <c r="B2461" s="163">
        <v>45818</v>
      </c>
      <c r="C2461" s="164">
        <v>0.47300925925925924</v>
      </c>
      <c r="D2461" s="159">
        <v>10</v>
      </c>
      <c r="E2461" s="166" t="s">
        <v>2312</v>
      </c>
    </row>
    <row r="2462" spans="1:5">
      <c r="A2462" s="159">
        <f t="shared" si="30"/>
        <v>2461</v>
      </c>
      <c r="B2462" s="163">
        <v>45818</v>
      </c>
      <c r="C2462" s="164">
        <v>0.46981481481481485</v>
      </c>
      <c r="D2462" s="159">
        <v>10</v>
      </c>
      <c r="E2462" s="166" t="s">
        <v>2313</v>
      </c>
    </row>
    <row r="2463" spans="1:5">
      <c r="A2463" s="159">
        <f t="shared" si="30"/>
        <v>2462</v>
      </c>
      <c r="B2463" s="163">
        <v>45818</v>
      </c>
      <c r="C2463" s="164">
        <v>0.46663194444444445</v>
      </c>
      <c r="D2463" s="159">
        <v>10</v>
      </c>
      <c r="E2463" s="166" t="s">
        <v>2314</v>
      </c>
    </row>
    <row r="2464" spans="1:5">
      <c r="A2464" s="159">
        <f t="shared" si="30"/>
        <v>2463</v>
      </c>
      <c r="B2464" s="163">
        <v>45818</v>
      </c>
      <c r="C2464" s="164">
        <v>0.46378472222222222</v>
      </c>
      <c r="D2464" s="159">
        <v>10</v>
      </c>
      <c r="E2464" s="166" t="s">
        <v>2315</v>
      </c>
    </row>
    <row r="2465" spans="1:5">
      <c r="A2465" s="159">
        <f t="shared" si="30"/>
        <v>2464</v>
      </c>
      <c r="B2465" s="163">
        <v>45818</v>
      </c>
      <c r="C2465" s="164">
        <v>0.45665509259259257</v>
      </c>
      <c r="D2465" s="159">
        <v>10</v>
      </c>
      <c r="E2465" s="166" t="s">
        <v>2316</v>
      </c>
    </row>
    <row r="2466" spans="1:5">
      <c r="A2466" s="159">
        <f t="shared" si="30"/>
        <v>2465</v>
      </c>
      <c r="B2466" s="163">
        <v>45818</v>
      </c>
      <c r="C2466" s="164">
        <v>0.45222222222222225</v>
      </c>
      <c r="D2466" s="159">
        <v>10</v>
      </c>
      <c r="E2466" s="166" t="s">
        <v>2317</v>
      </c>
    </row>
    <row r="2467" spans="1:5">
      <c r="A2467" s="159">
        <f t="shared" si="30"/>
        <v>2466</v>
      </c>
      <c r="B2467" s="163">
        <v>45818</v>
      </c>
      <c r="C2467" s="164">
        <v>0.44874999999999998</v>
      </c>
      <c r="D2467" s="159">
        <v>10</v>
      </c>
      <c r="E2467" s="166" t="s">
        <v>2318</v>
      </c>
    </row>
    <row r="2468" spans="1:5">
      <c r="A2468" s="159">
        <f t="shared" si="30"/>
        <v>2467</v>
      </c>
      <c r="B2468" s="163">
        <v>45818</v>
      </c>
      <c r="C2468" s="164">
        <v>0.44381944444444449</v>
      </c>
      <c r="D2468" s="159">
        <v>10</v>
      </c>
      <c r="E2468" s="166" t="s">
        <v>2319</v>
      </c>
    </row>
    <row r="2469" spans="1:5">
      <c r="A2469" s="159">
        <f t="shared" si="30"/>
        <v>2468</v>
      </c>
      <c r="B2469" s="163">
        <v>45818</v>
      </c>
      <c r="C2469" s="164">
        <v>0.43790509259259264</v>
      </c>
      <c r="D2469" s="159">
        <v>10</v>
      </c>
      <c r="E2469" s="166" t="s">
        <v>2320</v>
      </c>
    </row>
    <row r="2470" spans="1:5">
      <c r="A2470" s="159">
        <f t="shared" si="30"/>
        <v>2469</v>
      </c>
      <c r="B2470" s="163">
        <v>45818</v>
      </c>
      <c r="C2470" s="164">
        <v>0.42682870370370374</v>
      </c>
      <c r="D2470" s="159">
        <v>10</v>
      </c>
      <c r="E2470" s="166" t="s">
        <v>2321</v>
      </c>
    </row>
    <row r="2471" spans="1:5">
      <c r="A2471" s="159">
        <f t="shared" si="30"/>
        <v>2470</v>
      </c>
      <c r="B2471" s="163">
        <v>45818</v>
      </c>
      <c r="C2471" s="164">
        <v>0.41849537037037038</v>
      </c>
      <c r="D2471" s="159">
        <v>9</v>
      </c>
      <c r="E2471" s="166" t="s">
        <v>2322</v>
      </c>
    </row>
    <row r="2472" spans="1:5">
      <c r="A2472" s="159">
        <f t="shared" si="30"/>
        <v>2471</v>
      </c>
      <c r="B2472" s="163">
        <v>45818</v>
      </c>
      <c r="C2472" s="164">
        <v>0.41818287037037033</v>
      </c>
      <c r="D2472" s="159">
        <v>10</v>
      </c>
      <c r="E2472" s="166" t="s">
        <v>2323</v>
      </c>
    </row>
    <row r="2473" spans="1:5">
      <c r="A2473" s="159">
        <f t="shared" si="30"/>
        <v>2472</v>
      </c>
      <c r="B2473" s="163">
        <v>45818</v>
      </c>
      <c r="C2473" s="164">
        <v>0.39005787037037037</v>
      </c>
      <c r="D2473" s="159">
        <v>9</v>
      </c>
      <c r="E2473" s="166" t="s">
        <v>2324</v>
      </c>
    </row>
    <row r="2474" spans="1:5">
      <c r="A2474" s="159">
        <f t="shared" si="30"/>
        <v>2473</v>
      </c>
      <c r="B2474" s="163">
        <v>45818</v>
      </c>
      <c r="C2474" s="164">
        <v>0.38587962962962963</v>
      </c>
      <c r="D2474" s="159">
        <v>10</v>
      </c>
      <c r="E2474" s="166" t="s">
        <v>2325</v>
      </c>
    </row>
    <row r="2475" spans="1:5">
      <c r="A2475" s="159">
        <f t="shared" si="30"/>
        <v>2474</v>
      </c>
      <c r="B2475" s="163">
        <v>45818</v>
      </c>
      <c r="C2475" s="164">
        <v>0.38121527777777775</v>
      </c>
      <c r="D2475" s="159">
        <v>10</v>
      </c>
      <c r="E2475" s="166" t="s">
        <v>2327</v>
      </c>
    </row>
    <row r="2476" spans="1:5">
      <c r="A2476" s="159">
        <f t="shared" si="30"/>
        <v>2475</v>
      </c>
      <c r="B2476" s="163">
        <v>45818</v>
      </c>
      <c r="C2476" s="164">
        <v>0.37753472222222223</v>
      </c>
      <c r="D2476" s="159">
        <v>10</v>
      </c>
      <c r="E2476" s="166" t="s">
        <v>2326</v>
      </c>
    </row>
    <row r="2477" spans="1:5">
      <c r="A2477" s="159">
        <f t="shared" si="30"/>
        <v>2476</v>
      </c>
      <c r="B2477" s="163">
        <v>45819</v>
      </c>
      <c r="C2477" s="164">
        <v>0.85267361111111117</v>
      </c>
      <c r="D2477" s="159">
        <v>10</v>
      </c>
      <c r="E2477" s="166" t="s">
        <v>273</v>
      </c>
    </row>
    <row r="2478" spans="1:5">
      <c r="A2478" s="159">
        <f t="shared" si="30"/>
        <v>2477</v>
      </c>
      <c r="B2478" s="163">
        <v>45819</v>
      </c>
      <c r="C2478" s="164">
        <v>0.83873842592592596</v>
      </c>
      <c r="D2478" s="159">
        <v>10</v>
      </c>
      <c r="E2478" s="166" t="s">
        <v>2330</v>
      </c>
    </row>
    <row r="2479" spans="1:5">
      <c r="A2479" s="159">
        <f t="shared" si="30"/>
        <v>2478</v>
      </c>
      <c r="B2479" s="163">
        <v>45819</v>
      </c>
      <c r="C2479" s="164">
        <v>0.82405092592592588</v>
      </c>
      <c r="D2479" s="159">
        <v>10</v>
      </c>
      <c r="E2479" s="166" t="s">
        <v>2331</v>
      </c>
    </row>
    <row r="2480" spans="1:5">
      <c r="A2480" s="159">
        <f t="shared" si="30"/>
        <v>2479</v>
      </c>
      <c r="B2480" s="163">
        <v>45819</v>
      </c>
      <c r="C2480" s="164">
        <v>0.81916666666666671</v>
      </c>
      <c r="D2480" s="159">
        <v>10</v>
      </c>
      <c r="E2480" s="166" t="s">
        <v>2332</v>
      </c>
    </row>
    <row r="2481" spans="1:5">
      <c r="A2481" s="159">
        <f t="shared" si="30"/>
        <v>2480</v>
      </c>
      <c r="B2481" s="163">
        <v>45819</v>
      </c>
      <c r="C2481" s="164">
        <v>0.81648148148148147</v>
      </c>
      <c r="D2481" s="159">
        <v>10</v>
      </c>
      <c r="E2481" s="166" t="s">
        <v>2333</v>
      </c>
    </row>
    <row r="2482" spans="1:5">
      <c r="A2482" s="159">
        <f t="shared" si="30"/>
        <v>2481</v>
      </c>
      <c r="B2482" s="163">
        <v>45819</v>
      </c>
      <c r="C2482" s="164">
        <v>0.80120370370370375</v>
      </c>
      <c r="D2482" s="159">
        <v>10</v>
      </c>
      <c r="E2482" s="166" t="s">
        <v>2334</v>
      </c>
    </row>
    <row r="2483" spans="1:5">
      <c r="A2483" s="159">
        <f t="shared" si="30"/>
        <v>2482</v>
      </c>
      <c r="B2483" s="163">
        <v>45819</v>
      </c>
      <c r="C2483" s="164">
        <v>0.75782407407407415</v>
      </c>
      <c r="D2483" s="159">
        <v>10</v>
      </c>
      <c r="E2483" s="166" t="s">
        <v>2335</v>
      </c>
    </row>
    <row r="2484" spans="1:5">
      <c r="A2484" s="159">
        <f t="shared" si="30"/>
        <v>2483</v>
      </c>
      <c r="B2484" s="163">
        <v>45819</v>
      </c>
      <c r="C2484" s="164">
        <v>0.75422453703703696</v>
      </c>
      <c r="D2484" s="159">
        <v>10</v>
      </c>
      <c r="E2484" s="166" t="s">
        <v>2336</v>
      </c>
    </row>
    <row r="2485" spans="1:5">
      <c r="A2485" s="159">
        <f t="shared" ref="A2485:A2548" si="31">ROW()-1</f>
        <v>2484</v>
      </c>
      <c r="B2485" s="163">
        <v>45819</v>
      </c>
      <c r="C2485" s="164">
        <v>0.73979166666666663</v>
      </c>
      <c r="D2485" s="159">
        <v>10</v>
      </c>
      <c r="E2485" s="166" t="s">
        <v>313</v>
      </c>
    </row>
    <row r="2486" spans="1:5">
      <c r="A2486" s="159">
        <f t="shared" si="31"/>
        <v>2485</v>
      </c>
      <c r="B2486" s="163">
        <v>45819</v>
      </c>
      <c r="C2486" s="164">
        <v>0.73681712962962964</v>
      </c>
      <c r="D2486" s="159">
        <v>10</v>
      </c>
      <c r="E2486" s="166" t="s">
        <v>2337</v>
      </c>
    </row>
    <row r="2487" spans="1:5">
      <c r="A2487" s="159">
        <f t="shared" si="31"/>
        <v>2486</v>
      </c>
      <c r="B2487" s="163">
        <v>45819</v>
      </c>
      <c r="C2487" s="164">
        <v>0.72652777777777777</v>
      </c>
      <c r="D2487" s="159">
        <v>10</v>
      </c>
      <c r="E2487" s="166" t="s">
        <v>179</v>
      </c>
    </row>
    <row r="2488" spans="1:5">
      <c r="A2488" s="159">
        <f t="shared" si="31"/>
        <v>2487</v>
      </c>
      <c r="B2488" s="163">
        <v>45819</v>
      </c>
      <c r="C2488" s="164">
        <v>0.71232638888888899</v>
      </c>
      <c r="D2488" s="159">
        <v>10</v>
      </c>
      <c r="E2488" s="166" t="s">
        <v>2338</v>
      </c>
    </row>
    <row r="2489" spans="1:5">
      <c r="A2489" s="159">
        <f t="shared" si="31"/>
        <v>2488</v>
      </c>
      <c r="B2489" s="163">
        <v>45819</v>
      </c>
      <c r="C2489" s="164">
        <v>0.71223379629629635</v>
      </c>
      <c r="D2489" s="159">
        <v>10</v>
      </c>
      <c r="E2489" s="166" t="s">
        <v>244</v>
      </c>
    </row>
    <row r="2490" spans="1:5">
      <c r="A2490" s="159">
        <f t="shared" si="31"/>
        <v>2489</v>
      </c>
      <c r="B2490" s="163">
        <v>45819</v>
      </c>
      <c r="C2490" s="164">
        <v>0.69221064814814814</v>
      </c>
      <c r="D2490" s="159">
        <v>10</v>
      </c>
      <c r="E2490" s="166" t="s">
        <v>273</v>
      </c>
    </row>
    <row r="2491" spans="1:5">
      <c r="A2491" s="159">
        <f t="shared" si="31"/>
        <v>2490</v>
      </c>
      <c r="B2491" s="163">
        <v>45819</v>
      </c>
      <c r="C2491" s="164">
        <v>0.68715277777777783</v>
      </c>
      <c r="D2491" s="159">
        <v>10</v>
      </c>
      <c r="E2491" s="166" t="s">
        <v>2339</v>
      </c>
    </row>
    <row r="2492" spans="1:5">
      <c r="A2492" s="159">
        <f t="shared" si="31"/>
        <v>2491</v>
      </c>
      <c r="B2492" s="163">
        <v>45819</v>
      </c>
      <c r="C2492" s="164">
        <v>0.68072916666666661</v>
      </c>
      <c r="D2492" s="159">
        <v>10</v>
      </c>
      <c r="E2492" s="166" t="s">
        <v>2340</v>
      </c>
    </row>
    <row r="2493" spans="1:5">
      <c r="A2493" s="159">
        <f t="shared" si="31"/>
        <v>2492</v>
      </c>
      <c r="B2493" s="163">
        <v>45819</v>
      </c>
      <c r="C2493" s="164">
        <v>0.67679398148148151</v>
      </c>
      <c r="D2493" s="159">
        <v>10</v>
      </c>
      <c r="E2493" s="166" t="s">
        <v>448</v>
      </c>
    </row>
    <row r="2494" spans="1:5">
      <c r="A2494" s="159">
        <f t="shared" si="31"/>
        <v>2493</v>
      </c>
      <c r="B2494" s="163">
        <v>45819</v>
      </c>
      <c r="C2494" s="164">
        <v>0.66462962962962957</v>
      </c>
      <c r="D2494" s="159">
        <v>10</v>
      </c>
      <c r="E2494" s="166" t="s">
        <v>2365</v>
      </c>
    </row>
    <row r="2495" spans="1:5">
      <c r="A2495" s="159">
        <f t="shared" si="31"/>
        <v>2494</v>
      </c>
      <c r="B2495" s="163">
        <v>45819</v>
      </c>
      <c r="C2495" s="164">
        <v>0.66327546296296302</v>
      </c>
      <c r="D2495" s="159">
        <v>10</v>
      </c>
      <c r="E2495" s="166" t="s">
        <v>2341</v>
      </c>
    </row>
    <row r="2496" spans="1:5">
      <c r="A2496" s="159">
        <f t="shared" si="31"/>
        <v>2495</v>
      </c>
      <c r="B2496" s="163">
        <v>45819</v>
      </c>
      <c r="C2496" s="164">
        <v>0.65959490740740734</v>
      </c>
      <c r="D2496" s="159">
        <v>10</v>
      </c>
      <c r="E2496" s="166" t="s">
        <v>273</v>
      </c>
    </row>
    <row r="2497" spans="1:5">
      <c r="A2497" s="159">
        <f t="shared" si="31"/>
        <v>2496</v>
      </c>
      <c r="B2497" s="163">
        <v>45819</v>
      </c>
      <c r="C2497" s="164">
        <v>0.6524537037037037</v>
      </c>
      <c r="D2497" s="159">
        <v>10</v>
      </c>
      <c r="E2497" s="166" t="s">
        <v>246</v>
      </c>
    </row>
    <row r="2498" spans="1:5">
      <c r="A2498" s="159">
        <f t="shared" si="31"/>
        <v>2497</v>
      </c>
      <c r="B2498" s="163">
        <v>45819</v>
      </c>
      <c r="C2498" s="164">
        <v>0.64662037037037035</v>
      </c>
      <c r="D2498" s="159">
        <v>10</v>
      </c>
      <c r="E2498" s="166" t="s">
        <v>2342</v>
      </c>
    </row>
    <row r="2499" spans="1:5">
      <c r="A2499" s="159">
        <f t="shared" si="31"/>
        <v>2498</v>
      </c>
      <c r="B2499" s="163">
        <v>45819</v>
      </c>
      <c r="C2499" s="164">
        <v>0.64201388888888888</v>
      </c>
      <c r="D2499" s="159">
        <v>10</v>
      </c>
      <c r="E2499" s="166" t="s">
        <v>2343</v>
      </c>
    </row>
    <row r="2500" spans="1:5">
      <c r="A2500" s="159">
        <f t="shared" si="31"/>
        <v>2499</v>
      </c>
      <c r="B2500" s="163">
        <v>45819</v>
      </c>
      <c r="C2500" s="164">
        <v>0.62627314814814816</v>
      </c>
      <c r="D2500" s="159">
        <v>10</v>
      </c>
      <c r="E2500" s="166" t="s">
        <v>2344</v>
      </c>
    </row>
    <row r="2501" spans="1:5">
      <c r="A2501" s="159">
        <f t="shared" si="31"/>
        <v>2500</v>
      </c>
      <c r="B2501" s="163">
        <v>45819</v>
      </c>
      <c r="C2501" s="164">
        <v>0.61559027777777775</v>
      </c>
      <c r="D2501" s="159">
        <v>10</v>
      </c>
      <c r="E2501" s="166" t="s">
        <v>2345</v>
      </c>
    </row>
    <row r="2502" spans="1:5">
      <c r="A2502" s="159">
        <f t="shared" si="31"/>
        <v>2501</v>
      </c>
      <c r="B2502" s="163">
        <v>45819</v>
      </c>
      <c r="C2502" s="164">
        <v>0.5701504629629629</v>
      </c>
      <c r="D2502" s="159">
        <v>10</v>
      </c>
      <c r="E2502" s="166" t="s">
        <v>2346</v>
      </c>
    </row>
    <row r="2503" spans="1:5">
      <c r="A2503" s="159">
        <f t="shared" si="31"/>
        <v>2502</v>
      </c>
      <c r="B2503" s="163">
        <v>45819</v>
      </c>
      <c r="C2503" s="164">
        <v>0.54762731481481486</v>
      </c>
      <c r="D2503" s="159">
        <v>10</v>
      </c>
      <c r="E2503" s="166" t="s">
        <v>2347</v>
      </c>
    </row>
    <row r="2504" spans="1:5">
      <c r="A2504" s="159">
        <f t="shared" si="31"/>
        <v>2503</v>
      </c>
      <c r="B2504" s="163">
        <v>45819</v>
      </c>
      <c r="C2504" s="164">
        <v>0.50983796296296291</v>
      </c>
      <c r="D2504" s="159">
        <v>10</v>
      </c>
      <c r="E2504" s="166" t="s">
        <v>2348</v>
      </c>
    </row>
    <row r="2505" spans="1:5">
      <c r="A2505" s="159">
        <f t="shared" si="31"/>
        <v>2504</v>
      </c>
      <c r="B2505" s="163">
        <v>45819</v>
      </c>
      <c r="C2505" s="164">
        <v>0.50721064814814809</v>
      </c>
      <c r="D2505" s="159">
        <v>10</v>
      </c>
      <c r="E2505" s="166" t="s">
        <v>2349</v>
      </c>
    </row>
    <row r="2506" spans="1:5">
      <c r="A2506" s="159">
        <f t="shared" si="31"/>
        <v>2505</v>
      </c>
      <c r="B2506" s="163">
        <v>45819</v>
      </c>
      <c r="C2506" s="164">
        <v>0.50445601851851851</v>
      </c>
      <c r="D2506" s="159">
        <v>10</v>
      </c>
      <c r="E2506" s="166" t="s">
        <v>2350</v>
      </c>
    </row>
    <row r="2507" spans="1:5">
      <c r="A2507" s="159">
        <f t="shared" si="31"/>
        <v>2506</v>
      </c>
      <c r="B2507" s="163">
        <v>45819</v>
      </c>
      <c r="C2507" s="164">
        <v>0.49898148148148147</v>
      </c>
      <c r="D2507" s="159">
        <v>10</v>
      </c>
      <c r="E2507" s="166" t="s">
        <v>2351</v>
      </c>
    </row>
    <row r="2508" spans="1:5">
      <c r="A2508" s="159">
        <f t="shared" si="31"/>
        <v>2507</v>
      </c>
      <c r="B2508" s="163">
        <v>45819</v>
      </c>
      <c r="C2508" s="164">
        <v>0.49512731481481481</v>
      </c>
      <c r="D2508" s="159">
        <v>10</v>
      </c>
      <c r="E2508" s="166" t="s">
        <v>2352</v>
      </c>
    </row>
    <row r="2509" spans="1:5">
      <c r="A2509" s="159">
        <f t="shared" si="31"/>
        <v>2508</v>
      </c>
      <c r="B2509" s="163">
        <v>45819</v>
      </c>
      <c r="C2509" s="164">
        <v>0.48291666666666666</v>
      </c>
      <c r="D2509" s="159">
        <v>10</v>
      </c>
      <c r="E2509" s="166" t="s">
        <v>2364</v>
      </c>
    </row>
    <row r="2510" spans="1:5">
      <c r="A2510" s="159">
        <f t="shared" si="31"/>
        <v>2509</v>
      </c>
      <c r="B2510" s="163">
        <v>45819</v>
      </c>
      <c r="C2510" s="164">
        <v>0.45848379629629626</v>
      </c>
      <c r="D2510" s="159">
        <v>10</v>
      </c>
      <c r="E2510" s="166" t="s">
        <v>2353</v>
      </c>
    </row>
    <row r="2511" spans="1:5">
      <c r="A2511" s="159">
        <f t="shared" si="31"/>
        <v>2510</v>
      </c>
      <c r="B2511" s="163">
        <v>45819</v>
      </c>
      <c r="C2511" s="164">
        <v>0.45837962962962964</v>
      </c>
      <c r="D2511" s="159">
        <v>10</v>
      </c>
      <c r="E2511" s="166" t="s">
        <v>2354</v>
      </c>
    </row>
    <row r="2512" spans="1:5">
      <c r="A2512" s="159">
        <f t="shared" si="31"/>
        <v>2511</v>
      </c>
      <c r="B2512" s="163">
        <v>45819</v>
      </c>
      <c r="C2512" s="164">
        <v>0.45369212962962963</v>
      </c>
      <c r="D2512" s="159">
        <v>10</v>
      </c>
      <c r="E2512" s="166" t="s">
        <v>2355</v>
      </c>
    </row>
    <row r="2513" spans="1:5">
      <c r="A2513" s="159">
        <f t="shared" si="31"/>
        <v>2512</v>
      </c>
      <c r="B2513" s="163">
        <v>45819</v>
      </c>
      <c r="C2513" s="164">
        <v>0.44625000000000004</v>
      </c>
      <c r="D2513" s="159">
        <v>10</v>
      </c>
      <c r="E2513" s="166" t="s">
        <v>2356</v>
      </c>
    </row>
    <row r="2514" spans="1:5">
      <c r="A2514" s="159">
        <f t="shared" si="31"/>
        <v>2513</v>
      </c>
      <c r="B2514" s="163">
        <v>45819</v>
      </c>
      <c r="C2514" s="164">
        <v>0.44168981481481479</v>
      </c>
      <c r="D2514" s="159">
        <v>10</v>
      </c>
      <c r="E2514" s="166" t="s">
        <v>2357</v>
      </c>
    </row>
    <row r="2515" spans="1:5">
      <c r="A2515" s="159">
        <f t="shared" si="31"/>
        <v>2514</v>
      </c>
      <c r="B2515" s="163">
        <v>45819</v>
      </c>
      <c r="C2515" s="164">
        <v>0.42354166666666665</v>
      </c>
      <c r="D2515" s="159">
        <v>10</v>
      </c>
      <c r="E2515" s="166" t="s">
        <v>2358</v>
      </c>
    </row>
    <row r="2516" spans="1:5">
      <c r="A2516" s="159">
        <f t="shared" si="31"/>
        <v>2515</v>
      </c>
      <c r="B2516" s="163">
        <v>45819</v>
      </c>
      <c r="C2516" s="164">
        <v>0.42190972222222217</v>
      </c>
      <c r="D2516" s="159">
        <v>10</v>
      </c>
      <c r="E2516" s="166" t="s">
        <v>2359</v>
      </c>
    </row>
    <row r="2517" spans="1:5">
      <c r="A2517" s="159">
        <f t="shared" si="31"/>
        <v>2516</v>
      </c>
      <c r="B2517" s="163">
        <v>45819</v>
      </c>
      <c r="C2517" s="164">
        <v>0.40127314814814818</v>
      </c>
      <c r="D2517" s="159">
        <v>10</v>
      </c>
      <c r="E2517" s="166" t="s">
        <v>2360</v>
      </c>
    </row>
    <row r="2518" spans="1:5">
      <c r="A2518" s="159">
        <f t="shared" si="31"/>
        <v>2517</v>
      </c>
      <c r="B2518" s="163">
        <v>45819</v>
      </c>
      <c r="C2518" s="164">
        <v>0.39847222222222217</v>
      </c>
      <c r="D2518" s="159">
        <v>10</v>
      </c>
      <c r="E2518" s="166" t="s">
        <v>2363</v>
      </c>
    </row>
    <row r="2519" spans="1:5">
      <c r="A2519" s="159">
        <f t="shared" si="31"/>
        <v>2518</v>
      </c>
      <c r="B2519" s="163">
        <v>45819</v>
      </c>
      <c r="C2519" s="164">
        <v>0.39439814814814816</v>
      </c>
      <c r="D2519" s="159">
        <v>10</v>
      </c>
      <c r="E2519" s="166" t="s">
        <v>2361</v>
      </c>
    </row>
    <row r="2520" spans="1:5">
      <c r="A2520" s="159">
        <f t="shared" si="31"/>
        <v>2519</v>
      </c>
      <c r="B2520" s="163">
        <v>45819</v>
      </c>
      <c r="C2520" s="164">
        <v>0.3935069444444444</v>
      </c>
      <c r="D2520" s="159">
        <v>10</v>
      </c>
      <c r="E2520" s="166" t="s">
        <v>2362</v>
      </c>
    </row>
    <row r="2521" spans="1:5">
      <c r="A2521" s="159">
        <f t="shared" si="31"/>
        <v>2520</v>
      </c>
      <c r="B2521" s="163">
        <v>45820</v>
      </c>
      <c r="C2521" s="164">
        <v>0.87789351851851849</v>
      </c>
      <c r="D2521" s="159">
        <v>10</v>
      </c>
      <c r="E2521" s="166" t="s">
        <v>2366</v>
      </c>
    </row>
    <row r="2522" spans="1:5">
      <c r="A2522" s="159">
        <f t="shared" si="31"/>
        <v>2521</v>
      </c>
      <c r="B2522" s="163">
        <v>45820</v>
      </c>
      <c r="C2522" s="164">
        <v>0.86664351851851851</v>
      </c>
      <c r="D2522" s="159">
        <v>10</v>
      </c>
      <c r="E2522" s="166" t="s">
        <v>2367</v>
      </c>
    </row>
    <row r="2523" spans="1:5">
      <c r="A2523" s="159">
        <f t="shared" si="31"/>
        <v>2522</v>
      </c>
      <c r="B2523" s="163">
        <v>45820</v>
      </c>
      <c r="C2523" s="164">
        <v>0.82078703703703704</v>
      </c>
      <c r="D2523" s="159">
        <v>8</v>
      </c>
      <c r="E2523" s="166" t="s">
        <v>2368</v>
      </c>
    </row>
    <row r="2524" spans="1:5">
      <c r="A2524" s="159">
        <f t="shared" si="31"/>
        <v>2523</v>
      </c>
      <c r="B2524" s="163">
        <v>45820</v>
      </c>
      <c r="C2524" s="164">
        <v>0.74201388888888886</v>
      </c>
      <c r="D2524" s="159">
        <v>10</v>
      </c>
      <c r="E2524" s="166" t="s">
        <v>132</v>
      </c>
    </row>
    <row r="2525" spans="1:5">
      <c r="A2525" s="159">
        <f t="shared" si="31"/>
        <v>2524</v>
      </c>
      <c r="B2525" s="163">
        <v>45820</v>
      </c>
      <c r="C2525" s="164">
        <v>0.72554398148148147</v>
      </c>
      <c r="D2525" s="159">
        <v>10</v>
      </c>
      <c r="E2525" s="166" t="s">
        <v>2369</v>
      </c>
    </row>
    <row r="2526" spans="1:5">
      <c r="A2526" s="159">
        <f t="shared" si="31"/>
        <v>2525</v>
      </c>
      <c r="B2526" s="163">
        <v>45820</v>
      </c>
      <c r="C2526" s="164">
        <v>0.71789351851851846</v>
      </c>
      <c r="D2526" s="159">
        <v>10</v>
      </c>
      <c r="E2526" s="166" t="s">
        <v>2370</v>
      </c>
    </row>
    <row r="2527" spans="1:5">
      <c r="A2527" s="159">
        <f t="shared" si="31"/>
        <v>2526</v>
      </c>
      <c r="B2527" s="163">
        <v>45820</v>
      </c>
      <c r="C2527" s="164">
        <v>0.71331018518518519</v>
      </c>
      <c r="D2527" s="159">
        <v>10</v>
      </c>
      <c r="E2527" s="166" t="s">
        <v>2371</v>
      </c>
    </row>
    <row r="2528" spans="1:5">
      <c r="A2528" s="159">
        <f t="shared" si="31"/>
        <v>2527</v>
      </c>
      <c r="B2528" s="163">
        <v>45820</v>
      </c>
      <c r="C2528" s="164">
        <v>0.70706018518518521</v>
      </c>
      <c r="D2528" s="159">
        <v>10</v>
      </c>
      <c r="E2528" s="166" t="s">
        <v>2372</v>
      </c>
    </row>
    <row r="2529" spans="1:5" ht="27">
      <c r="A2529" s="159">
        <f t="shared" si="31"/>
        <v>2528</v>
      </c>
      <c r="B2529" s="163">
        <v>45820</v>
      </c>
      <c r="C2529" s="164">
        <v>0.70215277777777774</v>
      </c>
      <c r="D2529" s="159">
        <v>10</v>
      </c>
      <c r="E2529" s="166" t="s">
        <v>2404</v>
      </c>
    </row>
    <row r="2530" spans="1:5">
      <c r="A2530" s="159">
        <f t="shared" si="31"/>
        <v>2529</v>
      </c>
      <c r="B2530" s="163">
        <v>45820</v>
      </c>
      <c r="C2530" s="164">
        <v>0.69862268518518522</v>
      </c>
      <c r="D2530" s="159">
        <v>10</v>
      </c>
      <c r="E2530" s="166" t="s">
        <v>2373</v>
      </c>
    </row>
    <row r="2531" spans="1:5">
      <c r="A2531" s="159">
        <f t="shared" si="31"/>
        <v>2530</v>
      </c>
      <c r="B2531" s="163">
        <v>45820</v>
      </c>
      <c r="C2531" s="164">
        <v>0.68236111111111108</v>
      </c>
      <c r="D2531" s="159">
        <v>10</v>
      </c>
      <c r="E2531" s="166" t="s">
        <v>2374</v>
      </c>
    </row>
    <row r="2532" spans="1:5">
      <c r="A2532" s="159">
        <f t="shared" si="31"/>
        <v>2531</v>
      </c>
      <c r="B2532" s="163">
        <v>45820</v>
      </c>
      <c r="C2532" s="164">
        <v>0.67874999999999996</v>
      </c>
      <c r="D2532" s="159">
        <v>10</v>
      </c>
      <c r="E2532" s="166" t="s">
        <v>2375</v>
      </c>
    </row>
    <row r="2533" spans="1:5">
      <c r="A2533" s="159">
        <f t="shared" si="31"/>
        <v>2532</v>
      </c>
      <c r="B2533" s="163">
        <v>45820</v>
      </c>
      <c r="C2533" s="164">
        <v>0.67721064814814813</v>
      </c>
      <c r="D2533" s="159">
        <v>10</v>
      </c>
      <c r="E2533" s="166" t="s">
        <v>2376</v>
      </c>
    </row>
    <row r="2534" spans="1:5">
      <c r="A2534" s="159">
        <f t="shared" si="31"/>
        <v>2533</v>
      </c>
      <c r="B2534" s="163">
        <v>45820</v>
      </c>
      <c r="C2534" s="164">
        <v>0.67611111111111111</v>
      </c>
      <c r="D2534" s="159">
        <v>10</v>
      </c>
      <c r="E2534" s="166" t="s">
        <v>2377</v>
      </c>
    </row>
    <row r="2535" spans="1:5">
      <c r="A2535" s="159">
        <f t="shared" si="31"/>
        <v>2534</v>
      </c>
      <c r="B2535" s="163">
        <v>45820</v>
      </c>
      <c r="C2535" s="164">
        <v>0.66898148148148151</v>
      </c>
      <c r="D2535" s="159">
        <v>10</v>
      </c>
      <c r="E2535" s="166" t="s">
        <v>2378</v>
      </c>
    </row>
    <row r="2536" spans="1:5">
      <c r="A2536" s="159">
        <f t="shared" si="31"/>
        <v>2535</v>
      </c>
      <c r="B2536" s="163">
        <v>45820</v>
      </c>
      <c r="C2536" s="164">
        <v>0.66509259259259257</v>
      </c>
      <c r="D2536" s="159">
        <v>10</v>
      </c>
      <c r="E2536" s="166" t="s">
        <v>2379</v>
      </c>
    </row>
    <row r="2537" spans="1:5" ht="27">
      <c r="A2537" s="159">
        <f t="shared" si="31"/>
        <v>2536</v>
      </c>
      <c r="B2537" s="163">
        <v>45820</v>
      </c>
      <c r="C2537" s="164">
        <v>0.64633101851851849</v>
      </c>
      <c r="D2537" s="159">
        <v>10</v>
      </c>
      <c r="E2537" s="166" t="s">
        <v>2380</v>
      </c>
    </row>
    <row r="2538" spans="1:5">
      <c r="A2538" s="159">
        <f t="shared" si="31"/>
        <v>2537</v>
      </c>
      <c r="B2538" s="163">
        <v>45820</v>
      </c>
      <c r="C2538" s="164">
        <v>0.64528935185185188</v>
      </c>
      <c r="D2538" s="159">
        <v>10</v>
      </c>
      <c r="E2538" s="166" t="s">
        <v>2381</v>
      </c>
    </row>
    <row r="2539" spans="1:5">
      <c r="A2539" s="159">
        <f t="shared" si="31"/>
        <v>2538</v>
      </c>
      <c r="B2539" s="163">
        <v>45820</v>
      </c>
      <c r="C2539" s="164">
        <v>0.63622685185185179</v>
      </c>
      <c r="D2539" s="159">
        <v>10</v>
      </c>
      <c r="E2539" s="166" t="s">
        <v>2382</v>
      </c>
    </row>
    <row r="2540" spans="1:5">
      <c r="A2540" s="159">
        <f t="shared" si="31"/>
        <v>2539</v>
      </c>
      <c r="B2540" s="163">
        <v>45820</v>
      </c>
      <c r="C2540" s="164">
        <v>0.62954861111111116</v>
      </c>
      <c r="D2540" s="159">
        <v>10</v>
      </c>
      <c r="E2540" s="166" t="s">
        <v>2403</v>
      </c>
    </row>
    <row r="2541" spans="1:5">
      <c r="A2541" s="159">
        <f t="shared" si="31"/>
        <v>2540</v>
      </c>
      <c r="B2541" s="163">
        <v>45820</v>
      </c>
      <c r="C2541" s="164">
        <v>0.61835648148148148</v>
      </c>
      <c r="D2541" s="159">
        <v>10</v>
      </c>
      <c r="E2541" s="166" t="s">
        <v>2383</v>
      </c>
    </row>
    <row r="2542" spans="1:5">
      <c r="A2542" s="159">
        <f t="shared" si="31"/>
        <v>2541</v>
      </c>
      <c r="B2542" s="163">
        <v>45820</v>
      </c>
      <c r="C2542" s="164">
        <v>0.60990740740740745</v>
      </c>
      <c r="D2542" s="159">
        <v>10</v>
      </c>
      <c r="E2542" s="166" t="s">
        <v>2384</v>
      </c>
    </row>
    <row r="2543" spans="1:5">
      <c r="A2543" s="159">
        <f t="shared" si="31"/>
        <v>2542</v>
      </c>
      <c r="B2543" s="163">
        <v>45820</v>
      </c>
      <c r="C2543" s="164">
        <v>0.60405092592592591</v>
      </c>
      <c r="D2543" s="159">
        <v>10</v>
      </c>
      <c r="E2543" s="166" t="s">
        <v>2385</v>
      </c>
    </row>
    <row r="2544" spans="1:5">
      <c r="A2544" s="159">
        <f t="shared" si="31"/>
        <v>2543</v>
      </c>
      <c r="B2544" s="163">
        <v>45820</v>
      </c>
      <c r="C2544" s="164">
        <v>0.59611111111111115</v>
      </c>
      <c r="D2544" s="159">
        <v>10</v>
      </c>
      <c r="E2544" s="166" t="s">
        <v>214</v>
      </c>
    </row>
    <row r="2545" spans="1:5">
      <c r="A2545" s="159">
        <f t="shared" si="31"/>
        <v>2544</v>
      </c>
      <c r="B2545" s="163">
        <v>45820</v>
      </c>
      <c r="C2545" s="164">
        <v>0.58981481481481479</v>
      </c>
      <c r="D2545" s="159">
        <v>10</v>
      </c>
      <c r="E2545" s="166" t="s">
        <v>2386</v>
      </c>
    </row>
    <row r="2546" spans="1:5">
      <c r="A2546" s="159">
        <f t="shared" si="31"/>
        <v>2545</v>
      </c>
      <c r="B2546" s="163">
        <v>45820</v>
      </c>
      <c r="C2546" s="164">
        <v>0.58629629629629632</v>
      </c>
      <c r="D2546" s="159">
        <v>10</v>
      </c>
      <c r="E2546" s="166" t="s">
        <v>2387</v>
      </c>
    </row>
    <row r="2547" spans="1:5">
      <c r="A2547" s="159">
        <f t="shared" si="31"/>
        <v>2546</v>
      </c>
      <c r="B2547" s="163">
        <v>45820</v>
      </c>
      <c r="C2547" s="164">
        <v>0.58598379629629627</v>
      </c>
      <c r="D2547" s="159">
        <v>10</v>
      </c>
      <c r="E2547" s="166" t="s">
        <v>2388</v>
      </c>
    </row>
    <row r="2548" spans="1:5">
      <c r="A2548" s="159">
        <f t="shared" si="31"/>
        <v>2547</v>
      </c>
      <c r="B2548" s="163">
        <v>45820</v>
      </c>
      <c r="C2548" s="164">
        <v>0.57905092592592589</v>
      </c>
      <c r="D2548" s="159">
        <v>10</v>
      </c>
      <c r="E2548" s="166" t="s">
        <v>2389</v>
      </c>
    </row>
    <row r="2549" spans="1:5">
      <c r="A2549" s="159">
        <f t="shared" ref="A2549:A2612" si="32">ROW()-1</f>
        <v>2548</v>
      </c>
      <c r="B2549" s="163">
        <v>45820</v>
      </c>
      <c r="C2549" s="164">
        <v>0.56322916666666667</v>
      </c>
      <c r="D2549" s="159">
        <v>10</v>
      </c>
      <c r="E2549" s="166" t="s">
        <v>2390</v>
      </c>
    </row>
    <row r="2550" spans="1:5">
      <c r="A2550" s="159">
        <f t="shared" si="32"/>
        <v>2549</v>
      </c>
      <c r="B2550" s="163">
        <v>45820</v>
      </c>
      <c r="C2550" s="164">
        <v>0.53796296296296298</v>
      </c>
      <c r="D2550" s="159">
        <v>10</v>
      </c>
      <c r="E2550" s="166" t="s">
        <v>2391</v>
      </c>
    </row>
    <row r="2551" spans="1:5">
      <c r="A2551" s="159">
        <f t="shared" si="32"/>
        <v>2550</v>
      </c>
      <c r="B2551" s="163">
        <v>45820</v>
      </c>
      <c r="C2551" s="164">
        <v>0.49258101851851849</v>
      </c>
      <c r="D2551" s="159">
        <v>10</v>
      </c>
      <c r="E2551" s="166" t="s">
        <v>2392</v>
      </c>
    </row>
    <row r="2552" spans="1:5">
      <c r="A2552" s="159">
        <f t="shared" si="32"/>
        <v>2551</v>
      </c>
      <c r="B2552" s="163">
        <v>45820</v>
      </c>
      <c r="C2552" s="164">
        <v>0.49224537037037036</v>
      </c>
      <c r="D2552" s="159">
        <v>10</v>
      </c>
      <c r="E2552" s="166" t="s">
        <v>2402</v>
      </c>
    </row>
    <row r="2553" spans="1:5">
      <c r="A2553" s="159">
        <f t="shared" si="32"/>
        <v>2552</v>
      </c>
      <c r="B2553" s="163">
        <v>45820</v>
      </c>
      <c r="C2553" s="164">
        <v>0.49140046296296297</v>
      </c>
      <c r="D2553" s="159">
        <v>10</v>
      </c>
      <c r="E2553" s="166" t="s">
        <v>2393</v>
      </c>
    </row>
    <row r="2554" spans="1:5">
      <c r="A2554" s="159">
        <f t="shared" si="32"/>
        <v>2553</v>
      </c>
      <c r="B2554" s="163">
        <v>45820</v>
      </c>
      <c r="C2554" s="164">
        <v>0.48084490740740743</v>
      </c>
      <c r="D2554" s="159">
        <v>10</v>
      </c>
      <c r="E2554" s="166" t="s">
        <v>244</v>
      </c>
    </row>
    <row r="2555" spans="1:5">
      <c r="A2555" s="159">
        <f t="shared" si="32"/>
        <v>2554</v>
      </c>
      <c r="B2555" s="163">
        <v>45820</v>
      </c>
      <c r="C2555" s="164">
        <v>0.4704861111111111</v>
      </c>
      <c r="D2555" s="159">
        <v>10</v>
      </c>
      <c r="E2555" s="166" t="s">
        <v>2394</v>
      </c>
    </row>
    <row r="2556" spans="1:5">
      <c r="A2556" s="159">
        <f t="shared" si="32"/>
        <v>2555</v>
      </c>
      <c r="B2556" s="163">
        <v>45820</v>
      </c>
      <c r="C2556" s="164">
        <v>0.46864583333333337</v>
      </c>
      <c r="D2556" s="159">
        <v>10</v>
      </c>
      <c r="E2556" s="166" t="s">
        <v>2395</v>
      </c>
    </row>
    <row r="2557" spans="1:5">
      <c r="A2557" s="159">
        <f t="shared" si="32"/>
        <v>2556</v>
      </c>
      <c r="B2557" s="163">
        <v>45820</v>
      </c>
      <c r="C2557" s="164">
        <v>0.46045138888888887</v>
      </c>
      <c r="D2557" s="159">
        <v>10</v>
      </c>
      <c r="E2557" s="166" t="s">
        <v>2396</v>
      </c>
    </row>
    <row r="2558" spans="1:5">
      <c r="A2558" s="159">
        <f t="shared" si="32"/>
        <v>2557</v>
      </c>
      <c r="B2558" s="163">
        <v>45820</v>
      </c>
      <c r="C2558" s="164">
        <v>0.44042824074074072</v>
      </c>
      <c r="D2558" s="159">
        <v>10</v>
      </c>
      <c r="E2558" s="166" t="s">
        <v>2397</v>
      </c>
    </row>
    <row r="2559" spans="1:5">
      <c r="A2559" s="159">
        <f t="shared" si="32"/>
        <v>2558</v>
      </c>
      <c r="B2559" s="163">
        <v>45820</v>
      </c>
      <c r="C2559" s="164">
        <v>0.43107638888888888</v>
      </c>
      <c r="D2559" s="159">
        <v>10</v>
      </c>
      <c r="E2559" s="166" t="s">
        <v>326</v>
      </c>
    </row>
    <row r="2560" spans="1:5">
      <c r="A2560" s="159">
        <f t="shared" si="32"/>
        <v>2559</v>
      </c>
      <c r="B2560" s="163">
        <v>45820</v>
      </c>
      <c r="C2560" s="164">
        <v>0.42562499999999998</v>
      </c>
      <c r="D2560" s="159">
        <v>10</v>
      </c>
      <c r="E2560" s="166" t="s">
        <v>872</v>
      </c>
    </row>
    <row r="2561" spans="1:5">
      <c r="A2561" s="159">
        <f t="shared" si="32"/>
        <v>2560</v>
      </c>
      <c r="B2561" s="163">
        <v>45820</v>
      </c>
      <c r="C2561" s="164">
        <v>0.41328703703703701</v>
      </c>
      <c r="D2561" s="159">
        <v>10</v>
      </c>
      <c r="E2561" s="166" t="s">
        <v>132</v>
      </c>
    </row>
    <row r="2562" spans="1:5">
      <c r="A2562" s="159">
        <f t="shared" si="32"/>
        <v>2561</v>
      </c>
      <c r="B2562" s="163">
        <v>45820</v>
      </c>
      <c r="C2562" s="164">
        <v>0.40553240740740742</v>
      </c>
      <c r="D2562" s="159">
        <v>10</v>
      </c>
      <c r="E2562" s="166" t="s">
        <v>2398</v>
      </c>
    </row>
    <row r="2563" spans="1:5">
      <c r="A2563" s="159">
        <f t="shared" si="32"/>
        <v>2562</v>
      </c>
      <c r="B2563" s="163">
        <v>45820</v>
      </c>
      <c r="C2563" s="164">
        <v>0.40204861111111106</v>
      </c>
      <c r="D2563" s="159">
        <v>10</v>
      </c>
      <c r="E2563" s="166" t="s">
        <v>2399</v>
      </c>
    </row>
    <row r="2564" spans="1:5">
      <c r="A2564" s="159">
        <f t="shared" si="32"/>
        <v>2563</v>
      </c>
      <c r="B2564" s="163">
        <v>45820</v>
      </c>
      <c r="C2564" s="164">
        <v>0.39662037037037035</v>
      </c>
      <c r="D2564" s="159">
        <v>10</v>
      </c>
      <c r="E2564" s="166" t="s">
        <v>2400</v>
      </c>
    </row>
    <row r="2565" spans="1:5">
      <c r="A2565" s="159">
        <f t="shared" si="32"/>
        <v>2564</v>
      </c>
      <c r="B2565" s="163">
        <v>45820</v>
      </c>
      <c r="C2565" s="164">
        <v>0.3911574074074074</v>
      </c>
      <c r="D2565" s="159">
        <v>10</v>
      </c>
      <c r="E2565" s="166" t="s">
        <v>2401</v>
      </c>
    </row>
    <row r="2566" spans="1:5">
      <c r="A2566" s="159">
        <f t="shared" si="32"/>
        <v>2565</v>
      </c>
      <c r="B2566" s="163">
        <v>45820</v>
      </c>
      <c r="C2566" s="164">
        <v>0.38442129629629629</v>
      </c>
      <c r="D2566" s="159">
        <v>10</v>
      </c>
      <c r="E2566" s="166" t="s">
        <v>1042</v>
      </c>
    </row>
    <row r="2567" spans="1:5">
      <c r="A2567" s="159">
        <f t="shared" si="32"/>
        <v>2566</v>
      </c>
      <c r="B2567" s="163">
        <v>45820</v>
      </c>
      <c r="C2567" s="164">
        <v>0.38104166666666667</v>
      </c>
      <c r="D2567" s="159">
        <v>10</v>
      </c>
      <c r="E2567" s="166" t="s">
        <v>448</v>
      </c>
    </row>
    <row r="2568" spans="1:5">
      <c r="A2568" s="159">
        <f t="shared" si="32"/>
        <v>2567</v>
      </c>
      <c r="B2568" s="163">
        <v>45821</v>
      </c>
      <c r="C2568" s="164">
        <v>0.82585648148148139</v>
      </c>
      <c r="D2568" s="159">
        <v>10</v>
      </c>
      <c r="E2568" s="166" t="s">
        <v>2416</v>
      </c>
    </row>
    <row r="2569" spans="1:5">
      <c r="A2569" s="159">
        <f t="shared" si="32"/>
        <v>2568</v>
      </c>
      <c r="B2569" s="163">
        <v>45821</v>
      </c>
      <c r="C2569" s="164">
        <v>0.82136574074074076</v>
      </c>
      <c r="D2569" s="159">
        <v>10</v>
      </c>
      <c r="E2569" s="166" t="s">
        <v>2417</v>
      </c>
    </row>
    <row r="2570" spans="1:5">
      <c r="A2570" s="159">
        <f t="shared" si="32"/>
        <v>2569</v>
      </c>
      <c r="B2570" s="163">
        <v>45821</v>
      </c>
      <c r="C2570" s="164">
        <v>0.81278935185185175</v>
      </c>
      <c r="D2570" s="159">
        <v>9</v>
      </c>
      <c r="E2570" s="166" t="s">
        <v>132</v>
      </c>
    </row>
    <row r="2571" spans="1:5">
      <c r="A2571" s="159">
        <f t="shared" si="32"/>
        <v>2570</v>
      </c>
      <c r="B2571" s="163">
        <v>45821</v>
      </c>
      <c r="C2571" s="164">
        <v>0.78372685185185187</v>
      </c>
      <c r="D2571" s="159">
        <v>10</v>
      </c>
      <c r="E2571" s="166" t="s">
        <v>2418</v>
      </c>
    </row>
    <row r="2572" spans="1:5">
      <c r="A2572" s="159">
        <f t="shared" si="32"/>
        <v>2571</v>
      </c>
      <c r="B2572" s="163">
        <v>45821</v>
      </c>
      <c r="C2572" s="164">
        <v>0.74524305555555559</v>
      </c>
      <c r="D2572" s="159">
        <v>10</v>
      </c>
      <c r="E2572" s="166" t="s">
        <v>2419</v>
      </c>
    </row>
    <row r="2573" spans="1:5">
      <c r="A2573" s="159">
        <f t="shared" si="32"/>
        <v>2572</v>
      </c>
      <c r="B2573" s="163">
        <v>45821</v>
      </c>
      <c r="C2573" s="164">
        <v>0.73996527777777776</v>
      </c>
      <c r="D2573" s="159">
        <v>10</v>
      </c>
      <c r="E2573" s="166" t="s">
        <v>2420</v>
      </c>
    </row>
    <row r="2574" spans="1:5">
      <c r="A2574" s="159">
        <f t="shared" si="32"/>
        <v>2573</v>
      </c>
      <c r="B2574" s="163">
        <v>45821</v>
      </c>
      <c r="C2574" s="164">
        <v>0.71724537037037039</v>
      </c>
      <c r="D2574" s="159">
        <v>10</v>
      </c>
      <c r="E2574" s="166" t="s">
        <v>2421</v>
      </c>
    </row>
    <row r="2575" spans="1:5">
      <c r="A2575" s="159">
        <f t="shared" si="32"/>
        <v>2574</v>
      </c>
      <c r="B2575" s="163">
        <v>45821</v>
      </c>
      <c r="C2575" s="164">
        <v>0.71697916666666661</v>
      </c>
      <c r="D2575" s="159">
        <v>10</v>
      </c>
      <c r="E2575" s="166" t="s">
        <v>2422</v>
      </c>
    </row>
    <row r="2576" spans="1:5">
      <c r="A2576" s="159">
        <f t="shared" si="32"/>
        <v>2575</v>
      </c>
      <c r="B2576" s="163">
        <v>45821</v>
      </c>
      <c r="C2576" s="164">
        <v>0.71535879629629628</v>
      </c>
      <c r="D2576" s="159">
        <v>10</v>
      </c>
      <c r="E2576" s="166" t="s">
        <v>2423</v>
      </c>
    </row>
    <row r="2577" spans="1:5">
      <c r="A2577" s="159">
        <f t="shared" si="32"/>
        <v>2576</v>
      </c>
      <c r="B2577" s="163">
        <v>45821</v>
      </c>
      <c r="C2577" s="164">
        <v>0.71378472222222211</v>
      </c>
      <c r="D2577" s="159">
        <v>10</v>
      </c>
      <c r="E2577" s="166" t="s">
        <v>2424</v>
      </c>
    </row>
    <row r="2578" spans="1:5">
      <c r="A2578" s="159">
        <f t="shared" si="32"/>
        <v>2577</v>
      </c>
      <c r="B2578" s="163">
        <v>45821</v>
      </c>
      <c r="C2578" s="164">
        <v>0.71159722222222221</v>
      </c>
      <c r="D2578" s="159">
        <v>10</v>
      </c>
      <c r="E2578" s="166" t="s">
        <v>2425</v>
      </c>
    </row>
    <row r="2579" spans="1:5">
      <c r="A2579" s="159">
        <f t="shared" si="32"/>
        <v>2578</v>
      </c>
      <c r="B2579" s="163">
        <v>45821</v>
      </c>
      <c r="C2579" s="164">
        <v>0.70190972222222225</v>
      </c>
      <c r="D2579" s="159">
        <v>10</v>
      </c>
      <c r="E2579" s="166" t="s">
        <v>2426</v>
      </c>
    </row>
    <row r="2580" spans="1:5">
      <c r="A2580" s="159">
        <f t="shared" si="32"/>
        <v>2579</v>
      </c>
      <c r="B2580" s="163">
        <v>45821</v>
      </c>
      <c r="C2580" s="164">
        <v>0.69813657407407403</v>
      </c>
      <c r="D2580" s="159">
        <v>10</v>
      </c>
      <c r="E2580" s="166" t="s">
        <v>132</v>
      </c>
    </row>
    <row r="2581" spans="1:5">
      <c r="A2581" s="159">
        <f t="shared" si="32"/>
        <v>2580</v>
      </c>
      <c r="B2581" s="163">
        <v>45821</v>
      </c>
      <c r="C2581" s="164">
        <v>0.68936342592592592</v>
      </c>
      <c r="D2581" s="159">
        <v>10</v>
      </c>
      <c r="E2581" s="166" t="s">
        <v>2427</v>
      </c>
    </row>
    <row r="2582" spans="1:5" ht="27">
      <c r="A2582" s="159">
        <f t="shared" si="32"/>
        <v>2581</v>
      </c>
      <c r="B2582" s="163">
        <v>45821</v>
      </c>
      <c r="C2582" s="164">
        <v>0.68386574074074069</v>
      </c>
      <c r="D2582" s="159">
        <v>10</v>
      </c>
      <c r="E2582" s="166" t="s">
        <v>2452</v>
      </c>
    </row>
    <row r="2583" spans="1:5">
      <c r="A2583" s="159">
        <f t="shared" si="32"/>
        <v>2582</v>
      </c>
      <c r="B2583" s="163">
        <v>45821</v>
      </c>
      <c r="C2583" s="164">
        <v>0.66489583333333335</v>
      </c>
      <c r="D2583" s="159">
        <v>10</v>
      </c>
      <c r="E2583" s="166" t="s">
        <v>2428</v>
      </c>
    </row>
    <row r="2584" spans="1:5">
      <c r="A2584" s="159">
        <f t="shared" si="32"/>
        <v>2583</v>
      </c>
      <c r="B2584" s="163">
        <v>45821</v>
      </c>
      <c r="C2584" s="164">
        <v>0.66282407407407407</v>
      </c>
      <c r="D2584" s="159">
        <v>10</v>
      </c>
      <c r="E2584" s="166" t="s">
        <v>2429</v>
      </c>
    </row>
    <row r="2585" spans="1:5">
      <c r="A2585" s="159">
        <f t="shared" si="32"/>
        <v>2584</v>
      </c>
      <c r="B2585" s="163">
        <v>45821</v>
      </c>
      <c r="C2585" s="164">
        <v>0.64787037037037043</v>
      </c>
      <c r="D2585" s="159">
        <v>10</v>
      </c>
      <c r="E2585" s="166" t="s">
        <v>288</v>
      </c>
    </row>
    <row r="2586" spans="1:5">
      <c r="A2586" s="159">
        <f t="shared" si="32"/>
        <v>2585</v>
      </c>
      <c r="B2586" s="163">
        <v>45821</v>
      </c>
      <c r="C2586" s="164">
        <v>0.64825231481481482</v>
      </c>
      <c r="D2586" s="159">
        <v>10</v>
      </c>
      <c r="E2586" s="166" t="s">
        <v>2430</v>
      </c>
    </row>
    <row r="2587" spans="1:5">
      <c r="A2587" s="159">
        <f t="shared" si="32"/>
        <v>2586</v>
      </c>
      <c r="B2587" s="163">
        <v>45821</v>
      </c>
      <c r="C2587" s="164">
        <v>0.64136574074074071</v>
      </c>
      <c r="D2587" s="159">
        <v>10</v>
      </c>
      <c r="E2587" s="166" t="s">
        <v>2431</v>
      </c>
    </row>
    <row r="2588" spans="1:5">
      <c r="A2588" s="159">
        <f t="shared" si="32"/>
        <v>2587</v>
      </c>
      <c r="B2588" s="163">
        <v>45821</v>
      </c>
      <c r="C2588" s="164">
        <v>0.6287962962962963</v>
      </c>
      <c r="D2588" s="159">
        <v>7</v>
      </c>
      <c r="E2588" s="166" t="s">
        <v>2432</v>
      </c>
    </row>
    <row r="2589" spans="1:5">
      <c r="A2589" s="159">
        <f t="shared" si="32"/>
        <v>2588</v>
      </c>
      <c r="B2589" s="163">
        <v>45821</v>
      </c>
      <c r="C2589" s="164">
        <v>0.62822916666666673</v>
      </c>
      <c r="D2589" s="159">
        <v>10</v>
      </c>
      <c r="E2589" s="166" t="s">
        <v>2433</v>
      </c>
    </row>
    <row r="2590" spans="1:5">
      <c r="A2590" s="159">
        <f t="shared" si="32"/>
        <v>2589</v>
      </c>
      <c r="B2590" s="163">
        <v>45821</v>
      </c>
      <c r="C2590" s="164">
        <v>0.61303240740740739</v>
      </c>
      <c r="D2590" s="159">
        <v>10</v>
      </c>
      <c r="E2590" s="166" t="s">
        <v>2434</v>
      </c>
    </row>
    <row r="2591" spans="1:5">
      <c r="A2591" s="159">
        <f t="shared" si="32"/>
        <v>2590</v>
      </c>
      <c r="B2591" s="163">
        <v>45821</v>
      </c>
      <c r="C2591" s="164">
        <v>0.5742708333333334</v>
      </c>
      <c r="D2591" s="159">
        <v>10</v>
      </c>
      <c r="E2591" s="166" t="s">
        <v>2435</v>
      </c>
    </row>
    <row r="2592" spans="1:5">
      <c r="A2592" s="159">
        <f t="shared" si="32"/>
        <v>2591</v>
      </c>
      <c r="B2592" s="163">
        <v>45821</v>
      </c>
      <c r="C2592" s="164">
        <v>0.5716782407407407</v>
      </c>
      <c r="D2592" s="159">
        <v>10</v>
      </c>
      <c r="E2592" s="166" t="s">
        <v>2436</v>
      </c>
    </row>
    <row r="2593" spans="1:5" ht="27">
      <c r="A2593" s="159">
        <f t="shared" si="32"/>
        <v>2592</v>
      </c>
      <c r="B2593" s="163">
        <v>45821</v>
      </c>
      <c r="C2593" s="164">
        <v>0.56504629629629632</v>
      </c>
      <c r="D2593" s="159">
        <v>10</v>
      </c>
      <c r="E2593" s="166" t="s">
        <v>2451</v>
      </c>
    </row>
    <row r="2594" spans="1:5">
      <c r="A2594" s="159">
        <f t="shared" si="32"/>
        <v>2593</v>
      </c>
      <c r="B2594" s="163">
        <v>45821</v>
      </c>
      <c r="C2594" s="164">
        <v>0.55221064814814813</v>
      </c>
      <c r="D2594" s="159">
        <v>10</v>
      </c>
      <c r="E2594" s="166" t="s">
        <v>2437</v>
      </c>
    </row>
    <row r="2595" spans="1:5">
      <c r="A2595" s="159">
        <f t="shared" si="32"/>
        <v>2594</v>
      </c>
      <c r="B2595" s="163">
        <v>45821</v>
      </c>
      <c r="C2595" s="164">
        <v>0.53298611111111105</v>
      </c>
      <c r="D2595" s="159">
        <v>10</v>
      </c>
      <c r="E2595" s="166" t="s">
        <v>2438</v>
      </c>
    </row>
    <row r="2596" spans="1:5">
      <c r="A2596" s="159">
        <f t="shared" si="32"/>
        <v>2595</v>
      </c>
      <c r="B2596" s="163">
        <v>45821</v>
      </c>
      <c r="C2596" s="164">
        <v>0.52113425925925927</v>
      </c>
      <c r="D2596" s="159">
        <v>10</v>
      </c>
      <c r="E2596" s="166" t="s">
        <v>2439</v>
      </c>
    </row>
    <row r="2597" spans="1:5">
      <c r="A2597" s="159">
        <f t="shared" si="32"/>
        <v>2596</v>
      </c>
      <c r="B2597" s="163">
        <v>45821</v>
      </c>
      <c r="C2597" s="164">
        <v>0.48724537037037036</v>
      </c>
      <c r="D2597" s="159">
        <v>10</v>
      </c>
      <c r="E2597" s="166" t="s">
        <v>2440</v>
      </c>
    </row>
    <row r="2598" spans="1:5">
      <c r="A2598" s="159">
        <f t="shared" si="32"/>
        <v>2597</v>
      </c>
      <c r="B2598" s="163">
        <v>45821</v>
      </c>
      <c r="C2598" s="164">
        <v>0.47197916666666667</v>
      </c>
      <c r="D2598" s="159">
        <v>10</v>
      </c>
      <c r="E2598" s="166" t="s">
        <v>132</v>
      </c>
    </row>
    <row r="2599" spans="1:5">
      <c r="A2599" s="159">
        <f t="shared" si="32"/>
        <v>2598</v>
      </c>
      <c r="B2599" s="163">
        <v>45821</v>
      </c>
      <c r="C2599" s="164">
        <v>0.46633101851851855</v>
      </c>
      <c r="D2599" s="159">
        <v>10</v>
      </c>
      <c r="E2599" s="166" t="s">
        <v>2441</v>
      </c>
    </row>
    <row r="2600" spans="1:5">
      <c r="A2600" s="159">
        <f t="shared" si="32"/>
        <v>2599</v>
      </c>
      <c r="B2600" s="163">
        <v>45821</v>
      </c>
      <c r="C2600" s="164">
        <v>0.45575231481481482</v>
      </c>
      <c r="D2600" s="159">
        <v>8</v>
      </c>
      <c r="E2600" s="166" t="s">
        <v>354</v>
      </c>
    </row>
    <row r="2601" spans="1:5">
      <c r="A2601" s="159">
        <f t="shared" si="32"/>
        <v>2600</v>
      </c>
      <c r="B2601" s="163">
        <v>45821</v>
      </c>
      <c r="C2601" s="164">
        <v>0.45423611111111112</v>
      </c>
      <c r="D2601" s="159">
        <v>10</v>
      </c>
      <c r="E2601" s="166" t="s">
        <v>2442</v>
      </c>
    </row>
    <row r="2602" spans="1:5">
      <c r="A2602" s="159">
        <f t="shared" si="32"/>
        <v>2601</v>
      </c>
      <c r="B2602" s="163">
        <v>45821</v>
      </c>
      <c r="C2602" s="164">
        <v>0.45178240740740744</v>
      </c>
      <c r="D2602" s="159">
        <v>10</v>
      </c>
      <c r="E2602" s="166" t="s">
        <v>1407</v>
      </c>
    </row>
    <row r="2603" spans="1:5">
      <c r="A2603" s="159">
        <f t="shared" si="32"/>
        <v>2602</v>
      </c>
      <c r="B2603" s="163">
        <v>45821</v>
      </c>
      <c r="C2603" s="164">
        <v>0.44732638888888893</v>
      </c>
      <c r="D2603" s="159">
        <v>10</v>
      </c>
      <c r="E2603" s="166" t="s">
        <v>2443</v>
      </c>
    </row>
    <row r="2604" spans="1:5">
      <c r="A2604" s="159">
        <f t="shared" si="32"/>
        <v>2603</v>
      </c>
      <c r="B2604" s="163">
        <v>45821</v>
      </c>
      <c r="C2604" s="164">
        <v>0.44179398148148147</v>
      </c>
      <c r="D2604" s="159">
        <v>10</v>
      </c>
      <c r="E2604" s="166" t="s">
        <v>2450</v>
      </c>
    </row>
    <row r="2605" spans="1:5">
      <c r="A2605" s="159">
        <f t="shared" si="32"/>
        <v>2604</v>
      </c>
      <c r="B2605" s="163">
        <v>45821</v>
      </c>
      <c r="C2605" s="164">
        <v>0.43152777777777779</v>
      </c>
      <c r="D2605" s="159">
        <v>10</v>
      </c>
      <c r="E2605" s="166" t="s">
        <v>2444</v>
      </c>
    </row>
    <row r="2606" spans="1:5">
      <c r="A2606" s="159">
        <f t="shared" si="32"/>
        <v>2605</v>
      </c>
      <c r="B2606" s="163">
        <v>45821</v>
      </c>
      <c r="C2606" s="164">
        <v>0.41989583333333336</v>
      </c>
      <c r="D2606" s="159">
        <v>10</v>
      </c>
      <c r="E2606" s="166" t="s">
        <v>2445</v>
      </c>
    </row>
    <row r="2607" spans="1:5">
      <c r="A2607" s="159">
        <f t="shared" si="32"/>
        <v>2606</v>
      </c>
      <c r="B2607" s="163">
        <v>45821</v>
      </c>
      <c r="C2607" s="164">
        <v>0.40642361111111108</v>
      </c>
      <c r="D2607" s="159">
        <v>10</v>
      </c>
      <c r="E2607" s="166" t="s">
        <v>1206</v>
      </c>
    </row>
    <row r="2608" spans="1:5">
      <c r="A2608" s="159">
        <f t="shared" si="32"/>
        <v>2607</v>
      </c>
      <c r="B2608" s="163">
        <v>45821</v>
      </c>
      <c r="C2608" s="164">
        <v>0.40599537037037042</v>
      </c>
      <c r="D2608" s="159">
        <v>10</v>
      </c>
      <c r="E2608" s="166" t="s">
        <v>2446</v>
      </c>
    </row>
    <row r="2609" spans="1:5">
      <c r="A2609" s="159">
        <f t="shared" si="32"/>
        <v>2608</v>
      </c>
      <c r="B2609" s="163">
        <v>45821</v>
      </c>
      <c r="C2609" s="164">
        <v>0.40085648148148145</v>
      </c>
      <c r="D2609" s="159">
        <v>8</v>
      </c>
      <c r="E2609" s="166" t="s">
        <v>2447</v>
      </c>
    </row>
    <row r="2610" spans="1:5">
      <c r="A2610" s="159">
        <f t="shared" si="32"/>
        <v>2609</v>
      </c>
      <c r="B2610" s="163">
        <v>45821</v>
      </c>
      <c r="C2610" s="164">
        <v>0.39076388888888891</v>
      </c>
      <c r="D2610" s="159">
        <v>10</v>
      </c>
      <c r="E2610" s="166" t="s">
        <v>2448</v>
      </c>
    </row>
    <row r="2611" spans="1:5">
      <c r="A2611" s="159">
        <f t="shared" si="32"/>
        <v>2610</v>
      </c>
      <c r="B2611" s="163">
        <v>45821</v>
      </c>
      <c r="C2611" s="164">
        <v>0.38296296296296295</v>
      </c>
      <c r="D2611" s="159">
        <v>10</v>
      </c>
      <c r="E2611" s="166" t="s">
        <v>2449</v>
      </c>
    </row>
    <row r="2612" spans="1:5">
      <c r="A2612" s="159">
        <f t="shared" si="32"/>
        <v>2611</v>
      </c>
      <c r="B2612" s="163">
        <v>45822</v>
      </c>
      <c r="C2612" s="164">
        <v>0.7335532407407408</v>
      </c>
      <c r="D2612" s="159">
        <v>10</v>
      </c>
      <c r="E2612" s="166" t="s">
        <v>2405</v>
      </c>
    </row>
    <row r="2613" spans="1:5">
      <c r="A2613" s="159">
        <f t="shared" ref="A2613:A2676" si="33">ROW()-1</f>
        <v>2612</v>
      </c>
      <c r="B2613" s="163">
        <v>45822</v>
      </c>
      <c r="C2613" s="164">
        <v>0.72332175925925923</v>
      </c>
      <c r="D2613" s="159">
        <v>10</v>
      </c>
      <c r="E2613" s="166" t="s">
        <v>433</v>
      </c>
    </row>
    <row r="2614" spans="1:5">
      <c r="A2614" s="159">
        <f t="shared" si="33"/>
        <v>2613</v>
      </c>
      <c r="B2614" s="163">
        <v>45822</v>
      </c>
      <c r="C2614" s="164">
        <v>0.67194444444444434</v>
      </c>
      <c r="D2614" s="159">
        <v>10</v>
      </c>
      <c r="E2614" s="166" t="s">
        <v>2406</v>
      </c>
    </row>
    <row r="2615" spans="1:5">
      <c r="A2615" s="159">
        <f t="shared" si="33"/>
        <v>2614</v>
      </c>
      <c r="B2615" s="163">
        <v>45822</v>
      </c>
      <c r="C2615" s="164">
        <v>0.56034722222222222</v>
      </c>
      <c r="D2615" s="159">
        <v>10</v>
      </c>
      <c r="E2615" s="166" t="s">
        <v>2407</v>
      </c>
    </row>
    <row r="2616" spans="1:5">
      <c r="A2616" s="159">
        <f t="shared" si="33"/>
        <v>2615</v>
      </c>
      <c r="B2616" s="163">
        <v>45822</v>
      </c>
      <c r="C2616" s="164">
        <v>0.52513888888888893</v>
      </c>
      <c r="D2616" s="159">
        <v>10</v>
      </c>
      <c r="E2616" s="166" t="s">
        <v>2408</v>
      </c>
    </row>
    <row r="2617" spans="1:5">
      <c r="A2617" s="159">
        <f t="shared" si="33"/>
        <v>2616</v>
      </c>
      <c r="B2617" s="163">
        <v>45822</v>
      </c>
      <c r="C2617" s="164">
        <v>0.52193287037037039</v>
      </c>
      <c r="D2617" s="159">
        <v>10</v>
      </c>
      <c r="E2617" s="166" t="s">
        <v>448</v>
      </c>
    </row>
    <row r="2618" spans="1:5" ht="27">
      <c r="A2618" s="159">
        <f t="shared" si="33"/>
        <v>2617</v>
      </c>
      <c r="B2618" s="163">
        <v>45822</v>
      </c>
      <c r="C2618" s="164">
        <v>0.51203703703703707</v>
      </c>
      <c r="D2618" s="159">
        <v>10</v>
      </c>
      <c r="E2618" s="166" t="s">
        <v>2409</v>
      </c>
    </row>
    <row r="2619" spans="1:5">
      <c r="A2619" s="159">
        <f t="shared" si="33"/>
        <v>2618</v>
      </c>
      <c r="B2619" s="163">
        <v>45822</v>
      </c>
      <c r="C2619" s="164">
        <v>0.49694444444444441</v>
      </c>
      <c r="D2619" s="159">
        <v>10</v>
      </c>
      <c r="E2619" s="166" t="s">
        <v>2410</v>
      </c>
    </row>
    <row r="2620" spans="1:5">
      <c r="A2620" s="159">
        <f t="shared" si="33"/>
        <v>2619</v>
      </c>
      <c r="B2620" s="163">
        <v>45822</v>
      </c>
      <c r="C2620" s="164">
        <v>0.49601851851851847</v>
      </c>
      <c r="D2620" s="159">
        <v>10</v>
      </c>
      <c r="E2620" s="166" t="s">
        <v>2411</v>
      </c>
    </row>
    <row r="2621" spans="1:5">
      <c r="A2621" s="159">
        <f t="shared" si="33"/>
        <v>2620</v>
      </c>
      <c r="B2621" s="163">
        <v>45822</v>
      </c>
      <c r="C2621" s="164">
        <v>0.43755787037037036</v>
      </c>
      <c r="D2621" s="159">
        <v>10</v>
      </c>
      <c r="E2621" s="166" t="s">
        <v>2412</v>
      </c>
    </row>
    <row r="2622" spans="1:5" ht="27">
      <c r="A2622" s="159">
        <f t="shared" si="33"/>
        <v>2621</v>
      </c>
      <c r="B2622" s="163">
        <v>45822</v>
      </c>
      <c r="C2622" s="164">
        <v>0.43034722222222221</v>
      </c>
      <c r="D2622" s="159">
        <v>10</v>
      </c>
      <c r="E2622" s="166" t="s">
        <v>2413</v>
      </c>
    </row>
    <row r="2623" spans="1:5">
      <c r="A2623" s="159">
        <f t="shared" si="33"/>
        <v>2622</v>
      </c>
      <c r="B2623" s="163">
        <v>45822</v>
      </c>
      <c r="C2623" s="164">
        <v>0.42564814814814816</v>
      </c>
      <c r="D2623" s="159">
        <v>10</v>
      </c>
      <c r="E2623" s="166" t="s">
        <v>2414</v>
      </c>
    </row>
    <row r="2624" spans="1:5">
      <c r="A2624" s="159">
        <f t="shared" si="33"/>
        <v>2623</v>
      </c>
      <c r="B2624" s="163">
        <v>45822</v>
      </c>
      <c r="C2624" s="164">
        <v>0.42</v>
      </c>
      <c r="D2624" s="159">
        <v>10</v>
      </c>
      <c r="E2624" s="166" t="s">
        <v>2415</v>
      </c>
    </row>
    <row r="2625" spans="1:5">
      <c r="A2625" s="159">
        <f t="shared" si="33"/>
        <v>2624</v>
      </c>
      <c r="B2625" s="163">
        <v>45824</v>
      </c>
      <c r="C2625" s="164">
        <v>0.89719907407407407</v>
      </c>
      <c r="D2625" s="159">
        <v>10</v>
      </c>
      <c r="E2625" s="166" t="s">
        <v>2453</v>
      </c>
    </row>
    <row r="2626" spans="1:5" ht="27">
      <c r="A2626" s="159">
        <f t="shared" si="33"/>
        <v>2625</v>
      </c>
      <c r="B2626" s="163">
        <v>45824</v>
      </c>
      <c r="C2626" s="164">
        <v>0.87459490740740742</v>
      </c>
      <c r="D2626" s="159">
        <v>10</v>
      </c>
      <c r="E2626" s="166" t="s">
        <v>2454</v>
      </c>
    </row>
    <row r="2627" spans="1:5">
      <c r="A2627" s="159">
        <f t="shared" si="33"/>
        <v>2626</v>
      </c>
      <c r="B2627" s="163">
        <v>45824</v>
      </c>
      <c r="C2627" s="164">
        <v>0.85153935185185192</v>
      </c>
      <c r="D2627" s="159">
        <v>10</v>
      </c>
      <c r="E2627" s="166" t="s">
        <v>2455</v>
      </c>
    </row>
    <row r="2628" spans="1:5">
      <c r="A2628" s="159">
        <f t="shared" si="33"/>
        <v>2627</v>
      </c>
      <c r="B2628" s="163">
        <v>45824</v>
      </c>
      <c r="C2628" s="164">
        <v>0.82598379629629637</v>
      </c>
      <c r="D2628" s="159">
        <v>10</v>
      </c>
      <c r="E2628" s="166" t="s">
        <v>2456</v>
      </c>
    </row>
    <row r="2629" spans="1:5">
      <c r="A2629" s="159">
        <f t="shared" si="33"/>
        <v>2628</v>
      </c>
      <c r="B2629" s="163">
        <v>45824</v>
      </c>
      <c r="C2629" s="164">
        <v>0.79181712962962969</v>
      </c>
      <c r="D2629" s="159">
        <v>10</v>
      </c>
      <c r="E2629" s="166" t="s">
        <v>2457</v>
      </c>
    </row>
    <row r="2630" spans="1:5">
      <c r="A2630" s="159">
        <f t="shared" si="33"/>
        <v>2629</v>
      </c>
      <c r="B2630" s="163">
        <v>45824</v>
      </c>
      <c r="C2630" s="164">
        <v>0.77971064814814817</v>
      </c>
      <c r="D2630" s="159">
        <v>10</v>
      </c>
      <c r="E2630" s="166" t="s">
        <v>2458</v>
      </c>
    </row>
    <row r="2631" spans="1:5">
      <c r="A2631" s="159">
        <f t="shared" si="33"/>
        <v>2630</v>
      </c>
      <c r="B2631" s="163">
        <v>45824</v>
      </c>
      <c r="C2631" s="164">
        <v>0.7709259259259259</v>
      </c>
      <c r="D2631" s="159">
        <v>10</v>
      </c>
      <c r="E2631" s="166" t="s">
        <v>2459</v>
      </c>
    </row>
    <row r="2632" spans="1:5">
      <c r="A2632" s="159">
        <f t="shared" si="33"/>
        <v>2631</v>
      </c>
      <c r="B2632" s="163">
        <v>45824</v>
      </c>
      <c r="C2632" s="164">
        <v>0.74874999999999992</v>
      </c>
      <c r="D2632" s="159">
        <v>10</v>
      </c>
      <c r="E2632" s="166" t="s">
        <v>2460</v>
      </c>
    </row>
    <row r="2633" spans="1:5">
      <c r="A2633" s="159">
        <f t="shared" si="33"/>
        <v>2632</v>
      </c>
      <c r="B2633" s="163">
        <v>45824</v>
      </c>
      <c r="C2633" s="164">
        <v>0.73986111111111119</v>
      </c>
      <c r="D2633" s="159">
        <v>10</v>
      </c>
      <c r="E2633" s="166" t="s">
        <v>2461</v>
      </c>
    </row>
    <row r="2634" spans="1:5">
      <c r="A2634" s="159">
        <f t="shared" si="33"/>
        <v>2633</v>
      </c>
      <c r="B2634" s="163">
        <v>45824</v>
      </c>
      <c r="C2634" s="164">
        <v>0.73540509259259268</v>
      </c>
      <c r="D2634" s="159">
        <v>10</v>
      </c>
      <c r="E2634" s="166" t="s">
        <v>2462</v>
      </c>
    </row>
    <row r="2635" spans="1:5">
      <c r="A2635" s="159">
        <f t="shared" si="33"/>
        <v>2634</v>
      </c>
      <c r="B2635" s="163">
        <v>45824</v>
      </c>
      <c r="C2635" s="164">
        <v>0.73326388888888883</v>
      </c>
      <c r="D2635" s="159">
        <v>10</v>
      </c>
      <c r="E2635" s="166" t="s">
        <v>2463</v>
      </c>
    </row>
    <row r="2636" spans="1:5">
      <c r="A2636" s="159">
        <f t="shared" si="33"/>
        <v>2635</v>
      </c>
      <c r="B2636" s="163">
        <v>45824</v>
      </c>
      <c r="C2636" s="164">
        <v>0.72667824074074072</v>
      </c>
      <c r="D2636" s="159">
        <v>10</v>
      </c>
      <c r="E2636" s="166" t="s">
        <v>2464</v>
      </c>
    </row>
    <row r="2637" spans="1:5">
      <c r="A2637" s="159">
        <f t="shared" si="33"/>
        <v>2636</v>
      </c>
      <c r="B2637" s="163">
        <v>45824</v>
      </c>
      <c r="C2637" s="164">
        <v>0.72440972222222222</v>
      </c>
      <c r="D2637" s="159">
        <v>10</v>
      </c>
      <c r="E2637" s="166" t="s">
        <v>2465</v>
      </c>
    </row>
    <row r="2638" spans="1:5">
      <c r="A2638" s="159">
        <f t="shared" si="33"/>
        <v>2637</v>
      </c>
      <c r="B2638" s="163">
        <v>45824</v>
      </c>
      <c r="C2638" s="164">
        <v>0.71148148148148149</v>
      </c>
      <c r="D2638" s="159">
        <v>10</v>
      </c>
      <c r="E2638" s="166" t="s">
        <v>132</v>
      </c>
    </row>
    <row r="2639" spans="1:5">
      <c r="A2639" s="159">
        <f t="shared" si="33"/>
        <v>2638</v>
      </c>
      <c r="B2639" s="163">
        <v>45824</v>
      </c>
      <c r="C2639" s="164">
        <v>0.71121527777777782</v>
      </c>
      <c r="D2639" s="159">
        <v>10</v>
      </c>
      <c r="E2639" s="166" t="s">
        <v>2466</v>
      </c>
    </row>
    <row r="2640" spans="1:5">
      <c r="A2640" s="159">
        <f t="shared" si="33"/>
        <v>2639</v>
      </c>
      <c r="B2640" s="163">
        <v>45824</v>
      </c>
      <c r="C2640" s="164">
        <v>0.70445601851851858</v>
      </c>
      <c r="D2640" s="159">
        <v>10</v>
      </c>
      <c r="E2640" s="166" t="s">
        <v>2467</v>
      </c>
    </row>
    <row r="2641" spans="1:5">
      <c r="A2641" s="159">
        <f t="shared" si="33"/>
        <v>2640</v>
      </c>
      <c r="B2641" s="163">
        <v>45824</v>
      </c>
      <c r="C2641" s="164">
        <v>0.70053240740740741</v>
      </c>
      <c r="D2641" s="159">
        <v>10</v>
      </c>
      <c r="E2641" s="166" t="s">
        <v>2468</v>
      </c>
    </row>
    <row r="2642" spans="1:5">
      <c r="A2642" s="159">
        <f t="shared" si="33"/>
        <v>2641</v>
      </c>
      <c r="B2642" s="163">
        <v>45824</v>
      </c>
      <c r="C2642" s="164">
        <v>0.69478009259259255</v>
      </c>
      <c r="D2642" s="159">
        <v>10</v>
      </c>
      <c r="E2642" s="166" t="s">
        <v>2469</v>
      </c>
    </row>
    <row r="2643" spans="1:5">
      <c r="A2643" s="159">
        <f t="shared" si="33"/>
        <v>2642</v>
      </c>
      <c r="B2643" s="163">
        <v>45824</v>
      </c>
      <c r="C2643" s="164">
        <v>0.69207175925925923</v>
      </c>
      <c r="D2643" s="159">
        <v>10</v>
      </c>
      <c r="E2643" s="166" t="s">
        <v>2470</v>
      </c>
    </row>
    <row r="2644" spans="1:5">
      <c r="A2644" s="159">
        <f t="shared" si="33"/>
        <v>2643</v>
      </c>
      <c r="B2644" s="163">
        <v>45824</v>
      </c>
      <c r="C2644" s="164">
        <v>0.69149305555555562</v>
      </c>
      <c r="D2644" s="159">
        <v>10</v>
      </c>
      <c r="E2644" s="166" t="s">
        <v>2471</v>
      </c>
    </row>
    <row r="2645" spans="1:5">
      <c r="A2645" s="159">
        <f t="shared" si="33"/>
        <v>2644</v>
      </c>
      <c r="B2645" s="163">
        <v>45824</v>
      </c>
      <c r="C2645" s="164">
        <v>0.69120370370370365</v>
      </c>
      <c r="D2645" s="159">
        <v>10</v>
      </c>
      <c r="E2645" s="166" t="s">
        <v>2472</v>
      </c>
    </row>
    <row r="2646" spans="1:5">
      <c r="A2646" s="159">
        <f t="shared" si="33"/>
        <v>2645</v>
      </c>
      <c r="B2646" s="163">
        <v>45824</v>
      </c>
      <c r="C2646" s="164">
        <v>0.67708333333333337</v>
      </c>
      <c r="D2646" s="159">
        <v>10</v>
      </c>
      <c r="E2646" s="166" t="s">
        <v>2473</v>
      </c>
    </row>
    <row r="2647" spans="1:5" ht="27">
      <c r="A2647" s="159">
        <f t="shared" si="33"/>
        <v>2646</v>
      </c>
      <c r="B2647" s="163">
        <v>45824</v>
      </c>
      <c r="C2647" s="164">
        <v>0.67172453703703694</v>
      </c>
      <c r="D2647" s="159">
        <v>10</v>
      </c>
      <c r="E2647" s="166" t="s">
        <v>2474</v>
      </c>
    </row>
    <row r="2648" spans="1:5">
      <c r="A2648" s="159">
        <f t="shared" si="33"/>
        <v>2647</v>
      </c>
      <c r="B2648" s="163">
        <v>45824</v>
      </c>
      <c r="C2648" s="164">
        <v>0.66930555555555549</v>
      </c>
      <c r="D2648" s="159">
        <v>10</v>
      </c>
      <c r="E2648" s="166" t="s">
        <v>2475</v>
      </c>
    </row>
    <row r="2649" spans="1:5">
      <c r="A2649" s="159">
        <f t="shared" si="33"/>
        <v>2648</v>
      </c>
      <c r="B2649" s="163">
        <v>45824</v>
      </c>
      <c r="C2649" s="164">
        <v>0.66449074074074077</v>
      </c>
      <c r="D2649" s="159">
        <v>10</v>
      </c>
      <c r="E2649" s="166" t="s">
        <v>313</v>
      </c>
    </row>
    <row r="2650" spans="1:5" ht="27">
      <c r="A2650" s="159">
        <f t="shared" si="33"/>
        <v>2649</v>
      </c>
      <c r="B2650" s="163">
        <v>45824</v>
      </c>
      <c r="C2650" s="164">
        <v>0.66388888888888886</v>
      </c>
      <c r="D2650" s="159">
        <v>10</v>
      </c>
      <c r="E2650" s="166" t="s">
        <v>2476</v>
      </c>
    </row>
    <row r="2651" spans="1:5">
      <c r="A2651" s="159">
        <f t="shared" si="33"/>
        <v>2650</v>
      </c>
      <c r="B2651" s="163">
        <v>45824</v>
      </c>
      <c r="C2651" s="164">
        <v>0.66125</v>
      </c>
      <c r="D2651" s="159">
        <v>10</v>
      </c>
      <c r="E2651" s="166" t="s">
        <v>2477</v>
      </c>
    </row>
    <row r="2652" spans="1:5">
      <c r="A2652" s="159">
        <f t="shared" si="33"/>
        <v>2651</v>
      </c>
      <c r="B2652" s="163">
        <v>45824</v>
      </c>
      <c r="C2652" s="164">
        <v>0.6471527777777778</v>
      </c>
      <c r="D2652" s="159">
        <v>10</v>
      </c>
      <c r="E2652" s="166" t="s">
        <v>2478</v>
      </c>
    </row>
    <row r="2653" spans="1:5">
      <c r="A2653" s="159">
        <f t="shared" si="33"/>
        <v>2652</v>
      </c>
      <c r="B2653" s="163">
        <v>45824</v>
      </c>
      <c r="C2653" s="164">
        <v>0.64530092592592592</v>
      </c>
      <c r="D2653" s="159">
        <v>10</v>
      </c>
      <c r="E2653" s="166" t="s">
        <v>313</v>
      </c>
    </row>
    <row r="2654" spans="1:5" ht="40.5">
      <c r="A2654" s="159">
        <f t="shared" si="33"/>
        <v>2653</v>
      </c>
      <c r="B2654" s="163">
        <v>45824</v>
      </c>
      <c r="C2654" s="164">
        <v>0.63527777777777772</v>
      </c>
      <c r="D2654" s="159">
        <v>10</v>
      </c>
      <c r="E2654" s="166" t="s">
        <v>2479</v>
      </c>
    </row>
    <row r="2655" spans="1:5">
      <c r="A2655" s="159">
        <f t="shared" si="33"/>
        <v>2654</v>
      </c>
      <c r="B2655" s="163">
        <v>45824</v>
      </c>
      <c r="C2655" s="164">
        <v>0.63422453703703707</v>
      </c>
      <c r="D2655" s="159">
        <v>10</v>
      </c>
      <c r="E2655" s="166" t="s">
        <v>2480</v>
      </c>
    </row>
    <row r="2656" spans="1:5">
      <c r="A2656" s="159">
        <f t="shared" si="33"/>
        <v>2655</v>
      </c>
      <c r="B2656" s="163">
        <v>45824</v>
      </c>
      <c r="C2656" s="164">
        <v>0.62723379629629628</v>
      </c>
      <c r="D2656" s="159">
        <v>10</v>
      </c>
      <c r="E2656" s="166" t="s">
        <v>2481</v>
      </c>
    </row>
    <row r="2657" spans="1:5">
      <c r="A2657" s="159">
        <f t="shared" si="33"/>
        <v>2656</v>
      </c>
      <c r="B2657" s="163">
        <v>45824</v>
      </c>
      <c r="C2657" s="164">
        <v>0.61820601851851853</v>
      </c>
      <c r="D2657" s="159">
        <v>10</v>
      </c>
      <c r="E2657" s="166" t="s">
        <v>2482</v>
      </c>
    </row>
    <row r="2658" spans="1:5">
      <c r="A2658" s="159">
        <f t="shared" si="33"/>
        <v>2657</v>
      </c>
      <c r="B2658" s="163">
        <v>45824</v>
      </c>
      <c r="C2658" s="164">
        <v>0.61523148148148155</v>
      </c>
      <c r="D2658" s="159">
        <v>10</v>
      </c>
      <c r="E2658" s="166" t="s">
        <v>2483</v>
      </c>
    </row>
    <row r="2659" spans="1:5">
      <c r="A2659" s="159">
        <f t="shared" si="33"/>
        <v>2658</v>
      </c>
      <c r="B2659" s="163">
        <v>45824</v>
      </c>
      <c r="C2659" s="164">
        <v>0.61327546296296298</v>
      </c>
      <c r="D2659" s="159">
        <v>10</v>
      </c>
      <c r="E2659" s="166" t="s">
        <v>2484</v>
      </c>
    </row>
    <row r="2660" spans="1:5" ht="40.5">
      <c r="A2660" s="159">
        <f t="shared" si="33"/>
        <v>2659</v>
      </c>
      <c r="B2660" s="163">
        <v>45824</v>
      </c>
      <c r="C2660" s="164">
        <v>0.60986111111111108</v>
      </c>
      <c r="D2660" s="159">
        <v>10</v>
      </c>
      <c r="E2660" s="166" t="s">
        <v>2505</v>
      </c>
    </row>
    <row r="2661" spans="1:5">
      <c r="A2661" s="159">
        <f t="shared" si="33"/>
        <v>2660</v>
      </c>
      <c r="B2661" s="163">
        <v>45824</v>
      </c>
      <c r="C2661" s="164">
        <v>0.60265046296296299</v>
      </c>
      <c r="D2661" s="159">
        <v>10</v>
      </c>
      <c r="E2661" s="166" t="s">
        <v>2485</v>
      </c>
    </row>
    <row r="2662" spans="1:5">
      <c r="A2662" s="159">
        <f t="shared" si="33"/>
        <v>2661</v>
      </c>
      <c r="B2662" s="163">
        <v>45824</v>
      </c>
      <c r="C2662" s="164">
        <v>0.59015046296296292</v>
      </c>
      <c r="D2662" s="159">
        <v>10</v>
      </c>
      <c r="E2662" s="166" t="s">
        <v>2486</v>
      </c>
    </row>
    <row r="2663" spans="1:5">
      <c r="A2663" s="159">
        <f t="shared" si="33"/>
        <v>2662</v>
      </c>
      <c r="B2663" s="163">
        <v>45824</v>
      </c>
      <c r="C2663" s="164">
        <v>0.57221064814814815</v>
      </c>
      <c r="D2663" s="159">
        <v>10</v>
      </c>
      <c r="E2663" s="166" t="s">
        <v>2487</v>
      </c>
    </row>
    <row r="2664" spans="1:5">
      <c r="A2664" s="159">
        <f t="shared" si="33"/>
        <v>2663</v>
      </c>
      <c r="B2664" s="163">
        <v>45824</v>
      </c>
      <c r="C2664" s="164">
        <v>0.52672453703703703</v>
      </c>
      <c r="D2664" s="159">
        <v>10</v>
      </c>
      <c r="E2664" s="166" t="s">
        <v>2488</v>
      </c>
    </row>
    <row r="2665" spans="1:5">
      <c r="A2665" s="159">
        <f t="shared" si="33"/>
        <v>2664</v>
      </c>
      <c r="B2665" s="163">
        <v>45824</v>
      </c>
      <c r="C2665" s="164">
        <v>0.51383101851851853</v>
      </c>
      <c r="D2665" s="159">
        <v>10</v>
      </c>
      <c r="E2665" s="166" t="s">
        <v>2489</v>
      </c>
    </row>
    <row r="2666" spans="1:5">
      <c r="A2666" s="159">
        <f t="shared" si="33"/>
        <v>2665</v>
      </c>
      <c r="B2666" s="163">
        <v>45824</v>
      </c>
      <c r="C2666" s="164">
        <v>0.5040972222222222</v>
      </c>
      <c r="D2666" s="159">
        <v>10</v>
      </c>
      <c r="E2666" s="166" t="s">
        <v>2490</v>
      </c>
    </row>
    <row r="2667" spans="1:5" ht="27">
      <c r="A2667" s="159">
        <f t="shared" si="33"/>
        <v>2666</v>
      </c>
      <c r="B2667" s="163">
        <v>45824</v>
      </c>
      <c r="C2667" s="164">
        <v>0.50375000000000003</v>
      </c>
      <c r="D2667" s="159">
        <v>10</v>
      </c>
      <c r="E2667" s="166" t="s">
        <v>2504</v>
      </c>
    </row>
    <row r="2668" spans="1:5">
      <c r="A2668" s="159">
        <f t="shared" si="33"/>
        <v>2667</v>
      </c>
      <c r="B2668" s="163">
        <v>45824</v>
      </c>
      <c r="C2668" s="164">
        <v>0.49399305555555556</v>
      </c>
      <c r="D2668" s="159">
        <v>10</v>
      </c>
      <c r="E2668" s="166" t="s">
        <v>2491</v>
      </c>
    </row>
    <row r="2669" spans="1:5">
      <c r="A2669" s="159">
        <f t="shared" si="33"/>
        <v>2668</v>
      </c>
      <c r="B2669" s="163">
        <v>45824</v>
      </c>
      <c r="C2669" s="164">
        <v>0.4755092592592593</v>
      </c>
      <c r="D2669" s="159">
        <v>10</v>
      </c>
      <c r="E2669" s="166" t="s">
        <v>246</v>
      </c>
    </row>
    <row r="2670" spans="1:5">
      <c r="A2670" s="159">
        <f t="shared" si="33"/>
        <v>2669</v>
      </c>
      <c r="B2670" s="163">
        <v>45824</v>
      </c>
      <c r="C2670" s="164">
        <v>0.47082175925925923</v>
      </c>
      <c r="D2670" s="159">
        <v>10</v>
      </c>
      <c r="E2670" s="166" t="s">
        <v>2492</v>
      </c>
    </row>
    <row r="2671" spans="1:5" ht="27">
      <c r="A2671" s="159">
        <f t="shared" si="33"/>
        <v>2670</v>
      </c>
      <c r="B2671" s="163">
        <v>45824</v>
      </c>
      <c r="C2671" s="164">
        <v>0.47010416666666671</v>
      </c>
      <c r="D2671" s="159">
        <v>10</v>
      </c>
      <c r="E2671" s="166" t="s">
        <v>2493</v>
      </c>
    </row>
    <row r="2672" spans="1:5">
      <c r="A2672" s="159">
        <f t="shared" si="33"/>
        <v>2671</v>
      </c>
      <c r="B2672" s="163">
        <v>45824</v>
      </c>
      <c r="C2672" s="164">
        <v>0.45306712962962964</v>
      </c>
      <c r="D2672" s="159">
        <v>10</v>
      </c>
      <c r="E2672" s="166" t="s">
        <v>2494</v>
      </c>
    </row>
    <row r="2673" spans="1:5">
      <c r="A2673" s="159">
        <f t="shared" si="33"/>
        <v>2672</v>
      </c>
      <c r="B2673" s="163">
        <v>45824</v>
      </c>
      <c r="C2673" s="164">
        <v>0.43902777777777779</v>
      </c>
      <c r="D2673" s="159">
        <v>10</v>
      </c>
      <c r="E2673" s="166" t="s">
        <v>2424</v>
      </c>
    </row>
    <row r="2674" spans="1:5">
      <c r="A2674" s="159">
        <f t="shared" si="33"/>
        <v>2673</v>
      </c>
      <c r="B2674" s="163">
        <v>45824</v>
      </c>
      <c r="C2674" s="164">
        <v>0.43559027777777781</v>
      </c>
      <c r="D2674" s="159">
        <v>10</v>
      </c>
      <c r="E2674" s="166" t="s">
        <v>2495</v>
      </c>
    </row>
    <row r="2675" spans="1:5">
      <c r="A2675" s="159">
        <f t="shared" si="33"/>
        <v>2674</v>
      </c>
      <c r="B2675" s="163">
        <v>45824</v>
      </c>
      <c r="C2675" s="164">
        <v>0.41208333333333336</v>
      </c>
      <c r="D2675" s="159">
        <v>10</v>
      </c>
      <c r="E2675" s="166" t="s">
        <v>2496</v>
      </c>
    </row>
    <row r="2676" spans="1:5">
      <c r="A2676" s="159">
        <f t="shared" si="33"/>
        <v>2675</v>
      </c>
      <c r="B2676" s="163">
        <v>45824</v>
      </c>
      <c r="C2676" s="164">
        <v>0.4025347222222222</v>
      </c>
      <c r="D2676" s="159">
        <v>10</v>
      </c>
      <c r="E2676" s="166" t="s">
        <v>2497</v>
      </c>
    </row>
    <row r="2677" spans="1:5" ht="27">
      <c r="A2677" s="159">
        <f t="shared" ref="A2677:A2740" si="34">ROW()-1</f>
        <v>2676</v>
      </c>
      <c r="B2677" s="163">
        <v>45824</v>
      </c>
      <c r="C2677" s="164">
        <v>0.40064814814814814</v>
      </c>
      <c r="D2677" s="159">
        <v>10</v>
      </c>
      <c r="E2677" s="166" t="s">
        <v>2503</v>
      </c>
    </row>
    <row r="2678" spans="1:5">
      <c r="A2678" s="159">
        <f t="shared" si="34"/>
        <v>2677</v>
      </c>
      <c r="B2678" s="163">
        <v>45824</v>
      </c>
      <c r="C2678" s="164">
        <v>0.3986574074074074</v>
      </c>
      <c r="D2678" s="159">
        <v>10</v>
      </c>
      <c r="E2678" s="166" t="s">
        <v>685</v>
      </c>
    </row>
    <row r="2679" spans="1:5">
      <c r="A2679" s="159">
        <f t="shared" si="34"/>
        <v>2678</v>
      </c>
      <c r="B2679" s="163">
        <v>45824</v>
      </c>
      <c r="C2679" s="164">
        <v>0.39755787037037038</v>
      </c>
      <c r="D2679" s="159">
        <v>10</v>
      </c>
      <c r="E2679" s="166" t="s">
        <v>575</v>
      </c>
    </row>
    <row r="2680" spans="1:5">
      <c r="A2680" s="159">
        <f t="shared" si="34"/>
        <v>2679</v>
      </c>
      <c r="B2680" s="163">
        <v>45824</v>
      </c>
      <c r="C2680" s="164">
        <v>0.39686342592592588</v>
      </c>
      <c r="D2680" s="159">
        <v>10</v>
      </c>
      <c r="E2680" s="166" t="s">
        <v>2498</v>
      </c>
    </row>
    <row r="2681" spans="1:5">
      <c r="A2681" s="159">
        <f t="shared" si="34"/>
        <v>2680</v>
      </c>
      <c r="B2681" s="163">
        <v>45824</v>
      </c>
      <c r="C2681" s="164">
        <v>0.39583333333333331</v>
      </c>
      <c r="D2681" s="159">
        <v>10</v>
      </c>
      <c r="E2681" s="166" t="s">
        <v>2499</v>
      </c>
    </row>
    <row r="2682" spans="1:5">
      <c r="A2682" s="159">
        <f t="shared" si="34"/>
        <v>2681</v>
      </c>
      <c r="B2682" s="163">
        <v>45824</v>
      </c>
      <c r="C2682" s="164">
        <v>0.38898148148148143</v>
      </c>
      <c r="D2682" s="159">
        <v>10</v>
      </c>
      <c r="E2682" s="166" t="s">
        <v>2500</v>
      </c>
    </row>
    <row r="2683" spans="1:5">
      <c r="A2683" s="159">
        <f t="shared" si="34"/>
        <v>2682</v>
      </c>
      <c r="B2683" s="163">
        <v>45824</v>
      </c>
      <c r="C2683" s="164">
        <v>0.38438657407407412</v>
      </c>
      <c r="D2683" s="159">
        <v>10</v>
      </c>
      <c r="E2683" s="166" t="s">
        <v>2501</v>
      </c>
    </row>
    <row r="2684" spans="1:5">
      <c r="A2684" s="159">
        <f t="shared" si="34"/>
        <v>2683</v>
      </c>
      <c r="B2684" s="163">
        <v>45824</v>
      </c>
      <c r="C2684" s="164">
        <v>0.38295138888888891</v>
      </c>
      <c r="D2684" s="159">
        <v>10</v>
      </c>
      <c r="E2684" s="166" t="s">
        <v>2502</v>
      </c>
    </row>
    <row r="2685" spans="1:5">
      <c r="A2685" s="159">
        <f t="shared" si="34"/>
        <v>2684</v>
      </c>
      <c r="B2685" s="163">
        <v>45825</v>
      </c>
      <c r="C2685" s="164">
        <v>0.89665509259259257</v>
      </c>
      <c r="D2685" s="159">
        <v>10</v>
      </c>
      <c r="E2685" s="166" t="s">
        <v>2506</v>
      </c>
    </row>
    <row r="2686" spans="1:5">
      <c r="A2686" s="159">
        <f t="shared" si="34"/>
        <v>2685</v>
      </c>
      <c r="B2686" s="163">
        <v>45825</v>
      </c>
      <c r="C2686" s="164">
        <v>0.86737268518518518</v>
      </c>
      <c r="D2686" s="159">
        <v>10</v>
      </c>
      <c r="E2686" s="166" t="s">
        <v>2544</v>
      </c>
    </row>
    <row r="2687" spans="1:5">
      <c r="A2687" s="159">
        <f t="shared" si="34"/>
        <v>2686</v>
      </c>
      <c r="B2687" s="163">
        <v>45825</v>
      </c>
      <c r="C2687" s="164">
        <v>0.849675925925926</v>
      </c>
      <c r="D2687" s="159">
        <v>10</v>
      </c>
      <c r="E2687" s="166" t="s">
        <v>2507</v>
      </c>
    </row>
    <row r="2688" spans="1:5">
      <c r="A2688" s="159">
        <f t="shared" si="34"/>
        <v>2687</v>
      </c>
      <c r="B2688" s="163">
        <v>45825</v>
      </c>
      <c r="C2688" s="164">
        <v>0.84875</v>
      </c>
      <c r="D2688" s="159">
        <v>10</v>
      </c>
      <c r="E2688" s="166" t="s">
        <v>2508</v>
      </c>
    </row>
    <row r="2689" spans="1:5">
      <c r="A2689" s="159">
        <f t="shared" si="34"/>
        <v>2688</v>
      </c>
      <c r="B2689" s="163">
        <v>45825</v>
      </c>
      <c r="C2689" s="164">
        <v>0.83891203703703709</v>
      </c>
      <c r="D2689" s="159">
        <v>10</v>
      </c>
      <c r="E2689" s="166" t="s">
        <v>2509</v>
      </c>
    </row>
    <row r="2690" spans="1:5">
      <c r="A2690" s="159">
        <f t="shared" si="34"/>
        <v>2689</v>
      </c>
      <c r="B2690" s="163">
        <v>45825</v>
      </c>
      <c r="C2690" s="164">
        <v>0.73890046296296286</v>
      </c>
      <c r="D2690" s="159">
        <v>10</v>
      </c>
      <c r="E2690" s="166" t="s">
        <v>2510</v>
      </c>
    </row>
    <row r="2691" spans="1:5">
      <c r="A2691" s="159">
        <f t="shared" si="34"/>
        <v>2690</v>
      </c>
      <c r="B2691" s="163">
        <v>45825</v>
      </c>
      <c r="C2691" s="164">
        <v>0.73317129629629629</v>
      </c>
      <c r="D2691" s="159">
        <v>10</v>
      </c>
      <c r="E2691" s="166" t="s">
        <v>2511</v>
      </c>
    </row>
    <row r="2692" spans="1:5">
      <c r="A2692" s="159">
        <f t="shared" si="34"/>
        <v>2691</v>
      </c>
      <c r="B2692" s="163">
        <v>45825</v>
      </c>
      <c r="C2692" s="164">
        <v>0.71976851851851853</v>
      </c>
      <c r="D2692" s="159">
        <v>10</v>
      </c>
      <c r="E2692" s="166" t="s">
        <v>2512</v>
      </c>
    </row>
    <row r="2693" spans="1:5">
      <c r="A2693" s="159">
        <f t="shared" si="34"/>
        <v>2692</v>
      </c>
      <c r="B2693" s="163">
        <v>45825</v>
      </c>
      <c r="C2693" s="164">
        <v>0.70891203703703709</v>
      </c>
      <c r="D2693" s="159">
        <v>10</v>
      </c>
      <c r="E2693" s="166" t="s">
        <v>2513</v>
      </c>
    </row>
    <row r="2694" spans="1:5">
      <c r="A2694" s="159">
        <f t="shared" si="34"/>
        <v>2693</v>
      </c>
      <c r="B2694" s="163">
        <v>45825</v>
      </c>
      <c r="C2694" s="164">
        <v>0.7012962962962962</v>
      </c>
      <c r="D2694" s="159">
        <v>10</v>
      </c>
      <c r="E2694" s="166" t="s">
        <v>2514</v>
      </c>
    </row>
    <row r="2695" spans="1:5">
      <c r="A2695" s="159">
        <f t="shared" si="34"/>
        <v>2694</v>
      </c>
      <c r="B2695" s="163">
        <v>45825</v>
      </c>
      <c r="C2695" s="164">
        <v>0.69275462962962964</v>
      </c>
      <c r="D2695" s="159">
        <v>10</v>
      </c>
      <c r="E2695" s="166" t="s">
        <v>2515</v>
      </c>
    </row>
    <row r="2696" spans="1:5">
      <c r="A2696" s="159">
        <f t="shared" si="34"/>
        <v>2695</v>
      </c>
      <c r="B2696" s="163">
        <v>45825</v>
      </c>
      <c r="C2696" s="164">
        <v>0.69283564814814813</v>
      </c>
      <c r="D2696" s="159">
        <v>10</v>
      </c>
      <c r="E2696" s="166" t="s">
        <v>2516</v>
      </c>
    </row>
    <row r="2697" spans="1:5">
      <c r="A2697" s="159">
        <f t="shared" si="34"/>
        <v>2696</v>
      </c>
      <c r="B2697" s="163">
        <v>45825</v>
      </c>
      <c r="C2697" s="164">
        <v>0.6846875</v>
      </c>
      <c r="D2697" s="159">
        <v>10</v>
      </c>
      <c r="E2697" s="166" t="s">
        <v>2517</v>
      </c>
    </row>
    <row r="2698" spans="1:5">
      <c r="A2698" s="159">
        <f t="shared" si="34"/>
        <v>2697</v>
      </c>
      <c r="B2698" s="163">
        <v>45825</v>
      </c>
      <c r="C2698" s="164">
        <v>0.68255787037037041</v>
      </c>
      <c r="D2698" s="159">
        <v>10</v>
      </c>
      <c r="E2698" s="166" t="s">
        <v>2518</v>
      </c>
    </row>
    <row r="2699" spans="1:5">
      <c r="A2699" s="159">
        <f t="shared" si="34"/>
        <v>2698</v>
      </c>
      <c r="B2699" s="163">
        <v>45825</v>
      </c>
      <c r="C2699" s="164">
        <v>0.68057870370370377</v>
      </c>
      <c r="D2699" s="159">
        <v>10</v>
      </c>
      <c r="E2699" s="166" t="s">
        <v>132</v>
      </c>
    </row>
    <row r="2700" spans="1:5">
      <c r="A2700" s="159">
        <f t="shared" si="34"/>
        <v>2699</v>
      </c>
      <c r="B2700" s="163">
        <v>45825</v>
      </c>
      <c r="C2700" s="164">
        <v>0.68100694444444443</v>
      </c>
      <c r="D2700" s="159">
        <v>10</v>
      </c>
      <c r="E2700" s="166" t="s">
        <v>2519</v>
      </c>
    </row>
    <row r="2701" spans="1:5">
      <c r="A2701" s="159">
        <f t="shared" si="34"/>
        <v>2700</v>
      </c>
      <c r="B2701" s="163">
        <v>45825</v>
      </c>
      <c r="C2701" s="164">
        <v>0.6781018518518519</v>
      </c>
      <c r="D2701" s="159">
        <v>10</v>
      </c>
      <c r="E2701" s="166" t="s">
        <v>2520</v>
      </c>
    </row>
    <row r="2702" spans="1:5">
      <c r="A2702" s="159">
        <f t="shared" si="34"/>
        <v>2701</v>
      </c>
      <c r="B2702" s="163">
        <v>45825</v>
      </c>
      <c r="C2702" s="164">
        <v>0.6541203703703703</v>
      </c>
      <c r="D2702" s="159">
        <v>10</v>
      </c>
      <c r="E2702" s="166" t="s">
        <v>2521</v>
      </c>
    </row>
    <row r="2703" spans="1:5">
      <c r="A2703" s="159">
        <f t="shared" si="34"/>
        <v>2702</v>
      </c>
      <c r="B2703" s="163">
        <v>45825</v>
      </c>
      <c r="C2703" s="164">
        <v>0.64796296296296296</v>
      </c>
      <c r="D2703" s="159">
        <v>10</v>
      </c>
      <c r="E2703" s="166" t="s">
        <v>288</v>
      </c>
    </row>
    <row r="2704" spans="1:5">
      <c r="A2704" s="159">
        <f t="shared" si="34"/>
        <v>2703</v>
      </c>
      <c r="B2704" s="163">
        <v>45825</v>
      </c>
      <c r="C2704" s="164">
        <v>0.64333333333333331</v>
      </c>
      <c r="D2704" s="159">
        <v>10</v>
      </c>
      <c r="E2704" s="166" t="s">
        <v>2522</v>
      </c>
    </row>
    <row r="2705" spans="1:5" ht="27">
      <c r="A2705" s="159">
        <f t="shared" si="34"/>
        <v>2704</v>
      </c>
      <c r="B2705" s="163">
        <v>45825</v>
      </c>
      <c r="C2705" s="164">
        <v>0.64067129629629627</v>
      </c>
      <c r="D2705" s="159">
        <v>10</v>
      </c>
      <c r="E2705" s="166" t="s">
        <v>2543</v>
      </c>
    </row>
    <row r="2706" spans="1:5">
      <c r="A2706" s="159">
        <f t="shared" si="34"/>
        <v>2705</v>
      </c>
      <c r="B2706" s="163">
        <v>45825</v>
      </c>
      <c r="C2706" s="164">
        <v>0.6303009259259259</v>
      </c>
      <c r="D2706" s="159">
        <v>10</v>
      </c>
      <c r="E2706" s="166" t="s">
        <v>2523</v>
      </c>
    </row>
    <row r="2707" spans="1:5">
      <c r="A2707" s="159">
        <f t="shared" si="34"/>
        <v>2706</v>
      </c>
      <c r="B2707" s="163">
        <v>45825</v>
      </c>
      <c r="C2707" s="164">
        <v>0.62304398148148155</v>
      </c>
      <c r="D2707" s="159">
        <v>10</v>
      </c>
      <c r="E2707" s="166" t="s">
        <v>2524</v>
      </c>
    </row>
    <row r="2708" spans="1:5">
      <c r="A2708" s="159">
        <f t="shared" si="34"/>
        <v>2707</v>
      </c>
      <c r="B2708" s="163">
        <v>45825</v>
      </c>
      <c r="C2708" s="164">
        <v>0.61884259259259256</v>
      </c>
      <c r="D2708" s="159">
        <v>10</v>
      </c>
      <c r="E2708" s="166" t="s">
        <v>2525</v>
      </c>
    </row>
    <row r="2709" spans="1:5">
      <c r="A2709" s="159">
        <f t="shared" si="34"/>
        <v>2708</v>
      </c>
      <c r="B2709" s="163">
        <v>45825</v>
      </c>
      <c r="C2709" s="164">
        <v>0.61627314814814815</v>
      </c>
      <c r="D2709" s="159">
        <v>10</v>
      </c>
      <c r="E2709" s="166" t="s">
        <v>872</v>
      </c>
    </row>
    <row r="2710" spans="1:5">
      <c r="A2710" s="159">
        <f t="shared" si="34"/>
        <v>2709</v>
      </c>
      <c r="B2710" s="163">
        <v>45825</v>
      </c>
      <c r="C2710" s="164">
        <v>0.60137731481481482</v>
      </c>
      <c r="D2710" s="159">
        <v>10</v>
      </c>
      <c r="E2710" s="166" t="s">
        <v>2526</v>
      </c>
    </row>
    <row r="2711" spans="1:5">
      <c r="A2711" s="159">
        <f t="shared" si="34"/>
        <v>2710</v>
      </c>
      <c r="B2711" s="163">
        <v>45825</v>
      </c>
      <c r="C2711" s="164">
        <v>0.59226851851851847</v>
      </c>
      <c r="D2711" s="159">
        <v>10</v>
      </c>
      <c r="E2711" s="166" t="s">
        <v>2527</v>
      </c>
    </row>
    <row r="2712" spans="1:5">
      <c r="A2712" s="159">
        <f t="shared" si="34"/>
        <v>2711</v>
      </c>
      <c r="B2712" s="163">
        <v>45825</v>
      </c>
      <c r="C2712" s="164">
        <v>0.59108796296296295</v>
      </c>
      <c r="D2712" s="159">
        <v>10</v>
      </c>
      <c r="E2712" s="166" t="s">
        <v>2528</v>
      </c>
    </row>
    <row r="2713" spans="1:5">
      <c r="A2713" s="159">
        <f t="shared" si="34"/>
        <v>2712</v>
      </c>
      <c r="B2713" s="163">
        <v>45825</v>
      </c>
      <c r="C2713" s="164">
        <v>0.56145833333333328</v>
      </c>
      <c r="D2713" s="159">
        <v>10</v>
      </c>
      <c r="E2713" s="166" t="s">
        <v>1114</v>
      </c>
    </row>
    <row r="2714" spans="1:5">
      <c r="A2714" s="159">
        <f t="shared" si="34"/>
        <v>2713</v>
      </c>
      <c r="B2714" s="163">
        <v>45825</v>
      </c>
      <c r="C2714" s="164">
        <v>0.55997685185185186</v>
      </c>
      <c r="D2714" s="159">
        <v>10</v>
      </c>
      <c r="E2714" s="166" t="s">
        <v>2529</v>
      </c>
    </row>
    <row r="2715" spans="1:5">
      <c r="A2715" s="159">
        <f t="shared" si="34"/>
        <v>2714</v>
      </c>
      <c r="B2715" s="163">
        <v>45825</v>
      </c>
      <c r="C2715" s="164">
        <v>0.54694444444444446</v>
      </c>
      <c r="D2715" s="159">
        <v>10</v>
      </c>
      <c r="E2715" s="166" t="s">
        <v>2530</v>
      </c>
    </row>
    <row r="2716" spans="1:5">
      <c r="A2716" s="159">
        <f t="shared" si="34"/>
        <v>2715</v>
      </c>
      <c r="B2716" s="163">
        <v>45825</v>
      </c>
      <c r="C2716" s="164">
        <v>0.54439814814814813</v>
      </c>
      <c r="D2716" s="159">
        <v>10</v>
      </c>
      <c r="E2716" s="166" t="s">
        <v>2531</v>
      </c>
    </row>
    <row r="2717" spans="1:5">
      <c r="A2717" s="159">
        <f t="shared" si="34"/>
        <v>2716</v>
      </c>
      <c r="B2717" s="163">
        <v>45825</v>
      </c>
      <c r="C2717" s="164">
        <v>0.54017361111111117</v>
      </c>
      <c r="D2717" s="159">
        <v>10</v>
      </c>
      <c r="E2717" s="166" t="s">
        <v>2532</v>
      </c>
    </row>
    <row r="2718" spans="1:5">
      <c r="A2718" s="159">
        <f t="shared" si="34"/>
        <v>2717</v>
      </c>
      <c r="B2718" s="163">
        <v>45825</v>
      </c>
      <c r="C2718" s="164">
        <v>0.53917824074074072</v>
      </c>
      <c r="D2718" s="159">
        <v>10</v>
      </c>
      <c r="E2718" s="166" t="s">
        <v>132</v>
      </c>
    </row>
    <row r="2719" spans="1:5">
      <c r="A2719" s="159">
        <f t="shared" si="34"/>
        <v>2718</v>
      </c>
      <c r="B2719" s="163">
        <v>45825</v>
      </c>
      <c r="C2719" s="164">
        <v>0.52756944444444442</v>
      </c>
      <c r="D2719" s="159">
        <v>10</v>
      </c>
      <c r="E2719" s="166" t="s">
        <v>2533</v>
      </c>
    </row>
    <row r="2720" spans="1:5">
      <c r="A2720" s="159">
        <f t="shared" si="34"/>
        <v>2719</v>
      </c>
      <c r="B2720" s="163">
        <v>45825</v>
      </c>
      <c r="C2720" s="164">
        <v>0.50372685185185184</v>
      </c>
      <c r="D2720" s="159">
        <v>10</v>
      </c>
      <c r="E2720" s="166" t="s">
        <v>2534</v>
      </c>
    </row>
    <row r="2721" spans="1:5">
      <c r="A2721" s="159">
        <f t="shared" si="34"/>
        <v>2720</v>
      </c>
      <c r="B2721" s="163">
        <v>45825</v>
      </c>
      <c r="C2721" s="164">
        <v>0.49729166666666669</v>
      </c>
      <c r="D2721" s="159">
        <v>10</v>
      </c>
      <c r="E2721" s="166" t="s">
        <v>653</v>
      </c>
    </row>
    <row r="2722" spans="1:5" ht="27">
      <c r="A2722" s="159">
        <f t="shared" si="34"/>
        <v>2721</v>
      </c>
      <c r="B2722" s="163">
        <v>45825</v>
      </c>
      <c r="C2722" s="164">
        <v>0.49523148148148149</v>
      </c>
      <c r="D2722" s="159">
        <v>10</v>
      </c>
      <c r="E2722" s="166" t="s">
        <v>2542</v>
      </c>
    </row>
    <row r="2723" spans="1:5">
      <c r="A2723" s="159">
        <f t="shared" si="34"/>
        <v>2722</v>
      </c>
      <c r="B2723" s="163">
        <v>45825</v>
      </c>
      <c r="C2723" s="164">
        <v>0.49442129629629633</v>
      </c>
      <c r="D2723" s="159">
        <v>10</v>
      </c>
      <c r="E2723" s="166" t="s">
        <v>2535</v>
      </c>
    </row>
    <row r="2724" spans="1:5">
      <c r="A2724" s="159">
        <f t="shared" si="34"/>
        <v>2723</v>
      </c>
      <c r="B2724" s="163">
        <v>45825</v>
      </c>
      <c r="C2724" s="164">
        <v>0.49395833333333333</v>
      </c>
      <c r="D2724" s="159">
        <v>10</v>
      </c>
      <c r="E2724" s="166" t="s">
        <v>2536</v>
      </c>
    </row>
    <row r="2725" spans="1:5">
      <c r="A2725" s="159">
        <f t="shared" si="34"/>
        <v>2724</v>
      </c>
      <c r="B2725" s="163">
        <v>45825</v>
      </c>
      <c r="C2725" s="164">
        <v>0.46751157407407407</v>
      </c>
      <c r="D2725" s="159">
        <v>10</v>
      </c>
      <c r="E2725" s="166" t="s">
        <v>2537</v>
      </c>
    </row>
    <row r="2726" spans="1:5">
      <c r="A2726" s="159">
        <f t="shared" si="34"/>
        <v>2725</v>
      </c>
      <c r="B2726" s="163">
        <v>45825</v>
      </c>
      <c r="C2726" s="164">
        <v>0.46560185185185188</v>
      </c>
      <c r="D2726" s="159">
        <v>10</v>
      </c>
      <c r="E2726" s="166" t="s">
        <v>2538</v>
      </c>
    </row>
    <row r="2727" spans="1:5">
      <c r="A2727" s="159">
        <f t="shared" si="34"/>
        <v>2726</v>
      </c>
      <c r="B2727" s="163">
        <v>45825</v>
      </c>
      <c r="C2727" s="164">
        <v>0.44952546296296297</v>
      </c>
      <c r="D2727" s="159">
        <v>10</v>
      </c>
      <c r="E2727" s="166" t="s">
        <v>2539</v>
      </c>
    </row>
    <row r="2728" spans="1:5">
      <c r="A2728" s="159">
        <f t="shared" si="34"/>
        <v>2727</v>
      </c>
      <c r="B2728" s="163">
        <v>45825</v>
      </c>
      <c r="C2728" s="164">
        <v>0.39356481481481481</v>
      </c>
      <c r="D2728" s="159">
        <v>10</v>
      </c>
      <c r="E2728" s="166" t="s">
        <v>1407</v>
      </c>
    </row>
    <row r="2729" spans="1:5">
      <c r="A2729" s="159">
        <f t="shared" si="34"/>
        <v>2728</v>
      </c>
      <c r="B2729" s="163">
        <v>45825</v>
      </c>
      <c r="C2729" s="164">
        <v>0.39293981481481483</v>
      </c>
      <c r="D2729" s="159">
        <v>10</v>
      </c>
      <c r="E2729" s="166" t="s">
        <v>2540</v>
      </c>
    </row>
    <row r="2730" spans="1:5">
      <c r="A2730" s="159">
        <f t="shared" si="34"/>
        <v>2729</v>
      </c>
      <c r="B2730" s="163">
        <v>45825</v>
      </c>
      <c r="C2730" s="164">
        <v>0.39052083333333337</v>
      </c>
      <c r="D2730" s="159">
        <v>10</v>
      </c>
      <c r="E2730" s="166" t="s">
        <v>1623</v>
      </c>
    </row>
    <row r="2731" spans="1:5">
      <c r="A2731" s="159">
        <f t="shared" si="34"/>
        <v>2730</v>
      </c>
      <c r="B2731" s="163">
        <v>45825</v>
      </c>
      <c r="C2731" s="164">
        <v>0.39042824074074073</v>
      </c>
      <c r="D2731" s="159">
        <v>10</v>
      </c>
      <c r="E2731" s="166" t="s">
        <v>2541</v>
      </c>
    </row>
    <row r="2732" spans="1:5">
      <c r="A2732" s="159">
        <f t="shared" si="34"/>
        <v>2731</v>
      </c>
      <c r="B2732" s="163">
        <v>45826</v>
      </c>
      <c r="C2732" s="164">
        <v>0.89157407407407396</v>
      </c>
      <c r="D2732" s="159">
        <v>10</v>
      </c>
      <c r="E2732" s="166" t="s">
        <v>2545</v>
      </c>
    </row>
    <row r="2733" spans="1:5">
      <c r="A2733" s="159">
        <f t="shared" si="34"/>
        <v>2732</v>
      </c>
      <c r="B2733" s="163">
        <v>45826</v>
      </c>
      <c r="C2733" s="164">
        <v>0.83975694444444438</v>
      </c>
      <c r="D2733" s="159">
        <v>10</v>
      </c>
      <c r="E2733" s="166" t="s">
        <v>2546</v>
      </c>
    </row>
    <row r="2734" spans="1:5">
      <c r="A2734" s="159">
        <f t="shared" si="34"/>
        <v>2733</v>
      </c>
      <c r="B2734" s="163">
        <v>45826</v>
      </c>
      <c r="C2734" s="164">
        <v>0.76673611111111117</v>
      </c>
      <c r="D2734" s="159">
        <v>10</v>
      </c>
      <c r="E2734" s="166" t="s">
        <v>2547</v>
      </c>
    </row>
    <row r="2735" spans="1:5">
      <c r="A2735" s="159">
        <f t="shared" si="34"/>
        <v>2734</v>
      </c>
      <c r="B2735" s="163">
        <v>45826</v>
      </c>
      <c r="C2735" s="164">
        <v>0.73476851851851854</v>
      </c>
      <c r="D2735" s="159">
        <v>10</v>
      </c>
      <c r="E2735" s="166" t="s">
        <v>2548</v>
      </c>
    </row>
    <row r="2736" spans="1:5">
      <c r="A2736" s="159">
        <f t="shared" si="34"/>
        <v>2735</v>
      </c>
      <c r="B2736" s="163">
        <v>45826</v>
      </c>
      <c r="C2736" s="164">
        <v>0.73424768518518524</v>
      </c>
      <c r="D2736" s="159">
        <v>10</v>
      </c>
      <c r="E2736" s="166" t="s">
        <v>2549</v>
      </c>
    </row>
    <row r="2737" spans="1:5">
      <c r="A2737" s="159">
        <f t="shared" si="34"/>
        <v>2736</v>
      </c>
      <c r="B2737" s="163">
        <v>45826</v>
      </c>
      <c r="C2737" s="164">
        <v>0.73427083333333332</v>
      </c>
      <c r="D2737" s="159">
        <v>10</v>
      </c>
      <c r="E2737" s="166" t="s">
        <v>1731</v>
      </c>
    </row>
    <row r="2738" spans="1:5">
      <c r="A2738" s="159">
        <f t="shared" si="34"/>
        <v>2737</v>
      </c>
      <c r="B2738" s="163">
        <v>45826</v>
      </c>
      <c r="C2738" s="164">
        <v>0.73112268518518519</v>
      </c>
      <c r="D2738" s="159">
        <v>10</v>
      </c>
      <c r="E2738" s="166" t="s">
        <v>2550</v>
      </c>
    </row>
    <row r="2739" spans="1:5">
      <c r="A2739" s="159">
        <f t="shared" si="34"/>
        <v>2738</v>
      </c>
      <c r="B2739" s="163">
        <v>45826</v>
      </c>
      <c r="C2739" s="164">
        <v>0.72971064814814823</v>
      </c>
      <c r="D2739" s="159">
        <v>10</v>
      </c>
      <c r="E2739" s="166" t="s">
        <v>2551</v>
      </c>
    </row>
    <row r="2740" spans="1:5">
      <c r="A2740" s="159">
        <f t="shared" si="34"/>
        <v>2739</v>
      </c>
      <c r="B2740" s="163">
        <v>45826</v>
      </c>
      <c r="C2740" s="164">
        <v>0.72512731481481485</v>
      </c>
      <c r="D2740" s="159">
        <v>10</v>
      </c>
      <c r="E2740" s="166" t="s">
        <v>2552</v>
      </c>
    </row>
    <row r="2741" spans="1:5">
      <c r="A2741" s="159">
        <f t="shared" ref="A2741:A2804" si="35">ROW()-1</f>
        <v>2740</v>
      </c>
      <c r="B2741" s="163">
        <v>45826</v>
      </c>
      <c r="C2741" s="164">
        <v>0.7179861111111111</v>
      </c>
      <c r="D2741" s="159">
        <v>10</v>
      </c>
      <c r="E2741" s="166" t="s">
        <v>2553</v>
      </c>
    </row>
    <row r="2742" spans="1:5">
      <c r="A2742" s="159">
        <f t="shared" si="35"/>
        <v>2741</v>
      </c>
      <c r="B2742" s="163">
        <v>45826</v>
      </c>
      <c r="C2742" s="164">
        <v>0.68768518518518518</v>
      </c>
      <c r="D2742" s="159">
        <v>10</v>
      </c>
      <c r="E2742" s="166" t="s">
        <v>2554</v>
      </c>
    </row>
    <row r="2743" spans="1:5" ht="27">
      <c r="A2743" s="159">
        <f t="shared" si="35"/>
        <v>2742</v>
      </c>
      <c r="B2743" s="163">
        <v>45826</v>
      </c>
      <c r="C2743" s="164">
        <v>0.64982638888888888</v>
      </c>
      <c r="D2743" s="159">
        <v>10</v>
      </c>
      <c r="E2743" s="166" t="s">
        <v>2572</v>
      </c>
    </row>
    <row r="2744" spans="1:5">
      <c r="A2744" s="159">
        <f t="shared" si="35"/>
        <v>2743</v>
      </c>
      <c r="B2744" s="163">
        <v>45826</v>
      </c>
      <c r="C2744" s="164">
        <v>0.63410879629629624</v>
      </c>
      <c r="D2744" s="159">
        <v>10</v>
      </c>
      <c r="E2744" s="166" t="s">
        <v>2555</v>
      </c>
    </row>
    <row r="2745" spans="1:5">
      <c r="A2745" s="159">
        <f t="shared" si="35"/>
        <v>2744</v>
      </c>
      <c r="B2745" s="163">
        <v>45826</v>
      </c>
      <c r="C2745" s="164">
        <v>0.63354166666666667</v>
      </c>
      <c r="D2745" s="159">
        <v>10</v>
      </c>
      <c r="E2745" s="166" t="s">
        <v>2556</v>
      </c>
    </row>
    <row r="2746" spans="1:5">
      <c r="A2746" s="159">
        <f t="shared" si="35"/>
        <v>2745</v>
      </c>
      <c r="B2746" s="163">
        <v>45826</v>
      </c>
      <c r="C2746" s="164">
        <v>0.62504629629629627</v>
      </c>
      <c r="D2746" s="159">
        <v>10</v>
      </c>
      <c r="E2746" s="166" t="s">
        <v>2557</v>
      </c>
    </row>
    <row r="2747" spans="1:5">
      <c r="A2747" s="159">
        <f t="shared" si="35"/>
        <v>2746</v>
      </c>
      <c r="B2747" s="163">
        <v>45826</v>
      </c>
      <c r="C2747" s="164">
        <v>0.62468749999999995</v>
      </c>
      <c r="D2747" s="159">
        <v>10</v>
      </c>
      <c r="E2747" s="166" t="s">
        <v>273</v>
      </c>
    </row>
    <row r="2748" spans="1:5">
      <c r="A2748" s="159">
        <f t="shared" si="35"/>
        <v>2747</v>
      </c>
      <c r="B2748" s="163">
        <v>45826</v>
      </c>
      <c r="C2748" s="164">
        <v>0.61900462962962965</v>
      </c>
      <c r="D2748" s="159">
        <v>10</v>
      </c>
      <c r="E2748" s="166" t="s">
        <v>2558</v>
      </c>
    </row>
    <row r="2749" spans="1:5">
      <c r="A2749" s="159">
        <f t="shared" si="35"/>
        <v>2748</v>
      </c>
      <c r="B2749" s="163">
        <v>45826</v>
      </c>
      <c r="C2749" s="164">
        <v>0.61848379629629624</v>
      </c>
      <c r="D2749" s="159">
        <v>10</v>
      </c>
      <c r="E2749" s="166" t="s">
        <v>448</v>
      </c>
    </row>
    <row r="2750" spans="1:5">
      <c r="A2750" s="159">
        <f t="shared" si="35"/>
        <v>2749</v>
      </c>
      <c r="B2750" s="163">
        <v>45826</v>
      </c>
      <c r="C2750" s="164">
        <v>0.60866898148148152</v>
      </c>
      <c r="D2750" s="159">
        <v>10</v>
      </c>
      <c r="E2750" s="166" t="s">
        <v>132</v>
      </c>
    </row>
    <row r="2751" spans="1:5">
      <c r="A2751" s="159">
        <f t="shared" si="35"/>
        <v>2750</v>
      </c>
      <c r="B2751" s="163">
        <v>45826</v>
      </c>
      <c r="C2751" s="164">
        <v>0.59762731481481479</v>
      </c>
      <c r="D2751" s="159">
        <v>10</v>
      </c>
      <c r="E2751" s="166" t="s">
        <v>2559</v>
      </c>
    </row>
    <row r="2752" spans="1:5">
      <c r="A2752" s="159">
        <f t="shared" si="35"/>
        <v>2751</v>
      </c>
      <c r="B2752" s="163">
        <v>45826</v>
      </c>
      <c r="C2752" s="164">
        <v>0.59655092592592596</v>
      </c>
      <c r="D2752" s="159">
        <v>10</v>
      </c>
      <c r="E2752" s="166" t="s">
        <v>2560</v>
      </c>
    </row>
    <row r="2753" spans="1:5">
      <c r="A2753" s="159">
        <f t="shared" si="35"/>
        <v>2752</v>
      </c>
      <c r="B2753" s="163">
        <v>45826</v>
      </c>
      <c r="C2753" s="164">
        <v>0.59453703703703698</v>
      </c>
      <c r="D2753" s="159">
        <v>10</v>
      </c>
      <c r="E2753" s="166" t="s">
        <v>2561</v>
      </c>
    </row>
    <row r="2754" spans="1:5">
      <c r="A2754" s="159">
        <f t="shared" si="35"/>
        <v>2753</v>
      </c>
      <c r="B2754" s="163">
        <v>45826</v>
      </c>
      <c r="C2754" s="164">
        <v>0.57374999999999998</v>
      </c>
      <c r="D2754" s="159">
        <v>10</v>
      </c>
      <c r="E2754" s="166" t="s">
        <v>179</v>
      </c>
    </row>
    <row r="2755" spans="1:5">
      <c r="A2755" s="159">
        <f t="shared" si="35"/>
        <v>2754</v>
      </c>
      <c r="B2755" s="163">
        <v>45826</v>
      </c>
      <c r="C2755" s="164">
        <v>0.54638888888888892</v>
      </c>
      <c r="D2755" s="159">
        <v>10</v>
      </c>
      <c r="E2755" s="166" t="s">
        <v>2562</v>
      </c>
    </row>
    <row r="2756" spans="1:5">
      <c r="A2756" s="159">
        <f t="shared" si="35"/>
        <v>2755</v>
      </c>
      <c r="B2756" s="163">
        <v>45826</v>
      </c>
      <c r="C2756" s="164">
        <v>0.54439814814814813</v>
      </c>
      <c r="D2756" s="159">
        <v>10</v>
      </c>
      <c r="E2756" s="166" t="s">
        <v>2563</v>
      </c>
    </row>
    <row r="2757" spans="1:5">
      <c r="A2757" s="159">
        <f t="shared" si="35"/>
        <v>2756</v>
      </c>
      <c r="B2757" s="163">
        <v>45826</v>
      </c>
      <c r="C2757" s="164">
        <v>0.50557870370370372</v>
      </c>
      <c r="D2757" s="159">
        <v>10</v>
      </c>
      <c r="E2757" s="166" t="s">
        <v>479</v>
      </c>
    </row>
    <row r="2758" spans="1:5">
      <c r="A2758" s="159">
        <f t="shared" si="35"/>
        <v>2757</v>
      </c>
      <c r="B2758" s="163">
        <v>45826</v>
      </c>
      <c r="C2758" s="164">
        <v>0.5040972222222222</v>
      </c>
      <c r="D2758" s="159">
        <v>10</v>
      </c>
      <c r="E2758" s="166" t="s">
        <v>2233</v>
      </c>
    </row>
    <row r="2759" spans="1:5">
      <c r="A2759" s="159">
        <f t="shared" si="35"/>
        <v>2758</v>
      </c>
      <c r="B2759" s="163">
        <v>45826</v>
      </c>
      <c r="C2759" s="164">
        <v>0.46866898148148151</v>
      </c>
      <c r="D2759" s="159">
        <v>10</v>
      </c>
      <c r="E2759" s="166" t="s">
        <v>2564</v>
      </c>
    </row>
    <row r="2760" spans="1:5">
      <c r="A2760" s="159">
        <f t="shared" si="35"/>
        <v>2759</v>
      </c>
      <c r="B2760" s="163">
        <v>45826</v>
      </c>
      <c r="C2760" s="164">
        <v>0.41962962962962963</v>
      </c>
      <c r="D2760" s="159">
        <v>10</v>
      </c>
      <c r="E2760" s="166" t="s">
        <v>2565</v>
      </c>
    </row>
    <row r="2761" spans="1:5">
      <c r="A2761" s="159">
        <f t="shared" si="35"/>
        <v>2760</v>
      </c>
      <c r="B2761" s="163">
        <v>45826</v>
      </c>
      <c r="C2761" s="164">
        <v>0.41914351851851855</v>
      </c>
      <c r="D2761" s="159">
        <v>10</v>
      </c>
      <c r="E2761" s="166" t="s">
        <v>2571</v>
      </c>
    </row>
    <row r="2762" spans="1:5">
      <c r="A2762" s="159">
        <f t="shared" si="35"/>
        <v>2761</v>
      </c>
      <c r="B2762" s="163">
        <v>45826</v>
      </c>
      <c r="C2762" s="164">
        <v>0.41321759259259255</v>
      </c>
      <c r="D2762" s="159">
        <v>10</v>
      </c>
      <c r="E2762" s="166" t="s">
        <v>2566</v>
      </c>
    </row>
    <row r="2763" spans="1:5">
      <c r="A2763" s="159">
        <f t="shared" si="35"/>
        <v>2762</v>
      </c>
      <c r="B2763" s="163">
        <v>45826</v>
      </c>
      <c r="C2763" s="164">
        <v>0.40930555555555559</v>
      </c>
      <c r="D2763" s="159">
        <v>10</v>
      </c>
      <c r="E2763" s="166" t="s">
        <v>2567</v>
      </c>
    </row>
    <row r="2764" spans="1:5">
      <c r="A2764" s="159">
        <f t="shared" si="35"/>
        <v>2763</v>
      </c>
      <c r="B2764" s="163">
        <v>45826</v>
      </c>
      <c r="C2764" s="164">
        <v>0.39322916666666669</v>
      </c>
      <c r="D2764" s="159">
        <v>10</v>
      </c>
      <c r="E2764" s="166" t="s">
        <v>2568</v>
      </c>
    </row>
    <row r="2765" spans="1:5">
      <c r="A2765" s="159">
        <f t="shared" si="35"/>
        <v>2764</v>
      </c>
      <c r="B2765" s="163">
        <v>45826</v>
      </c>
      <c r="C2765" s="164">
        <v>0.38995370370370369</v>
      </c>
      <c r="D2765" s="159">
        <v>10</v>
      </c>
      <c r="E2765" s="166" t="s">
        <v>2569</v>
      </c>
    </row>
    <row r="2766" spans="1:5">
      <c r="A2766" s="159">
        <f t="shared" si="35"/>
        <v>2765</v>
      </c>
      <c r="B2766" s="163">
        <v>45826</v>
      </c>
      <c r="C2766" s="164">
        <v>0.38953703703703701</v>
      </c>
      <c r="D2766" s="159">
        <v>10</v>
      </c>
      <c r="E2766" s="166" t="s">
        <v>653</v>
      </c>
    </row>
    <row r="2767" spans="1:5">
      <c r="A2767" s="159">
        <f t="shared" si="35"/>
        <v>2766</v>
      </c>
      <c r="B2767" s="163">
        <v>45826</v>
      </c>
      <c r="C2767" s="164">
        <v>0.38505787037037037</v>
      </c>
      <c r="D2767" s="159">
        <v>10</v>
      </c>
      <c r="E2767" s="166" t="s">
        <v>2570</v>
      </c>
    </row>
    <row r="2768" spans="1:5">
      <c r="A2768" s="159">
        <f t="shared" si="35"/>
        <v>2767</v>
      </c>
      <c r="B2768" s="163">
        <v>45827</v>
      </c>
      <c r="C2768" s="164">
        <v>0.90950231481481481</v>
      </c>
      <c r="D2768" s="159">
        <v>10</v>
      </c>
      <c r="E2768" s="166" t="s">
        <v>2573</v>
      </c>
    </row>
    <row r="2769" spans="1:5">
      <c r="A2769" s="159">
        <f t="shared" si="35"/>
        <v>2768</v>
      </c>
      <c r="B2769" s="163">
        <v>45827</v>
      </c>
      <c r="C2769" s="164">
        <v>0.90734953703703702</v>
      </c>
      <c r="D2769" s="159">
        <v>10</v>
      </c>
      <c r="E2769" s="166" t="s">
        <v>2574</v>
      </c>
    </row>
    <row r="2770" spans="1:5">
      <c r="A2770" s="159">
        <f t="shared" si="35"/>
        <v>2769</v>
      </c>
      <c r="B2770" s="163">
        <v>45827</v>
      </c>
      <c r="C2770" s="164">
        <v>0.84480324074074076</v>
      </c>
      <c r="D2770" s="159">
        <v>10</v>
      </c>
      <c r="E2770" s="166" t="s">
        <v>2575</v>
      </c>
    </row>
    <row r="2771" spans="1:5">
      <c r="A2771" s="159">
        <f t="shared" si="35"/>
        <v>2770</v>
      </c>
      <c r="B2771" s="163">
        <v>45827</v>
      </c>
      <c r="C2771" s="164">
        <v>0.79693287037037042</v>
      </c>
      <c r="D2771" s="159">
        <v>10</v>
      </c>
      <c r="E2771" s="166" t="s">
        <v>2576</v>
      </c>
    </row>
    <row r="2772" spans="1:5">
      <c r="A2772" s="159">
        <f t="shared" si="35"/>
        <v>2771</v>
      </c>
      <c r="B2772" s="163">
        <v>45827</v>
      </c>
      <c r="C2772" s="164">
        <v>0.77717592592592588</v>
      </c>
      <c r="D2772" s="159">
        <v>10</v>
      </c>
      <c r="E2772" s="166" t="s">
        <v>2577</v>
      </c>
    </row>
    <row r="2773" spans="1:5">
      <c r="A2773" s="159">
        <f t="shared" si="35"/>
        <v>2772</v>
      </c>
      <c r="B2773" s="163">
        <v>45827</v>
      </c>
      <c r="C2773" s="164">
        <v>0.75143518518518515</v>
      </c>
      <c r="D2773" s="159">
        <v>10</v>
      </c>
      <c r="E2773" s="166" t="s">
        <v>2578</v>
      </c>
    </row>
    <row r="2774" spans="1:5">
      <c r="A2774" s="159">
        <f t="shared" si="35"/>
        <v>2773</v>
      </c>
      <c r="B2774" s="163">
        <v>45827</v>
      </c>
      <c r="C2774" s="164">
        <v>0.75072916666666656</v>
      </c>
      <c r="D2774" s="159">
        <v>10</v>
      </c>
      <c r="E2774" s="166" t="s">
        <v>2579</v>
      </c>
    </row>
    <row r="2775" spans="1:5">
      <c r="A2775" s="159">
        <f t="shared" si="35"/>
        <v>2774</v>
      </c>
      <c r="B2775" s="163">
        <v>45827</v>
      </c>
      <c r="C2775" s="164">
        <v>0.73840277777777785</v>
      </c>
      <c r="D2775" s="159">
        <v>10</v>
      </c>
      <c r="E2775" s="166" t="s">
        <v>2580</v>
      </c>
    </row>
    <row r="2776" spans="1:5">
      <c r="A2776" s="159">
        <f t="shared" si="35"/>
        <v>2775</v>
      </c>
      <c r="B2776" s="163">
        <v>45827</v>
      </c>
      <c r="C2776" s="164">
        <v>0.72812500000000002</v>
      </c>
      <c r="D2776" s="159">
        <v>10</v>
      </c>
      <c r="E2776" s="166" t="s">
        <v>2581</v>
      </c>
    </row>
    <row r="2777" spans="1:5">
      <c r="A2777" s="159">
        <f t="shared" si="35"/>
        <v>2776</v>
      </c>
      <c r="B2777" s="163">
        <v>45827</v>
      </c>
      <c r="C2777" s="164">
        <v>0.72171296296296295</v>
      </c>
      <c r="D2777" s="159">
        <v>10</v>
      </c>
      <c r="E2777" s="166" t="s">
        <v>2582</v>
      </c>
    </row>
    <row r="2778" spans="1:5">
      <c r="A2778" s="159">
        <f t="shared" si="35"/>
        <v>2777</v>
      </c>
      <c r="B2778" s="163">
        <v>45827</v>
      </c>
      <c r="C2778" s="164">
        <v>0.70059027777777771</v>
      </c>
      <c r="D2778" s="159">
        <v>10</v>
      </c>
      <c r="E2778" s="166" t="s">
        <v>2583</v>
      </c>
    </row>
    <row r="2779" spans="1:5">
      <c r="A2779" s="159">
        <f t="shared" si="35"/>
        <v>2778</v>
      </c>
      <c r="B2779" s="163">
        <v>45827</v>
      </c>
      <c r="C2779" s="164">
        <v>0.68895833333333334</v>
      </c>
      <c r="D2779" s="159">
        <v>10</v>
      </c>
      <c r="E2779" s="166" t="s">
        <v>2584</v>
      </c>
    </row>
    <row r="2780" spans="1:5">
      <c r="A2780" s="159">
        <f t="shared" si="35"/>
        <v>2779</v>
      </c>
      <c r="B2780" s="163">
        <v>45827</v>
      </c>
      <c r="C2780" s="164">
        <v>0.67732638888888885</v>
      </c>
      <c r="D2780" s="159">
        <v>10</v>
      </c>
      <c r="E2780" s="166" t="s">
        <v>288</v>
      </c>
    </row>
    <row r="2781" spans="1:5">
      <c r="A2781" s="159">
        <f t="shared" si="35"/>
        <v>2780</v>
      </c>
      <c r="B2781" s="163">
        <v>45827</v>
      </c>
      <c r="C2781" s="164">
        <v>0.67045138888888889</v>
      </c>
      <c r="D2781" s="159">
        <v>10</v>
      </c>
      <c r="E2781" s="166" t="s">
        <v>2585</v>
      </c>
    </row>
    <row r="2782" spans="1:5">
      <c r="A2782" s="159">
        <f t="shared" si="35"/>
        <v>2781</v>
      </c>
      <c r="B2782" s="163">
        <v>45827</v>
      </c>
      <c r="C2782" s="164">
        <v>0.66074074074074074</v>
      </c>
      <c r="D2782" s="159">
        <v>10</v>
      </c>
      <c r="E2782" s="166" t="s">
        <v>2586</v>
      </c>
    </row>
    <row r="2783" spans="1:5">
      <c r="A2783" s="159">
        <f t="shared" si="35"/>
        <v>2782</v>
      </c>
      <c r="B2783" s="163">
        <v>45827</v>
      </c>
      <c r="C2783" s="164">
        <v>0.65721064814814811</v>
      </c>
      <c r="D2783" s="159">
        <v>10</v>
      </c>
      <c r="E2783" s="166" t="s">
        <v>2587</v>
      </c>
    </row>
    <row r="2784" spans="1:5">
      <c r="A2784" s="159">
        <f t="shared" si="35"/>
        <v>2783</v>
      </c>
      <c r="B2784" s="163">
        <v>45827</v>
      </c>
      <c r="C2784" s="164">
        <v>0.65172453703703703</v>
      </c>
      <c r="D2784" s="159">
        <v>10</v>
      </c>
      <c r="E2784" s="166" t="s">
        <v>2588</v>
      </c>
    </row>
    <row r="2785" spans="1:5">
      <c r="A2785" s="159">
        <f t="shared" si="35"/>
        <v>2784</v>
      </c>
      <c r="B2785" s="163">
        <v>45827</v>
      </c>
      <c r="C2785" s="164">
        <v>0.64753472222222219</v>
      </c>
      <c r="D2785" s="159">
        <v>10</v>
      </c>
      <c r="E2785" s="166" t="s">
        <v>2589</v>
      </c>
    </row>
    <row r="2786" spans="1:5">
      <c r="A2786" s="159">
        <f t="shared" si="35"/>
        <v>2785</v>
      </c>
      <c r="B2786" s="163">
        <v>45827</v>
      </c>
      <c r="C2786" s="164">
        <v>0.64453703703703702</v>
      </c>
      <c r="D2786" s="159">
        <v>10</v>
      </c>
      <c r="E2786" s="166" t="s">
        <v>2590</v>
      </c>
    </row>
    <row r="2787" spans="1:5">
      <c r="A2787" s="159">
        <f t="shared" si="35"/>
        <v>2786</v>
      </c>
      <c r="B2787" s="163">
        <v>45827</v>
      </c>
      <c r="C2787" s="164">
        <v>0.64184027777777775</v>
      </c>
      <c r="D2787" s="159">
        <v>10</v>
      </c>
      <c r="E2787" s="166" t="s">
        <v>2591</v>
      </c>
    </row>
    <row r="2788" spans="1:5">
      <c r="A2788" s="159">
        <f t="shared" si="35"/>
        <v>2787</v>
      </c>
      <c r="B2788" s="163">
        <v>45827</v>
      </c>
      <c r="C2788" s="164">
        <v>0.62170138888888882</v>
      </c>
      <c r="D2788" s="159">
        <v>10</v>
      </c>
      <c r="E2788" s="166" t="s">
        <v>2592</v>
      </c>
    </row>
    <row r="2789" spans="1:5">
      <c r="A2789" s="159">
        <f t="shared" si="35"/>
        <v>2788</v>
      </c>
      <c r="B2789" s="163">
        <v>45827</v>
      </c>
      <c r="C2789" s="164">
        <v>0.62076388888888889</v>
      </c>
      <c r="D2789" s="159">
        <v>10</v>
      </c>
      <c r="E2789" s="166" t="s">
        <v>2593</v>
      </c>
    </row>
    <row r="2790" spans="1:5">
      <c r="A2790" s="159">
        <f t="shared" si="35"/>
        <v>2789</v>
      </c>
      <c r="B2790" s="163">
        <v>45827</v>
      </c>
      <c r="C2790" s="164">
        <v>0.61026620370370377</v>
      </c>
      <c r="D2790" s="159">
        <v>10</v>
      </c>
      <c r="E2790" s="166" t="s">
        <v>448</v>
      </c>
    </row>
    <row r="2791" spans="1:5">
      <c r="A2791" s="159">
        <f t="shared" si="35"/>
        <v>2790</v>
      </c>
      <c r="B2791" s="163">
        <v>45827</v>
      </c>
      <c r="C2791" s="164">
        <v>0.60640046296296302</v>
      </c>
      <c r="D2791" s="159">
        <v>10</v>
      </c>
      <c r="E2791" s="166" t="s">
        <v>2594</v>
      </c>
    </row>
    <row r="2792" spans="1:5">
      <c r="A2792" s="159">
        <f t="shared" si="35"/>
        <v>2791</v>
      </c>
      <c r="B2792" s="163">
        <v>45827</v>
      </c>
      <c r="C2792" s="164">
        <v>0.59744212962962961</v>
      </c>
      <c r="D2792" s="159">
        <v>10</v>
      </c>
      <c r="E2792" s="166" t="s">
        <v>2595</v>
      </c>
    </row>
    <row r="2793" spans="1:5">
      <c r="A2793" s="159">
        <f t="shared" si="35"/>
        <v>2792</v>
      </c>
      <c r="B2793" s="163">
        <v>45827</v>
      </c>
      <c r="C2793" s="164">
        <v>0.59554398148148147</v>
      </c>
      <c r="D2793" s="159">
        <v>10</v>
      </c>
      <c r="E2793" s="166" t="s">
        <v>2596</v>
      </c>
    </row>
    <row r="2794" spans="1:5">
      <c r="A2794" s="159">
        <f t="shared" si="35"/>
        <v>2793</v>
      </c>
      <c r="B2794" s="163">
        <v>45827</v>
      </c>
      <c r="C2794" s="164">
        <v>0.5862384259259259</v>
      </c>
      <c r="D2794" s="159">
        <v>10</v>
      </c>
      <c r="E2794" s="166" t="s">
        <v>2597</v>
      </c>
    </row>
    <row r="2795" spans="1:5">
      <c r="A2795" s="159">
        <f t="shared" si="35"/>
        <v>2794</v>
      </c>
      <c r="B2795" s="163">
        <v>45827</v>
      </c>
      <c r="C2795" s="164">
        <v>0.56443287037037038</v>
      </c>
      <c r="D2795" s="159">
        <v>10</v>
      </c>
      <c r="E2795" s="166" t="s">
        <v>2598</v>
      </c>
    </row>
    <row r="2796" spans="1:5">
      <c r="A2796" s="159">
        <f t="shared" si="35"/>
        <v>2795</v>
      </c>
      <c r="B2796" s="163">
        <v>45827</v>
      </c>
      <c r="C2796" s="164">
        <v>0.55274305555555558</v>
      </c>
      <c r="D2796" s="159">
        <v>10</v>
      </c>
      <c r="E2796" s="166" t="s">
        <v>2599</v>
      </c>
    </row>
    <row r="2797" spans="1:5">
      <c r="A2797" s="159">
        <f t="shared" si="35"/>
        <v>2796</v>
      </c>
      <c r="B2797" s="163">
        <v>45827</v>
      </c>
      <c r="C2797" s="164">
        <v>0.49442129629629633</v>
      </c>
      <c r="D2797" s="159">
        <v>10</v>
      </c>
      <c r="E2797" s="166" t="s">
        <v>2613</v>
      </c>
    </row>
    <row r="2798" spans="1:5">
      <c r="A2798" s="159">
        <f t="shared" si="35"/>
        <v>2797</v>
      </c>
      <c r="B2798" s="163">
        <v>45827</v>
      </c>
      <c r="C2798" s="164">
        <v>0.47606481481481483</v>
      </c>
      <c r="D2798" s="159">
        <v>10</v>
      </c>
      <c r="E2798" s="166" t="s">
        <v>2600</v>
      </c>
    </row>
    <row r="2799" spans="1:5">
      <c r="A2799" s="159">
        <f t="shared" si="35"/>
        <v>2798</v>
      </c>
      <c r="B2799" s="163">
        <v>45827</v>
      </c>
      <c r="C2799" s="164">
        <v>0.47545138888888888</v>
      </c>
      <c r="D2799" s="159">
        <v>10</v>
      </c>
      <c r="E2799" s="166" t="s">
        <v>2601</v>
      </c>
    </row>
    <row r="2800" spans="1:5">
      <c r="A2800" s="159">
        <f t="shared" si="35"/>
        <v>2799</v>
      </c>
      <c r="B2800" s="163">
        <v>45827</v>
      </c>
      <c r="C2800" s="164">
        <v>0.47222222222222227</v>
      </c>
      <c r="D2800" s="159">
        <v>10</v>
      </c>
      <c r="E2800" s="166" t="s">
        <v>2602</v>
      </c>
    </row>
    <row r="2801" spans="1:5">
      <c r="A2801" s="159">
        <f t="shared" si="35"/>
        <v>2800</v>
      </c>
      <c r="B2801" s="163">
        <v>45827</v>
      </c>
      <c r="C2801" s="164">
        <v>0.47260416666666666</v>
      </c>
      <c r="D2801" s="159">
        <v>10</v>
      </c>
      <c r="E2801" s="166" t="s">
        <v>2603</v>
      </c>
    </row>
    <row r="2802" spans="1:5">
      <c r="A2802" s="159">
        <f t="shared" si="35"/>
        <v>2801</v>
      </c>
      <c r="B2802" s="163">
        <v>45827</v>
      </c>
      <c r="C2802" s="164">
        <v>0.46196759259259257</v>
      </c>
      <c r="D2802" s="159">
        <v>10</v>
      </c>
      <c r="E2802" s="166" t="s">
        <v>2604</v>
      </c>
    </row>
    <row r="2803" spans="1:5">
      <c r="A2803" s="159">
        <f t="shared" si="35"/>
        <v>2802</v>
      </c>
      <c r="B2803" s="163">
        <v>45827</v>
      </c>
      <c r="C2803" s="164">
        <v>0.45474537037037038</v>
      </c>
      <c r="D2803" s="159">
        <v>7</v>
      </c>
      <c r="E2803" s="166" t="s">
        <v>2605</v>
      </c>
    </row>
    <row r="2804" spans="1:5" ht="27">
      <c r="A2804" s="159">
        <f t="shared" si="35"/>
        <v>2803</v>
      </c>
      <c r="B2804" s="163">
        <v>45827</v>
      </c>
      <c r="C2804" s="164">
        <v>0.44946759259259261</v>
      </c>
      <c r="D2804" s="159">
        <v>10</v>
      </c>
      <c r="E2804" s="166" t="s">
        <v>2612</v>
      </c>
    </row>
    <row r="2805" spans="1:5">
      <c r="A2805" s="159">
        <f t="shared" ref="A2805:A2868" si="36">ROW()-1</f>
        <v>2804</v>
      </c>
      <c r="B2805" s="163">
        <v>45827</v>
      </c>
      <c r="C2805" s="164">
        <v>0.44711805555555556</v>
      </c>
      <c r="D2805" s="159">
        <v>10</v>
      </c>
      <c r="E2805" s="166" t="s">
        <v>2606</v>
      </c>
    </row>
    <row r="2806" spans="1:5">
      <c r="A2806" s="159">
        <f t="shared" si="36"/>
        <v>2805</v>
      </c>
      <c r="B2806" s="163">
        <v>45827</v>
      </c>
      <c r="C2806" s="164">
        <v>0.44284722222222223</v>
      </c>
      <c r="D2806" s="159">
        <v>10</v>
      </c>
      <c r="E2806" s="166" t="s">
        <v>2607</v>
      </c>
    </row>
    <row r="2807" spans="1:5">
      <c r="A2807" s="159">
        <f t="shared" si="36"/>
        <v>2806</v>
      </c>
      <c r="B2807" s="163">
        <v>45827</v>
      </c>
      <c r="C2807" s="164">
        <v>0.43216435185185187</v>
      </c>
      <c r="D2807" s="159">
        <v>10</v>
      </c>
      <c r="E2807" s="166" t="s">
        <v>2608</v>
      </c>
    </row>
    <row r="2808" spans="1:5">
      <c r="A2808" s="159">
        <f t="shared" si="36"/>
        <v>2807</v>
      </c>
      <c r="B2808" s="163">
        <v>45827</v>
      </c>
      <c r="C2808" s="164">
        <v>0.42792824074074076</v>
      </c>
      <c r="D2808" s="159">
        <v>10</v>
      </c>
      <c r="E2808" s="166" t="s">
        <v>2609</v>
      </c>
    </row>
    <row r="2809" spans="1:5" ht="27">
      <c r="A2809" s="159">
        <f t="shared" si="36"/>
        <v>2808</v>
      </c>
      <c r="B2809" s="163">
        <v>45827</v>
      </c>
      <c r="C2809" s="164">
        <v>0.42587962962962966</v>
      </c>
      <c r="D2809" s="159">
        <v>10</v>
      </c>
      <c r="E2809" s="166" t="s">
        <v>2611</v>
      </c>
    </row>
    <row r="2810" spans="1:5">
      <c r="A2810" s="159">
        <f t="shared" si="36"/>
        <v>2809</v>
      </c>
      <c r="B2810" s="163">
        <v>45827</v>
      </c>
      <c r="C2810" s="164">
        <v>0.41531249999999997</v>
      </c>
      <c r="D2810" s="159">
        <v>10</v>
      </c>
      <c r="E2810" s="166" t="s">
        <v>2610</v>
      </c>
    </row>
    <row r="2811" spans="1:5">
      <c r="A2811" s="159">
        <f t="shared" si="36"/>
        <v>2810</v>
      </c>
      <c r="B2811" s="163">
        <v>45828</v>
      </c>
      <c r="C2811" s="164">
        <v>0.87778935185185192</v>
      </c>
      <c r="D2811" s="159">
        <v>10</v>
      </c>
      <c r="E2811" s="166" t="s">
        <v>2623</v>
      </c>
    </row>
    <row r="2812" spans="1:5">
      <c r="A2812" s="159">
        <f t="shared" si="36"/>
        <v>2811</v>
      </c>
      <c r="B2812" s="163">
        <v>45828</v>
      </c>
      <c r="C2812" s="164">
        <v>0.87153935185185183</v>
      </c>
      <c r="D2812" s="159">
        <v>10</v>
      </c>
      <c r="E2812" s="166" t="s">
        <v>444</v>
      </c>
    </row>
    <row r="2813" spans="1:5">
      <c r="A2813" s="159">
        <f t="shared" si="36"/>
        <v>2812</v>
      </c>
      <c r="B2813" s="163">
        <v>45828</v>
      </c>
      <c r="C2813" s="164">
        <v>0.84158564814814818</v>
      </c>
      <c r="D2813" s="159">
        <v>10</v>
      </c>
      <c r="E2813" s="166" t="s">
        <v>2624</v>
      </c>
    </row>
    <row r="2814" spans="1:5">
      <c r="A2814" s="159">
        <f t="shared" si="36"/>
        <v>2813</v>
      </c>
      <c r="B2814" s="163">
        <v>45828</v>
      </c>
      <c r="C2814" s="164">
        <v>0.75888888888888895</v>
      </c>
      <c r="D2814" s="159">
        <v>10</v>
      </c>
      <c r="E2814" s="166" t="s">
        <v>311</v>
      </c>
    </row>
    <row r="2815" spans="1:5">
      <c r="A2815" s="159">
        <f t="shared" si="36"/>
        <v>2814</v>
      </c>
      <c r="B2815" s="163">
        <v>45828</v>
      </c>
      <c r="C2815" s="164">
        <v>0.75171296296296297</v>
      </c>
      <c r="D2815" s="159">
        <v>10</v>
      </c>
      <c r="E2815" s="166" t="s">
        <v>2625</v>
      </c>
    </row>
    <row r="2816" spans="1:5">
      <c r="A2816" s="159">
        <f t="shared" si="36"/>
        <v>2815</v>
      </c>
      <c r="B2816" s="163">
        <v>45828</v>
      </c>
      <c r="C2816" s="164">
        <v>0.74424768518518514</v>
      </c>
      <c r="D2816" s="159">
        <v>10</v>
      </c>
      <c r="E2816" s="166" t="s">
        <v>2626</v>
      </c>
    </row>
    <row r="2817" spans="1:5">
      <c r="A2817" s="159">
        <f t="shared" si="36"/>
        <v>2816</v>
      </c>
      <c r="B2817" s="163">
        <v>45828</v>
      </c>
      <c r="C2817" s="164">
        <v>0.73769675925925926</v>
      </c>
      <c r="D2817" s="159">
        <v>10</v>
      </c>
      <c r="E2817" s="166" t="s">
        <v>2627</v>
      </c>
    </row>
    <row r="2818" spans="1:5">
      <c r="A2818" s="159">
        <f t="shared" si="36"/>
        <v>2817</v>
      </c>
      <c r="B2818" s="163">
        <v>45828</v>
      </c>
      <c r="C2818" s="164">
        <v>0.72434027777777776</v>
      </c>
      <c r="D2818" s="159">
        <v>10</v>
      </c>
      <c r="E2818" s="166" t="s">
        <v>2656</v>
      </c>
    </row>
    <row r="2819" spans="1:5">
      <c r="A2819" s="159">
        <f t="shared" si="36"/>
        <v>2818</v>
      </c>
      <c r="B2819" s="163">
        <v>45828</v>
      </c>
      <c r="C2819" s="164">
        <v>0.71278935185185188</v>
      </c>
      <c r="D2819" s="159">
        <v>10</v>
      </c>
      <c r="E2819" s="166" t="s">
        <v>2628</v>
      </c>
    </row>
    <row r="2820" spans="1:5">
      <c r="A2820" s="159">
        <f t="shared" si="36"/>
        <v>2819</v>
      </c>
      <c r="B2820" s="163">
        <v>45828</v>
      </c>
      <c r="C2820" s="164">
        <v>0.66282407407407407</v>
      </c>
      <c r="D2820" s="159">
        <v>10</v>
      </c>
      <c r="E2820" s="166" t="s">
        <v>2629</v>
      </c>
    </row>
    <row r="2821" spans="1:5">
      <c r="A2821" s="159">
        <f t="shared" si="36"/>
        <v>2820</v>
      </c>
      <c r="B2821" s="163">
        <v>45828</v>
      </c>
      <c r="C2821" s="164">
        <v>0.6544444444444445</v>
      </c>
      <c r="D2821" s="159">
        <v>10</v>
      </c>
      <c r="E2821" s="166" t="s">
        <v>2630</v>
      </c>
    </row>
    <row r="2822" spans="1:5">
      <c r="A2822" s="159">
        <f t="shared" si="36"/>
        <v>2821</v>
      </c>
      <c r="B2822" s="163">
        <v>45828</v>
      </c>
      <c r="C2822" s="164">
        <v>0.64962962962962967</v>
      </c>
      <c r="D2822" s="159">
        <v>10</v>
      </c>
      <c r="E2822" s="166" t="s">
        <v>2631</v>
      </c>
    </row>
    <row r="2823" spans="1:5">
      <c r="A2823" s="159">
        <f t="shared" si="36"/>
        <v>2822</v>
      </c>
      <c r="B2823" s="163">
        <v>45828</v>
      </c>
      <c r="C2823" s="164">
        <v>0.64450231481481479</v>
      </c>
      <c r="D2823" s="159">
        <v>10</v>
      </c>
      <c r="E2823" s="166" t="s">
        <v>2632</v>
      </c>
    </row>
    <row r="2824" spans="1:5">
      <c r="A2824" s="159">
        <f t="shared" si="36"/>
        <v>2823</v>
      </c>
      <c r="B2824" s="163">
        <v>45828</v>
      </c>
      <c r="C2824" s="164">
        <v>0.64402777777777775</v>
      </c>
      <c r="D2824" s="159">
        <v>10</v>
      </c>
      <c r="E2824" s="166" t="s">
        <v>2633</v>
      </c>
    </row>
    <row r="2825" spans="1:5">
      <c r="A2825" s="159">
        <f t="shared" si="36"/>
        <v>2824</v>
      </c>
      <c r="B2825" s="163">
        <v>45828</v>
      </c>
      <c r="C2825" s="164">
        <v>0.62737268518518519</v>
      </c>
      <c r="D2825" s="159">
        <v>10</v>
      </c>
      <c r="E2825" s="166" t="s">
        <v>2634</v>
      </c>
    </row>
    <row r="2826" spans="1:5">
      <c r="A2826" s="159">
        <f t="shared" si="36"/>
        <v>2825</v>
      </c>
      <c r="B2826" s="163">
        <v>45828</v>
      </c>
      <c r="C2826" s="164">
        <v>0.62081018518518516</v>
      </c>
      <c r="D2826" s="159">
        <v>10</v>
      </c>
      <c r="E2826" s="166" t="s">
        <v>2635</v>
      </c>
    </row>
    <row r="2827" spans="1:5">
      <c r="A2827" s="159">
        <f t="shared" si="36"/>
        <v>2826</v>
      </c>
      <c r="B2827" s="163">
        <v>45828</v>
      </c>
      <c r="C2827" s="164">
        <v>0.59884259259259254</v>
      </c>
      <c r="D2827" s="159">
        <v>10</v>
      </c>
      <c r="E2827" s="166" t="s">
        <v>2636</v>
      </c>
    </row>
    <row r="2828" spans="1:5">
      <c r="A2828" s="159">
        <f t="shared" si="36"/>
        <v>2827</v>
      </c>
      <c r="B2828" s="163">
        <v>45828</v>
      </c>
      <c r="C2828" s="164">
        <v>0.59113425925925933</v>
      </c>
      <c r="D2828" s="159">
        <v>10</v>
      </c>
      <c r="E2828" s="166" t="s">
        <v>2637</v>
      </c>
    </row>
    <row r="2829" spans="1:5">
      <c r="A2829" s="159">
        <f t="shared" si="36"/>
        <v>2828</v>
      </c>
      <c r="B2829" s="163">
        <v>45828</v>
      </c>
      <c r="C2829" s="164">
        <v>0.59034722222222225</v>
      </c>
      <c r="D2829" s="159">
        <v>10</v>
      </c>
      <c r="E2829" s="166" t="s">
        <v>2638</v>
      </c>
    </row>
    <row r="2830" spans="1:5">
      <c r="A2830" s="159">
        <f t="shared" si="36"/>
        <v>2829</v>
      </c>
      <c r="B2830" s="163">
        <v>45828</v>
      </c>
      <c r="C2830" s="164">
        <v>0.58376157407407414</v>
      </c>
      <c r="D2830" s="159">
        <v>1</v>
      </c>
      <c r="E2830" s="166" t="s">
        <v>2639</v>
      </c>
    </row>
    <row r="2831" spans="1:5">
      <c r="A2831" s="159">
        <f t="shared" si="36"/>
        <v>2830</v>
      </c>
      <c r="B2831" s="163">
        <v>45828</v>
      </c>
      <c r="C2831" s="164">
        <v>0.58126157407407408</v>
      </c>
      <c r="D2831" s="159">
        <v>10</v>
      </c>
      <c r="E2831" s="166" t="s">
        <v>2640</v>
      </c>
    </row>
    <row r="2832" spans="1:5">
      <c r="A2832" s="159">
        <f t="shared" si="36"/>
        <v>2831</v>
      </c>
      <c r="B2832" s="163">
        <v>45828</v>
      </c>
      <c r="C2832" s="164">
        <v>0.55158564814814814</v>
      </c>
      <c r="D2832" s="159">
        <v>10</v>
      </c>
      <c r="E2832" s="166" t="s">
        <v>2641</v>
      </c>
    </row>
    <row r="2833" spans="1:5">
      <c r="A2833" s="159">
        <f t="shared" si="36"/>
        <v>2832</v>
      </c>
      <c r="B2833" s="163">
        <v>45828</v>
      </c>
      <c r="C2833" s="164">
        <v>0.51621527777777776</v>
      </c>
      <c r="D2833" s="159">
        <v>10</v>
      </c>
      <c r="E2833" s="166" t="s">
        <v>2642</v>
      </c>
    </row>
    <row r="2834" spans="1:5">
      <c r="A2834" s="159">
        <f t="shared" si="36"/>
        <v>2833</v>
      </c>
      <c r="B2834" s="163">
        <v>45828</v>
      </c>
      <c r="C2834" s="164">
        <v>0.51033564814814814</v>
      </c>
      <c r="D2834" s="159">
        <v>10</v>
      </c>
      <c r="E2834" s="166" t="s">
        <v>627</v>
      </c>
    </row>
    <row r="2835" spans="1:5">
      <c r="A2835" s="159">
        <f t="shared" si="36"/>
        <v>2834</v>
      </c>
      <c r="B2835" s="163">
        <v>45828</v>
      </c>
      <c r="C2835" s="164">
        <v>0.50658564814814822</v>
      </c>
      <c r="D2835" s="159">
        <v>10</v>
      </c>
      <c r="E2835" s="166" t="s">
        <v>1305</v>
      </c>
    </row>
    <row r="2836" spans="1:5">
      <c r="A2836" s="159">
        <f t="shared" si="36"/>
        <v>2835</v>
      </c>
      <c r="B2836" s="163">
        <v>45828</v>
      </c>
      <c r="C2836" s="164">
        <v>0.48343749999999996</v>
      </c>
      <c r="D2836" s="159">
        <v>10</v>
      </c>
      <c r="E2836" s="166" t="s">
        <v>2643</v>
      </c>
    </row>
    <row r="2837" spans="1:5">
      <c r="A2837" s="159">
        <f t="shared" si="36"/>
        <v>2836</v>
      </c>
      <c r="B2837" s="163">
        <v>45828</v>
      </c>
      <c r="C2837" s="164">
        <v>0.47487268518518522</v>
      </c>
      <c r="D2837" s="159">
        <v>10</v>
      </c>
      <c r="E2837" s="166" t="s">
        <v>2644</v>
      </c>
    </row>
    <row r="2838" spans="1:5">
      <c r="A2838" s="159">
        <f t="shared" si="36"/>
        <v>2837</v>
      </c>
      <c r="B2838" s="163">
        <v>45828</v>
      </c>
      <c r="C2838" s="164">
        <v>0.46976851851851853</v>
      </c>
      <c r="D2838" s="159">
        <v>10</v>
      </c>
    </row>
    <row r="2839" spans="1:5">
      <c r="A2839" s="159">
        <f t="shared" si="36"/>
        <v>2838</v>
      </c>
      <c r="B2839" s="163">
        <v>45828</v>
      </c>
      <c r="C2839" s="164">
        <v>0.46954861111111112</v>
      </c>
      <c r="D2839" s="159">
        <v>10</v>
      </c>
      <c r="E2839" s="166" t="s">
        <v>2655</v>
      </c>
    </row>
    <row r="2840" spans="1:5">
      <c r="A2840" s="159">
        <f t="shared" si="36"/>
        <v>2839</v>
      </c>
      <c r="B2840" s="163">
        <v>45828</v>
      </c>
      <c r="C2840" s="164">
        <v>0.46858796296296296</v>
      </c>
      <c r="D2840" s="159">
        <v>8</v>
      </c>
      <c r="E2840" s="166" t="s">
        <v>2645</v>
      </c>
    </row>
    <row r="2841" spans="1:5">
      <c r="A2841" s="159">
        <f t="shared" si="36"/>
        <v>2840</v>
      </c>
      <c r="B2841" s="163">
        <v>45828</v>
      </c>
      <c r="C2841" s="164">
        <v>0.46430555555555553</v>
      </c>
      <c r="D2841" s="159">
        <v>10</v>
      </c>
      <c r="E2841" s="166" t="s">
        <v>2646</v>
      </c>
    </row>
    <row r="2842" spans="1:5">
      <c r="A2842" s="159">
        <f t="shared" si="36"/>
        <v>2841</v>
      </c>
      <c r="B2842" s="163">
        <v>45828</v>
      </c>
      <c r="C2842" s="164">
        <v>0.46253472222222225</v>
      </c>
      <c r="D2842" s="159">
        <v>10</v>
      </c>
      <c r="E2842" s="166" t="s">
        <v>2406</v>
      </c>
    </row>
    <row r="2843" spans="1:5">
      <c r="A2843" s="159">
        <f t="shared" si="36"/>
        <v>2842</v>
      </c>
      <c r="B2843" s="163">
        <v>45828</v>
      </c>
      <c r="C2843" s="164">
        <v>0.44045138888888885</v>
      </c>
      <c r="D2843" s="159">
        <v>10</v>
      </c>
      <c r="E2843" s="166" t="s">
        <v>2647</v>
      </c>
    </row>
    <row r="2844" spans="1:5">
      <c r="A2844" s="159">
        <f t="shared" si="36"/>
        <v>2843</v>
      </c>
      <c r="B2844" s="163">
        <v>45828</v>
      </c>
      <c r="C2844" s="164">
        <v>0.43990740740740741</v>
      </c>
      <c r="D2844" s="159">
        <v>10</v>
      </c>
      <c r="E2844" s="166" t="s">
        <v>2648</v>
      </c>
    </row>
    <row r="2845" spans="1:5" ht="40.5">
      <c r="A2845" s="159">
        <f t="shared" si="36"/>
        <v>2844</v>
      </c>
      <c r="B2845" s="163">
        <v>45828</v>
      </c>
      <c r="C2845" s="164">
        <v>0.43843750000000004</v>
      </c>
      <c r="D2845" s="159">
        <v>10</v>
      </c>
      <c r="E2845" s="166" t="s">
        <v>2654</v>
      </c>
    </row>
    <row r="2846" spans="1:5">
      <c r="A2846" s="159">
        <f t="shared" si="36"/>
        <v>2845</v>
      </c>
      <c r="B2846" s="163">
        <v>45828</v>
      </c>
      <c r="C2846" s="164">
        <v>0.43547453703703703</v>
      </c>
      <c r="D2846" s="159">
        <v>10</v>
      </c>
      <c r="E2846" s="166" t="s">
        <v>2649</v>
      </c>
    </row>
    <row r="2847" spans="1:5">
      <c r="A2847" s="159">
        <f t="shared" si="36"/>
        <v>2846</v>
      </c>
      <c r="B2847" s="163">
        <v>45828</v>
      </c>
      <c r="C2847" s="164">
        <v>0.42650462962962959</v>
      </c>
      <c r="D2847" s="159">
        <v>10</v>
      </c>
      <c r="E2847" s="166" t="s">
        <v>2650</v>
      </c>
    </row>
    <row r="2848" spans="1:5">
      <c r="A2848" s="159">
        <f t="shared" si="36"/>
        <v>2847</v>
      </c>
      <c r="B2848" s="163">
        <v>45828</v>
      </c>
      <c r="C2848" s="164">
        <v>0.41710648148148149</v>
      </c>
      <c r="D2848" s="159">
        <v>7</v>
      </c>
      <c r="E2848" s="166" t="s">
        <v>561</v>
      </c>
    </row>
    <row r="2849" spans="1:5">
      <c r="A2849" s="159">
        <f t="shared" si="36"/>
        <v>2848</v>
      </c>
      <c r="B2849" s="163">
        <v>45828</v>
      </c>
      <c r="C2849" s="164">
        <v>0.41173611111111108</v>
      </c>
      <c r="D2849" s="159">
        <v>10</v>
      </c>
      <c r="E2849" s="166" t="s">
        <v>2651</v>
      </c>
    </row>
    <row r="2850" spans="1:5">
      <c r="A2850" s="159">
        <f t="shared" si="36"/>
        <v>2849</v>
      </c>
      <c r="B2850" s="163">
        <v>45828</v>
      </c>
      <c r="C2850" s="164">
        <v>0.39322916666666669</v>
      </c>
      <c r="D2850" s="159">
        <v>10</v>
      </c>
      <c r="E2850" s="166" t="s">
        <v>2652</v>
      </c>
    </row>
    <row r="2851" spans="1:5">
      <c r="A2851" s="159">
        <f t="shared" si="36"/>
        <v>2850</v>
      </c>
      <c r="B2851" s="163">
        <v>45829</v>
      </c>
      <c r="C2851" s="164">
        <v>0.74966435185185187</v>
      </c>
      <c r="D2851" s="159">
        <v>10</v>
      </c>
      <c r="E2851" s="166" t="s">
        <v>2653</v>
      </c>
    </row>
    <row r="2852" spans="1:5">
      <c r="A2852" s="159">
        <f t="shared" si="36"/>
        <v>2851</v>
      </c>
      <c r="B2852" s="163">
        <v>45829</v>
      </c>
      <c r="C2852" s="164">
        <v>0.67303240740740744</v>
      </c>
      <c r="D2852" s="159">
        <v>10</v>
      </c>
      <c r="E2852" s="166" t="s">
        <v>2614</v>
      </c>
    </row>
    <row r="2853" spans="1:5">
      <c r="A2853" s="159">
        <f t="shared" si="36"/>
        <v>2852</v>
      </c>
      <c r="B2853" s="163">
        <v>45829</v>
      </c>
      <c r="C2853" s="164">
        <v>0.63384259259259257</v>
      </c>
      <c r="D2853" s="159">
        <v>10</v>
      </c>
      <c r="E2853" s="166" t="s">
        <v>2615</v>
      </c>
    </row>
    <row r="2854" spans="1:5" ht="27">
      <c r="A2854" s="159">
        <f t="shared" si="36"/>
        <v>2853</v>
      </c>
      <c r="B2854" s="163">
        <v>45829</v>
      </c>
      <c r="C2854" s="164">
        <v>0.59475694444444438</v>
      </c>
      <c r="D2854" s="159">
        <v>10</v>
      </c>
      <c r="E2854" s="166" t="s">
        <v>2616</v>
      </c>
    </row>
    <row r="2855" spans="1:5">
      <c r="A2855" s="159">
        <f t="shared" si="36"/>
        <v>2854</v>
      </c>
      <c r="B2855" s="163">
        <v>45829</v>
      </c>
      <c r="C2855" s="164">
        <v>0.59376157407407404</v>
      </c>
      <c r="D2855" s="159">
        <v>10</v>
      </c>
      <c r="E2855" s="166" t="s">
        <v>2617</v>
      </c>
    </row>
    <row r="2856" spans="1:5">
      <c r="A2856" s="159">
        <f t="shared" si="36"/>
        <v>2855</v>
      </c>
      <c r="B2856" s="163">
        <v>45829</v>
      </c>
      <c r="C2856" s="164">
        <v>0.5897337962962963</v>
      </c>
      <c r="D2856" s="159">
        <v>10</v>
      </c>
      <c r="E2856" s="166" t="s">
        <v>2618</v>
      </c>
    </row>
    <row r="2857" spans="1:5">
      <c r="A2857" s="159">
        <f t="shared" si="36"/>
        <v>2856</v>
      </c>
      <c r="B2857" s="163">
        <v>45829</v>
      </c>
      <c r="C2857" s="164">
        <v>0.54434027777777783</v>
      </c>
      <c r="D2857" s="159">
        <v>10</v>
      </c>
      <c r="E2857" s="166" t="s">
        <v>2619</v>
      </c>
    </row>
    <row r="2858" spans="1:5">
      <c r="A2858" s="159">
        <f t="shared" si="36"/>
        <v>2857</v>
      </c>
      <c r="B2858" s="163">
        <v>45829</v>
      </c>
      <c r="C2858" s="164">
        <v>0.53988425925925931</v>
      </c>
      <c r="D2858" s="159">
        <v>10</v>
      </c>
      <c r="E2858" s="166" t="s">
        <v>2620</v>
      </c>
    </row>
    <row r="2859" spans="1:5">
      <c r="A2859" s="159">
        <f t="shared" si="36"/>
        <v>2858</v>
      </c>
      <c r="B2859" s="163">
        <v>45829</v>
      </c>
      <c r="C2859" s="164">
        <v>0.50320601851851854</v>
      </c>
      <c r="D2859" s="159">
        <v>10</v>
      </c>
      <c r="E2859" s="166" t="s">
        <v>2615</v>
      </c>
    </row>
    <row r="2860" spans="1:5">
      <c r="A2860" s="159">
        <f t="shared" si="36"/>
        <v>2859</v>
      </c>
      <c r="B2860" s="163">
        <v>45829</v>
      </c>
      <c r="C2860" s="164">
        <v>0.50276620370370373</v>
      </c>
      <c r="D2860" s="159">
        <v>10</v>
      </c>
      <c r="E2860" s="166" t="s">
        <v>2621</v>
      </c>
    </row>
    <row r="2861" spans="1:5">
      <c r="A2861" s="159">
        <f t="shared" si="36"/>
        <v>2860</v>
      </c>
      <c r="B2861" s="163">
        <v>45829</v>
      </c>
      <c r="C2861" s="164">
        <v>0.46717592592592588</v>
      </c>
      <c r="D2861" s="159">
        <v>10</v>
      </c>
      <c r="E2861" s="166" t="s">
        <v>732</v>
      </c>
    </row>
    <row r="2862" spans="1:5">
      <c r="A2862" s="159">
        <f t="shared" si="36"/>
        <v>2861</v>
      </c>
      <c r="B2862" s="163">
        <v>45829</v>
      </c>
      <c r="C2862" s="164">
        <v>0.42413194444444446</v>
      </c>
      <c r="D2862" s="159">
        <v>10</v>
      </c>
      <c r="E2862" s="166" t="s">
        <v>2622</v>
      </c>
    </row>
    <row r="2863" spans="1:5">
      <c r="A2863" s="159">
        <f t="shared" si="36"/>
        <v>2862</v>
      </c>
      <c r="B2863" s="163">
        <v>45831</v>
      </c>
      <c r="C2863" s="164">
        <v>0.8575694444444445</v>
      </c>
      <c r="D2863" s="159">
        <v>10</v>
      </c>
      <c r="E2863" s="166" t="s">
        <v>2657</v>
      </c>
    </row>
    <row r="2864" spans="1:5">
      <c r="A2864" s="159">
        <f t="shared" si="36"/>
        <v>2863</v>
      </c>
      <c r="B2864" s="163">
        <v>45831</v>
      </c>
      <c r="C2864" s="164">
        <v>0.8547569444444445</v>
      </c>
      <c r="D2864" s="159">
        <v>10</v>
      </c>
      <c r="E2864" s="166" t="s">
        <v>132</v>
      </c>
    </row>
    <row r="2865" spans="1:5">
      <c r="A2865" s="159">
        <f t="shared" si="36"/>
        <v>2864</v>
      </c>
      <c r="B2865" s="163">
        <v>45831</v>
      </c>
      <c r="C2865" s="164">
        <v>0.84020833333333333</v>
      </c>
      <c r="D2865" s="159">
        <v>10</v>
      </c>
      <c r="E2865" s="166" t="s">
        <v>2658</v>
      </c>
    </row>
    <row r="2866" spans="1:5">
      <c r="A2866" s="159">
        <f t="shared" si="36"/>
        <v>2865</v>
      </c>
      <c r="B2866" s="163">
        <v>45831</v>
      </c>
      <c r="C2866" s="164">
        <v>0.73871527777777779</v>
      </c>
      <c r="D2866" s="159">
        <v>10</v>
      </c>
      <c r="E2866" s="166" t="s">
        <v>2659</v>
      </c>
    </row>
    <row r="2867" spans="1:5">
      <c r="A2867" s="159">
        <f t="shared" si="36"/>
        <v>2866</v>
      </c>
      <c r="B2867" s="163">
        <v>45831</v>
      </c>
      <c r="C2867" s="164">
        <v>0.73701388888888886</v>
      </c>
      <c r="D2867" s="159">
        <v>10</v>
      </c>
      <c r="E2867" s="166" t="s">
        <v>288</v>
      </c>
    </row>
    <row r="2868" spans="1:5">
      <c r="A2868" s="159">
        <f t="shared" si="36"/>
        <v>2867</v>
      </c>
      <c r="B2868" s="163">
        <v>45831</v>
      </c>
      <c r="C2868" s="164">
        <v>0.73563657407407401</v>
      </c>
      <c r="D2868" s="159">
        <v>10</v>
      </c>
      <c r="E2868" s="166" t="s">
        <v>2660</v>
      </c>
    </row>
    <row r="2869" spans="1:5">
      <c r="A2869" s="159">
        <f t="shared" ref="A2869:A2932" si="37">ROW()-1</f>
        <v>2868</v>
      </c>
      <c r="B2869" s="163">
        <v>45831</v>
      </c>
      <c r="C2869" s="164">
        <v>0.7290740740740741</v>
      </c>
      <c r="D2869" s="159">
        <v>10</v>
      </c>
      <c r="E2869" s="166" t="s">
        <v>2661</v>
      </c>
    </row>
    <row r="2870" spans="1:5" ht="27">
      <c r="A2870" s="159">
        <f t="shared" si="37"/>
        <v>2869</v>
      </c>
      <c r="B2870" s="163">
        <v>45831</v>
      </c>
      <c r="C2870" s="164">
        <v>0.72516203703703708</v>
      </c>
      <c r="D2870" s="159">
        <v>10</v>
      </c>
      <c r="E2870" s="166" t="s">
        <v>2662</v>
      </c>
    </row>
    <row r="2871" spans="1:5">
      <c r="A2871" s="159">
        <f t="shared" si="37"/>
        <v>2870</v>
      </c>
      <c r="B2871" s="163">
        <v>45831</v>
      </c>
      <c r="C2871" s="164">
        <v>0.71671296296296294</v>
      </c>
      <c r="D2871" s="159">
        <v>10</v>
      </c>
      <c r="E2871" s="166" t="s">
        <v>313</v>
      </c>
    </row>
    <row r="2872" spans="1:5">
      <c r="A2872" s="159">
        <f t="shared" si="37"/>
        <v>2871</v>
      </c>
      <c r="B2872" s="163">
        <v>45831</v>
      </c>
      <c r="C2872" s="164">
        <v>0.711400462962963</v>
      </c>
      <c r="D2872" s="159">
        <v>10</v>
      </c>
      <c r="E2872" s="166" t="s">
        <v>2663</v>
      </c>
    </row>
    <row r="2873" spans="1:5">
      <c r="A2873" s="159">
        <f t="shared" si="37"/>
        <v>2872</v>
      </c>
      <c r="B2873" s="163">
        <v>45831</v>
      </c>
      <c r="C2873" s="164">
        <v>0.70627314814814823</v>
      </c>
      <c r="D2873" s="159">
        <v>10</v>
      </c>
      <c r="E2873" s="166" t="s">
        <v>2664</v>
      </c>
    </row>
    <row r="2874" spans="1:5">
      <c r="A2874" s="159">
        <f t="shared" si="37"/>
        <v>2873</v>
      </c>
      <c r="B2874" s="163">
        <v>45831</v>
      </c>
      <c r="C2874" s="164">
        <v>0.70584490740740735</v>
      </c>
      <c r="D2874" s="159">
        <v>10</v>
      </c>
      <c r="E2874" s="166" t="s">
        <v>2665</v>
      </c>
    </row>
    <row r="2875" spans="1:5">
      <c r="A2875" s="159">
        <f t="shared" si="37"/>
        <v>2874</v>
      </c>
      <c r="B2875" s="163">
        <v>45831</v>
      </c>
      <c r="C2875" s="164">
        <v>0.7052314814814814</v>
      </c>
      <c r="D2875" s="159">
        <v>10</v>
      </c>
      <c r="E2875" s="166" t="s">
        <v>2666</v>
      </c>
    </row>
    <row r="2876" spans="1:5">
      <c r="A2876" s="159">
        <f t="shared" si="37"/>
        <v>2875</v>
      </c>
      <c r="B2876" s="163">
        <v>45831</v>
      </c>
      <c r="C2876" s="164">
        <v>0.69453703703703706</v>
      </c>
      <c r="D2876" s="159">
        <v>10</v>
      </c>
      <c r="E2876" s="166" t="s">
        <v>2667</v>
      </c>
    </row>
    <row r="2877" spans="1:5">
      <c r="A2877" s="159">
        <f t="shared" si="37"/>
        <v>2876</v>
      </c>
      <c r="B2877" s="163">
        <v>45831</v>
      </c>
      <c r="C2877" s="164">
        <v>0.69231481481481483</v>
      </c>
      <c r="D2877" s="159">
        <v>10</v>
      </c>
      <c r="E2877" s="166" t="s">
        <v>2668</v>
      </c>
    </row>
    <row r="2878" spans="1:5">
      <c r="A2878" s="159">
        <f t="shared" si="37"/>
        <v>2877</v>
      </c>
      <c r="B2878" s="163">
        <v>45831</v>
      </c>
      <c r="C2878" s="164">
        <v>0.68503472222222228</v>
      </c>
      <c r="D2878" s="159">
        <v>10</v>
      </c>
      <c r="E2878" s="166" t="s">
        <v>2531</v>
      </c>
    </row>
    <row r="2879" spans="1:5">
      <c r="A2879" s="159">
        <f t="shared" si="37"/>
        <v>2878</v>
      </c>
      <c r="B2879" s="163">
        <v>45831</v>
      </c>
      <c r="C2879" s="164">
        <v>0.67901620370370364</v>
      </c>
      <c r="D2879" s="159">
        <v>10</v>
      </c>
      <c r="E2879" s="166" t="s">
        <v>2669</v>
      </c>
    </row>
    <row r="2880" spans="1:5">
      <c r="A2880" s="159">
        <f t="shared" si="37"/>
        <v>2879</v>
      </c>
      <c r="B2880" s="163">
        <v>45831</v>
      </c>
      <c r="C2880" s="164">
        <v>0.67634259259259266</v>
      </c>
      <c r="D2880" s="159">
        <v>10</v>
      </c>
      <c r="E2880" s="166" t="s">
        <v>2670</v>
      </c>
    </row>
    <row r="2881" spans="1:5">
      <c r="A2881" s="159">
        <f t="shared" si="37"/>
        <v>2880</v>
      </c>
      <c r="B2881" s="163">
        <v>45831</v>
      </c>
      <c r="C2881" s="164">
        <v>0.67353009259259267</v>
      </c>
      <c r="D2881" s="159">
        <v>10</v>
      </c>
      <c r="E2881" s="166" t="s">
        <v>2671</v>
      </c>
    </row>
    <row r="2882" spans="1:5">
      <c r="A2882" s="159">
        <f t="shared" si="37"/>
        <v>2881</v>
      </c>
      <c r="B2882" s="163">
        <v>45831</v>
      </c>
      <c r="C2882" s="164">
        <v>0.66578703703703701</v>
      </c>
      <c r="D2882" s="159">
        <v>10</v>
      </c>
      <c r="E2882" s="166" t="s">
        <v>2672</v>
      </c>
    </row>
    <row r="2883" spans="1:5">
      <c r="A2883" s="159">
        <f t="shared" si="37"/>
        <v>2882</v>
      </c>
      <c r="B2883" s="163">
        <v>45831</v>
      </c>
      <c r="C2883" s="164">
        <v>0.65047453703703706</v>
      </c>
      <c r="D2883" s="159">
        <v>10</v>
      </c>
      <c r="E2883" s="166" t="s">
        <v>2673</v>
      </c>
    </row>
    <row r="2884" spans="1:5">
      <c r="A2884" s="159">
        <f t="shared" si="37"/>
        <v>2883</v>
      </c>
      <c r="B2884" s="163">
        <v>45831</v>
      </c>
      <c r="C2884" s="164">
        <v>0.63685185185185189</v>
      </c>
      <c r="D2884" s="159">
        <v>10</v>
      </c>
      <c r="E2884" s="166" t="s">
        <v>2674</v>
      </c>
    </row>
    <row r="2885" spans="1:5">
      <c r="A2885" s="159">
        <f t="shared" si="37"/>
        <v>2884</v>
      </c>
      <c r="B2885" s="163">
        <v>45831</v>
      </c>
      <c r="C2885" s="164">
        <v>0.63228009259259255</v>
      </c>
      <c r="D2885" s="159">
        <v>10</v>
      </c>
      <c r="E2885" s="166" t="s">
        <v>2675</v>
      </c>
    </row>
    <row r="2886" spans="1:5">
      <c r="A2886" s="159">
        <f t="shared" si="37"/>
        <v>2885</v>
      </c>
      <c r="B2886" s="163">
        <v>45831</v>
      </c>
      <c r="C2886" s="164">
        <v>0.61839120370370371</v>
      </c>
      <c r="D2886" s="159">
        <v>10</v>
      </c>
      <c r="E2886" s="166" t="s">
        <v>2676</v>
      </c>
    </row>
    <row r="2887" spans="1:5">
      <c r="A2887" s="159">
        <f t="shared" si="37"/>
        <v>2886</v>
      </c>
      <c r="B2887" s="163">
        <v>45831</v>
      </c>
      <c r="C2887" s="164">
        <v>0.61796296296296294</v>
      </c>
      <c r="D2887" s="159">
        <v>10</v>
      </c>
      <c r="E2887" s="166" t="s">
        <v>2677</v>
      </c>
    </row>
    <row r="2888" spans="1:5">
      <c r="A2888" s="159">
        <f t="shared" si="37"/>
        <v>2887</v>
      </c>
      <c r="B2888" s="163">
        <v>45831</v>
      </c>
      <c r="C2888" s="164">
        <v>0.59356481481481482</v>
      </c>
      <c r="D2888" s="159">
        <v>10</v>
      </c>
      <c r="E2888" s="166" t="s">
        <v>2678</v>
      </c>
    </row>
    <row r="2889" spans="1:5">
      <c r="A2889" s="159">
        <f t="shared" si="37"/>
        <v>2888</v>
      </c>
      <c r="B2889" s="163">
        <v>45831</v>
      </c>
      <c r="C2889" s="164">
        <v>0.5855555555555555</v>
      </c>
      <c r="D2889" s="159">
        <v>10</v>
      </c>
      <c r="E2889" s="166" t="s">
        <v>2679</v>
      </c>
    </row>
    <row r="2890" spans="1:5">
      <c r="A2890" s="159">
        <f t="shared" si="37"/>
        <v>2889</v>
      </c>
      <c r="B2890" s="163">
        <v>45831</v>
      </c>
      <c r="C2890" s="164">
        <v>0.5843518518518519</v>
      </c>
      <c r="D2890" s="159">
        <v>10</v>
      </c>
      <c r="E2890" s="166" t="s">
        <v>2382</v>
      </c>
    </row>
    <row r="2891" spans="1:5" ht="27">
      <c r="A2891" s="159">
        <f t="shared" si="37"/>
        <v>2890</v>
      </c>
      <c r="B2891" s="163">
        <v>45831</v>
      </c>
      <c r="C2891" s="164">
        <v>0.5817592592592592</v>
      </c>
      <c r="D2891" s="159">
        <v>10</v>
      </c>
      <c r="E2891" s="166" t="s">
        <v>2680</v>
      </c>
    </row>
    <row r="2892" spans="1:5">
      <c r="A2892" s="159">
        <f t="shared" si="37"/>
        <v>2891</v>
      </c>
      <c r="B2892" s="163">
        <v>45831</v>
      </c>
      <c r="C2892" s="164">
        <v>0.58045138888888892</v>
      </c>
      <c r="D2892" s="159">
        <v>10</v>
      </c>
      <c r="E2892" s="166" t="s">
        <v>2681</v>
      </c>
    </row>
    <row r="2893" spans="1:5">
      <c r="A2893" s="159">
        <f t="shared" si="37"/>
        <v>2892</v>
      </c>
      <c r="B2893" s="163">
        <v>45831</v>
      </c>
      <c r="C2893" s="164">
        <v>0.57998842592592592</v>
      </c>
      <c r="D2893" s="159">
        <v>10</v>
      </c>
      <c r="E2893" s="166" t="s">
        <v>2682</v>
      </c>
    </row>
    <row r="2894" spans="1:5">
      <c r="A2894" s="159">
        <f t="shared" si="37"/>
        <v>2893</v>
      </c>
      <c r="B2894" s="163">
        <v>45831</v>
      </c>
      <c r="C2894" s="164">
        <v>0.57155092592592593</v>
      </c>
      <c r="D2894" s="159">
        <v>10</v>
      </c>
      <c r="E2894" s="166" t="s">
        <v>2683</v>
      </c>
    </row>
    <row r="2895" spans="1:5">
      <c r="A2895" s="159">
        <f t="shared" si="37"/>
        <v>2894</v>
      </c>
      <c r="B2895" s="163">
        <v>45831</v>
      </c>
      <c r="C2895" s="164">
        <v>0.56922453703703701</v>
      </c>
      <c r="D2895" s="159">
        <v>10</v>
      </c>
      <c r="E2895" s="166" t="s">
        <v>2684</v>
      </c>
    </row>
    <row r="2896" spans="1:5">
      <c r="A2896" s="159">
        <f t="shared" si="37"/>
        <v>2895</v>
      </c>
      <c r="B2896" s="163">
        <v>45831</v>
      </c>
      <c r="C2896" s="164">
        <v>0.55995370370370368</v>
      </c>
      <c r="D2896" s="159">
        <v>10</v>
      </c>
      <c r="E2896" s="166" t="s">
        <v>2685</v>
      </c>
    </row>
    <row r="2897" spans="1:5">
      <c r="A2897" s="159">
        <f t="shared" si="37"/>
        <v>2896</v>
      </c>
      <c r="B2897" s="163">
        <v>45831</v>
      </c>
      <c r="C2897" s="164">
        <v>0.52093749999999994</v>
      </c>
      <c r="D2897" s="159">
        <v>10</v>
      </c>
      <c r="E2897" s="166" t="s">
        <v>2686</v>
      </c>
    </row>
    <row r="2898" spans="1:5" ht="27">
      <c r="A2898" s="159">
        <f t="shared" si="37"/>
        <v>2897</v>
      </c>
      <c r="B2898" s="163">
        <v>45831</v>
      </c>
      <c r="C2898" s="164">
        <v>0.48833333333333334</v>
      </c>
      <c r="D2898" s="159">
        <v>10</v>
      </c>
      <c r="E2898" s="166" t="s">
        <v>2699</v>
      </c>
    </row>
    <row r="2899" spans="1:5">
      <c r="A2899" s="159">
        <f t="shared" si="37"/>
        <v>2898</v>
      </c>
      <c r="B2899" s="163">
        <v>45831</v>
      </c>
      <c r="C2899" s="164">
        <v>0.47988425925925932</v>
      </c>
      <c r="D2899" s="159">
        <v>10</v>
      </c>
      <c r="E2899" s="166" t="s">
        <v>2687</v>
      </c>
    </row>
    <row r="2900" spans="1:5">
      <c r="A2900" s="159">
        <f t="shared" si="37"/>
        <v>2899</v>
      </c>
      <c r="B2900" s="163">
        <v>45831</v>
      </c>
      <c r="C2900" s="164">
        <v>0.47767361111111112</v>
      </c>
      <c r="D2900" s="159">
        <v>10</v>
      </c>
      <c r="E2900" s="166" t="s">
        <v>246</v>
      </c>
    </row>
    <row r="2901" spans="1:5">
      <c r="A2901" s="159">
        <f t="shared" si="37"/>
        <v>2900</v>
      </c>
      <c r="B2901" s="163">
        <v>45831</v>
      </c>
      <c r="C2901" s="164">
        <v>0.47078703703703706</v>
      </c>
      <c r="D2901" s="159">
        <v>10</v>
      </c>
      <c r="E2901" s="166" t="s">
        <v>2688</v>
      </c>
    </row>
    <row r="2902" spans="1:5">
      <c r="A2902" s="159">
        <f t="shared" si="37"/>
        <v>2901</v>
      </c>
      <c r="B2902" s="163">
        <v>45831</v>
      </c>
      <c r="C2902" s="164">
        <v>0.46795138888888888</v>
      </c>
      <c r="D2902" s="159">
        <v>10</v>
      </c>
      <c r="E2902" s="166" t="s">
        <v>2689</v>
      </c>
    </row>
    <row r="2903" spans="1:5">
      <c r="A2903" s="159">
        <f t="shared" si="37"/>
        <v>2902</v>
      </c>
      <c r="B2903" s="163">
        <v>45831</v>
      </c>
      <c r="C2903" s="164">
        <v>0.45873842592592595</v>
      </c>
      <c r="D2903" s="159">
        <v>10</v>
      </c>
      <c r="E2903" s="166" t="s">
        <v>537</v>
      </c>
    </row>
    <row r="2904" spans="1:5">
      <c r="A2904" s="159">
        <f t="shared" si="37"/>
        <v>2903</v>
      </c>
      <c r="B2904" s="163">
        <v>45831</v>
      </c>
      <c r="C2904" s="164">
        <v>0.45703703703703707</v>
      </c>
      <c r="D2904" s="159">
        <v>10</v>
      </c>
      <c r="E2904" s="166" t="s">
        <v>2690</v>
      </c>
    </row>
    <row r="2905" spans="1:5">
      <c r="A2905" s="159">
        <f t="shared" si="37"/>
        <v>2904</v>
      </c>
      <c r="B2905" s="163">
        <v>45831</v>
      </c>
      <c r="C2905" s="164">
        <v>0.44723379629629628</v>
      </c>
      <c r="D2905" s="159">
        <v>10</v>
      </c>
      <c r="E2905" s="166" t="s">
        <v>2691</v>
      </c>
    </row>
    <row r="2906" spans="1:5">
      <c r="A2906" s="159">
        <f t="shared" si="37"/>
        <v>2905</v>
      </c>
      <c r="B2906" s="163">
        <v>45831</v>
      </c>
      <c r="C2906" s="164">
        <v>0.43303240740740739</v>
      </c>
      <c r="D2906" s="159">
        <v>10</v>
      </c>
      <c r="E2906" s="166" t="s">
        <v>2692</v>
      </c>
    </row>
    <row r="2907" spans="1:5">
      <c r="A2907" s="159">
        <f t="shared" si="37"/>
        <v>2906</v>
      </c>
      <c r="B2907" s="163">
        <v>45831</v>
      </c>
      <c r="C2907" s="164">
        <v>0.42831018518518515</v>
      </c>
      <c r="D2907" s="159">
        <v>10</v>
      </c>
      <c r="E2907" s="166" t="s">
        <v>2693</v>
      </c>
    </row>
    <row r="2908" spans="1:5">
      <c r="A2908" s="159">
        <f t="shared" si="37"/>
        <v>2907</v>
      </c>
      <c r="B2908" s="163">
        <v>45831</v>
      </c>
      <c r="C2908" s="164">
        <v>0.42702546296296301</v>
      </c>
      <c r="D2908" s="159">
        <v>10</v>
      </c>
      <c r="E2908" s="166" t="s">
        <v>2698</v>
      </c>
    </row>
    <row r="2909" spans="1:5">
      <c r="A2909" s="159">
        <f t="shared" si="37"/>
        <v>2908</v>
      </c>
      <c r="B2909" s="163">
        <v>45831</v>
      </c>
      <c r="C2909" s="164">
        <v>0.41736111111111113</v>
      </c>
      <c r="D2909" s="159">
        <v>10</v>
      </c>
      <c r="E2909" s="166" t="s">
        <v>2697</v>
      </c>
    </row>
    <row r="2910" spans="1:5">
      <c r="A2910" s="159">
        <f t="shared" si="37"/>
        <v>2909</v>
      </c>
      <c r="B2910" s="163">
        <v>45831</v>
      </c>
      <c r="C2910" s="164">
        <v>0.41770833333333335</v>
      </c>
      <c r="D2910" s="159">
        <v>10</v>
      </c>
      <c r="E2910" s="166" t="s">
        <v>313</v>
      </c>
    </row>
    <row r="2911" spans="1:5">
      <c r="A2911" s="159">
        <f t="shared" si="37"/>
        <v>2910</v>
      </c>
      <c r="B2911" s="163">
        <v>45831</v>
      </c>
      <c r="C2911" s="164">
        <v>0.41687500000000005</v>
      </c>
      <c r="D2911" s="159">
        <v>10</v>
      </c>
      <c r="E2911" s="166" t="s">
        <v>2694</v>
      </c>
    </row>
    <row r="2912" spans="1:5">
      <c r="A2912" s="159">
        <f t="shared" si="37"/>
        <v>2911</v>
      </c>
      <c r="B2912" s="163">
        <v>45831</v>
      </c>
      <c r="C2912" s="164">
        <v>0.4089930555555556</v>
      </c>
      <c r="D2912" s="159">
        <v>10</v>
      </c>
      <c r="E2912" s="166" t="s">
        <v>2695</v>
      </c>
    </row>
    <row r="2913" spans="1:5">
      <c r="A2913" s="159">
        <f t="shared" si="37"/>
        <v>2912</v>
      </c>
      <c r="B2913" s="163">
        <v>45831</v>
      </c>
      <c r="C2913" s="164">
        <v>0.39057870370370368</v>
      </c>
      <c r="D2913" s="159">
        <v>10</v>
      </c>
      <c r="E2913" s="166" t="s">
        <v>2696</v>
      </c>
    </row>
    <row r="2914" spans="1:5">
      <c r="A2914" s="159">
        <f t="shared" si="37"/>
        <v>2913</v>
      </c>
      <c r="B2914" s="163">
        <v>45832</v>
      </c>
      <c r="C2914" s="164">
        <v>0.89201388888888899</v>
      </c>
      <c r="D2914" s="159">
        <v>10</v>
      </c>
      <c r="E2914" s="166" t="s">
        <v>2700</v>
      </c>
    </row>
    <row r="2915" spans="1:5">
      <c r="A2915" s="159">
        <f t="shared" si="37"/>
        <v>2914</v>
      </c>
      <c r="B2915" s="163">
        <v>45832</v>
      </c>
      <c r="C2915" s="164">
        <v>0.88263888888888886</v>
      </c>
      <c r="D2915" s="159">
        <v>10</v>
      </c>
      <c r="E2915" s="166" t="s">
        <v>2701</v>
      </c>
    </row>
    <row r="2916" spans="1:5" ht="27">
      <c r="A2916" s="159">
        <f t="shared" si="37"/>
        <v>2915</v>
      </c>
      <c r="B2916" s="163">
        <v>45832</v>
      </c>
      <c r="C2916" s="164">
        <v>0.88041666666666663</v>
      </c>
      <c r="D2916" s="159">
        <v>10</v>
      </c>
      <c r="E2916" s="166" t="s">
        <v>2702</v>
      </c>
    </row>
    <row r="2917" spans="1:5">
      <c r="A2917" s="159">
        <f t="shared" si="37"/>
        <v>2916</v>
      </c>
      <c r="B2917" s="163">
        <v>45832</v>
      </c>
      <c r="C2917" s="164">
        <v>0.80864583333333329</v>
      </c>
      <c r="D2917" s="159">
        <v>10</v>
      </c>
      <c r="E2917" s="166" t="s">
        <v>2703</v>
      </c>
    </row>
    <row r="2918" spans="1:5">
      <c r="A2918" s="159">
        <f t="shared" si="37"/>
        <v>2917</v>
      </c>
      <c r="B2918" s="163">
        <v>45832</v>
      </c>
      <c r="C2918" s="164">
        <v>0.78809027777777774</v>
      </c>
      <c r="D2918" s="159">
        <v>10</v>
      </c>
      <c r="E2918" s="166" t="s">
        <v>179</v>
      </c>
    </row>
    <row r="2919" spans="1:5">
      <c r="A2919" s="159">
        <f t="shared" si="37"/>
        <v>2918</v>
      </c>
      <c r="B2919" s="163">
        <v>45832</v>
      </c>
      <c r="C2919" s="164">
        <v>0.78642361111111114</v>
      </c>
      <c r="D2919" s="159">
        <v>10</v>
      </c>
      <c r="E2919" s="166" t="s">
        <v>2704</v>
      </c>
    </row>
    <row r="2920" spans="1:5">
      <c r="A2920" s="159">
        <f t="shared" si="37"/>
        <v>2919</v>
      </c>
      <c r="B2920" s="163">
        <v>45832</v>
      </c>
      <c r="C2920" s="164">
        <v>0.74366898148148142</v>
      </c>
      <c r="D2920" s="159">
        <v>10</v>
      </c>
      <c r="E2920" s="166" t="s">
        <v>2705</v>
      </c>
    </row>
    <row r="2921" spans="1:5" ht="67.5">
      <c r="A2921" s="159">
        <f t="shared" si="37"/>
        <v>2920</v>
      </c>
      <c r="B2921" s="163">
        <v>45832</v>
      </c>
      <c r="C2921" s="164">
        <v>0.74261574074074066</v>
      </c>
      <c r="D2921" s="159">
        <v>10</v>
      </c>
      <c r="E2921" s="166" t="s">
        <v>2747</v>
      </c>
    </row>
    <row r="2922" spans="1:5">
      <c r="A2922" s="159">
        <f t="shared" si="37"/>
        <v>2921</v>
      </c>
      <c r="B2922" s="163">
        <v>45832</v>
      </c>
      <c r="C2922" s="164">
        <v>0.72859953703703706</v>
      </c>
      <c r="D2922" s="159">
        <v>10</v>
      </c>
      <c r="E2922" s="166" t="s">
        <v>2706</v>
      </c>
    </row>
    <row r="2923" spans="1:5">
      <c r="A2923" s="159">
        <f t="shared" si="37"/>
        <v>2922</v>
      </c>
      <c r="B2923" s="163">
        <v>45832</v>
      </c>
      <c r="C2923" s="164">
        <v>0.72734953703703698</v>
      </c>
      <c r="D2923" s="159">
        <v>10</v>
      </c>
      <c r="E2923" s="166" t="s">
        <v>2707</v>
      </c>
    </row>
    <row r="2924" spans="1:5">
      <c r="A2924" s="159">
        <f t="shared" si="37"/>
        <v>2923</v>
      </c>
      <c r="B2924" s="163">
        <v>45832</v>
      </c>
      <c r="C2924" s="164">
        <v>0.72696759259259258</v>
      </c>
      <c r="D2924" s="159">
        <v>10</v>
      </c>
      <c r="E2924" s="166" t="s">
        <v>2708</v>
      </c>
    </row>
    <row r="2925" spans="1:5">
      <c r="A2925" s="159">
        <f t="shared" si="37"/>
        <v>2924</v>
      </c>
      <c r="B2925" s="163">
        <v>45832</v>
      </c>
      <c r="C2925" s="164">
        <v>0.72644675925925928</v>
      </c>
      <c r="D2925" s="159">
        <v>10</v>
      </c>
      <c r="E2925" s="166" t="s">
        <v>2709</v>
      </c>
    </row>
    <row r="2926" spans="1:5">
      <c r="A2926" s="159">
        <f t="shared" si="37"/>
        <v>2925</v>
      </c>
      <c r="B2926" s="163">
        <v>45832</v>
      </c>
      <c r="C2926" s="164">
        <v>0.70930555555555552</v>
      </c>
      <c r="D2926" s="159">
        <v>10</v>
      </c>
      <c r="E2926" s="166" t="s">
        <v>2710</v>
      </c>
    </row>
    <row r="2927" spans="1:5">
      <c r="A2927" s="159">
        <f t="shared" si="37"/>
        <v>2926</v>
      </c>
      <c r="B2927" s="163">
        <v>45832</v>
      </c>
      <c r="C2927" s="164">
        <v>0.7003935185185185</v>
      </c>
      <c r="D2927" s="159">
        <v>9</v>
      </c>
      <c r="E2927" s="166" t="s">
        <v>244</v>
      </c>
    </row>
    <row r="2928" spans="1:5" ht="27">
      <c r="A2928" s="159">
        <f t="shared" si="37"/>
        <v>2927</v>
      </c>
      <c r="B2928" s="163">
        <v>45832</v>
      </c>
      <c r="C2928" s="164">
        <v>0.6887847222222222</v>
      </c>
      <c r="D2928" s="159">
        <v>10</v>
      </c>
      <c r="E2928" s="166" t="s">
        <v>2746</v>
      </c>
    </row>
    <row r="2929" spans="1:5">
      <c r="A2929" s="159">
        <f t="shared" si="37"/>
        <v>2928</v>
      </c>
      <c r="B2929" s="163">
        <v>45832</v>
      </c>
      <c r="C2929" s="164">
        <v>0.69229166666666664</v>
      </c>
      <c r="D2929" s="159">
        <v>10</v>
      </c>
      <c r="E2929" s="166" t="s">
        <v>273</v>
      </c>
    </row>
    <row r="2930" spans="1:5">
      <c r="A2930" s="159">
        <f t="shared" si="37"/>
        <v>2929</v>
      </c>
      <c r="B2930" s="163">
        <v>45832</v>
      </c>
      <c r="C2930" s="164">
        <v>0.69195601851851851</v>
      </c>
      <c r="D2930" s="159">
        <v>10</v>
      </c>
      <c r="E2930" s="166" t="s">
        <v>2711</v>
      </c>
    </row>
    <row r="2931" spans="1:5">
      <c r="A2931" s="159">
        <f t="shared" si="37"/>
        <v>2930</v>
      </c>
      <c r="B2931" s="163">
        <v>45832</v>
      </c>
      <c r="C2931" s="164">
        <v>0.68016203703703704</v>
      </c>
      <c r="D2931" s="159">
        <v>10</v>
      </c>
      <c r="E2931" s="166" t="s">
        <v>2712</v>
      </c>
    </row>
    <row r="2932" spans="1:5">
      <c r="A2932" s="159">
        <f t="shared" si="37"/>
        <v>2931</v>
      </c>
      <c r="B2932" s="163">
        <v>45832</v>
      </c>
      <c r="C2932" s="164">
        <v>0.67928240740740742</v>
      </c>
      <c r="D2932" s="159">
        <v>10</v>
      </c>
      <c r="E2932" s="166" t="s">
        <v>2713</v>
      </c>
    </row>
    <row r="2933" spans="1:5">
      <c r="A2933" s="159">
        <f t="shared" ref="A2933:A2996" si="38">ROW()-1</f>
        <v>2932</v>
      </c>
      <c r="B2933" s="163">
        <v>45832</v>
      </c>
      <c r="C2933" s="164">
        <v>0.66415509259259264</v>
      </c>
      <c r="D2933" s="159">
        <v>10</v>
      </c>
      <c r="E2933" s="166" t="s">
        <v>2714</v>
      </c>
    </row>
    <row r="2934" spans="1:5">
      <c r="A2934" s="159">
        <f t="shared" si="38"/>
        <v>2933</v>
      </c>
      <c r="B2934" s="163">
        <v>45832</v>
      </c>
      <c r="C2934" s="164">
        <v>0.65849537037037031</v>
      </c>
      <c r="D2934" s="159">
        <v>10</v>
      </c>
      <c r="E2934" s="166" t="s">
        <v>2715</v>
      </c>
    </row>
    <row r="2935" spans="1:5">
      <c r="A2935" s="159">
        <f t="shared" si="38"/>
        <v>2934</v>
      </c>
      <c r="B2935" s="163">
        <v>45832</v>
      </c>
      <c r="C2935" s="164">
        <v>0.64662037037037035</v>
      </c>
      <c r="D2935" s="159">
        <v>10</v>
      </c>
      <c r="E2935" s="166" t="s">
        <v>2716</v>
      </c>
    </row>
    <row r="2936" spans="1:5">
      <c r="A2936" s="159">
        <f t="shared" si="38"/>
        <v>2935</v>
      </c>
      <c r="B2936" s="163">
        <v>45832</v>
      </c>
      <c r="C2936" s="164">
        <v>0.6428935185185185</v>
      </c>
      <c r="D2936" s="159">
        <v>10</v>
      </c>
      <c r="E2936" s="166" t="s">
        <v>2717</v>
      </c>
    </row>
    <row r="2937" spans="1:5">
      <c r="A2937" s="159">
        <f t="shared" si="38"/>
        <v>2936</v>
      </c>
      <c r="B2937" s="163">
        <v>45832</v>
      </c>
      <c r="C2937" s="164">
        <v>0.63163194444444448</v>
      </c>
      <c r="D2937" s="159">
        <v>10</v>
      </c>
      <c r="E2937" s="166" t="s">
        <v>2718</v>
      </c>
    </row>
    <row r="2938" spans="1:5">
      <c r="A2938" s="159">
        <f t="shared" si="38"/>
        <v>2937</v>
      </c>
      <c r="B2938" s="163">
        <v>45832</v>
      </c>
      <c r="C2938" s="164">
        <v>0.62376157407407407</v>
      </c>
      <c r="D2938" s="159">
        <v>10</v>
      </c>
      <c r="E2938" s="166" t="s">
        <v>2745</v>
      </c>
    </row>
    <row r="2939" spans="1:5">
      <c r="A2939" s="159">
        <f t="shared" si="38"/>
        <v>2938</v>
      </c>
      <c r="B2939" s="163">
        <v>45832</v>
      </c>
      <c r="C2939" s="164">
        <v>0.62599537037037034</v>
      </c>
      <c r="D2939" s="159">
        <v>10</v>
      </c>
      <c r="E2939" s="166" t="s">
        <v>2719</v>
      </c>
    </row>
    <row r="2940" spans="1:5">
      <c r="A2940" s="159">
        <f t="shared" si="38"/>
        <v>2939</v>
      </c>
      <c r="B2940" s="163">
        <v>45832</v>
      </c>
      <c r="C2940" s="164">
        <v>0.61987268518518512</v>
      </c>
      <c r="D2940" s="159">
        <v>10</v>
      </c>
      <c r="E2940" s="166" t="s">
        <v>2720</v>
      </c>
    </row>
    <row r="2941" spans="1:5">
      <c r="A2941" s="159">
        <f t="shared" si="38"/>
        <v>2940</v>
      </c>
      <c r="B2941" s="163">
        <v>45832</v>
      </c>
      <c r="C2941" s="164">
        <v>0.61509259259259264</v>
      </c>
      <c r="D2941" s="159">
        <v>10</v>
      </c>
      <c r="E2941" s="166" t="s">
        <v>246</v>
      </c>
    </row>
    <row r="2942" spans="1:5">
      <c r="A2942" s="159">
        <f t="shared" si="38"/>
        <v>2941</v>
      </c>
      <c r="B2942" s="163">
        <v>45832</v>
      </c>
      <c r="C2942" s="164">
        <v>0.61106481481481478</v>
      </c>
      <c r="D2942" s="159">
        <v>10</v>
      </c>
      <c r="E2942" s="166" t="s">
        <v>2721</v>
      </c>
    </row>
    <row r="2943" spans="1:5">
      <c r="A2943" s="159">
        <f t="shared" si="38"/>
        <v>2942</v>
      </c>
      <c r="B2943" s="163">
        <v>45832</v>
      </c>
      <c r="C2943" s="164">
        <v>0.60982638888888896</v>
      </c>
      <c r="D2943" s="159">
        <v>10</v>
      </c>
      <c r="E2943" s="166" t="s">
        <v>2722</v>
      </c>
    </row>
    <row r="2944" spans="1:5">
      <c r="A2944" s="159">
        <f t="shared" si="38"/>
        <v>2943</v>
      </c>
      <c r="B2944" s="163">
        <v>45832</v>
      </c>
      <c r="C2944" s="164">
        <v>0.60555555555555551</v>
      </c>
      <c r="D2944" s="159">
        <v>10</v>
      </c>
      <c r="E2944" s="166" t="s">
        <v>313</v>
      </c>
    </row>
    <row r="2945" spans="1:5">
      <c r="A2945" s="159">
        <f t="shared" si="38"/>
        <v>2944</v>
      </c>
      <c r="B2945" s="163">
        <v>45832</v>
      </c>
      <c r="C2945" s="164">
        <v>0.58583333333333332</v>
      </c>
      <c r="D2945" s="159">
        <v>10</v>
      </c>
      <c r="E2945" s="166" t="s">
        <v>2723</v>
      </c>
    </row>
    <row r="2946" spans="1:5">
      <c r="A2946" s="159">
        <f t="shared" si="38"/>
        <v>2945</v>
      </c>
      <c r="B2946" s="163">
        <v>45832</v>
      </c>
      <c r="C2946" s="164">
        <v>0.58501157407407411</v>
      </c>
      <c r="D2946" s="159">
        <v>10</v>
      </c>
      <c r="E2946" s="166" t="s">
        <v>2724</v>
      </c>
    </row>
    <row r="2947" spans="1:5">
      <c r="A2947" s="159">
        <f t="shared" si="38"/>
        <v>2946</v>
      </c>
      <c r="B2947" s="163">
        <v>45832</v>
      </c>
      <c r="C2947" s="164">
        <v>0.58165509259259263</v>
      </c>
      <c r="D2947" s="159">
        <v>10</v>
      </c>
      <c r="E2947" s="166" t="s">
        <v>2725</v>
      </c>
    </row>
    <row r="2948" spans="1:5">
      <c r="A2948" s="159">
        <f t="shared" si="38"/>
        <v>2947</v>
      </c>
      <c r="B2948" s="163">
        <v>45832</v>
      </c>
      <c r="C2948" s="164">
        <v>0.57207175925925924</v>
      </c>
      <c r="D2948" s="159">
        <v>10</v>
      </c>
      <c r="E2948" s="166" t="s">
        <v>2726</v>
      </c>
    </row>
    <row r="2949" spans="1:5">
      <c r="A2949" s="159">
        <f t="shared" si="38"/>
        <v>2948</v>
      </c>
      <c r="B2949" s="163">
        <v>45832</v>
      </c>
      <c r="C2949" s="164">
        <v>0.56158564814814815</v>
      </c>
      <c r="D2949" s="159">
        <v>10</v>
      </c>
      <c r="E2949" s="166" t="s">
        <v>2744</v>
      </c>
    </row>
    <row r="2950" spans="1:5">
      <c r="A2950" s="159">
        <f t="shared" si="38"/>
        <v>2949</v>
      </c>
      <c r="B2950" s="163">
        <v>45832</v>
      </c>
      <c r="C2950" s="164">
        <v>0.55756944444444445</v>
      </c>
      <c r="D2950" s="159">
        <v>10</v>
      </c>
      <c r="E2950" s="166" t="s">
        <v>2727</v>
      </c>
    </row>
    <row r="2951" spans="1:5">
      <c r="A2951" s="159">
        <f t="shared" si="38"/>
        <v>2950</v>
      </c>
      <c r="B2951" s="163">
        <v>45832</v>
      </c>
      <c r="C2951" s="164">
        <v>0.55361111111111116</v>
      </c>
      <c r="D2951" s="159">
        <v>10</v>
      </c>
      <c r="E2951" s="166" t="s">
        <v>2728</v>
      </c>
    </row>
    <row r="2952" spans="1:5">
      <c r="A2952" s="159">
        <f t="shared" si="38"/>
        <v>2951</v>
      </c>
      <c r="B2952" s="163">
        <v>45832</v>
      </c>
      <c r="C2952" s="164">
        <v>0.51181712962962966</v>
      </c>
      <c r="D2952" s="159">
        <v>10</v>
      </c>
      <c r="E2952" s="166" t="s">
        <v>2729</v>
      </c>
    </row>
    <row r="2953" spans="1:5">
      <c r="A2953" s="159">
        <f t="shared" si="38"/>
        <v>2952</v>
      </c>
      <c r="B2953" s="163">
        <v>45832</v>
      </c>
      <c r="C2953" s="164">
        <v>0.50094907407407407</v>
      </c>
      <c r="D2953" s="159">
        <v>10</v>
      </c>
      <c r="E2953" s="166" t="s">
        <v>2730</v>
      </c>
    </row>
    <row r="2954" spans="1:5">
      <c r="A2954" s="159">
        <f t="shared" si="38"/>
        <v>2953</v>
      </c>
      <c r="B2954" s="163">
        <v>45832</v>
      </c>
      <c r="C2954" s="164">
        <v>0.49605324074074075</v>
      </c>
      <c r="D2954" s="159">
        <v>10</v>
      </c>
      <c r="E2954" s="166" t="s">
        <v>2731</v>
      </c>
    </row>
    <row r="2955" spans="1:5">
      <c r="A2955" s="159">
        <f t="shared" si="38"/>
        <v>2954</v>
      </c>
      <c r="B2955" s="163">
        <v>45832</v>
      </c>
      <c r="C2955" s="164">
        <v>0.49020833333333336</v>
      </c>
      <c r="D2955" s="159">
        <v>9</v>
      </c>
      <c r="E2955" s="166" t="s">
        <v>2732</v>
      </c>
    </row>
    <row r="2956" spans="1:5">
      <c r="A2956" s="159">
        <f t="shared" si="38"/>
        <v>2955</v>
      </c>
      <c r="B2956" s="163">
        <v>45832</v>
      </c>
      <c r="C2956" s="164">
        <v>0.48350694444444442</v>
      </c>
      <c r="D2956" s="159">
        <v>10</v>
      </c>
      <c r="E2956" s="166" t="s">
        <v>2733</v>
      </c>
    </row>
    <row r="2957" spans="1:5">
      <c r="A2957" s="159">
        <f t="shared" si="38"/>
        <v>2956</v>
      </c>
      <c r="B2957" s="163">
        <v>45832</v>
      </c>
      <c r="C2957" s="164">
        <v>0.47754629629629625</v>
      </c>
      <c r="D2957" s="159">
        <v>10</v>
      </c>
      <c r="E2957" s="166" t="s">
        <v>2734</v>
      </c>
    </row>
    <row r="2958" spans="1:5">
      <c r="A2958" s="159">
        <f t="shared" si="38"/>
        <v>2957</v>
      </c>
      <c r="B2958" s="163">
        <v>45832</v>
      </c>
      <c r="C2958" s="164">
        <v>0.47645833333333337</v>
      </c>
      <c r="D2958" s="159">
        <v>10</v>
      </c>
      <c r="E2958" s="166" t="s">
        <v>2735</v>
      </c>
    </row>
    <row r="2959" spans="1:5">
      <c r="A2959" s="159">
        <f t="shared" si="38"/>
        <v>2958</v>
      </c>
      <c r="B2959" s="163">
        <v>45832</v>
      </c>
      <c r="C2959" s="164">
        <v>0.47438657407407409</v>
      </c>
      <c r="D2959" s="159">
        <v>10</v>
      </c>
      <c r="E2959" s="166" t="s">
        <v>2736</v>
      </c>
    </row>
    <row r="2960" spans="1:5">
      <c r="A2960" s="159">
        <f t="shared" si="38"/>
        <v>2959</v>
      </c>
      <c r="B2960" s="163">
        <v>45832</v>
      </c>
      <c r="C2960" s="164">
        <v>0.46350694444444446</v>
      </c>
      <c r="D2960" s="159">
        <v>10</v>
      </c>
      <c r="E2960" s="166" t="s">
        <v>2737</v>
      </c>
    </row>
    <row r="2961" spans="1:5">
      <c r="A2961" s="159">
        <f t="shared" si="38"/>
        <v>2960</v>
      </c>
      <c r="B2961" s="163">
        <v>45832</v>
      </c>
      <c r="C2961" s="164">
        <v>0.4632060185185185</v>
      </c>
      <c r="D2961" s="159">
        <v>10</v>
      </c>
      <c r="E2961" s="166" t="s">
        <v>2738</v>
      </c>
    </row>
    <row r="2962" spans="1:5">
      <c r="A2962" s="159">
        <f t="shared" si="38"/>
        <v>2961</v>
      </c>
      <c r="B2962" s="163">
        <v>45832</v>
      </c>
      <c r="C2962" s="164">
        <v>0.44218750000000001</v>
      </c>
      <c r="D2962" s="159">
        <v>10</v>
      </c>
      <c r="E2962" s="166" t="s">
        <v>2739</v>
      </c>
    </row>
    <row r="2963" spans="1:5">
      <c r="A2963" s="159">
        <f t="shared" si="38"/>
        <v>2962</v>
      </c>
      <c r="B2963" s="163">
        <v>45832</v>
      </c>
      <c r="C2963" s="164">
        <v>0.39819444444444446</v>
      </c>
      <c r="D2963" s="159">
        <v>10</v>
      </c>
      <c r="E2963" s="166" t="s">
        <v>2740</v>
      </c>
    </row>
    <row r="2964" spans="1:5">
      <c r="A2964" s="159">
        <f t="shared" si="38"/>
        <v>2963</v>
      </c>
      <c r="B2964" s="163">
        <v>45832</v>
      </c>
      <c r="C2964" s="164">
        <v>0.39662037037037035</v>
      </c>
      <c r="D2964" s="159">
        <v>10</v>
      </c>
      <c r="E2964" s="166" t="s">
        <v>2741</v>
      </c>
    </row>
    <row r="2965" spans="1:5">
      <c r="A2965" s="159">
        <f t="shared" si="38"/>
        <v>2964</v>
      </c>
      <c r="B2965" s="163">
        <v>45832</v>
      </c>
      <c r="C2965" s="164">
        <v>0.39402777777777781</v>
      </c>
      <c r="D2965" s="159">
        <v>10</v>
      </c>
      <c r="E2965" s="166" t="s">
        <v>2742</v>
      </c>
    </row>
    <row r="2966" spans="1:5">
      <c r="A2966" s="159">
        <f t="shared" si="38"/>
        <v>2965</v>
      </c>
      <c r="B2966" s="163">
        <v>45832</v>
      </c>
      <c r="C2966" s="164">
        <v>0.39204861111111117</v>
      </c>
      <c r="D2966" s="159">
        <v>10</v>
      </c>
      <c r="E2966" s="166" t="s">
        <v>1296</v>
      </c>
    </row>
    <row r="2967" spans="1:5">
      <c r="A2967" s="159">
        <f t="shared" si="38"/>
        <v>2966</v>
      </c>
      <c r="B2967" s="163">
        <v>45832</v>
      </c>
      <c r="C2967" s="164">
        <v>0.38893518518518522</v>
      </c>
      <c r="D2967" s="159">
        <v>10</v>
      </c>
      <c r="E2967" s="166" t="s">
        <v>2743</v>
      </c>
    </row>
    <row r="2968" spans="1:5">
      <c r="A2968" s="159">
        <f t="shared" si="38"/>
        <v>2967</v>
      </c>
      <c r="B2968" s="163">
        <v>45833</v>
      </c>
      <c r="C2968" s="164">
        <v>0.82896990740740739</v>
      </c>
      <c r="D2968" s="159">
        <v>10</v>
      </c>
      <c r="E2968" s="166" t="s">
        <v>2748</v>
      </c>
    </row>
    <row r="2969" spans="1:5">
      <c r="A2969" s="159">
        <f t="shared" si="38"/>
        <v>2968</v>
      </c>
      <c r="B2969" s="163">
        <v>45833</v>
      </c>
      <c r="C2969" s="164">
        <v>0.77789351851851851</v>
      </c>
      <c r="D2969" s="159">
        <v>9</v>
      </c>
      <c r="E2969" s="166" t="s">
        <v>2749</v>
      </c>
    </row>
    <row r="2970" spans="1:5">
      <c r="A2970" s="159">
        <f t="shared" si="38"/>
        <v>2969</v>
      </c>
      <c r="B2970" s="163">
        <v>45833</v>
      </c>
      <c r="C2970" s="164">
        <v>0.75951388888888882</v>
      </c>
      <c r="D2970" s="159">
        <v>10</v>
      </c>
      <c r="E2970" s="166" t="s">
        <v>132</v>
      </c>
    </row>
    <row r="2971" spans="1:5">
      <c r="A2971" s="159">
        <f t="shared" si="38"/>
        <v>2970</v>
      </c>
      <c r="B2971" s="163">
        <v>45833</v>
      </c>
      <c r="C2971" s="164">
        <v>0.72593750000000001</v>
      </c>
      <c r="D2971" s="159">
        <v>10</v>
      </c>
      <c r="E2971" s="166" t="s">
        <v>2750</v>
      </c>
    </row>
    <row r="2972" spans="1:5">
      <c r="A2972" s="159">
        <f t="shared" si="38"/>
        <v>2971</v>
      </c>
      <c r="B2972" s="163">
        <v>45833</v>
      </c>
      <c r="C2972" s="164">
        <v>0.72442129629629637</v>
      </c>
      <c r="D2972" s="159">
        <v>10</v>
      </c>
      <c r="E2972" s="166" t="s">
        <v>2751</v>
      </c>
    </row>
    <row r="2973" spans="1:5">
      <c r="A2973" s="159">
        <f t="shared" si="38"/>
        <v>2972</v>
      </c>
      <c r="B2973" s="163">
        <v>45833</v>
      </c>
      <c r="C2973" s="164">
        <v>0.72023148148148142</v>
      </c>
      <c r="D2973" s="159">
        <v>10</v>
      </c>
      <c r="E2973" s="166" t="s">
        <v>2752</v>
      </c>
    </row>
    <row r="2974" spans="1:5">
      <c r="A2974" s="159">
        <f t="shared" si="38"/>
        <v>2973</v>
      </c>
      <c r="B2974" s="163">
        <v>45833</v>
      </c>
      <c r="C2974" s="164">
        <v>0.71991898148148159</v>
      </c>
      <c r="D2974" s="159">
        <v>10</v>
      </c>
      <c r="E2974" s="166" t="s">
        <v>2753</v>
      </c>
    </row>
    <row r="2975" spans="1:5">
      <c r="A2975" s="159">
        <f t="shared" si="38"/>
        <v>2974</v>
      </c>
      <c r="B2975" s="163">
        <v>45833</v>
      </c>
      <c r="C2975" s="164">
        <v>0.71915509259259258</v>
      </c>
      <c r="D2975" s="159">
        <v>10</v>
      </c>
      <c r="E2975" s="166" t="s">
        <v>2754</v>
      </c>
    </row>
    <row r="2976" spans="1:5">
      <c r="A2976" s="159">
        <f t="shared" si="38"/>
        <v>2975</v>
      </c>
      <c r="B2976" s="163">
        <v>45833</v>
      </c>
      <c r="C2976" s="164">
        <v>0.71060185185185187</v>
      </c>
      <c r="D2976" s="159">
        <v>10</v>
      </c>
      <c r="E2976" s="166" t="s">
        <v>1123</v>
      </c>
    </row>
    <row r="2977" spans="1:5">
      <c r="A2977" s="159">
        <f t="shared" si="38"/>
        <v>2976</v>
      </c>
      <c r="B2977" s="163">
        <v>45833</v>
      </c>
      <c r="C2977" s="164">
        <v>0.70315972222222223</v>
      </c>
      <c r="D2977" s="159">
        <v>10</v>
      </c>
      <c r="E2977" s="166" t="s">
        <v>2755</v>
      </c>
    </row>
    <row r="2978" spans="1:5">
      <c r="A2978" s="159">
        <f t="shared" si="38"/>
        <v>2977</v>
      </c>
      <c r="B2978" s="163">
        <v>45833</v>
      </c>
      <c r="C2978" s="164">
        <v>0.69810185185185192</v>
      </c>
      <c r="D2978" s="159">
        <v>10</v>
      </c>
      <c r="E2978" s="166" t="s">
        <v>2756</v>
      </c>
    </row>
    <row r="2979" spans="1:5">
      <c r="A2979" s="159">
        <f t="shared" si="38"/>
        <v>2978</v>
      </c>
      <c r="B2979" s="163">
        <v>45833</v>
      </c>
      <c r="C2979" s="164">
        <v>0.68373842592592593</v>
      </c>
      <c r="D2979" s="159">
        <v>10</v>
      </c>
      <c r="E2979" s="166" t="s">
        <v>2757</v>
      </c>
    </row>
    <row r="2980" spans="1:5">
      <c r="A2980" s="159">
        <f t="shared" si="38"/>
        <v>2979</v>
      </c>
      <c r="B2980" s="163">
        <v>45833</v>
      </c>
      <c r="C2980" s="164">
        <v>0.68366898148148147</v>
      </c>
      <c r="D2980" s="159">
        <v>10</v>
      </c>
      <c r="E2980" s="166" t="s">
        <v>2758</v>
      </c>
    </row>
    <row r="2981" spans="1:5">
      <c r="A2981" s="159">
        <f t="shared" si="38"/>
        <v>2980</v>
      </c>
      <c r="B2981" s="163">
        <v>45833</v>
      </c>
      <c r="C2981" s="164">
        <v>0.67065972222222225</v>
      </c>
      <c r="D2981" s="159">
        <v>10</v>
      </c>
      <c r="E2981" s="166" t="s">
        <v>2759</v>
      </c>
    </row>
    <row r="2982" spans="1:5">
      <c r="A2982" s="159">
        <f t="shared" si="38"/>
        <v>2981</v>
      </c>
      <c r="B2982" s="163">
        <v>45833</v>
      </c>
      <c r="C2982" s="164">
        <v>0.65800925925925924</v>
      </c>
      <c r="D2982" s="159">
        <v>10</v>
      </c>
      <c r="E2982" s="166" t="s">
        <v>2794</v>
      </c>
    </row>
    <row r="2983" spans="1:5">
      <c r="A2983" s="159">
        <f t="shared" si="38"/>
        <v>2982</v>
      </c>
      <c r="B2983" s="163">
        <v>45833</v>
      </c>
      <c r="C2983" s="164">
        <v>0.65050925925925929</v>
      </c>
      <c r="D2983" s="159">
        <v>10</v>
      </c>
      <c r="E2983" s="166" t="s">
        <v>2163</v>
      </c>
    </row>
    <row r="2984" spans="1:5">
      <c r="A2984" s="159">
        <f t="shared" si="38"/>
        <v>2983</v>
      </c>
      <c r="B2984" s="163">
        <v>45833</v>
      </c>
      <c r="C2984" s="164">
        <v>0.65067129629629628</v>
      </c>
      <c r="D2984" s="159">
        <v>10</v>
      </c>
      <c r="E2984" s="166" t="s">
        <v>2760</v>
      </c>
    </row>
    <row r="2985" spans="1:5">
      <c r="A2985" s="159">
        <f t="shared" si="38"/>
        <v>2984</v>
      </c>
      <c r="B2985" s="163">
        <v>45833</v>
      </c>
      <c r="C2985" s="164">
        <v>0.64358796296296295</v>
      </c>
      <c r="D2985" s="159">
        <v>10</v>
      </c>
      <c r="E2985" s="166" t="s">
        <v>2761</v>
      </c>
    </row>
    <row r="2986" spans="1:5">
      <c r="A2986" s="159">
        <f t="shared" si="38"/>
        <v>2985</v>
      </c>
      <c r="B2986" s="163">
        <v>45833</v>
      </c>
      <c r="C2986" s="164">
        <v>0.63101851851851853</v>
      </c>
      <c r="D2986" s="159">
        <v>10</v>
      </c>
      <c r="E2986" s="166" t="s">
        <v>2762</v>
      </c>
    </row>
    <row r="2987" spans="1:5">
      <c r="A2987" s="159">
        <f t="shared" si="38"/>
        <v>2986</v>
      </c>
      <c r="B2987" s="163">
        <v>45833</v>
      </c>
      <c r="C2987" s="164">
        <v>0.62356481481481485</v>
      </c>
      <c r="D2987" s="159">
        <v>10</v>
      </c>
      <c r="E2987" s="166" t="s">
        <v>2763</v>
      </c>
    </row>
    <row r="2988" spans="1:5">
      <c r="A2988" s="159">
        <f t="shared" si="38"/>
        <v>2987</v>
      </c>
      <c r="B2988" s="163">
        <v>45833</v>
      </c>
      <c r="C2988" s="164">
        <v>0.61094907407407406</v>
      </c>
      <c r="D2988" s="159">
        <v>10</v>
      </c>
      <c r="E2988" s="166" t="s">
        <v>2764</v>
      </c>
    </row>
    <row r="2989" spans="1:5">
      <c r="A2989" s="159">
        <f t="shared" si="38"/>
        <v>2988</v>
      </c>
      <c r="B2989" s="163">
        <v>45833</v>
      </c>
      <c r="C2989" s="164">
        <v>0.595636574074074</v>
      </c>
      <c r="D2989" s="159">
        <v>10</v>
      </c>
      <c r="E2989" s="166" t="s">
        <v>2765</v>
      </c>
    </row>
    <row r="2990" spans="1:5">
      <c r="A2990" s="159">
        <f t="shared" si="38"/>
        <v>2989</v>
      </c>
      <c r="B2990" s="163">
        <v>45833</v>
      </c>
      <c r="C2990" s="164">
        <v>0.59410879629629632</v>
      </c>
      <c r="D2990" s="159">
        <v>10</v>
      </c>
      <c r="E2990" s="166" t="s">
        <v>2766</v>
      </c>
    </row>
    <row r="2991" spans="1:5">
      <c r="A2991" s="159">
        <f t="shared" si="38"/>
        <v>2990</v>
      </c>
      <c r="B2991" s="163">
        <v>45833</v>
      </c>
      <c r="C2991" s="164">
        <v>0.59324074074074074</v>
      </c>
      <c r="D2991" s="159">
        <v>10</v>
      </c>
      <c r="E2991" s="166" t="s">
        <v>2767</v>
      </c>
    </row>
    <row r="2992" spans="1:5">
      <c r="A2992" s="159">
        <f t="shared" si="38"/>
        <v>2991</v>
      </c>
      <c r="B2992" s="163">
        <v>45833</v>
      </c>
      <c r="C2992" s="164">
        <v>0.59321759259259255</v>
      </c>
      <c r="D2992" s="159">
        <v>10</v>
      </c>
      <c r="E2992" s="166" t="s">
        <v>2768</v>
      </c>
    </row>
    <row r="2993" spans="1:5">
      <c r="A2993" s="159">
        <f t="shared" si="38"/>
        <v>2992</v>
      </c>
      <c r="B2993" s="163">
        <v>45833</v>
      </c>
      <c r="C2993" s="164">
        <v>0.59228009259259262</v>
      </c>
      <c r="D2993" s="159">
        <v>10</v>
      </c>
      <c r="E2993" s="166" t="s">
        <v>132</v>
      </c>
    </row>
    <row r="2994" spans="1:5">
      <c r="A2994" s="159">
        <f t="shared" si="38"/>
        <v>2993</v>
      </c>
      <c r="B2994" s="163">
        <v>45833</v>
      </c>
      <c r="C2994" s="164">
        <v>0.57770833333333338</v>
      </c>
      <c r="D2994" s="159">
        <v>10</v>
      </c>
      <c r="E2994" s="166" t="s">
        <v>2793</v>
      </c>
    </row>
    <row r="2995" spans="1:5">
      <c r="A2995" s="159">
        <f t="shared" si="38"/>
        <v>2994</v>
      </c>
      <c r="B2995" s="163">
        <v>45833</v>
      </c>
      <c r="C2995" s="164">
        <v>0.5759953703703703</v>
      </c>
      <c r="D2995" s="159">
        <v>10</v>
      </c>
      <c r="E2995" s="166" t="s">
        <v>132</v>
      </c>
    </row>
    <row r="2996" spans="1:5">
      <c r="A2996" s="159">
        <f t="shared" si="38"/>
        <v>2995</v>
      </c>
      <c r="B2996" s="163">
        <v>45833</v>
      </c>
      <c r="C2996" s="164">
        <v>0.56660879629629635</v>
      </c>
      <c r="D2996" s="159">
        <v>10</v>
      </c>
      <c r="E2996" s="166" t="s">
        <v>2769</v>
      </c>
    </row>
    <row r="2997" spans="1:5">
      <c r="A2997" s="159">
        <f t="shared" ref="A2997:A3060" si="39">ROW()-1</f>
        <v>2996</v>
      </c>
      <c r="B2997" s="163">
        <v>45833</v>
      </c>
      <c r="C2997" s="164">
        <v>0.55833333333333335</v>
      </c>
      <c r="D2997" s="159">
        <v>10</v>
      </c>
      <c r="E2997" s="166" t="s">
        <v>2770</v>
      </c>
    </row>
    <row r="2998" spans="1:5">
      <c r="A2998" s="159">
        <f t="shared" si="39"/>
        <v>2997</v>
      </c>
      <c r="B2998" s="163">
        <v>45833</v>
      </c>
      <c r="C2998" s="164">
        <v>0.50569444444444445</v>
      </c>
      <c r="D2998" s="159">
        <v>10</v>
      </c>
      <c r="E2998" s="166" t="s">
        <v>657</v>
      </c>
    </row>
    <row r="2999" spans="1:5">
      <c r="A2999" s="159">
        <f t="shared" si="39"/>
        <v>2998</v>
      </c>
      <c r="B2999" s="163">
        <v>45833</v>
      </c>
      <c r="C2999" s="164">
        <v>0.49973379629629627</v>
      </c>
      <c r="D2999" s="159">
        <v>10</v>
      </c>
      <c r="E2999" s="166" t="s">
        <v>2771</v>
      </c>
    </row>
    <row r="3000" spans="1:5">
      <c r="A3000" s="159">
        <f t="shared" si="39"/>
        <v>2999</v>
      </c>
      <c r="B3000" s="163">
        <v>45833</v>
      </c>
      <c r="C3000" s="164">
        <v>0.48803240740740739</v>
      </c>
      <c r="D3000" s="159">
        <v>10</v>
      </c>
      <c r="E3000" s="166" t="s">
        <v>2772</v>
      </c>
    </row>
    <row r="3001" spans="1:5">
      <c r="A3001" s="159">
        <f t="shared" si="39"/>
        <v>3000</v>
      </c>
      <c r="B3001" s="163">
        <v>45833</v>
      </c>
      <c r="C3001" s="164">
        <v>0.47703703703703698</v>
      </c>
      <c r="D3001" s="159">
        <v>10</v>
      </c>
      <c r="E3001" s="166" t="s">
        <v>2773</v>
      </c>
    </row>
    <row r="3002" spans="1:5">
      <c r="A3002" s="159">
        <f t="shared" si="39"/>
        <v>3001</v>
      </c>
      <c r="B3002" s="163">
        <v>45833</v>
      </c>
      <c r="C3002" s="164">
        <v>0.4616319444444445</v>
      </c>
      <c r="D3002" s="159">
        <v>10</v>
      </c>
      <c r="E3002" s="166" t="s">
        <v>2774</v>
      </c>
    </row>
    <row r="3003" spans="1:5">
      <c r="A3003" s="159">
        <f t="shared" si="39"/>
        <v>3002</v>
      </c>
      <c r="B3003" s="163">
        <v>45833</v>
      </c>
      <c r="C3003" s="164">
        <v>0.46104166666666663</v>
      </c>
      <c r="D3003" s="159">
        <v>10</v>
      </c>
      <c r="E3003" s="166" t="s">
        <v>2775</v>
      </c>
    </row>
    <row r="3004" spans="1:5">
      <c r="A3004" s="159">
        <f t="shared" si="39"/>
        <v>3003</v>
      </c>
      <c r="B3004" s="163">
        <v>45833</v>
      </c>
      <c r="C3004" s="164">
        <v>0.455625</v>
      </c>
      <c r="D3004" s="159">
        <v>10</v>
      </c>
      <c r="E3004" s="166" t="s">
        <v>2776</v>
      </c>
    </row>
    <row r="3005" spans="1:5">
      <c r="A3005" s="159">
        <f t="shared" si="39"/>
        <v>3004</v>
      </c>
      <c r="B3005" s="163">
        <v>45833</v>
      </c>
      <c r="C3005" s="164">
        <v>0.45518518518518519</v>
      </c>
      <c r="D3005" s="159">
        <v>10</v>
      </c>
      <c r="E3005" s="166" t="s">
        <v>2777</v>
      </c>
    </row>
    <row r="3006" spans="1:5">
      <c r="A3006" s="159">
        <f t="shared" si="39"/>
        <v>3005</v>
      </c>
      <c r="B3006" s="163">
        <v>45833</v>
      </c>
      <c r="C3006" s="164">
        <v>0.45328703703703704</v>
      </c>
      <c r="D3006" s="159">
        <v>10</v>
      </c>
      <c r="E3006" s="166" t="s">
        <v>2778</v>
      </c>
    </row>
    <row r="3007" spans="1:5">
      <c r="A3007" s="159">
        <f t="shared" si="39"/>
        <v>3006</v>
      </c>
      <c r="B3007" s="163">
        <v>45833</v>
      </c>
      <c r="C3007" s="164">
        <v>0.44351851851851848</v>
      </c>
      <c r="D3007" s="159">
        <v>10</v>
      </c>
      <c r="E3007" s="166" t="s">
        <v>387</v>
      </c>
    </row>
    <row r="3008" spans="1:5">
      <c r="A3008" s="159">
        <f t="shared" si="39"/>
        <v>3007</v>
      </c>
      <c r="B3008" s="163">
        <v>45833</v>
      </c>
      <c r="C3008" s="164">
        <v>0.44133101851851847</v>
      </c>
      <c r="D3008" s="159">
        <v>10</v>
      </c>
      <c r="E3008" s="166" t="s">
        <v>2779</v>
      </c>
    </row>
    <row r="3009" spans="1:5">
      <c r="A3009" s="159">
        <f t="shared" si="39"/>
        <v>3008</v>
      </c>
      <c r="B3009" s="163">
        <v>45833</v>
      </c>
      <c r="C3009" s="164">
        <v>0.43335648148148148</v>
      </c>
      <c r="D3009" s="159">
        <v>10</v>
      </c>
      <c r="E3009" s="166" t="s">
        <v>1042</v>
      </c>
    </row>
    <row r="3010" spans="1:5">
      <c r="A3010" s="159">
        <f t="shared" si="39"/>
        <v>3009</v>
      </c>
      <c r="B3010" s="163">
        <v>45833</v>
      </c>
      <c r="C3010" s="164">
        <v>0.43211805555555555</v>
      </c>
      <c r="D3010" s="159">
        <v>10</v>
      </c>
      <c r="E3010" s="166" t="s">
        <v>2780</v>
      </c>
    </row>
    <row r="3011" spans="1:5">
      <c r="A3011" s="159">
        <f t="shared" si="39"/>
        <v>3010</v>
      </c>
      <c r="B3011" s="163">
        <v>45833</v>
      </c>
      <c r="C3011" s="164">
        <v>0.43155092592592598</v>
      </c>
      <c r="D3011" s="159">
        <v>10</v>
      </c>
      <c r="E3011" s="166" t="s">
        <v>2781</v>
      </c>
    </row>
    <row r="3012" spans="1:5">
      <c r="A3012" s="159">
        <f t="shared" si="39"/>
        <v>3011</v>
      </c>
      <c r="B3012" s="163">
        <v>45833</v>
      </c>
      <c r="C3012" s="164">
        <v>0.43045138888888884</v>
      </c>
      <c r="D3012" s="159">
        <v>10</v>
      </c>
      <c r="E3012" s="166" t="s">
        <v>2782</v>
      </c>
    </row>
    <row r="3013" spans="1:5">
      <c r="A3013" s="159">
        <f t="shared" si="39"/>
        <v>3012</v>
      </c>
      <c r="B3013" s="163">
        <v>45833</v>
      </c>
      <c r="C3013" s="164">
        <v>0.42503472222222222</v>
      </c>
      <c r="D3013" s="159">
        <v>10</v>
      </c>
      <c r="E3013" s="166" t="s">
        <v>2783</v>
      </c>
    </row>
    <row r="3014" spans="1:5">
      <c r="A3014" s="159">
        <f t="shared" si="39"/>
        <v>3013</v>
      </c>
      <c r="B3014" s="163">
        <v>45833</v>
      </c>
      <c r="C3014" s="164">
        <v>0.41613425925925923</v>
      </c>
      <c r="D3014" s="159">
        <v>10</v>
      </c>
      <c r="E3014" s="166" t="s">
        <v>2784</v>
      </c>
    </row>
    <row r="3015" spans="1:5">
      <c r="A3015" s="159">
        <f t="shared" si="39"/>
        <v>3014</v>
      </c>
      <c r="B3015" s="163">
        <v>45833</v>
      </c>
      <c r="C3015" s="164">
        <v>0.41046296296296297</v>
      </c>
      <c r="D3015" s="159">
        <v>10</v>
      </c>
      <c r="E3015" s="166" t="s">
        <v>2785</v>
      </c>
    </row>
    <row r="3016" spans="1:5">
      <c r="A3016" s="159">
        <f t="shared" si="39"/>
        <v>3015</v>
      </c>
      <c r="B3016" s="163">
        <v>45833</v>
      </c>
      <c r="C3016" s="164">
        <v>0.40930555555555559</v>
      </c>
      <c r="D3016" s="159">
        <v>10</v>
      </c>
      <c r="E3016" s="166" t="s">
        <v>2786</v>
      </c>
    </row>
    <row r="3017" spans="1:5">
      <c r="A3017" s="159">
        <f t="shared" si="39"/>
        <v>3016</v>
      </c>
      <c r="B3017" s="163">
        <v>45833</v>
      </c>
      <c r="C3017" s="164">
        <v>0.40909722222222222</v>
      </c>
      <c r="D3017" s="159">
        <v>10</v>
      </c>
      <c r="E3017" s="166" t="s">
        <v>2787</v>
      </c>
    </row>
    <row r="3018" spans="1:5">
      <c r="A3018" s="159">
        <f t="shared" si="39"/>
        <v>3017</v>
      </c>
      <c r="B3018" s="163">
        <v>45833</v>
      </c>
      <c r="C3018" s="164">
        <v>0.40633101851851849</v>
      </c>
      <c r="D3018" s="159">
        <v>10</v>
      </c>
      <c r="E3018" s="166" t="s">
        <v>2792</v>
      </c>
    </row>
    <row r="3019" spans="1:5">
      <c r="A3019" s="159">
        <f t="shared" si="39"/>
        <v>3018</v>
      </c>
      <c r="B3019" s="163">
        <v>45833</v>
      </c>
      <c r="C3019" s="164">
        <v>0.39707175925925925</v>
      </c>
      <c r="D3019" s="159">
        <v>10</v>
      </c>
      <c r="E3019" s="166" t="s">
        <v>2788</v>
      </c>
    </row>
    <row r="3020" spans="1:5">
      <c r="A3020" s="159">
        <f t="shared" si="39"/>
        <v>3019</v>
      </c>
      <c r="B3020" s="163">
        <v>45833</v>
      </c>
      <c r="C3020" s="164">
        <v>0.39061342592592596</v>
      </c>
      <c r="D3020" s="159">
        <v>10</v>
      </c>
      <c r="E3020" s="166" t="s">
        <v>2789</v>
      </c>
    </row>
    <row r="3021" spans="1:5">
      <c r="A3021" s="159">
        <f t="shared" si="39"/>
        <v>3020</v>
      </c>
      <c r="B3021" s="163">
        <v>45833</v>
      </c>
      <c r="C3021" s="164">
        <v>0.38616898148148149</v>
      </c>
      <c r="D3021" s="159">
        <v>10</v>
      </c>
      <c r="E3021" s="166" t="s">
        <v>2790</v>
      </c>
    </row>
    <row r="3022" spans="1:5">
      <c r="A3022" s="159">
        <f t="shared" si="39"/>
        <v>3021</v>
      </c>
      <c r="B3022" s="163">
        <v>45833</v>
      </c>
      <c r="C3022" s="164">
        <v>0.38391203703703702</v>
      </c>
      <c r="D3022" s="159">
        <v>10</v>
      </c>
      <c r="E3022" s="166" t="s">
        <v>2791</v>
      </c>
    </row>
    <row r="3023" spans="1:5">
      <c r="A3023" s="159">
        <f t="shared" si="39"/>
        <v>3022</v>
      </c>
      <c r="B3023" s="163">
        <v>45834</v>
      </c>
      <c r="C3023" s="164">
        <v>0.89930555555555547</v>
      </c>
      <c r="D3023" s="159">
        <v>10</v>
      </c>
      <c r="E3023" s="166" t="s">
        <v>565</v>
      </c>
    </row>
    <row r="3024" spans="1:5">
      <c r="A3024" s="159">
        <f t="shared" si="39"/>
        <v>3023</v>
      </c>
      <c r="B3024" s="163">
        <v>45834</v>
      </c>
      <c r="C3024" s="164">
        <v>0.88135416666666666</v>
      </c>
      <c r="D3024" s="159">
        <v>10</v>
      </c>
      <c r="E3024" s="166" t="s">
        <v>2795</v>
      </c>
    </row>
    <row r="3025" spans="1:5">
      <c r="A3025" s="159">
        <f t="shared" si="39"/>
        <v>3024</v>
      </c>
      <c r="B3025" s="163">
        <v>45834</v>
      </c>
      <c r="C3025" s="164">
        <v>0.85740740740740751</v>
      </c>
      <c r="D3025" s="159">
        <v>10</v>
      </c>
      <c r="E3025" s="166" t="s">
        <v>2796</v>
      </c>
    </row>
    <row r="3026" spans="1:5">
      <c r="A3026" s="159">
        <f t="shared" si="39"/>
        <v>3025</v>
      </c>
      <c r="B3026" s="163">
        <v>45834</v>
      </c>
      <c r="C3026" s="164">
        <v>0.81278935185185175</v>
      </c>
      <c r="D3026" s="159">
        <v>10</v>
      </c>
      <c r="E3026" s="166" t="s">
        <v>2797</v>
      </c>
    </row>
    <row r="3027" spans="1:5">
      <c r="A3027" s="159">
        <f t="shared" si="39"/>
        <v>3026</v>
      </c>
      <c r="B3027" s="163">
        <v>45834</v>
      </c>
      <c r="C3027" s="164">
        <v>0.76953703703703702</v>
      </c>
      <c r="D3027" s="159">
        <v>10</v>
      </c>
      <c r="E3027" s="166" t="s">
        <v>2500</v>
      </c>
    </row>
    <row r="3028" spans="1:5" ht="27">
      <c r="A3028" s="159">
        <f t="shared" si="39"/>
        <v>3027</v>
      </c>
      <c r="B3028" s="163">
        <v>45834</v>
      </c>
      <c r="C3028" s="164">
        <v>0.74541666666666673</v>
      </c>
      <c r="D3028" s="159">
        <v>10</v>
      </c>
      <c r="E3028" s="166" t="s">
        <v>2798</v>
      </c>
    </row>
    <row r="3029" spans="1:5">
      <c r="A3029" s="159">
        <f t="shared" si="39"/>
        <v>3028</v>
      </c>
      <c r="B3029" s="163">
        <v>45834</v>
      </c>
      <c r="C3029" s="164">
        <v>0.74498842592592596</v>
      </c>
      <c r="D3029" s="159">
        <v>10</v>
      </c>
      <c r="E3029" s="166" t="s">
        <v>2799</v>
      </c>
    </row>
    <row r="3030" spans="1:5">
      <c r="A3030" s="159">
        <f t="shared" si="39"/>
        <v>3029</v>
      </c>
      <c r="B3030" s="163">
        <v>45834</v>
      </c>
      <c r="C3030" s="164">
        <v>0.74312500000000004</v>
      </c>
      <c r="D3030" s="159">
        <v>10</v>
      </c>
      <c r="E3030" s="166" t="s">
        <v>2800</v>
      </c>
    </row>
    <row r="3031" spans="1:5">
      <c r="A3031" s="159">
        <f t="shared" si="39"/>
        <v>3030</v>
      </c>
      <c r="B3031" s="163">
        <v>45834</v>
      </c>
      <c r="C3031" s="164">
        <v>0.74089120370370365</v>
      </c>
      <c r="D3031" s="159">
        <v>10</v>
      </c>
      <c r="E3031" s="166" t="s">
        <v>2801</v>
      </c>
    </row>
    <row r="3032" spans="1:5">
      <c r="A3032" s="159">
        <f t="shared" si="39"/>
        <v>3031</v>
      </c>
      <c r="B3032" s="163">
        <v>45834</v>
      </c>
      <c r="C3032" s="164">
        <v>0.72068287037037038</v>
      </c>
      <c r="D3032" s="159">
        <v>10</v>
      </c>
      <c r="E3032" s="166" t="s">
        <v>2802</v>
      </c>
    </row>
    <row r="3033" spans="1:5" ht="27">
      <c r="A3033" s="159">
        <f t="shared" si="39"/>
        <v>3032</v>
      </c>
      <c r="B3033" s="163">
        <v>45834</v>
      </c>
      <c r="C3033" s="164">
        <v>0.68084490740740744</v>
      </c>
      <c r="D3033" s="159">
        <v>10</v>
      </c>
      <c r="E3033" s="166" t="s">
        <v>2803</v>
      </c>
    </row>
    <row r="3034" spans="1:5">
      <c r="A3034" s="159">
        <f t="shared" si="39"/>
        <v>3033</v>
      </c>
      <c r="B3034" s="163">
        <v>45834</v>
      </c>
      <c r="C3034" s="164">
        <v>0.67363425925925924</v>
      </c>
      <c r="D3034" s="159">
        <v>10</v>
      </c>
      <c r="E3034" s="166" t="s">
        <v>2804</v>
      </c>
    </row>
    <row r="3035" spans="1:5">
      <c r="A3035" s="159">
        <f t="shared" si="39"/>
        <v>3034</v>
      </c>
      <c r="B3035" s="163">
        <v>45834</v>
      </c>
      <c r="C3035" s="164">
        <v>0.66594907407407411</v>
      </c>
      <c r="D3035" s="159">
        <v>10</v>
      </c>
      <c r="E3035" s="166" t="s">
        <v>2805</v>
      </c>
    </row>
    <row r="3036" spans="1:5">
      <c r="A3036" s="159">
        <f t="shared" si="39"/>
        <v>3035</v>
      </c>
      <c r="B3036" s="163">
        <v>45834</v>
      </c>
      <c r="C3036" s="164">
        <v>0.66082175925925923</v>
      </c>
      <c r="D3036" s="159">
        <v>10</v>
      </c>
      <c r="E3036" s="166" t="s">
        <v>2806</v>
      </c>
    </row>
    <row r="3037" spans="1:5">
      <c r="A3037" s="159">
        <f t="shared" si="39"/>
        <v>3036</v>
      </c>
      <c r="B3037" s="163">
        <v>45834</v>
      </c>
      <c r="C3037" s="164">
        <v>0.65016203703703701</v>
      </c>
      <c r="D3037" s="159">
        <v>10</v>
      </c>
      <c r="E3037" s="166" t="s">
        <v>2832</v>
      </c>
    </row>
    <row r="3038" spans="1:5">
      <c r="A3038" s="159">
        <f t="shared" si="39"/>
        <v>3037</v>
      </c>
      <c r="B3038" s="163">
        <v>45834</v>
      </c>
      <c r="C3038" s="164">
        <v>0.62840277777777775</v>
      </c>
      <c r="D3038" s="159">
        <v>10</v>
      </c>
      <c r="E3038" s="166" t="s">
        <v>2807</v>
      </c>
    </row>
    <row r="3039" spans="1:5">
      <c r="A3039" s="159">
        <f t="shared" si="39"/>
        <v>3038</v>
      </c>
      <c r="B3039" s="163">
        <v>45834</v>
      </c>
      <c r="C3039" s="164">
        <v>0.62505787037037031</v>
      </c>
      <c r="D3039" s="159">
        <v>10</v>
      </c>
      <c r="E3039" s="166" t="s">
        <v>2808</v>
      </c>
    </row>
    <row r="3040" spans="1:5">
      <c r="A3040" s="159">
        <f t="shared" si="39"/>
        <v>3039</v>
      </c>
      <c r="B3040" s="163">
        <v>45834</v>
      </c>
      <c r="C3040" s="164">
        <v>0.62040509259259258</v>
      </c>
      <c r="D3040" s="159">
        <v>10</v>
      </c>
      <c r="E3040" s="166" t="s">
        <v>2809</v>
      </c>
    </row>
    <row r="3041" spans="1:5">
      <c r="A3041" s="159">
        <f t="shared" si="39"/>
        <v>3040</v>
      </c>
      <c r="B3041" s="163">
        <v>45834</v>
      </c>
      <c r="C3041" s="164">
        <v>0.60499999999999998</v>
      </c>
      <c r="D3041" s="159">
        <v>10</v>
      </c>
      <c r="E3041" s="166" t="s">
        <v>2810</v>
      </c>
    </row>
    <row r="3042" spans="1:5">
      <c r="A3042" s="159">
        <f t="shared" si="39"/>
        <v>3041</v>
      </c>
      <c r="B3042" s="163">
        <v>45834</v>
      </c>
      <c r="C3042" s="164">
        <v>0.5977662037037037</v>
      </c>
      <c r="D3042" s="159">
        <v>10</v>
      </c>
      <c r="E3042" s="166" t="s">
        <v>2811</v>
      </c>
    </row>
    <row r="3043" spans="1:5">
      <c r="A3043" s="159">
        <f t="shared" si="39"/>
        <v>3042</v>
      </c>
      <c r="B3043" s="163">
        <v>45834</v>
      </c>
      <c r="C3043" s="164">
        <v>0.59442129629629636</v>
      </c>
      <c r="D3043" s="159">
        <v>10</v>
      </c>
      <c r="E3043" s="166" t="s">
        <v>2812</v>
      </c>
    </row>
    <row r="3044" spans="1:5">
      <c r="A3044" s="159">
        <f t="shared" si="39"/>
        <v>3043</v>
      </c>
      <c r="B3044" s="163">
        <v>45834</v>
      </c>
      <c r="C3044" s="164">
        <v>0.59256944444444448</v>
      </c>
      <c r="D3044" s="159">
        <v>10</v>
      </c>
      <c r="E3044" s="166" t="s">
        <v>1042</v>
      </c>
    </row>
    <row r="3045" spans="1:5">
      <c r="A3045" s="159">
        <f t="shared" si="39"/>
        <v>3044</v>
      </c>
      <c r="B3045" s="163">
        <v>45834</v>
      </c>
      <c r="C3045" s="164">
        <v>0.59226851851851847</v>
      </c>
      <c r="D3045" s="159">
        <v>10</v>
      </c>
      <c r="E3045" s="166" t="s">
        <v>2813</v>
      </c>
    </row>
    <row r="3046" spans="1:5">
      <c r="A3046" s="159">
        <f t="shared" si="39"/>
        <v>3045</v>
      </c>
      <c r="B3046" s="163">
        <v>45834</v>
      </c>
      <c r="C3046" s="164">
        <v>0.58795138888888887</v>
      </c>
      <c r="D3046" s="159">
        <v>10</v>
      </c>
      <c r="E3046" s="166" t="s">
        <v>2814</v>
      </c>
    </row>
    <row r="3047" spans="1:5">
      <c r="A3047" s="159">
        <f t="shared" si="39"/>
        <v>3046</v>
      </c>
      <c r="B3047" s="163">
        <v>45834</v>
      </c>
      <c r="C3047" s="164">
        <v>0.57831018518518518</v>
      </c>
      <c r="D3047" s="159">
        <v>10</v>
      </c>
      <c r="E3047" s="166" t="s">
        <v>2815</v>
      </c>
    </row>
    <row r="3048" spans="1:5">
      <c r="A3048" s="159">
        <f t="shared" si="39"/>
        <v>3047</v>
      </c>
      <c r="B3048" s="163">
        <v>45834</v>
      </c>
      <c r="C3048" s="164">
        <v>0.54885416666666664</v>
      </c>
      <c r="D3048" s="159">
        <v>10</v>
      </c>
      <c r="E3048" s="166" t="s">
        <v>2816</v>
      </c>
    </row>
    <row r="3049" spans="1:5">
      <c r="A3049" s="159">
        <f t="shared" si="39"/>
        <v>3048</v>
      </c>
      <c r="B3049" s="163">
        <v>45834</v>
      </c>
      <c r="C3049" s="164">
        <v>0.53196759259259252</v>
      </c>
      <c r="D3049" s="159">
        <v>10</v>
      </c>
      <c r="E3049" s="166" t="s">
        <v>2817</v>
      </c>
    </row>
    <row r="3050" spans="1:5">
      <c r="A3050" s="159">
        <f t="shared" si="39"/>
        <v>3049</v>
      </c>
      <c r="B3050" s="163">
        <v>45834</v>
      </c>
      <c r="C3050" s="164">
        <v>0.4928819444444445</v>
      </c>
      <c r="D3050" s="159">
        <v>10</v>
      </c>
      <c r="E3050" s="166" t="s">
        <v>2818</v>
      </c>
    </row>
    <row r="3051" spans="1:5">
      <c r="A3051" s="159">
        <f t="shared" si="39"/>
        <v>3050</v>
      </c>
      <c r="B3051" s="163">
        <v>45834</v>
      </c>
      <c r="C3051" s="164">
        <v>0.47444444444444445</v>
      </c>
      <c r="D3051" s="159">
        <v>10</v>
      </c>
      <c r="E3051" s="166" t="s">
        <v>2819</v>
      </c>
    </row>
    <row r="3052" spans="1:5">
      <c r="A3052" s="159">
        <f t="shared" si="39"/>
        <v>3051</v>
      </c>
      <c r="B3052" s="163">
        <v>45834</v>
      </c>
      <c r="C3052" s="164">
        <v>0.47225694444444444</v>
      </c>
      <c r="D3052" s="159">
        <v>10</v>
      </c>
      <c r="E3052" s="166" t="s">
        <v>2820</v>
      </c>
    </row>
    <row r="3053" spans="1:5" ht="27">
      <c r="A3053" s="159">
        <f t="shared" si="39"/>
        <v>3052</v>
      </c>
      <c r="B3053" s="163">
        <v>45834</v>
      </c>
      <c r="C3053" s="164">
        <v>0.47173611111111113</v>
      </c>
      <c r="D3053" s="159">
        <v>1</v>
      </c>
      <c r="E3053" s="166" t="s">
        <v>2821</v>
      </c>
    </row>
    <row r="3054" spans="1:5">
      <c r="A3054" s="159">
        <f t="shared" si="39"/>
        <v>3053</v>
      </c>
      <c r="B3054" s="163">
        <v>45834</v>
      </c>
      <c r="C3054" s="164">
        <v>0.45578703703703699</v>
      </c>
      <c r="D3054" s="159">
        <v>10</v>
      </c>
      <c r="E3054" s="166" t="s">
        <v>2822</v>
      </c>
    </row>
    <row r="3055" spans="1:5">
      <c r="A3055" s="159">
        <f t="shared" si="39"/>
        <v>3054</v>
      </c>
      <c r="B3055" s="163">
        <v>45834</v>
      </c>
      <c r="C3055" s="164">
        <v>0.4435648148148148</v>
      </c>
      <c r="D3055" s="159">
        <v>10</v>
      </c>
      <c r="E3055" s="166" t="s">
        <v>2823</v>
      </c>
    </row>
    <row r="3056" spans="1:5" ht="27">
      <c r="A3056" s="159">
        <f t="shared" si="39"/>
        <v>3055</v>
      </c>
      <c r="B3056" s="163">
        <v>45834</v>
      </c>
      <c r="C3056" s="164">
        <v>0.43490740740740735</v>
      </c>
      <c r="D3056" s="159">
        <v>10</v>
      </c>
      <c r="E3056" s="166" t="s">
        <v>2831</v>
      </c>
    </row>
    <row r="3057" spans="1:5">
      <c r="A3057" s="159">
        <f t="shared" si="39"/>
        <v>3056</v>
      </c>
      <c r="B3057" s="163">
        <v>45834</v>
      </c>
      <c r="C3057" s="164">
        <v>0.42695601851851855</v>
      </c>
      <c r="D3057" s="159">
        <v>10</v>
      </c>
      <c r="E3057" s="166" t="s">
        <v>2824</v>
      </c>
    </row>
    <row r="3058" spans="1:5">
      <c r="A3058" s="159">
        <f t="shared" si="39"/>
        <v>3057</v>
      </c>
      <c r="B3058" s="163">
        <v>45834</v>
      </c>
      <c r="C3058" s="164">
        <v>0.42189814814814813</v>
      </c>
      <c r="D3058" s="159">
        <v>10</v>
      </c>
      <c r="E3058" s="166" t="s">
        <v>2825</v>
      </c>
    </row>
    <row r="3059" spans="1:5">
      <c r="A3059" s="159">
        <f t="shared" si="39"/>
        <v>3058</v>
      </c>
      <c r="B3059" s="163">
        <v>45834</v>
      </c>
      <c r="C3059" s="164">
        <v>0.42115740740740742</v>
      </c>
      <c r="D3059" s="159">
        <v>10</v>
      </c>
      <c r="E3059" s="166" t="s">
        <v>2826</v>
      </c>
    </row>
    <row r="3060" spans="1:5">
      <c r="A3060" s="159">
        <f t="shared" si="39"/>
        <v>3059</v>
      </c>
      <c r="B3060" s="163">
        <v>45834</v>
      </c>
      <c r="C3060" s="164">
        <v>0.40743055555555557</v>
      </c>
      <c r="D3060" s="159">
        <v>10</v>
      </c>
      <c r="E3060" s="166" t="s">
        <v>2263</v>
      </c>
    </row>
    <row r="3061" spans="1:5">
      <c r="A3061" s="159">
        <f t="shared" ref="A3061:A3124" si="40">ROW()-1</f>
        <v>3060</v>
      </c>
      <c r="B3061" s="163">
        <v>45834</v>
      </c>
      <c r="C3061" s="164">
        <v>0.40510416666666665</v>
      </c>
      <c r="D3061" s="159">
        <v>10</v>
      </c>
      <c r="E3061" s="166" t="s">
        <v>2827</v>
      </c>
    </row>
    <row r="3062" spans="1:5">
      <c r="A3062" s="159">
        <f t="shared" si="40"/>
        <v>3061</v>
      </c>
      <c r="B3062" s="163">
        <v>45834</v>
      </c>
      <c r="C3062" s="164">
        <v>0.40098379629629632</v>
      </c>
      <c r="D3062" s="159">
        <v>10</v>
      </c>
      <c r="E3062" s="166" t="s">
        <v>2828</v>
      </c>
    </row>
    <row r="3063" spans="1:5">
      <c r="A3063" s="159">
        <f t="shared" si="40"/>
        <v>3062</v>
      </c>
      <c r="B3063" s="163">
        <v>45834</v>
      </c>
      <c r="C3063" s="164">
        <v>0.39725694444444443</v>
      </c>
      <c r="D3063" s="159">
        <v>10</v>
      </c>
      <c r="E3063" s="166" t="s">
        <v>2829</v>
      </c>
    </row>
    <row r="3064" spans="1:5">
      <c r="A3064" s="159">
        <f t="shared" si="40"/>
        <v>3063</v>
      </c>
      <c r="B3064" s="163">
        <v>45834</v>
      </c>
      <c r="C3064" s="164">
        <v>0.39377314814814812</v>
      </c>
      <c r="D3064" s="159">
        <v>10</v>
      </c>
      <c r="E3064" s="166" t="s">
        <v>2830</v>
      </c>
    </row>
    <row r="3065" spans="1:5">
      <c r="A3065" s="159">
        <f t="shared" si="40"/>
        <v>3064</v>
      </c>
      <c r="B3065" s="163">
        <v>45834</v>
      </c>
      <c r="C3065" s="164">
        <v>0.38347222222222221</v>
      </c>
      <c r="D3065" s="159">
        <v>10</v>
      </c>
      <c r="E3065" s="166" t="s">
        <v>179</v>
      </c>
    </row>
    <row r="3066" spans="1:5">
      <c r="A3066" s="159">
        <f t="shared" si="40"/>
        <v>3065</v>
      </c>
      <c r="B3066" s="163">
        <v>45835</v>
      </c>
      <c r="C3066" s="164">
        <v>0.90217592592592588</v>
      </c>
      <c r="D3066" s="159">
        <v>10</v>
      </c>
      <c r="E3066" s="166" t="s">
        <v>2846</v>
      </c>
    </row>
    <row r="3067" spans="1:5">
      <c r="A3067" s="159">
        <f t="shared" si="40"/>
        <v>3066</v>
      </c>
      <c r="B3067" s="163">
        <v>45835</v>
      </c>
      <c r="C3067" s="164">
        <v>0.8834143518518518</v>
      </c>
      <c r="D3067" s="159">
        <v>10</v>
      </c>
      <c r="E3067" s="166" t="s">
        <v>2847</v>
      </c>
    </row>
    <row r="3068" spans="1:5">
      <c r="A3068" s="159">
        <f t="shared" si="40"/>
        <v>3067</v>
      </c>
      <c r="B3068" s="163">
        <v>45835</v>
      </c>
      <c r="C3068" s="164">
        <v>0.8716666666666667</v>
      </c>
      <c r="D3068" s="159">
        <v>10</v>
      </c>
      <c r="E3068" s="166" t="s">
        <v>2848</v>
      </c>
    </row>
    <row r="3069" spans="1:5">
      <c r="A3069" s="159">
        <f t="shared" si="40"/>
        <v>3068</v>
      </c>
      <c r="B3069" s="163">
        <v>45835</v>
      </c>
      <c r="C3069" s="164">
        <v>0.73952546296296295</v>
      </c>
      <c r="D3069" s="159">
        <v>10</v>
      </c>
      <c r="E3069" s="166" t="s">
        <v>2849</v>
      </c>
    </row>
    <row r="3070" spans="1:5">
      <c r="A3070" s="159">
        <f t="shared" si="40"/>
        <v>3069</v>
      </c>
      <c r="B3070" s="163">
        <v>45835</v>
      </c>
      <c r="C3070" s="164">
        <v>0.72956018518518517</v>
      </c>
      <c r="D3070" s="159">
        <v>10</v>
      </c>
      <c r="E3070" s="166" t="s">
        <v>2850</v>
      </c>
    </row>
    <row r="3071" spans="1:5">
      <c r="A3071" s="159">
        <f t="shared" si="40"/>
        <v>3070</v>
      </c>
      <c r="B3071" s="163">
        <v>45835</v>
      </c>
      <c r="C3071" s="164">
        <v>0.72328703703703701</v>
      </c>
      <c r="D3071" s="159">
        <v>10</v>
      </c>
      <c r="E3071" s="166" t="s">
        <v>2851</v>
      </c>
    </row>
    <row r="3072" spans="1:5">
      <c r="A3072" s="159">
        <f t="shared" si="40"/>
        <v>3071</v>
      </c>
      <c r="B3072" s="163">
        <v>45835</v>
      </c>
      <c r="C3072" s="164">
        <v>0.71137731481481481</v>
      </c>
      <c r="D3072" s="159">
        <v>10</v>
      </c>
      <c r="E3072" s="166" t="s">
        <v>2852</v>
      </c>
    </row>
    <row r="3073" spans="1:5">
      <c r="A3073" s="159">
        <f t="shared" si="40"/>
        <v>3072</v>
      </c>
      <c r="B3073" s="163">
        <v>45835</v>
      </c>
      <c r="C3073" s="164">
        <v>0.70925925925925926</v>
      </c>
      <c r="D3073" s="159">
        <v>10</v>
      </c>
      <c r="E3073" s="166" t="s">
        <v>2853</v>
      </c>
    </row>
    <row r="3074" spans="1:5">
      <c r="A3074" s="159">
        <f t="shared" si="40"/>
        <v>3073</v>
      </c>
      <c r="B3074" s="163">
        <v>45835</v>
      </c>
      <c r="C3074" s="164">
        <v>0.70741898148148152</v>
      </c>
      <c r="D3074" s="159">
        <v>10</v>
      </c>
      <c r="E3074" s="166" t="s">
        <v>1519</v>
      </c>
    </row>
    <row r="3075" spans="1:5">
      <c r="A3075" s="159">
        <f t="shared" si="40"/>
        <v>3074</v>
      </c>
      <c r="B3075" s="163">
        <v>45835</v>
      </c>
      <c r="C3075" s="164">
        <v>0.69505787037037037</v>
      </c>
      <c r="D3075" s="159">
        <v>10</v>
      </c>
      <c r="E3075" s="166" t="s">
        <v>2854</v>
      </c>
    </row>
    <row r="3076" spans="1:5">
      <c r="A3076" s="159">
        <f t="shared" si="40"/>
        <v>3075</v>
      </c>
      <c r="B3076" s="163">
        <v>45835</v>
      </c>
      <c r="C3076" s="164">
        <v>0.69306712962962969</v>
      </c>
      <c r="D3076" s="159">
        <v>10</v>
      </c>
      <c r="E3076" s="166" t="s">
        <v>2855</v>
      </c>
    </row>
    <row r="3077" spans="1:5">
      <c r="A3077" s="159">
        <f t="shared" si="40"/>
        <v>3076</v>
      </c>
      <c r="B3077" s="163">
        <v>45835</v>
      </c>
      <c r="C3077" s="164">
        <v>0.68620370370370365</v>
      </c>
      <c r="D3077" s="159">
        <v>10</v>
      </c>
      <c r="E3077" s="166" t="s">
        <v>2856</v>
      </c>
    </row>
    <row r="3078" spans="1:5">
      <c r="A3078" s="159">
        <f t="shared" si="40"/>
        <v>3077</v>
      </c>
      <c r="B3078" s="163">
        <v>45835</v>
      </c>
      <c r="C3078" s="164">
        <v>0.68431712962962965</v>
      </c>
      <c r="D3078" s="159">
        <v>10</v>
      </c>
      <c r="E3078" s="166" t="s">
        <v>2857</v>
      </c>
    </row>
    <row r="3079" spans="1:5">
      <c r="A3079" s="159">
        <f t="shared" si="40"/>
        <v>3078</v>
      </c>
      <c r="B3079" s="163">
        <v>45835</v>
      </c>
      <c r="C3079" s="164">
        <v>0.67369212962962965</v>
      </c>
      <c r="D3079" s="159">
        <v>10</v>
      </c>
      <c r="E3079" s="166" t="s">
        <v>2858</v>
      </c>
    </row>
    <row r="3080" spans="1:5">
      <c r="A3080" s="159">
        <f t="shared" si="40"/>
        <v>3079</v>
      </c>
      <c r="B3080" s="163">
        <v>45835</v>
      </c>
      <c r="C3080" s="164">
        <v>0.64730324074074075</v>
      </c>
      <c r="D3080" s="159">
        <v>10</v>
      </c>
      <c r="E3080" s="166" t="s">
        <v>2859</v>
      </c>
    </row>
    <row r="3081" spans="1:5">
      <c r="A3081" s="159">
        <f t="shared" si="40"/>
        <v>3080</v>
      </c>
      <c r="B3081" s="163">
        <v>45835</v>
      </c>
      <c r="C3081" s="164">
        <v>0.6363657407407407</v>
      </c>
      <c r="D3081" s="159">
        <v>10</v>
      </c>
      <c r="E3081" s="166" t="s">
        <v>2871</v>
      </c>
    </row>
    <row r="3082" spans="1:5">
      <c r="A3082" s="159">
        <f t="shared" si="40"/>
        <v>3081</v>
      </c>
      <c r="B3082" s="163">
        <v>45835</v>
      </c>
      <c r="C3082" s="164">
        <v>0.61605324074074075</v>
      </c>
      <c r="D3082" s="159">
        <v>10</v>
      </c>
      <c r="E3082" s="166" t="s">
        <v>2860</v>
      </c>
    </row>
    <row r="3083" spans="1:5">
      <c r="A3083" s="159">
        <f t="shared" si="40"/>
        <v>3082</v>
      </c>
      <c r="B3083" s="163">
        <v>45835</v>
      </c>
      <c r="C3083" s="164">
        <v>0.61093750000000002</v>
      </c>
      <c r="D3083" s="159">
        <v>10</v>
      </c>
      <c r="E3083" s="166" t="s">
        <v>2870</v>
      </c>
    </row>
    <row r="3084" spans="1:5">
      <c r="A3084" s="159">
        <f t="shared" si="40"/>
        <v>3083</v>
      </c>
      <c r="B3084" s="163">
        <v>45835</v>
      </c>
      <c r="C3084" s="164">
        <v>0.60261574074074076</v>
      </c>
      <c r="D3084" s="159">
        <v>10</v>
      </c>
      <c r="E3084" s="166" t="s">
        <v>2861</v>
      </c>
    </row>
    <row r="3085" spans="1:5">
      <c r="A3085" s="159">
        <f t="shared" si="40"/>
        <v>3084</v>
      </c>
      <c r="B3085" s="163">
        <v>45835</v>
      </c>
      <c r="C3085" s="164">
        <v>0.57650462962962956</v>
      </c>
      <c r="D3085" s="159">
        <v>10</v>
      </c>
      <c r="E3085" s="166" t="s">
        <v>2862</v>
      </c>
    </row>
    <row r="3086" spans="1:5">
      <c r="A3086" s="159">
        <f t="shared" si="40"/>
        <v>3085</v>
      </c>
      <c r="B3086" s="163">
        <v>45835</v>
      </c>
      <c r="C3086" s="164">
        <v>0.57663194444444443</v>
      </c>
      <c r="D3086" s="159">
        <v>10</v>
      </c>
      <c r="E3086" s="166" t="s">
        <v>2869</v>
      </c>
    </row>
    <row r="3087" spans="1:5">
      <c r="A3087" s="159">
        <f t="shared" si="40"/>
        <v>3086</v>
      </c>
      <c r="B3087" s="163">
        <v>45835</v>
      </c>
      <c r="C3087" s="164">
        <v>0.53528935185185189</v>
      </c>
      <c r="D3087" s="159">
        <v>10</v>
      </c>
      <c r="E3087" s="166" t="s">
        <v>2863</v>
      </c>
    </row>
    <row r="3088" spans="1:5">
      <c r="A3088" s="159">
        <f t="shared" si="40"/>
        <v>3087</v>
      </c>
      <c r="B3088" s="163">
        <v>45835</v>
      </c>
      <c r="C3088" s="164">
        <v>0.48894675925925929</v>
      </c>
      <c r="D3088" s="159">
        <v>10</v>
      </c>
      <c r="E3088" s="166" t="s">
        <v>2864</v>
      </c>
    </row>
    <row r="3089" spans="1:5">
      <c r="A3089" s="159">
        <f t="shared" si="40"/>
        <v>3088</v>
      </c>
      <c r="B3089" s="163">
        <v>45835</v>
      </c>
      <c r="C3089" s="164">
        <v>0.46576388888888887</v>
      </c>
      <c r="D3089" s="159">
        <v>10</v>
      </c>
      <c r="E3089" s="166" t="s">
        <v>2865</v>
      </c>
    </row>
    <row r="3090" spans="1:5">
      <c r="A3090" s="159">
        <f t="shared" si="40"/>
        <v>3089</v>
      </c>
      <c r="B3090" s="163">
        <v>45835</v>
      </c>
      <c r="C3090" s="164">
        <v>0.46288194444444447</v>
      </c>
      <c r="D3090" s="159">
        <v>10</v>
      </c>
      <c r="E3090" s="166" t="s">
        <v>273</v>
      </c>
    </row>
    <row r="3091" spans="1:5">
      <c r="A3091" s="159">
        <f t="shared" si="40"/>
        <v>3090</v>
      </c>
      <c r="B3091" s="163">
        <v>45835</v>
      </c>
      <c r="C3091" s="164">
        <v>0.42706018518518518</v>
      </c>
      <c r="D3091" s="159">
        <v>10</v>
      </c>
      <c r="E3091" s="166" t="s">
        <v>2866</v>
      </c>
    </row>
    <row r="3092" spans="1:5">
      <c r="A3092" s="159">
        <f t="shared" si="40"/>
        <v>3091</v>
      </c>
      <c r="B3092" s="163">
        <v>45835</v>
      </c>
      <c r="C3092" s="164">
        <v>0.40835648148148151</v>
      </c>
      <c r="D3092" s="159">
        <v>10</v>
      </c>
      <c r="E3092" s="166" t="s">
        <v>2867</v>
      </c>
    </row>
    <row r="3093" spans="1:5">
      <c r="A3093" s="159">
        <f t="shared" si="40"/>
        <v>3092</v>
      </c>
      <c r="B3093" s="163">
        <v>45835</v>
      </c>
      <c r="C3093" s="164">
        <v>0.40282407407407406</v>
      </c>
      <c r="D3093" s="159">
        <v>10</v>
      </c>
      <c r="E3093" s="166" t="s">
        <v>2868</v>
      </c>
    </row>
    <row r="3094" spans="1:5">
      <c r="A3094" s="159">
        <f t="shared" si="40"/>
        <v>3093</v>
      </c>
      <c r="B3094" s="163">
        <v>45836</v>
      </c>
      <c r="C3094" s="164">
        <v>0.7134490740740741</v>
      </c>
      <c r="D3094" s="159">
        <v>10</v>
      </c>
      <c r="E3094" s="166" t="s">
        <v>2833</v>
      </c>
    </row>
    <row r="3095" spans="1:5">
      <c r="A3095" s="159">
        <f t="shared" si="40"/>
        <v>3094</v>
      </c>
      <c r="B3095" s="163">
        <v>45836</v>
      </c>
      <c r="C3095" s="164">
        <v>0.69846064814814823</v>
      </c>
      <c r="D3095" s="159">
        <v>10</v>
      </c>
      <c r="E3095" s="166" t="s">
        <v>2834</v>
      </c>
    </row>
    <row r="3096" spans="1:5" ht="27">
      <c r="A3096" s="159">
        <f t="shared" si="40"/>
        <v>3095</v>
      </c>
      <c r="B3096" s="163">
        <v>45836</v>
      </c>
      <c r="C3096" s="164">
        <v>0.6636805555555555</v>
      </c>
      <c r="D3096" s="159">
        <v>10</v>
      </c>
      <c r="E3096" s="166" t="s">
        <v>2835</v>
      </c>
    </row>
    <row r="3097" spans="1:5">
      <c r="A3097" s="159">
        <f t="shared" si="40"/>
        <v>3096</v>
      </c>
      <c r="B3097" s="163">
        <v>45836</v>
      </c>
      <c r="C3097" s="164">
        <v>0.61803240740740739</v>
      </c>
      <c r="D3097" s="159">
        <v>10</v>
      </c>
      <c r="E3097" s="166" t="s">
        <v>537</v>
      </c>
    </row>
    <row r="3098" spans="1:5">
      <c r="A3098" s="159">
        <f t="shared" si="40"/>
        <v>3097</v>
      </c>
      <c r="B3098" s="163">
        <v>45836</v>
      </c>
      <c r="C3098" s="164">
        <v>0.59614583333333326</v>
      </c>
      <c r="D3098" s="159">
        <v>10</v>
      </c>
      <c r="E3098" s="166" t="s">
        <v>2836</v>
      </c>
    </row>
    <row r="3099" spans="1:5">
      <c r="A3099" s="159">
        <f t="shared" si="40"/>
        <v>3098</v>
      </c>
      <c r="B3099" s="163">
        <v>45836</v>
      </c>
      <c r="C3099" s="164">
        <v>0.55098379629629635</v>
      </c>
      <c r="D3099" s="159">
        <v>10</v>
      </c>
      <c r="E3099" s="166" t="s">
        <v>132</v>
      </c>
    </row>
    <row r="3100" spans="1:5">
      <c r="A3100" s="159">
        <f t="shared" si="40"/>
        <v>3099</v>
      </c>
      <c r="B3100" s="163">
        <v>45836</v>
      </c>
      <c r="C3100" s="164">
        <v>0.53483796296296293</v>
      </c>
      <c r="D3100" s="159">
        <v>10</v>
      </c>
      <c r="E3100" s="166" t="s">
        <v>2837</v>
      </c>
    </row>
    <row r="3101" spans="1:5">
      <c r="A3101" s="159">
        <f t="shared" si="40"/>
        <v>3100</v>
      </c>
      <c r="B3101" s="163">
        <v>45836</v>
      </c>
      <c r="C3101" s="164">
        <v>0.53285879629629629</v>
      </c>
      <c r="D3101" s="159">
        <v>10</v>
      </c>
      <c r="E3101" s="166" t="s">
        <v>2838</v>
      </c>
    </row>
    <row r="3102" spans="1:5">
      <c r="A3102" s="159">
        <f t="shared" si="40"/>
        <v>3101</v>
      </c>
      <c r="B3102" s="163">
        <v>45836</v>
      </c>
      <c r="C3102" s="164">
        <v>0.49905092592592593</v>
      </c>
      <c r="D3102" s="159">
        <v>10</v>
      </c>
      <c r="E3102" s="166" t="s">
        <v>2839</v>
      </c>
    </row>
    <row r="3103" spans="1:5">
      <c r="A3103" s="159">
        <f t="shared" si="40"/>
        <v>3102</v>
      </c>
      <c r="B3103" s="163">
        <v>45836</v>
      </c>
      <c r="C3103" s="164">
        <v>0.48761574074074071</v>
      </c>
      <c r="D3103" s="159">
        <v>10</v>
      </c>
      <c r="E3103" s="166" t="s">
        <v>2840</v>
      </c>
    </row>
    <row r="3104" spans="1:5">
      <c r="A3104" s="159">
        <f t="shared" si="40"/>
        <v>3103</v>
      </c>
      <c r="B3104" s="163">
        <v>45836</v>
      </c>
      <c r="C3104" s="164">
        <v>0.48226851851851849</v>
      </c>
      <c r="D3104" s="159">
        <v>10</v>
      </c>
      <c r="E3104" s="166" t="s">
        <v>2841</v>
      </c>
    </row>
    <row r="3105" spans="1:5">
      <c r="A3105" s="159">
        <f t="shared" si="40"/>
        <v>3104</v>
      </c>
      <c r="B3105" s="163">
        <v>45836</v>
      </c>
      <c r="C3105" s="164">
        <v>0.4676967592592593</v>
      </c>
      <c r="D3105" s="159">
        <v>10</v>
      </c>
      <c r="E3105" s="166" t="s">
        <v>2842</v>
      </c>
    </row>
    <row r="3106" spans="1:5">
      <c r="A3106" s="159">
        <f t="shared" si="40"/>
        <v>3105</v>
      </c>
      <c r="B3106" s="163">
        <v>45836</v>
      </c>
      <c r="C3106" s="164">
        <v>0.42604166666666665</v>
      </c>
      <c r="D3106" s="159">
        <v>10</v>
      </c>
      <c r="E3106" s="166" t="s">
        <v>2843</v>
      </c>
    </row>
    <row r="3107" spans="1:5">
      <c r="A3107" s="159">
        <f t="shared" si="40"/>
        <v>3106</v>
      </c>
      <c r="B3107" s="163">
        <v>45836</v>
      </c>
      <c r="C3107" s="164">
        <v>0.40296296296296297</v>
      </c>
      <c r="D3107" s="159">
        <v>10</v>
      </c>
      <c r="E3107" s="166" t="s">
        <v>2844</v>
      </c>
    </row>
    <row r="3108" spans="1:5">
      <c r="A3108" s="159">
        <f t="shared" si="40"/>
        <v>3107</v>
      </c>
      <c r="B3108" s="163">
        <v>45836</v>
      </c>
      <c r="C3108" s="164">
        <v>0.38722222222222219</v>
      </c>
      <c r="D3108" s="159">
        <v>10</v>
      </c>
      <c r="E3108" s="166" t="s">
        <v>2845</v>
      </c>
    </row>
    <row r="3109" spans="1:5">
      <c r="A3109" s="159">
        <f t="shared" si="40"/>
        <v>3108</v>
      </c>
      <c r="B3109" s="163">
        <v>45838</v>
      </c>
      <c r="C3109" s="164">
        <v>0.90097222222222229</v>
      </c>
      <c r="D3109" s="159">
        <v>10</v>
      </c>
      <c r="E3109" s="166" t="s">
        <v>2872</v>
      </c>
    </row>
    <row r="3110" spans="1:5">
      <c r="A3110" s="159">
        <f t="shared" si="40"/>
        <v>3109</v>
      </c>
      <c r="B3110" s="163">
        <v>45838</v>
      </c>
      <c r="C3110" s="164">
        <v>0.84410879629629632</v>
      </c>
      <c r="D3110" s="159">
        <v>10</v>
      </c>
      <c r="E3110" s="166" t="s">
        <v>1678</v>
      </c>
    </row>
    <row r="3111" spans="1:5">
      <c r="A3111" s="159">
        <f t="shared" si="40"/>
        <v>3110</v>
      </c>
      <c r="B3111" s="163">
        <v>45838</v>
      </c>
      <c r="C3111" s="164">
        <v>0.81339120370370377</v>
      </c>
      <c r="D3111" s="159">
        <v>10</v>
      </c>
      <c r="E3111" s="166" t="s">
        <v>2873</v>
      </c>
    </row>
    <row r="3112" spans="1:5">
      <c r="A3112" s="159">
        <f t="shared" si="40"/>
        <v>3111</v>
      </c>
      <c r="B3112" s="163">
        <v>45838</v>
      </c>
      <c r="C3112" s="164">
        <v>0.76921296296296304</v>
      </c>
      <c r="D3112" s="159">
        <v>10</v>
      </c>
      <c r="E3112" s="166" t="s">
        <v>2874</v>
      </c>
    </row>
    <row r="3113" spans="1:5">
      <c r="A3113" s="159">
        <f t="shared" si="40"/>
        <v>3112</v>
      </c>
      <c r="B3113" s="163">
        <v>45838</v>
      </c>
      <c r="C3113" s="164">
        <v>0.75458333333333327</v>
      </c>
      <c r="D3113" s="159">
        <v>10</v>
      </c>
      <c r="E3113" s="166" t="s">
        <v>2875</v>
      </c>
    </row>
    <row r="3114" spans="1:5">
      <c r="A3114" s="159">
        <f t="shared" si="40"/>
        <v>3113</v>
      </c>
      <c r="B3114" s="163">
        <v>45838</v>
      </c>
      <c r="C3114" s="164">
        <v>0.73730324074074083</v>
      </c>
      <c r="D3114" s="159">
        <v>10</v>
      </c>
      <c r="E3114" s="166" t="s">
        <v>2876</v>
      </c>
    </row>
    <row r="3115" spans="1:5">
      <c r="A3115" s="159">
        <f t="shared" si="40"/>
        <v>3114</v>
      </c>
      <c r="B3115" s="163">
        <v>45838</v>
      </c>
      <c r="C3115" s="164">
        <v>0.7146527777777778</v>
      </c>
      <c r="D3115" s="159">
        <v>10</v>
      </c>
      <c r="E3115" s="166" t="s">
        <v>2877</v>
      </c>
    </row>
    <row r="3116" spans="1:5">
      <c r="A3116" s="159">
        <f t="shared" si="40"/>
        <v>3115</v>
      </c>
      <c r="B3116" s="163">
        <v>45838</v>
      </c>
      <c r="C3116" s="164">
        <v>0.71</v>
      </c>
      <c r="D3116" s="159">
        <v>10</v>
      </c>
      <c r="E3116" s="166" t="s">
        <v>201</v>
      </c>
    </row>
    <row r="3117" spans="1:5">
      <c r="A3117" s="159">
        <f t="shared" si="40"/>
        <v>3116</v>
      </c>
      <c r="B3117" s="163">
        <v>45838</v>
      </c>
      <c r="C3117" s="164">
        <v>0.70787037037037026</v>
      </c>
      <c r="D3117" s="159">
        <v>10</v>
      </c>
      <c r="E3117" s="166" t="s">
        <v>2878</v>
      </c>
    </row>
    <row r="3118" spans="1:5">
      <c r="A3118" s="159">
        <f t="shared" si="40"/>
        <v>3117</v>
      </c>
      <c r="B3118" s="163">
        <v>45838</v>
      </c>
      <c r="C3118" s="164">
        <v>0.7038078703703704</v>
      </c>
      <c r="D3118" s="159">
        <v>10</v>
      </c>
      <c r="E3118" s="166" t="s">
        <v>2879</v>
      </c>
    </row>
    <row r="3119" spans="1:5">
      <c r="A3119" s="159">
        <f t="shared" si="40"/>
        <v>3118</v>
      </c>
      <c r="B3119" s="163">
        <v>45838</v>
      </c>
      <c r="C3119" s="164">
        <v>0.69793981481481471</v>
      </c>
      <c r="D3119" s="159">
        <v>10</v>
      </c>
      <c r="E3119" s="166" t="s">
        <v>2880</v>
      </c>
    </row>
    <row r="3120" spans="1:5" ht="54">
      <c r="A3120" s="159">
        <f t="shared" si="40"/>
        <v>3119</v>
      </c>
      <c r="B3120" s="163">
        <v>45838</v>
      </c>
      <c r="C3120" s="164">
        <v>0.68428240740740742</v>
      </c>
      <c r="D3120" s="159">
        <v>10</v>
      </c>
      <c r="E3120" s="166" t="s">
        <v>2903</v>
      </c>
    </row>
    <row r="3121" spans="1:5">
      <c r="A3121" s="159">
        <f t="shared" si="40"/>
        <v>3120</v>
      </c>
      <c r="B3121" s="163">
        <v>45838</v>
      </c>
      <c r="C3121" s="164">
        <v>0.67474537037037041</v>
      </c>
      <c r="D3121" s="159">
        <v>10</v>
      </c>
      <c r="E3121" s="166" t="s">
        <v>2881</v>
      </c>
    </row>
    <row r="3122" spans="1:5">
      <c r="A3122" s="159">
        <f t="shared" si="40"/>
        <v>3121</v>
      </c>
      <c r="B3122" s="163">
        <v>45838</v>
      </c>
      <c r="C3122" s="164">
        <v>0.67082175925925924</v>
      </c>
      <c r="D3122" s="159">
        <v>10</v>
      </c>
      <c r="E3122" s="166" t="s">
        <v>2882</v>
      </c>
    </row>
    <row r="3123" spans="1:5">
      <c r="A3123" s="159">
        <f t="shared" si="40"/>
        <v>3122</v>
      </c>
      <c r="B3123" s="163">
        <v>45838</v>
      </c>
      <c r="C3123" s="164">
        <v>0.66317129629629623</v>
      </c>
      <c r="D3123" s="159">
        <v>10</v>
      </c>
      <c r="E3123" s="166" t="s">
        <v>2883</v>
      </c>
    </row>
    <row r="3124" spans="1:5">
      <c r="A3124" s="159">
        <f t="shared" si="40"/>
        <v>3123</v>
      </c>
      <c r="B3124" s="163">
        <v>45838</v>
      </c>
      <c r="C3124" s="164">
        <v>0.63937500000000003</v>
      </c>
      <c r="D3124" s="159">
        <v>10</v>
      </c>
      <c r="E3124" s="166" t="s">
        <v>2884</v>
      </c>
    </row>
    <row r="3125" spans="1:5">
      <c r="A3125" s="159">
        <f t="shared" ref="A3125:A3188" si="41">ROW()-1</f>
        <v>3124</v>
      </c>
      <c r="B3125" s="163">
        <v>45838</v>
      </c>
      <c r="C3125" s="164">
        <v>0.63739583333333327</v>
      </c>
      <c r="D3125" s="159">
        <v>10</v>
      </c>
      <c r="E3125" s="166" t="s">
        <v>2885</v>
      </c>
    </row>
    <row r="3126" spans="1:5">
      <c r="A3126" s="159">
        <f t="shared" si="41"/>
        <v>3125</v>
      </c>
      <c r="B3126" s="163">
        <v>45838</v>
      </c>
      <c r="C3126" s="164">
        <v>0.63320601851851854</v>
      </c>
      <c r="D3126" s="159">
        <v>10</v>
      </c>
      <c r="E3126" s="166" t="s">
        <v>2886</v>
      </c>
    </row>
    <row r="3127" spans="1:5">
      <c r="A3127" s="159">
        <f t="shared" si="41"/>
        <v>3126</v>
      </c>
      <c r="B3127" s="163">
        <v>45838</v>
      </c>
      <c r="C3127" s="164">
        <v>0.62872685185185184</v>
      </c>
      <c r="D3127" s="159">
        <v>10</v>
      </c>
      <c r="E3127" s="166" t="s">
        <v>244</v>
      </c>
    </row>
    <row r="3128" spans="1:5">
      <c r="A3128" s="159">
        <f t="shared" si="41"/>
        <v>3127</v>
      </c>
      <c r="B3128" s="163">
        <v>45838</v>
      </c>
      <c r="C3128" s="164">
        <v>0.6116435185185185</v>
      </c>
      <c r="D3128" s="159">
        <v>10</v>
      </c>
      <c r="E3128" s="166" t="s">
        <v>2887</v>
      </c>
    </row>
    <row r="3129" spans="1:5">
      <c r="A3129" s="159">
        <f t="shared" si="41"/>
        <v>3128</v>
      </c>
      <c r="B3129" s="163">
        <v>45838</v>
      </c>
      <c r="C3129" s="164">
        <v>0.60994212962962957</v>
      </c>
      <c r="D3129" s="159">
        <v>10</v>
      </c>
      <c r="E3129" s="166" t="s">
        <v>2888</v>
      </c>
    </row>
    <row r="3130" spans="1:5">
      <c r="A3130" s="159">
        <f t="shared" si="41"/>
        <v>3129</v>
      </c>
      <c r="B3130" s="163">
        <v>45838</v>
      </c>
      <c r="C3130" s="164">
        <v>0.59243055555555557</v>
      </c>
      <c r="D3130" s="159">
        <v>10</v>
      </c>
      <c r="E3130" s="166" t="s">
        <v>2889</v>
      </c>
    </row>
    <row r="3131" spans="1:5">
      <c r="A3131" s="159">
        <f t="shared" si="41"/>
        <v>3130</v>
      </c>
      <c r="B3131" s="163">
        <v>45838</v>
      </c>
      <c r="C3131" s="164">
        <v>0.55792824074074077</v>
      </c>
      <c r="D3131" s="159">
        <v>10</v>
      </c>
      <c r="E3131" s="166" t="s">
        <v>488</v>
      </c>
    </row>
    <row r="3132" spans="1:5">
      <c r="A3132" s="159">
        <f t="shared" si="41"/>
        <v>3131</v>
      </c>
      <c r="B3132" s="163">
        <v>45838</v>
      </c>
      <c r="C3132" s="164">
        <v>0.55122685185185183</v>
      </c>
      <c r="D3132" s="159">
        <v>10</v>
      </c>
      <c r="E3132" s="166" t="s">
        <v>132</v>
      </c>
    </row>
    <row r="3133" spans="1:5">
      <c r="A3133" s="159">
        <f t="shared" si="41"/>
        <v>3132</v>
      </c>
      <c r="B3133" s="163">
        <v>45838</v>
      </c>
      <c r="C3133" s="164">
        <v>0.46584490740740742</v>
      </c>
      <c r="D3133" s="159">
        <v>10</v>
      </c>
      <c r="E3133" s="166" t="s">
        <v>2890</v>
      </c>
    </row>
    <row r="3134" spans="1:5">
      <c r="A3134" s="159">
        <f t="shared" si="41"/>
        <v>3133</v>
      </c>
      <c r="B3134" s="163">
        <v>45838</v>
      </c>
      <c r="C3134" s="164">
        <v>0.4636805555555556</v>
      </c>
      <c r="D3134" s="159">
        <v>10</v>
      </c>
      <c r="E3134" s="166" t="s">
        <v>2891</v>
      </c>
    </row>
    <row r="3135" spans="1:5">
      <c r="A3135" s="159">
        <f t="shared" si="41"/>
        <v>3134</v>
      </c>
      <c r="B3135" s="163">
        <v>45838</v>
      </c>
      <c r="C3135" s="164">
        <v>0.45332175925925927</v>
      </c>
      <c r="D3135" s="159">
        <v>10</v>
      </c>
      <c r="E3135" s="166" t="s">
        <v>2892</v>
      </c>
    </row>
    <row r="3136" spans="1:5">
      <c r="A3136" s="159">
        <f t="shared" si="41"/>
        <v>3135</v>
      </c>
      <c r="B3136" s="163">
        <v>45838</v>
      </c>
      <c r="C3136" s="164">
        <v>0.44171296296296297</v>
      </c>
      <c r="D3136" s="159">
        <v>10</v>
      </c>
      <c r="E3136" s="166" t="s">
        <v>2893</v>
      </c>
    </row>
    <row r="3137" spans="1:5">
      <c r="A3137" s="159">
        <f t="shared" si="41"/>
        <v>3136</v>
      </c>
      <c r="B3137" s="163">
        <v>45838</v>
      </c>
      <c r="C3137" s="164">
        <v>0.44093749999999998</v>
      </c>
      <c r="D3137" s="159">
        <v>10</v>
      </c>
      <c r="E3137" s="166" t="s">
        <v>2894</v>
      </c>
    </row>
    <row r="3138" spans="1:5">
      <c r="A3138" s="159">
        <f t="shared" si="41"/>
        <v>3137</v>
      </c>
      <c r="B3138" s="163">
        <v>45838</v>
      </c>
      <c r="C3138" s="164">
        <v>0.44087962962962962</v>
      </c>
      <c r="D3138" s="159">
        <v>10</v>
      </c>
      <c r="E3138" s="166" t="s">
        <v>2895</v>
      </c>
    </row>
    <row r="3139" spans="1:5" ht="27">
      <c r="A3139" s="159">
        <f t="shared" si="41"/>
        <v>3138</v>
      </c>
      <c r="B3139" s="163">
        <v>45838</v>
      </c>
      <c r="C3139" s="164">
        <v>0.44002314814814819</v>
      </c>
      <c r="D3139" s="159">
        <v>10</v>
      </c>
      <c r="E3139" s="166" t="s">
        <v>2902</v>
      </c>
    </row>
    <row r="3140" spans="1:5">
      <c r="A3140" s="159">
        <f t="shared" si="41"/>
        <v>3139</v>
      </c>
      <c r="B3140" s="163">
        <v>45838</v>
      </c>
      <c r="C3140" s="164">
        <v>0.43807870370370372</v>
      </c>
      <c r="D3140" s="159">
        <v>10</v>
      </c>
      <c r="E3140" s="166" t="s">
        <v>2896</v>
      </c>
    </row>
    <row r="3141" spans="1:5">
      <c r="A3141" s="159">
        <f t="shared" si="41"/>
        <v>3140</v>
      </c>
      <c r="B3141" s="163">
        <v>45838</v>
      </c>
      <c r="C3141" s="164">
        <v>0.42582175925925925</v>
      </c>
      <c r="D3141" s="159">
        <v>10</v>
      </c>
      <c r="E3141" s="166" t="s">
        <v>2897</v>
      </c>
    </row>
    <row r="3142" spans="1:5">
      <c r="A3142" s="159">
        <f t="shared" si="41"/>
        <v>3141</v>
      </c>
      <c r="B3142" s="163">
        <v>45838</v>
      </c>
      <c r="C3142" s="164">
        <v>0.42350694444444442</v>
      </c>
      <c r="D3142" s="159">
        <v>10</v>
      </c>
      <c r="E3142" s="166" t="s">
        <v>2898</v>
      </c>
    </row>
    <row r="3143" spans="1:5">
      <c r="A3143" s="159">
        <f t="shared" si="41"/>
        <v>3142</v>
      </c>
      <c r="B3143" s="163">
        <v>45838</v>
      </c>
      <c r="C3143" s="164">
        <v>0.39539351851851851</v>
      </c>
      <c r="D3143" s="159">
        <v>10</v>
      </c>
      <c r="E3143" s="166" t="s">
        <v>2899</v>
      </c>
    </row>
    <row r="3144" spans="1:5">
      <c r="A3144" s="159">
        <f t="shared" si="41"/>
        <v>3143</v>
      </c>
      <c r="B3144" s="163">
        <v>45838</v>
      </c>
      <c r="C3144" s="164">
        <v>0.39175925925925931</v>
      </c>
      <c r="D3144" s="159">
        <v>10</v>
      </c>
      <c r="E3144" s="166" t="s">
        <v>313</v>
      </c>
    </row>
    <row r="3145" spans="1:5" ht="27">
      <c r="A3145" s="159">
        <f t="shared" si="41"/>
        <v>3144</v>
      </c>
      <c r="B3145" s="163">
        <v>45838</v>
      </c>
      <c r="C3145" s="164">
        <v>0.38739583333333333</v>
      </c>
      <c r="D3145" s="159">
        <v>10</v>
      </c>
      <c r="E3145" s="166" t="s">
        <v>2901</v>
      </c>
    </row>
    <row r="3146" spans="1:5">
      <c r="A3146" s="159">
        <f t="shared" si="41"/>
        <v>3145</v>
      </c>
      <c r="B3146" s="163">
        <v>45838</v>
      </c>
      <c r="C3146" s="164">
        <v>0.38278935185185187</v>
      </c>
      <c r="D3146" s="159">
        <v>10</v>
      </c>
      <c r="E3146" s="166" t="s">
        <v>2900</v>
      </c>
    </row>
    <row r="3147" spans="1:5">
      <c r="A3147" s="159">
        <f t="shared" si="41"/>
        <v>3146</v>
      </c>
      <c r="B3147" s="163">
        <v>45839</v>
      </c>
      <c r="C3147" s="164">
        <v>0.90358796296296295</v>
      </c>
      <c r="D3147" s="159">
        <v>10</v>
      </c>
      <c r="E3147" s="166" t="s">
        <v>433</v>
      </c>
    </row>
    <row r="3148" spans="1:5">
      <c r="A3148" s="159">
        <f t="shared" si="41"/>
        <v>3147</v>
      </c>
      <c r="B3148" s="163">
        <v>45839</v>
      </c>
      <c r="C3148" s="164">
        <v>0.81225694444444441</v>
      </c>
      <c r="D3148" s="159">
        <v>10</v>
      </c>
      <c r="E3148" s="166" t="s">
        <v>132</v>
      </c>
    </row>
    <row r="3149" spans="1:5">
      <c r="A3149" s="159">
        <f t="shared" si="41"/>
        <v>3148</v>
      </c>
      <c r="B3149" s="163">
        <v>45839</v>
      </c>
      <c r="C3149" s="164">
        <v>0.80291666666666661</v>
      </c>
      <c r="D3149" s="159">
        <v>10</v>
      </c>
      <c r="E3149" s="166" t="s">
        <v>2904</v>
      </c>
    </row>
    <row r="3150" spans="1:5">
      <c r="A3150" s="159">
        <f t="shared" si="41"/>
        <v>3149</v>
      </c>
      <c r="B3150" s="163">
        <v>45839</v>
      </c>
      <c r="C3150" s="164">
        <v>0.74722222222222223</v>
      </c>
      <c r="D3150" s="159">
        <v>10</v>
      </c>
      <c r="E3150" s="166" t="s">
        <v>2905</v>
      </c>
    </row>
    <row r="3151" spans="1:5">
      <c r="A3151" s="159">
        <f t="shared" si="41"/>
        <v>3150</v>
      </c>
      <c r="B3151" s="163">
        <v>45839</v>
      </c>
      <c r="C3151" s="164">
        <v>0.74581018518518516</v>
      </c>
      <c r="D3151" s="159">
        <v>10</v>
      </c>
      <c r="E3151" s="166" t="s">
        <v>2906</v>
      </c>
    </row>
    <row r="3152" spans="1:5">
      <c r="A3152" s="159">
        <f t="shared" si="41"/>
        <v>3151</v>
      </c>
      <c r="B3152" s="163">
        <v>45839</v>
      </c>
      <c r="C3152" s="164">
        <v>0.73267361111111118</v>
      </c>
      <c r="D3152" s="159">
        <v>10</v>
      </c>
      <c r="E3152" s="166" t="s">
        <v>2907</v>
      </c>
    </row>
    <row r="3153" spans="1:5" ht="27">
      <c r="A3153" s="159">
        <f t="shared" si="41"/>
        <v>3152</v>
      </c>
      <c r="B3153" s="163">
        <v>45839</v>
      </c>
      <c r="C3153" s="164">
        <v>0.7231481481481481</v>
      </c>
      <c r="D3153" s="159">
        <v>10</v>
      </c>
      <c r="E3153" s="166" t="s">
        <v>2937</v>
      </c>
    </row>
    <row r="3154" spans="1:5">
      <c r="A3154" s="159">
        <f t="shared" si="41"/>
        <v>3153</v>
      </c>
      <c r="B3154" s="163">
        <v>45839</v>
      </c>
      <c r="C3154" s="164">
        <v>0.71721064814814817</v>
      </c>
      <c r="D3154" s="159">
        <v>10</v>
      </c>
      <c r="E3154" s="166" t="s">
        <v>2908</v>
      </c>
    </row>
    <row r="3155" spans="1:5">
      <c r="A3155" s="159">
        <f t="shared" si="41"/>
        <v>3154</v>
      </c>
      <c r="B3155" s="163">
        <v>45839</v>
      </c>
      <c r="C3155" s="164">
        <v>0.71317129629629628</v>
      </c>
      <c r="D3155" s="159">
        <v>10</v>
      </c>
      <c r="E3155" s="166" t="s">
        <v>2909</v>
      </c>
    </row>
    <row r="3156" spans="1:5">
      <c r="A3156" s="159">
        <f t="shared" si="41"/>
        <v>3155</v>
      </c>
      <c r="B3156" s="163">
        <v>45839</v>
      </c>
      <c r="C3156" s="164">
        <v>0.70936342592592594</v>
      </c>
      <c r="D3156" s="159">
        <v>9</v>
      </c>
      <c r="E3156" s="166" t="s">
        <v>244</v>
      </c>
    </row>
    <row r="3157" spans="1:5">
      <c r="A3157" s="159">
        <f t="shared" si="41"/>
        <v>3156</v>
      </c>
      <c r="B3157" s="163">
        <v>45839</v>
      </c>
      <c r="C3157" s="164">
        <v>0.70690972222222215</v>
      </c>
      <c r="D3157" s="159">
        <v>10</v>
      </c>
      <c r="E3157" s="166" t="s">
        <v>2910</v>
      </c>
    </row>
    <row r="3158" spans="1:5">
      <c r="A3158" s="159">
        <f t="shared" si="41"/>
        <v>3157</v>
      </c>
      <c r="B3158" s="163">
        <v>45839</v>
      </c>
      <c r="C3158" s="164">
        <v>0.70519675925925929</v>
      </c>
      <c r="D3158" s="159">
        <v>10</v>
      </c>
      <c r="E3158" s="166" t="s">
        <v>2911</v>
      </c>
    </row>
    <row r="3159" spans="1:5">
      <c r="A3159" s="159">
        <f t="shared" si="41"/>
        <v>3158</v>
      </c>
      <c r="B3159" s="163">
        <v>45839</v>
      </c>
      <c r="C3159" s="164">
        <v>0.70336805555555559</v>
      </c>
      <c r="D3159" s="159">
        <v>10</v>
      </c>
      <c r="E3159" s="166" t="s">
        <v>2912</v>
      </c>
    </row>
    <row r="3160" spans="1:5">
      <c r="A3160" s="159">
        <f t="shared" si="41"/>
        <v>3159</v>
      </c>
      <c r="B3160" s="163">
        <v>45839</v>
      </c>
      <c r="C3160" s="164">
        <v>0.69945601851851846</v>
      </c>
      <c r="D3160" s="159">
        <v>10</v>
      </c>
      <c r="E3160" s="166" t="s">
        <v>2913</v>
      </c>
    </row>
    <row r="3161" spans="1:5">
      <c r="A3161" s="159">
        <f t="shared" si="41"/>
        <v>3160</v>
      </c>
      <c r="B3161" s="163">
        <v>45839</v>
      </c>
      <c r="C3161" s="164">
        <v>0.68795138888888896</v>
      </c>
      <c r="D3161" s="159">
        <v>10</v>
      </c>
      <c r="E3161" s="166" t="s">
        <v>2914</v>
      </c>
    </row>
    <row r="3162" spans="1:5">
      <c r="A3162" s="159">
        <f t="shared" si="41"/>
        <v>3161</v>
      </c>
      <c r="B3162" s="163">
        <v>45839</v>
      </c>
      <c r="C3162" s="164">
        <v>0.68418981481481478</v>
      </c>
      <c r="D3162" s="159">
        <v>10</v>
      </c>
      <c r="E3162" s="166" t="s">
        <v>2915</v>
      </c>
    </row>
    <row r="3163" spans="1:5">
      <c r="A3163" s="159">
        <f t="shared" si="41"/>
        <v>3162</v>
      </c>
      <c r="B3163" s="163">
        <v>45839</v>
      </c>
      <c r="C3163" s="164">
        <v>0.67861111111111105</v>
      </c>
      <c r="D3163" s="159">
        <v>10</v>
      </c>
      <c r="E3163" s="166" t="s">
        <v>2916</v>
      </c>
    </row>
    <row r="3164" spans="1:5">
      <c r="A3164" s="159">
        <f t="shared" si="41"/>
        <v>3163</v>
      </c>
      <c r="B3164" s="163">
        <v>45839</v>
      </c>
      <c r="C3164" s="164">
        <v>0.67739583333333331</v>
      </c>
      <c r="D3164" s="159">
        <v>10</v>
      </c>
      <c r="E3164" s="166" t="s">
        <v>2917</v>
      </c>
    </row>
    <row r="3165" spans="1:5">
      <c r="A3165" s="159">
        <f t="shared" si="41"/>
        <v>3164</v>
      </c>
      <c r="B3165" s="163">
        <v>45839</v>
      </c>
      <c r="C3165" s="164">
        <v>0.67097222222222219</v>
      </c>
      <c r="D3165" s="159">
        <v>10</v>
      </c>
      <c r="E3165" s="166" t="s">
        <v>2918</v>
      </c>
    </row>
    <row r="3166" spans="1:5">
      <c r="A3166" s="159">
        <f t="shared" si="41"/>
        <v>3165</v>
      </c>
      <c r="B3166" s="163">
        <v>45839</v>
      </c>
      <c r="C3166" s="164">
        <v>0.66513888888888884</v>
      </c>
      <c r="D3166" s="159">
        <v>10</v>
      </c>
      <c r="E3166" s="166" t="s">
        <v>1364</v>
      </c>
    </row>
    <row r="3167" spans="1:5">
      <c r="A3167" s="159">
        <f t="shared" si="41"/>
        <v>3166</v>
      </c>
      <c r="B3167" s="163">
        <v>45839</v>
      </c>
      <c r="C3167" s="164">
        <v>0.65347222222222223</v>
      </c>
      <c r="D3167" s="159">
        <v>10</v>
      </c>
      <c r="E3167" s="166" t="s">
        <v>2919</v>
      </c>
    </row>
    <row r="3168" spans="1:5">
      <c r="A3168" s="159">
        <f t="shared" si="41"/>
        <v>3167</v>
      </c>
      <c r="B3168" s="163">
        <v>45839</v>
      </c>
      <c r="C3168" s="164">
        <v>0.6454050925925926</v>
      </c>
      <c r="D3168" s="159">
        <v>10</v>
      </c>
      <c r="E3168" s="166" t="s">
        <v>2920</v>
      </c>
    </row>
    <row r="3169" spans="1:5">
      <c r="A3169" s="159">
        <f t="shared" si="41"/>
        <v>3168</v>
      </c>
      <c r="B3169" s="163">
        <v>45839</v>
      </c>
      <c r="C3169" s="164">
        <v>0.6428356481481482</v>
      </c>
      <c r="D3169" s="159">
        <v>10</v>
      </c>
      <c r="E3169" s="166" t="s">
        <v>288</v>
      </c>
    </row>
    <row r="3170" spans="1:5">
      <c r="A3170" s="159">
        <f t="shared" si="41"/>
        <v>3169</v>
      </c>
      <c r="B3170" s="163">
        <v>45839</v>
      </c>
      <c r="C3170" s="164">
        <v>0.64195601851851858</v>
      </c>
      <c r="D3170" s="159">
        <v>10</v>
      </c>
      <c r="E3170" s="166" t="s">
        <v>406</v>
      </c>
    </row>
    <row r="3171" spans="1:5">
      <c r="A3171" s="159">
        <f t="shared" si="41"/>
        <v>3170</v>
      </c>
      <c r="B3171" s="163">
        <v>45839</v>
      </c>
      <c r="C3171" s="164">
        <v>0.63763888888888887</v>
      </c>
      <c r="D3171" s="159">
        <v>10</v>
      </c>
      <c r="E3171" s="166" t="s">
        <v>2921</v>
      </c>
    </row>
    <row r="3172" spans="1:5">
      <c r="A3172" s="159">
        <f t="shared" si="41"/>
        <v>3171</v>
      </c>
      <c r="B3172" s="163">
        <v>45839</v>
      </c>
      <c r="C3172" s="164">
        <v>0.63134259259259262</v>
      </c>
      <c r="D3172" s="159">
        <v>10</v>
      </c>
      <c r="E3172" s="166" t="s">
        <v>2922</v>
      </c>
    </row>
    <row r="3173" spans="1:5">
      <c r="A3173" s="159">
        <f t="shared" si="41"/>
        <v>3172</v>
      </c>
      <c r="B3173" s="163">
        <v>45839</v>
      </c>
      <c r="C3173" s="164">
        <v>0.62761574074074067</v>
      </c>
      <c r="D3173" s="159">
        <v>10</v>
      </c>
      <c r="E3173" s="166" t="s">
        <v>2923</v>
      </c>
    </row>
    <row r="3174" spans="1:5">
      <c r="A3174" s="159">
        <f t="shared" si="41"/>
        <v>3173</v>
      </c>
      <c r="B3174" s="163">
        <v>45839</v>
      </c>
      <c r="C3174" s="164">
        <v>0.62714120370370374</v>
      </c>
      <c r="D3174" s="159">
        <v>10</v>
      </c>
      <c r="E3174" s="166" t="s">
        <v>244</v>
      </c>
    </row>
    <row r="3175" spans="1:5">
      <c r="A3175" s="159">
        <f t="shared" si="41"/>
        <v>3174</v>
      </c>
      <c r="B3175" s="163">
        <v>45839</v>
      </c>
      <c r="C3175" s="164">
        <v>0.58797453703703706</v>
      </c>
      <c r="D3175" s="159">
        <v>10</v>
      </c>
      <c r="E3175" s="166" t="s">
        <v>2924</v>
      </c>
    </row>
    <row r="3176" spans="1:5">
      <c r="A3176" s="159">
        <f t="shared" si="41"/>
        <v>3175</v>
      </c>
      <c r="B3176" s="163">
        <v>45839</v>
      </c>
      <c r="C3176" s="164">
        <v>0.55803240740740734</v>
      </c>
      <c r="D3176" s="159">
        <v>10</v>
      </c>
      <c r="E3176" s="166" t="s">
        <v>2936</v>
      </c>
    </row>
    <row r="3177" spans="1:5">
      <c r="A3177" s="159">
        <f t="shared" si="41"/>
        <v>3176</v>
      </c>
      <c r="B3177" s="163">
        <v>45839</v>
      </c>
      <c r="C3177" s="164">
        <v>0.55827546296296293</v>
      </c>
      <c r="D3177" s="159">
        <v>10</v>
      </c>
      <c r="E3177" s="166" t="s">
        <v>2925</v>
      </c>
    </row>
    <row r="3178" spans="1:5">
      <c r="A3178" s="159">
        <f t="shared" si="41"/>
        <v>3177</v>
      </c>
      <c r="B3178" s="163">
        <v>45839</v>
      </c>
      <c r="C3178" s="164">
        <v>0.55221064814814813</v>
      </c>
      <c r="D3178" s="159">
        <v>10</v>
      </c>
      <c r="E3178" s="166" t="s">
        <v>2926</v>
      </c>
    </row>
    <row r="3179" spans="1:5">
      <c r="A3179" s="159">
        <f t="shared" si="41"/>
        <v>3178</v>
      </c>
      <c r="B3179" s="163">
        <v>45839</v>
      </c>
      <c r="C3179" s="164">
        <v>0.49390046296296292</v>
      </c>
      <c r="D3179" s="159">
        <v>10</v>
      </c>
      <c r="E3179" s="166" t="s">
        <v>2927</v>
      </c>
    </row>
    <row r="3180" spans="1:5">
      <c r="A3180" s="159">
        <f t="shared" si="41"/>
        <v>3179</v>
      </c>
      <c r="B3180" s="163">
        <v>45839</v>
      </c>
      <c r="C3180" s="164">
        <v>0.4861111111111111</v>
      </c>
      <c r="D3180" s="159">
        <v>10</v>
      </c>
      <c r="E3180" s="166" t="s">
        <v>2928</v>
      </c>
    </row>
    <row r="3181" spans="1:5">
      <c r="A3181" s="159">
        <f t="shared" si="41"/>
        <v>3180</v>
      </c>
      <c r="B3181" s="163">
        <v>45839</v>
      </c>
      <c r="C3181" s="164">
        <v>0.48749999999999999</v>
      </c>
      <c r="D3181" s="159">
        <v>10</v>
      </c>
      <c r="E3181" s="166" t="s">
        <v>2929</v>
      </c>
    </row>
    <row r="3182" spans="1:5">
      <c r="A3182" s="159">
        <f t="shared" si="41"/>
        <v>3181</v>
      </c>
      <c r="B3182" s="163">
        <v>45839</v>
      </c>
      <c r="C3182" s="164">
        <v>0.4826388888888889</v>
      </c>
      <c r="D3182" s="159">
        <v>10</v>
      </c>
      <c r="E3182" s="166" t="s">
        <v>1668</v>
      </c>
    </row>
    <row r="3183" spans="1:5">
      <c r="A3183" s="159">
        <f t="shared" si="41"/>
        <v>3182</v>
      </c>
      <c r="B3183" s="163">
        <v>45839</v>
      </c>
      <c r="C3183" s="164">
        <v>0.46061342592592597</v>
      </c>
      <c r="D3183" s="159">
        <v>10</v>
      </c>
      <c r="E3183" s="166" t="s">
        <v>2930</v>
      </c>
    </row>
    <row r="3184" spans="1:5">
      <c r="A3184" s="159">
        <f t="shared" si="41"/>
        <v>3183</v>
      </c>
      <c r="B3184" s="163">
        <v>45839</v>
      </c>
      <c r="C3184" s="164">
        <v>0.4485763888888889</v>
      </c>
      <c r="D3184" s="159">
        <v>10</v>
      </c>
      <c r="E3184" s="166" t="s">
        <v>2931</v>
      </c>
    </row>
    <row r="3185" spans="1:5">
      <c r="A3185" s="159">
        <f t="shared" si="41"/>
        <v>3184</v>
      </c>
      <c r="B3185" s="163">
        <v>45839</v>
      </c>
      <c r="C3185" s="164">
        <v>0.44278935185185181</v>
      </c>
      <c r="D3185" s="159">
        <v>10</v>
      </c>
      <c r="E3185" s="166" t="s">
        <v>2932</v>
      </c>
    </row>
    <row r="3186" spans="1:5">
      <c r="A3186" s="159">
        <f t="shared" si="41"/>
        <v>3185</v>
      </c>
      <c r="B3186" s="163">
        <v>45839</v>
      </c>
      <c r="C3186" s="164">
        <v>0.42856481481481484</v>
      </c>
      <c r="D3186" s="159">
        <v>10</v>
      </c>
      <c r="E3186" s="166" t="s">
        <v>2933</v>
      </c>
    </row>
    <row r="3187" spans="1:5">
      <c r="A3187" s="159">
        <f t="shared" si="41"/>
        <v>3186</v>
      </c>
      <c r="B3187" s="163">
        <v>45839</v>
      </c>
      <c r="C3187" s="164">
        <v>0.41695601851851855</v>
      </c>
      <c r="D3187" s="159">
        <v>10</v>
      </c>
      <c r="E3187" s="166" t="s">
        <v>537</v>
      </c>
    </row>
    <row r="3188" spans="1:5">
      <c r="A3188" s="159">
        <f t="shared" si="41"/>
        <v>3187</v>
      </c>
      <c r="B3188" s="163">
        <v>45839</v>
      </c>
      <c r="C3188" s="164">
        <v>0.38597222222222222</v>
      </c>
      <c r="D3188" s="159">
        <v>10</v>
      </c>
      <c r="E3188" s="166" t="s">
        <v>2934</v>
      </c>
    </row>
    <row r="3189" spans="1:5">
      <c r="A3189" s="159">
        <f t="shared" ref="A3189:A3252" si="42">ROW()-1</f>
        <v>3188</v>
      </c>
      <c r="B3189" s="163">
        <v>45839</v>
      </c>
      <c r="C3189" s="164">
        <v>0.38618055555555553</v>
      </c>
      <c r="D3189" s="159">
        <v>10</v>
      </c>
      <c r="E3189" s="166" t="s">
        <v>2935</v>
      </c>
    </row>
    <row r="3190" spans="1:5">
      <c r="A3190" s="159">
        <f t="shared" si="42"/>
        <v>3189</v>
      </c>
      <c r="B3190" s="163">
        <v>45840</v>
      </c>
      <c r="C3190" s="164">
        <v>0.90528935185185189</v>
      </c>
      <c r="D3190" s="159">
        <v>10</v>
      </c>
      <c r="E3190" s="166" t="s">
        <v>2938</v>
      </c>
    </row>
    <row r="3191" spans="1:5">
      <c r="A3191" s="159">
        <f t="shared" si="42"/>
        <v>3190</v>
      </c>
      <c r="B3191" s="163">
        <v>45840</v>
      </c>
      <c r="C3191" s="164">
        <v>0.87123842592592593</v>
      </c>
      <c r="D3191" s="159">
        <v>10</v>
      </c>
      <c r="E3191" s="166" t="s">
        <v>132</v>
      </c>
    </row>
    <row r="3192" spans="1:5">
      <c r="A3192" s="159">
        <f t="shared" si="42"/>
        <v>3191</v>
      </c>
      <c r="B3192" s="163">
        <v>45840</v>
      </c>
      <c r="C3192" s="164">
        <v>0.8586111111111111</v>
      </c>
      <c r="D3192" s="159">
        <v>10</v>
      </c>
      <c r="E3192" s="166" t="s">
        <v>2939</v>
      </c>
    </row>
    <row r="3193" spans="1:5">
      <c r="A3193" s="159">
        <f t="shared" si="42"/>
        <v>3192</v>
      </c>
      <c r="B3193" s="163">
        <v>45840</v>
      </c>
      <c r="C3193" s="164">
        <v>0.80278935185185185</v>
      </c>
      <c r="D3193" s="159">
        <v>10</v>
      </c>
      <c r="E3193" s="166" t="s">
        <v>2973</v>
      </c>
    </row>
    <row r="3194" spans="1:5">
      <c r="A3194" s="159">
        <f t="shared" si="42"/>
        <v>3193</v>
      </c>
      <c r="B3194" s="163">
        <v>45840</v>
      </c>
      <c r="C3194" s="164">
        <v>0.79087962962962965</v>
      </c>
      <c r="D3194" s="159">
        <v>10</v>
      </c>
      <c r="E3194" s="166" t="s">
        <v>2940</v>
      </c>
    </row>
    <row r="3195" spans="1:5">
      <c r="A3195" s="159">
        <f t="shared" si="42"/>
        <v>3194</v>
      </c>
      <c r="B3195" s="163">
        <v>45840</v>
      </c>
      <c r="C3195" s="164">
        <v>0.749537037037037</v>
      </c>
      <c r="D3195" s="159">
        <v>10</v>
      </c>
      <c r="E3195" s="166" t="s">
        <v>2941</v>
      </c>
    </row>
    <row r="3196" spans="1:5">
      <c r="A3196" s="159">
        <f t="shared" si="42"/>
        <v>3195</v>
      </c>
      <c r="B3196" s="163">
        <v>45840</v>
      </c>
      <c r="C3196" s="164">
        <v>0.74081018518518515</v>
      </c>
      <c r="D3196" s="159">
        <v>10</v>
      </c>
      <c r="E3196" s="166" t="s">
        <v>2942</v>
      </c>
    </row>
    <row r="3197" spans="1:5">
      <c r="A3197" s="159">
        <f t="shared" si="42"/>
        <v>3196</v>
      </c>
      <c r="B3197" s="163">
        <v>45840</v>
      </c>
      <c r="C3197" s="164">
        <v>0.73</v>
      </c>
      <c r="D3197" s="159">
        <v>10</v>
      </c>
      <c r="E3197" s="166" t="s">
        <v>2943</v>
      </c>
    </row>
    <row r="3198" spans="1:5" ht="27">
      <c r="A3198" s="159">
        <f t="shared" si="42"/>
        <v>3197</v>
      </c>
      <c r="B3198" s="163">
        <v>45840</v>
      </c>
      <c r="C3198" s="164">
        <v>0.72909722222222229</v>
      </c>
      <c r="D3198" s="159">
        <v>10</v>
      </c>
      <c r="E3198" s="166" t="s">
        <v>2972</v>
      </c>
    </row>
    <row r="3199" spans="1:5">
      <c r="A3199" s="159">
        <f t="shared" si="42"/>
        <v>3198</v>
      </c>
      <c r="B3199" s="163">
        <v>45840</v>
      </c>
      <c r="C3199" s="164">
        <v>0.72342592592592592</v>
      </c>
      <c r="D3199" s="159">
        <v>10</v>
      </c>
      <c r="E3199" s="166" t="s">
        <v>2944</v>
      </c>
    </row>
    <row r="3200" spans="1:5">
      <c r="A3200" s="159">
        <f t="shared" si="42"/>
        <v>3199</v>
      </c>
      <c r="B3200" s="163">
        <v>45840</v>
      </c>
      <c r="C3200" s="164">
        <v>0.69710648148148147</v>
      </c>
      <c r="D3200" s="159">
        <v>10</v>
      </c>
      <c r="E3200" s="166" t="s">
        <v>565</v>
      </c>
    </row>
    <row r="3201" spans="1:5">
      <c r="A3201" s="159">
        <f t="shared" si="42"/>
        <v>3200</v>
      </c>
      <c r="B3201" s="163">
        <v>45840</v>
      </c>
      <c r="C3201" s="164">
        <v>0.68834490740740739</v>
      </c>
      <c r="D3201" s="159">
        <v>10</v>
      </c>
      <c r="E3201" s="166" t="s">
        <v>2945</v>
      </c>
    </row>
    <row r="3202" spans="1:5">
      <c r="A3202" s="159">
        <f t="shared" si="42"/>
        <v>3201</v>
      </c>
      <c r="B3202" s="163">
        <v>45840</v>
      </c>
      <c r="C3202" s="164">
        <v>0.68502314814814813</v>
      </c>
      <c r="D3202" s="159">
        <v>10</v>
      </c>
      <c r="E3202" s="166" t="s">
        <v>2946</v>
      </c>
    </row>
    <row r="3203" spans="1:5">
      <c r="A3203" s="159">
        <f t="shared" si="42"/>
        <v>3202</v>
      </c>
      <c r="B3203" s="163">
        <v>45840</v>
      </c>
      <c r="C3203" s="164">
        <v>0.68252314814814818</v>
      </c>
      <c r="D3203" s="159">
        <v>10</v>
      </c>
      <c r="E3203" s="166" t="s">
        <v>2947</v>
      </c>
    </row>
    <row r="3204" spans="1:5">
      <c r="A3204" s="159">
        <f t="shared" si="42"/>
        <v>3203</v>
      </c>
      <c r="B3204" s="163">
        <v>45840</v>
      </c>
      <c r="C3204" s="164">
        <v>0.67964120370370373</v>
      </c>
      <c r="D3204" s="159">
        <v>10</v>
      </c>
      <c r="E3204" s="166" t="s">
        <v>2948</v>
      </c>
    </row>
    <row r="3205" spans="1:5">
      <c r="A3205" s="159">
        <f t="shared" si="42"/>
        <v>3204</v>
      </c>
      <c r="B3205" s="163">
        <v>45840</v>
      </c>
      <c r="C3205" s="164">
        <v>0.66118055555555555</v>
      </c>
      <c r="D3205" s="159">
        <v>10</v>
      </c>
      <c r="E3205" s="166" t="s">
        <v>2949</v>
      </c>
    </row>
    <row r="3206" spans="1:5">
      <c r="A3206" s="159">
        <f t="shared" si="42"/>
        <v>3205</v>
      </c>
      <c r="B3206" s="163">
        <v>45840</v>
      </c>
      <c r="C3206" s="164">
        <v>0.65920138888888891</v>
      </c>
      <c r="D3206" s="159">
        <v>10</v>
      </c>
      <c r="E3206" s="166" t="s">
        <v>2950</v>
      </c>
    </row>
    <row r="3207" spans="1:5">
      <c r="A3207" s="159">
        <f t="shared" si="42"/>
        <v>3206</v>
      </c>
      <c r="B3207" s="163">
        <v>45840</v>
      </c>
      <c r="C3207" s="164">
        <v>0.64736111111111116</v>
      </c>
      <c r="D3207" s="159">
        <v>10</v>
      </c>
      <c r="E3207" s="166" t="s">
        <v>2951</v>
      </c>
    </row>
    <row r="3208" spans="1:5" ht="27">
      <c r="A3208" s="159">
        <f t="shared" si="42"/>
        <v>3207</v>
      </c>
      <c r="B3208" s="163">
        <v>45840</v>
      </c>
      <c r="C3208" s="164">
        <v>0.64597222222222228</v>
      </c>
      <c r="D3208" s="159">
        <v>10</v>
      </c>
      <c r="E3208" s="166" t="s">
        <v>2952</v>
      </c>
    </row>
    <row r="3209" spans="1:5">
      <c r="A3209" s="159">
        <f t="shared" si="42"/>
        <v>3208</v>
      </c>
      <c r="B3209" s="163">
        <v>45840</v>
      </c>
      <c r="C3209" s="164">
        <v>0.62502314814814819</v>
      </c>
      <c r="D3209" s="159">
        <v>10</v>
      </c>
      <c r="E3209" s="166" t="s">
        <v>2953</v>
      </c>
    </row>
    <row r="3210" spans="1:5">
      <c r="A3210" s="159">
        <f t="shared" si="42"/>
        <v>3209</v>
      </c>
      <c r="B3210" s="163">
        <v>45840</v>
      </c>
      <c r="C3210" s="164">
        <v>0.62290509259259264</v>
      </c>
      <c r="D3210" s="159">
        <v>10</v>
      </c>
      <c r="E3210" s="166" t="s">
        <v>2954</v>
      </c>
    </row>
    <row r="3211" spans="1:5">
      <c r="A3211" s="159">
        <f t="shared" si="42"/>
        <v>3210</v>
      </c>
      <c r="B3211" s="163">
        <v>45840</v>
      </c>
      <c r="C3211" s="164">
        <v>0.61243055555555559</v>
      </c>
      <c r="D3211" s="159">
        <v>10</v>
      </c>
      <c r="E3211" s="166" t="s">
        <v>2955</v>
      </c>
    </row>
    <row r="3212" spans="1:5">
      <c r="A3212" s="159">
        <f t="shared" si="42"/>
        <v>3211</v>
      </c>
      <c r="B3212" s="163">
        <v>45840</v>
      </c>
      <c r="C3212" s="164">
        <v>0.60984953703703704</v>
      </c>
      <c r="D3212" s="159">
        <v>10</v>
      </c>
      <c r="E3212" s="166" t="s">
        <v>2956</v>
      </c>
    </row>
    <row r="3213" spans="1:5">
      <c r="A3213" s="159">
        <f t="shared" si="42"/>
        <v>3212</v>
      </c>
      <c r="B3213" s="163">
        <v>45840</v>
      </c>
      <c r="C3213" s="164">
        <v>0.60665509259259254</v>
      </c>
      <c r="D3213" s="159">
        <v>10</v>
      </c>
      <c r="E3213" s="166" t="s">
        <v>2957</v>
      </c>
    </row>
    <row r="3214" spans="1:5">
      <c r="A3214" s="159">
        <f t="shared" si="42"/>
        <v>3213</v>
      </c>
      <c r="B3214" s="163">
        <v>45840</v>
      </c>
      <c r="C3214" s="164">
        <v>0.59740740740740739</v>
      </c>
      <c r="D3214" s="159">
        <v>10</v>
      </c>
      <c r="E3214" s="166" t="s">
        <v>2958</v>
      </c>
    </row>
    <row r="3215" spans="1:5">
      <c r="A3215" s="159">
        <f t="shared" si="42"/>
        <v>3214</v>
      </c>
      <c r="B3215" s="163">
        <v>45840</v>
      </c>
      <c r="C3215" s="164">
        <v>0.59718749999999998</v>
      </c>
      <c r="D3215" s="159">
        <v>10</v>
      </c>
      <c r="E3215" s="166" t="s">
        <v>2959</v>
      </c>
    </row>
    <row r="3216" spans="1:5">
      <c r="A3216" s="159">
        <f t="shared" si="42"/>
        <v>3215</v>
      </c>
      <c r="B3216" s="163">
        <v>45840</v>
      </c>
      <c r="C3216" s="164">
        <v>0.56625000000000003</v>
      </c>
      <c r="D3216" s="159">
        <v>10</v>
      </c>
      <c r="E3216" s="166" t="s">
        <v>2960</v>
      </c>
    </row>
    <row r="3217" spans="1:5">
      <c r="A3217" s="159">
        <f t="shared" si="42"/>
        <v>3216</v>
      </c>
      <c r="B3217" s="163">
        <v>45840</v>
      </c>
      <c r="C3217" s="164">
        <v>0.48025462962962967</v>
      </c>
      <c r="D3217" s="159">
        <v>10</v>
      </c>
      <c r="E3217" s="166" t="s">
        <v>2961</v>
      </c>
    </row>
    <row r="3218" spans="1:5">
      <c r="A3218" s="159">
        <f t="shared" si="42"/>
        <v>3217</v>
      </c>
      <c r="B3218" s="163">
        <v>45840</v>
      </c>
      <c r="C3218" s="164">
        <v>0.47038194444444442</v>
      </c>
      <c r="D3218" s="159">
        <v>10</v>
      </c>
      <c r="E3218" s="166" t="s">
        <v>2962</v>
      </c>
    </row>
    <row r="3219" spans="1:5">
      <c r="A3219" s="159">
        <f t="shared" si="42"/>
        <v>3218</v>
      </c>
      <c r="B3219" s="163">
        <v>45840</v>
      </c>
      <c r="C3219" s="164">
        <v>0.46938657407407408</v>
      </c>
      <c r="D3219" s="159">
        <v>10</v>
      </c>
      <c r="E3219" s="166" t="s">
        <v>2963</v>
      </c>
    </row>
    <row r="3220" spans="1:5">
      <c r="A3220" s="159">
        <f t="shared" si="42"/>
        <v>3219</v>
      </c>
      <c r="B3220" s="163">
        <v>45840</v>
      </c>
      <c r="C3220" s="164">
        <v>0.45927083333333335</v>
      </c>
      <c r="D3220" s="159">
        <v>10</v>
      </c>
      <c r="E3220" s="166" t="s">
        <v>2964</v>
      </c>
    </row>
    <row r="3221" spans="1:5">
      <c r="A3221" s="159">
        <f t="shared" si="42"/>
        <v>3220</v>
      </c>
      <c r="B3221" s="163">
        <v>45840</v>
      </c>
      <c r="C3221" s="164">
        <v>0.45880787037037035</v>
      </c>
      <c r="D3221" s="159">
        <v>10</v>
      </c>
      <c r="E3221" s="166" t="s">
        <v>2965</v>
      </c>
    </row>
    <row r="3222" spans="1:5">
      <c r="A3222" s="159">
        <f t="shared" si="42"/>
        <v>3221</v>
      </c>
      <c r="B3222" s="163">
        <v>45840</v>
      </c>
      <c r="C3222" s="164">
        <v>0.45225694444444442</v>
      </c>
      <c r="D3222" s="159">
        <v>10</v>
      </c>
      <c r="E3222" s="166" t="s">
        <v>2966</v>
      </c>
    </row>
    <row r="3223" spans="1:5">
      <c r="A3223" s="159">
        <f t="shared" si="42"/>
        <v>3222</v>
      </c>
      <c r="B3223" s="163">
        <v>45840</v>
      </c>
      <c r="C3223" s="164">
        <v>0.44840277777777776</v>
      </c>
      <c r="D3223" s="159">
        <v>10</v>
      </c>
      <c r="E3223" s="166" t="s">
        <v>2971</v>
      </c>
    </row>
    <row r="3224" spans="1:5">
      <c r="A3224" s="159">
        <f t="shared" si="42"/>
        <v>3223</v>
      </c>
      <c r="B3224" s="163">
        <v>45840</v>
      </c>
      <c r="C3224" s="164">
        <v>0.43717592592592597</v>
      </c>
      <c r="D3224" s="159">
        <v>10</v>
      </c>
      <c r="E3224" s="166" t="s">
        <v>2967</v>
      </c>
    </row>
    <row r="3225" spans="1:5">
      <c r="A3225" s="159">
        <f t="shared" si="42"/>
        <v>3224</v>
      </c>
      <c r="B3225" s="163">
        <v>45840</v>
      </c>
      <c r="C3225" s="164">
        <v>0.41531249999999997</v>
      </c>
      <c r="D3225" s="159">
        <v>10</v>
      </c>
      <c r="E3225" s="166" t="s">
        <v>2968</v>
      </c>
    </row>
    <row r="3226" spans="1:5">
      <c r="A3226" s="159">
        <f t="shared" si="42"/>
        <v>3225</v>
      </c>
      <c r="B3226" s="163">
        <v>45840</v>
      </c>
      <c r="C3226" s="164">
        <v>0.40811342592592598</v>
      </c>
      <c r="D3226" s="159">
        <v>10</v>
      </c>
      <c r="E3226" s="166" t="s">
        <v>2969</v>
      </c>
    </row>
    <row r="3227" spans="1:5">
      <c r="A3227" s="159">
        <f t="shared" si="42"/>
        <v>3226</v>
      </c>
      <c r="B3227" s="163">
        <v>45840</v>
      </c>
      <c r="C3227" s="164">
        <v>0.38553240740740741</v>
      </c>
      <c r="D3227" s="159">
        <v>10</v>
      </c>
      <c r="E3227" s="166" t="s">
        <v>2970</v>
      </c>
    </row>
    <row r="3228" spans="1:5">
      <c r="A3228" s="159">
        <f t="shared" si="42"/>
        <v>3227</v>
      </c>
      <c r="B3228" s="163">
        <v>45841</v>
      </c>
      <c r="C3228" s="164">
        <v>0.8057523148148148</v>
      </c>
      <c r="D3228" s="159">
        <v>10</v>
      </c>
      <c r="E3228" s="166" t="s">
        <v>3032</v>
      </c>
    </row>
    <row r="3229" spans="1:5" ht="27">
      <c r="A3229" s="159">
        <f t="shared" si="42"/>
        <v>3228</v>
      </c>
      <c r="B3229" s="163">
        <v>45841</v>
      </c>
      <c r="C3229" s="164">
        <v>0.79238425925925926</v>
      </c>
      <c r="D3229" s="159">
        <v>10</v>
      </c>
      <c r="E3229" s="166" t="s">
        <v>3033</v>
      </c>
    </row>
    <row r="3230" spans="1:5">
      <c r="A3230" s="159">
        <f t="shared" si="42"/>
        <v>3229</v>
      </c>
      <c r="B3230" s="163">
        <v>45841</v>
      </c>
      <c r="C3230" s="164">
        <v>0.78318287037037038</v>
      </c>
      <c r="D3230" s="159">
        <v>10</v>
      </c>
      <c r="E3230" s="166" t="s">
        <v>3034</v>
      </c>
    </row>
    <row r="3231" spans="1:5">
      <c r="A3231" s="159">
        <f t="shared" si="42"/>
        <v>3230</v>
      </c>
      <c r="B3231" s="163">
        <v>45841</v>
      </c>
      <c r="C3231" s="164">
        <v>0.78320601851851857</v>
      </c>
      <c r="D3231" s="159">
        <v>10</v>
      </c>
      <c r="E3231" s="166" t="s">
        <v>3035</v>
      </c>
    </row>
    <row r="3232" spans="1:5">
      <c r="A3232" s="159">
        <f t="shared" si="42"/>
        <v>3231</v>
      </c>
      <c r="B3232" s="163">
        <v>45841</v>
      </c>
      <c r="C3232" s="164">
        <v>0.74829861111111118</v>
      </c>
      <c r="D3232" s="159">
        <v>10</v>
      </c>
      <c r="E3232" s="166" t="s">
        <v>3036</v>
      </c>
    </row>
    <row r="3233" spans="1:5">
      <c r="A3233" s="159">
        <f t="shared" si="42"/>
        <v>3232</v>
      </c>
      <c r="B3233" s="163">
        <v>45841</v>
      </c>
      <c r="C3233" s="164">
        <v>0.74490740740740735</v>
      </c>
      <c r="D3233" s="159">
        <v>10</v>
      </c>
      <c r="E3233" s="166" t="s">
        <v>3037</v>
      </c>
    </row>
    <row r="3234" spans="1:5">
      <c r="A3234" s="159">
        <f t="shared" si="42"/>
        <v>3233</v>
      </c>
      <c r="B3234" s="163">
        <v>45841</v>
      </c>
      <c r="C3234" s="164">
        <v>0.74484953703703705</v>
      </c>
      <c r="D3234" s="159">
        <v>10</v>
      </c>
      <c r="E3234" s="166" t="s">
        <v>3038</v>
      </c>
    </row>
    <row r="3235" spans="1:5">
      <c r="A3235" s="159">
        <f t="shared" si="42"/>
        <v>3234</v>
      </c>
      <c r="B3235" s="163">
        <v>45841</v>
      </c>
      <c r="C3235" s="164">
        <v>0.74012731481481486</v>
      </c>
      <c r="D3235" s="159">
        <v>10</v>
      </c>
      <c r="E3235" s="166" t="s">
        <v>194</v>
      </c>
    </row>
    <row r="3236" spans="1:5" ht="27">
      <c r="A3236" s="159">
        <f t="shared" si="42"/>
        <v>3235</v>
      </c>
      <c r="B3236" s="163">
        <v>45841</v>
      </c>
      <c r="C3236" s="164">
        <v>0.73820601851851853</v>
      </c>
      <c r="D3236" s="159">
        <v>10</v>
      </c>
      <c r="E3236" s="166" t="s">
        <v>3039</v>
      </c>
    </row>
    <row r="3237" spans="1:5">
      <c r="A3237" s="159">
        <f t="shared" si="42"/>
        <v>3236</v>
      </c>
      <c r="B3237" s="163">
        <v>45841</v>
      </c>
      <c r="C3237" s="164">
        <v>0.73204861111111119</v>
      </c>
      <c r="D3237" s="159">
        <v>10</v>
      </c>
      <c r="E3237" s="166" t="s">
        <v>2771</v>
      </c>
    </row>
    <row r="3238" spans="1:5">
      <c r="A3238" s="159">
        <f t="shared" si="42"/>
        <v>3237</v>
      </c>
      <c r="B3238" s="163">
        <v>45841</v>
      </c>
      <c r="C3238" s="164">
        <v>0.73167824074074073</v>
      </c>
      <c r="D3238" s="159">
        <v>10</v>
      </c>
      <c r="E3238" s="166" t="s">
        <v>3040</v>
      </c>
    </row>
    <row r="3239" spans="1:5">
      <c r="A3239" s="159">
        <f t="shared" si="42"/>
        <v>3238</v>
      </c>
      <c r="B3239" s="163">
        <v>45841</v>
      </c>
      <c r="C3239" s="164">
        <v>0.71789351851851846</v>
      </c>
      <c r="D3239" s="159">
        <v>10</v>
      </c>
      <c r="E3239" s="166" t="s">
        <v>3041</v>
      </c>
    </row>
    <row r="3240" spans="1:5">
      <c r="A3240" s="159">
        <f t="shared" si="42"/>
        <v>3239</v>
      </c>
      <c r="B3240" s="163">
        <v>45841</v>
      </c>
      <c r="C3240" s="164">
        <v>0.71332175925925922</v>
      </c>
      <c r="D3240" s="159">
        <v>10</v>
      </c>
      <c r="E3240" s="166" t="s">
        <v>3042</v>
      </c>
    </row>
    <row r="3241" spans="1:5">
      <c r="A3241" s="159">
        <f t="shared" si="42"/>
        <v>3240</v>
      </c>
      <c r="B3241" s="163">
        <v>45841</v>
      </c>
      <c r="C3241" s="164">
        <v>0.70629629629629631</v>
      </c>
      <c r="D3241" s="159">
        <v>10</v>
      </c>
      <c r="E3241" s="166" t="s">
        <v>537</v>
      </c>
    </row>
    <row r="3242" spans="1:5" ht="27">
      <c r="A3242" s="159">
        <f t="shared" si="42"/>
        <v>3241</v>
      </c>
      <c r="B3242" s="163">
        <v>45841</v>
      </c>
      <c r="C3242" s="164">
        <v>0.69694444444444448</v>
      </c>
      <c r="D3242" s="159">
        <v>10</v>
      </c>
      <c r="E3242" s="166" t="s">
        <v>3043</v>
      </c>
    </row>
    <row r="3243" spans="1:5">
      <c r="A3243" s="159">
        <f t="shared" si="42"/>
        <v>3242</v>
      </c>
      <c r="B3243" s="163">
        <v>45841</v>
      </c>
      <c r="C3243" s="164">
        <v>0.67108796296296302</v>
      </c>
      <c r="D3243" s="159">
        <v>10</v>
      </c>
      <c r="E3243" s="166" t="s">
        <v>3044</v>
      </c>
    </row>
    <row r="3244" spans="1:5">
      <c r="A3244" s="159">
        <f t="shared" si="42"/>
        <v>3243</v>
      </c>
      <c r="B3244" s="163">
        <v>45841</v>
      </c>
      <c r="C3244" s="164">
        <v>0.65861111111111115</v>
      </c>
      <c r="D3244" s="159">
        <v>10</v>
      </c>
      <c r="E3244" s="166" t="s">
        <v>313</v>
      </c>
    </row>
    <row r="3245" spans="1:5">
      <c r="A3245" s="159">
        <f t="shared" si="42"/>
        <v>3244</v>
      </c>
      <c r="B3245" s="163">
        <v>45841</v>
      </c>
      <c r="C3245" s="164">
        <v>0.65251157407407401</v>
      </c>
      <c r="D3245" s="159">
        <v>10</v>
      </c>
      <c r="E3245" s="166" t="s">
        <v>3045</v>
      </c>
    </row>
    <row r="3246" spans="1:5">
      <c r="A3246" s="159">
        <f t="shared" si="42"/>
        <v>3245</v>
      </c>
      <c r="B3246" s="163">
        <v>45841</v>
      </c>
      <c r="C3246" s="164">
        <v>0.64966435185185178</v>
      </c>
      <c r="D3246" s="159">
        <v>10</v>
      </c>
      <c r="E3246" s="166" t="s">
        <v>3046</v>
      </c>
    </row>
    <row r="3247" spans="1:5">
      <c r="A3247" s="159">
        <f t="shared" si="42"/>
        <v>3246</v>
      </c>
      <c r="B3247" s="163">
        <v>45841</v>
      </c>
      <c r="C3247" s="164">
        <v>0.64635416666666667</v>
      </c>
      <c r="D3247" s="159">
        <v>10</v>
      </c>
      <c r="E3247" s="166" t="s">
        <v>3047</v>
      </c>
    </row>
    <row r="3248" spans="1:5">
      <c r="A3248" s="159">
        <f t="shared" si="42"/>
        <v>3247</v>
      </c>
      <c r="B3248" s="163">
        <v>45841</v>
      </c>
      <c r="C3248" s="164">
        <v>0.63017361111111114</v>
      </c>
      <c r="D3248" s="159">
        <v>10</v>
      </c>
      <c r="E3248" s="166" t="s">
        <v>132</v>
      </c>
    </row>
    <row r="3249" spans="1:5">
      <c r="A3249" s="159">
        <f t="shared" si="42"/>
        <v>3248</v>
      </c>
      <c r="B3249" s="163">
        <v>45841</v>
      </c>
      <c r="C3249" s="164">
        <v>0.62944444444444447</v>
      </c>
      <c r="D3249" s="159">
        <v>10</v>
      </c>
      <c r="E3249" s="166" t="s">
        <v>3048</v>
      </c>
    </row>
    <row r="3250" spans="1:5">
      <c r="A3250" s="159">
        <f t="shared" si="42"/>
        <v>3249</v>
      </c>
      <c r="B3250" s="163">
        <v>45841</v>
      </c>
      <c r="C3250" s="164">
        <v>0.60770833333333341</v>
      </c>
      <c r="D3250" s="159">
        <v>10</v>
      </c>
      <c r="E3250" s="166" t="s">
        <v>3049</v>
      </c>
    </row>
    <row r="3251" spans="1:5">
      <c r="A3251" s="159">
        <f t="shared" si="42"/>
        <v>3250</v>
      </c>
      <c r="B3251" s="163">
        <v>45841</v>
      </c>
      <c r="C3251" s="164">
        <v>0.60211805555555553</v>
      </c>
      <c r="D3251" s="159">
        <v>10</v>
      </c>
      <c r="E3251" s="166" t="s">
        <v>3050</v>
      </c>
    </row>
    <row r="3252" spans="1:5">
      <c r="A3252" s="159">
        <f t="shared" si="42"/>
        <v>3251</v>
      </c>
      <c r="B3252" s="163">
        <v>45841</v>
      </c>
      <c r="C3252" s="164">
        <v>0.58087962962962958</v>
      </c>
      <c r="D3252" s="159">
        <v>10</v>
      </c>
      <c r="E3252" s="166" t="s">
        <v>3051</v>
      </c>
    </row>
    <row r="3253" spans="1:5">
      <c r="A3253" s="159">
        <f t="shared" ref="A3253:A3316" si="43">ROW()-1</f>
        <v>3252</v>
      </c>
      <c r="B3253" s="163">
        <v>45841</v>
      </c>
      <c r="C3253" s="164">
        <v>0.57188657407407406</v>
      </c>
      <c r="D3253" s="159">
        <v>10</v>
      </c>
      <c r="E3253" s="166" t="s">
        <v>132</v>
      </c>
    </row>
    <row r="3254" spans="1:5" ht="27">
      <c r="A3254" s="159">
        <f t="shared" si="43"/>
        <v>3253</v>
      </c>
      <c r="B3254" s="163">
        <v>45841</v>
      </c>
      <c r="C3254" s="164">
        <v>0.56672453703703707</v>
      </c>
      <c r="D3254" s="159">
        <v>10</v>
      </c>
      <c r="E3254" s="166" t="s">
        <v>3052</v>
      </c>
    </row>
    <row r="3255" spans="1:5">
      <c r="A3255" s="159">
        <f t="shared" si="43"/>
        <v>3254</v>
      </c>
      <c r="B3255" s="163">
        <v>45841</v>
      </c>
      <c r="C3255" s="164">
        <v>0.55581018518518521</v>
      </c>
      <c r="D3255" s="159">
        <v>10</v>
      </c>
      <c r="E3255" s="166" t="s">
        <v>3053</v>
      </c>
    </row>
    <row r="3256" spans="1:5">
      <c r="A3256" s="159">
        <f t="shared" si="43"/>
        <v>3255</v>
      </c>
      <c r="B3256" s="163">
        <v>45841</v>
      </c>
      <c r="C3256" s="164">
        <v>0.49619212962962966</v>
      </c>
      <c r="D3256" s="159">
        <v>10</v>
      </c>
      <c r="E3256" s="166" t="s">
        <v>3054</v>
      </c>
    </row>
    <row r="3257" spans="1:5">
      <c r="A3257" s="159">
        <f t="shared" si="43"/>
        <v>3256</v>
      </c>
      <c r="B3257" s="163">
        <v>45841</v>
      </c>
      <c r="C3257" s="164">
        <v>0.49534722222222222</v>
      </c>
      <c r="D3257" s="159">
        <v>10</v>
      </c>
      <c r="E3257" s="166" t="s">
        <v>3055</v>
      </c>
    </row>
    <row r="3258" spans="1:5">
      <c r="A3258" s="159">
        <f t="shared" si="43"/>
        <v>3257</v>
      </c>
      <c r="B3258" s="163">
        <v>45841</v>
      </c>
      <c r="C3258" s="164">
        <v>0.48418981481481477</v>
      </c>
      <c r="D3258" s="159">
        <v>10</v>
      </c>
      <c r="E3258" s="166" t="s">
        <v>3056</v>
      </c>
    </row>
    <row r="3259" spans="1:5">
      <c r="A3259" s="159">
        <f t="shared" si="43"/>
        <v>3258</v>
      </c>
      <c r="B3259" s="163">
        <v>45841</v>
      </c>
      <c r="C3259" s="164">
        <v>0.47865740740740742</v>
      </c>
      <c r="D3259" s="159">
        <v>10</v>
      </c>
      <c r="E3259" s="166" t="s">
        <v>3057</v>
      </c>
    </row>
    <row r="3260" spans="1:5">
      <c r="A3260" s="159">
        <f t="shared" si="43"/>
        <v>3259</v>
      </c>
      <c r="B3260" s="163">
        <v>45841</v>
      </c>
      <c r="C3260" s="164">
        <v>0.47402777777777777</v>
      </c>
      <c r="D3260" s="159">
        <v>10</v>
      </c>
      <c r="E3260" s="166" t="s">
        <v>3058</v>
      </c>
    </row>
    <row r="3261" spans="1:5">
      <c r="A3261" s="159">
        <f t="shared" si="43"/>
        <v>3260</v>
      </c>
      <c r="B3261" s="163">
        <v>45841</v>
      </c>
      <c r="C3261" s="164">
        <v>0.46481481481481479</v>
      </c>
      <c r="D3261" s="159">
        <v>10</v>
      </c>
      <c r="E3261" s="166" t="s">
        <v>3059</v>
      </c>
    </row>
    <row r="3262" spans="1:5">
      <c r="A3262" s="159">
        <f t="shared" si="43"/>
        <v>3261</v>
      </c>
      <c r="B3262" s="163">
        <v>45841</v>
      </c>
      <c r="C3262" s="164">
        <v>0.45693287037037034</v>
      </c>
      <c r="D3262" s="159">
        <v>10</v>
      </c>
      <c r="E3262" s="166" t="s">
        <v>3060</v>
      </c>
    </row>
    <row r="3263" spans="1:5">
      <c r="A3263" s="159">
        <f t="shared" si="43"/>
        <v>3262</v>
      </c>
      <c r="B3263" s="163">
        <v>45841</v>
      </c>
      <c r="C3263" s="164">
        <v>0.44443287037037038</v>
      </c>
      <c r="D3263" s="159">
        <v>10</v>
      </c>
      <c r="E3263" s="166" t="s">
        <v>3061</v>
      </c>
    </row>
    <row r="3264" spans="1:5">
      <c r="A3264" s="159">
        <f t="shared" si="43"/>
        <v>3263</v>
      </c>
      <c r="B3264" s="163">
        <v>45841</v>
      </c>
      <c r="C3264" s="164">
        <v>0.43028935185185185</v>
      </c>
      <c r="D3264" s="159">
        <v>10</v>
      </c>
      <c r="E3264" s="166" t="s">
        <v>3062</v>
      </c>
    </row>
    <row r="3265" spans="1:5">
      <c r="A3265" s="159">
        <f t="shared" si="43"/>
        <v>3264</v>
      </c>
      <c r="B3265" s="163">
        <v>45841</v>
      </c>
      <c r="C3265" s="164">
        <v>0.42334490740740738</v>
      </c>
      <c r="D3265" s="159">
        <v>10</v>
      </c>
      <c r="E3265" s="166" t="s">
        <v>3063</v>
      </c>
    </row>
    <row r="3266" spans="1:5">
      <c r="A3266" s="159">
        <f t="shared" si="43"/>
        <v>3265</v>
      </c>
      <c r="B3266" s="163">
        <v>45841</v>
      </c>
      <c r="C3266" s="164">
        <v>0.41805555555555557</v>
      </c>
      <c r="D3266" s="159">
        <v>10</v>
      </c>
      <c r="E3266" s="166" t="s">
        <v>3064</v>
      </c>
    </row>
    <row r="3267" spans="1:5">
      <c r="A3267" s="159">
        <f t="shared" si="43"/>
        <v>3266</v>
      </c>
      <c r="B3267" s="163">
        <v>45841</v>
      </c>
      <c r="C3267" s="164">
        <v>0.40788194444444442</v>
      </c>
      <c r="D3267" s="159">
        <v>10</v>
      </c>
      <c r="E3267" s="166" t="s">
        <v>3065</v>
      </c>
    </row>
    <row r="3268" spans="1:5">
      <c r="A3268" s="159">
        <f t="shared" si="43"/>
        <v>3267</v>
      </c>
      <c r="B3268" s="163">
        <v>45841</v>
      </c>
      <c r="C3268" s="164">
        <v>0.40486111111111112</v>
      </c>
      <c r="D3268" s="159">
        <v>10</v>
      </c>
      <c r="E3268" s="166" t="s">
        <v>3066</v>
      </c>
    </row>
    <row r="3269" spans="1:5">
      <c r="A3269" s="159">
        <f t="shared" si="43"/>
        <v>3268</v>
      </c>
      <c r="B3269" s="163">
        <v>45841</v>
      </c>
      <c r="C3269" s="164">
        <v>0.38917824074074076</v>
      </c>
      <c r="D3269" s="159">
        <v>10</v>
      </c>
      <c r="E3269" s="166" t="s">
        <v>3067</v>
      </c>
    </row>
    <row r="3270" spans="1:5">
      <c r="A3270" s="159">
        <f t="shared" si="43"/>
        <v>3269</v>
      </c>
      <c r="B3270" s="163">
        <v>45841</v>
      </c>
      <c r="C3270" s="164">
        <v>0.38373842592592594</v>
      </c>
      <c r="D3270" s="159">
        <v>10</v>
      </c>
      <c r="E3270" s="166" t="s">
        <v>3068</v>
      </c>
    </row>
    <row r="3271" spans="1:5">
      <c r="A3271" s="159">
        <f t="shared" si="43"/>
        <v>3270</v>
      </c>
      <c r="B3271" s="163">
        <v>45841</v>
      </c>
      <c r="C3271" s="164">
        <v>0.38144675925925925</v>
      </c>
      <c r="D3271" s="159">
        <v>10</v>
      </c>
      <c r="E3271" s="166" t="s">
        <v>3069</v>
      </c>
    </row>
    <row r="3272" spans="1:5">
      <c r="A3272" s="159">
        <f t="shared" si="43"/>
        <v>3271</v>
      </c>
      <c r="B3272" s="163">
        <v>45841</v>
      </c>
      <c r="C3272" s="164">
        <v>0.37679398148148152</v>
      </c>
      <c r="D3272" s="159">
        <v>10</v>
      </c>
      <c r="E3272" s="166" t="s">
        <v>3070</v>
      </c>
    </row>
    <row r="3273" spans="1:5">
      <c r="A3273" s="159">
        <f t="shared" si="43"/>
        <v>3272</v>
      </c>
      <c r="B3273" s="163">
        <v>45842</v>
      </c>
      <c r="C3273" s="164">
        <v>0.89509259259259266</v>
      </c>
      <c r="D3273" s="159">
        <v>10</v>
      </c>
      <c r="E3273" s="166" t="s">
        <v>494</v>
      </c>
    </row>
    <row r="3274" spans="1:5">
      <c r="A3274" s="159">
        <f t="shared" si="43"/>
        <v>3273</v>
      </c>
      <c r="B3274" s="163">
        <v>45842</v>
      </c>
      <c r="C3274" s="164">
        <v>0.86842592592592593</v>
      </c>
      <c r="D3274" s="159">
        <v>10</v>
      </c>
      <c r="E3274" s="166" t="s">
        <v>132</v>
      </c>
    </row>
    <row r="3275" spans="1:5">
      <c r="A3275" s="159">
        <f t="shared" si="43"/>
        <v>3274</v>
      </c>
      <c r="B3275" s="163">
        <v>45842</v>
      </c>
      <c r="C3275" s="164">
        <v>0.85303240740740749</v>
      </c>
      <c r="D3275" s="159">
        <v>10</v>
      </c>
      <c r="E3275" s="166" t="s">
        <v>2994</v>
      </c>
    </row>
    <row r="3276" spans="1:5">
      <c r="A3276" s="159">
        <f t="shared" si="43"/>
        <v>3275</v>
      </c>
      <c r="B3276" s="163">
        <v>45842</v>
      </c>
      <c r="C3276" s="164">
        <v>0.83715277777777775</v>
      </c>
      <c r="D3276" s="159">
        <v>10</v>
      </c>
      <c r="E3276" s="166" t="s">
        <v>2995</v>
      </c>
    </row>
    <row r="3277" spans="1:5">
      <c r="A3277" s="159">
        <f t="shared" si="43"/>
        <v>3276</v>
      </c>
      <c r="B3277" s="163">
        <v>45842</v>
      </c>
      <c r="C3277" s="164">
        <v>0.77363425925925933</v>
      </c>
      <c r="D3277" s="159">
        <v>10</v>
      </c>
      <c r="E3277" s="166" t="s">
        <v>2996</v>
      </c>
    </row>
    <row r="3278" spans="1:5">
      <c r="A3278" s="159">
        <f t="shared" si="43"/>
        <v>3277</v>
      </c>
      <c r="B3278" s="163">
        <v>45842</v>
      </c>
      <c r="C3278" s="164">
        <v>0.74961805555555561</v>
      </c>
      <c r="D3278" s="159">
        <v>10</v>
      </c>
      <c r="E3278" s="166" t="s">
        <v>433</v>
      </c>
    </row>
    <row r="3279" spans="1:5">
      <c r="A3279" s="159">
        <f t="shared" si="43"/>
        <v>3278</v>
      </c>
      <c r="B3279" s="163">
        <v>45842</v>
      </c>
      <c r="C3279" s="164">
        <v>0.73962962962962964</v>
      </c>
      <c r="D3279" s="159">
        <v>10</v>
      </c>
      <c r="E3279" s="166" t="s">
        <v>2997</v>
      </c>
    </row>
    <row r="3280" spans="1:5" ht="27">
      <c r="A3280" s="159">
        <f t="shared" si="43"/>
        <v>3279</v>
      </c>
      <c r="B3280" s="163">
        <v>45842</v>
      </c>
      <c r="C3280" s="164">
        <v>0.73386574074074085</v>
      </c>
      <c r="D3280" s="159">
        <v>10</v>
      </c>
      <c r="E3280" s="166" t="s">
        <v>3073</v>
      </c>
    </row>
    <row r="3281" spans="1:5">
      <c r="A3281" s="159">
        <f t="shared" si="43"/>
        <v>3280</v>
      </c>
      <c r="B3281" s="163">
        <v>45842</v>
      </c>
      <c r="C3281" s="164">
        <v>0.71782407407407411</v>
      </c>
      <c r="D3281" s="159">
        <v>10</v>
      </c>
      <c r="E3281" s="166" t="s">
        <v>2998</v>
      </c>
    </row>
    <row r="3282" spans="1:5">
      <c r="A3282" s="159">
        <f t="shared" si="43"/>
        <v>3281</v>
      </c>
      <c r="B3282" s="163">
        <v>45842</v>
      </c>
      <c r="C3282" s="164">
        <v>0.71416666666666673</v>
      </c>
      <c r="D3282" s="159">
        <v>10</v>
      </c>
      <c r="E3282" s="166" t="s">
        <v>2999</v>
      </c>
    </row>
    <row r="3283" spans="1:5">
      <c r="A3283" s="159">
        <f t="shared" si="43"/>
        <v>3282</v>
      </c>
      <c r="B3283" s="163">
        <v>45842</v>
      </c>
      <c r="C3283" s="164">
        <v>0.71281250000000007</v>
      </c>
      <c r="D3283" s="159">
        <v>10</v>
      </c>
      <c r="E3283" s="166" t="s">
        <v>537</v>
      </c>
    </row>
    <row r="3284" spans="1:5">
      <c r="A3284" s="159">
        <f t="shared" si="43"/>
        <v>3283</v>
      </c>
      <c r="B3284" s="163">
        <v>45842</v>
      </c>
      <c r="C3284" s="164">
        <v>0.68758101851851849</v>
      </c>
      <c r="D3284" s="159">
        <v>10</v>
      </c>
      <c r="E3284" s="166" t="s">
        <v>3000</v>
      </c>
    </row>
    <row r="3285" spans="1:5">
      <c r="A3285" s="159">
        <f t="shared" si="43"/>
        <v>3284</v>
      </c>
      <c r="B3285" s="163">
        <v>45842</v>
      </c>
      <c r="C3285" s="164">
        <v>0.68497685185185186</v>
      </c>
      <c r="D3285" s="159">
        <v>10</v>
      </c>
      <c r="E3285" s="166" t="s">
        <v>3072</v>
      </c>
    </row>
    <row r="3286" spans="1:5">
      <c r="A3286" s="159">
        <f t="shared" si="43"/>
        <v>3285</v>
      </c>
      <c r="B3286" s="163">
        <v>45842</v>
      </c>
      <c r="C3286" s="164">
        <v>0.67740740740740746</v>
      </c>
      <c r="D3286" s="159">
        <v>10</v>
      </c>
      <c r="E3286" s="166" t="s">
        <v>3001</v>
      </c>
    </row>
    <row r="3287" spans="1:5">
      <c r="A3287" s="159">
        <f t="shared" si="43"/>
        <v>3286</v>
      </c>
      <c r="B3287" s="163">
        <v>45842</v>
      </c>
      <c r="C3287" s="164">
        <v>0.67484953703703709</v>
      </c>
      <c r="D3287" s="159">
        <v>10</v>
      </c>
      <c r="E3287" s="166" t="s">
        <v>3002</v>
      </c>
    </row>
    <row r="3288" spans="1:5">
      <c r="A3288" s="159">
        <f t="shared" si="43"/>
        <v>3287</v>
      </c>
      <c r="B3288" s="163">
        <v>45842</v>
      </c>
      <c r="C3288" s="164">
        <v>0.66258101851851847</v>
      </c>
      <c r="D3288" s="159">
        <v>10</v>
      </c>
      <c r="E3288" s="166" t="s">
        <v>3003</v>
      </c>
    </row>
    <row r="3289" spans="1:5">
      <c r="A3289" s="159">
        <f t="shared" si="43"/>
        <v>3288</v>
      </c>
      <c r="B3289" s="163">
        <v>45842</v>
      </c>
      <c r="C3289" s="164">
        <v>0.65334490740740747</v>
      </c>
      <c r="D3289" s="159">
        <v>10</v>
      </c>
      <c r="E3289" s="166" t="s">
        <v>3004</v>
      </c>
    </row>
    <row r="3290" spans="1:5">
      <c r="A3290" s="159">
        <f t="shared" si="43"/>
        <v>3289</v>
      </c>
      <c r="B3290" s="163">
        <v>45842</v>
      </c>
      <c r="C3290" s="164">
        <v>0.60560185185185189</v>
      </c>
      <c r="D3290" s="159">
        <v>10</v>
      </c>
      <c r="E3290" s="166" t="s">
        <v>3005</v>
      </c>
    </row>
    <row r="3291" spans="1:5">
      <c r="A3291" s="159">
        <f t="shared" si="43"/>
        <v>3290</v>
      </c>
      <c r="B3291" s="163">
        <v>45842</v>
      </c>
      <c r="C3291" s="164">
        <v>0.6025462962962963</v>
      </c>
      <c r="D3291" s="159">
        <v>10</v>
      </c>
      <c r="E3291" s="166" t="s">
        <v>3006</v>
      </c>
    </row>
    <row r="3292" spans="1:5">
      <c r="A3292" s="159">
        <f t="shared" si="43"/>
        <v>3291</v>
      </c>
      <c r="B3292" s="163">
        <v>45842</v>
      </c>
      <c r="C3292" s="164">
        <v>0.59210648148148148</v>
      </c>
      <c r="D3292" s="159">
        <v>7</v>
      </c>
      <c r="E3292" s="166" t="s">
        <v>284</v>
      </c>
    </row>
    <row r="3293" spans="1:5">
      <c r="A3293" s="159">
        <f t="shared" si="43"/>
        <v>3292</v>
      </c>
      <c r="B3293" s="163">
        <v>45842</v>
      </c>
      <c r="C3293" s="164">
        <v>0.58688657407407407</v>
      </c>
      <c r="D3293" s="159">
        <v>10</v>
      </c>
      <c r="E3293" s="166" t="s">
        <v>3007</v>
      </c>
    </row>
    <row r="3294" spans="1:5">
      <c r="A3294" s="159">
        <f t="shared" si="43"/>
        <v>3293</v>
      </c>
      <c r="B3294" s="163">
        <v>45842</v>
      </c>
      <c r="C3294" s="164">
        <v>0.58417824074074076</v>
      </c>
      <c r="D3294" s="159">
        <v>10</v>
      </c>
      <c r="E3294" s="166" t="s">
        <v>3008</v>
      </c>
    </row>
    <row r="3295" spans="1:5">
      <c r="A3295" s="159">
        <f t="shared" si="43"/>
        <v>3294</v>
      </c>
      <c r="B3295" s="163">
        <v>45842</v>
      </c>
      <c r="C3295" s="164">
        <v>0.5794097222222222</v>
      </c>
      <c r="D3295" s="159">
        <v>10</v>
      </c>
      <c r="E3295" s="166" t="s">
        <v>3009</v>
      </c>
    </row>
    <row r="3296" spans="1:5">
      <c r="A3296" s="159">
        <f t="shared" si="43"/>
        <v>3295</v>
      </c>
      <c r="B3296" s="163">
        <v>45842</v>
      </c>
      <c r="C3296" s="164">
        <v>0.57127314814814811</v>
      </c>
      <c r="D3296" s="159">
        <v>10</v>
      </c>
      <c r="E3296" s="166" t="s">
        <v>3010</v>
      </c>
    </row>
    <row r="3297" spans="1:5">
      <c r="A3297" s="159">
        <f t="shared" si="43"/>
        <v>3296</v>
      </c>
      <c r="B3297" s="163">
        <v>45842</v>
      </c>
      <c r="C3297" s="164">
        <v>0.56329861111111112</v>
      </c>
      <c r="D3297" s="159">
        <v>10</v>
      </c>
      <c r="E3297" s="166" t="s">
        <v>406</v>
      </c>
    </row>
    <row r="3298" spans="1:5">
      <c r="A3298" s="159">
        <f t="shared" si="43"/>
        <v>3297</v>
      </c>
      <c r="B3298" s="163">
        <v>45842</v>
      </c>
      <c r="C3298" s="164">
        <v>0.51047453703703705</v>
      </c>
      <c r="D3298" s="159">
        <v>10</v>
      </c>
      <c r="E3298" s="166" t="s">
        <v>3011</v>
      </c>
    </row>
    <row r="3299" spans="1:5">
      <c r="A3299" s="159">
        <f t="shared" si="43"/>
        <v>3298</v>
      </c>
      <c r="B3299" s="163">
        <v>45842</v>
      </c>
      <c r="C3299" s="164">
        <v>0.50667824074074075</v>
      </c>
      <c r="D3299" s="159">
        <v>10</v>
      </c>
      <c r="E3299" s="166" t="s">
        <v>3012</v>
      </c>
    </row>
    <row r="3300" spans="1:5">
      <c r="A3300" s="159">
        <f t="shared" si="43"/>
        <v>3299</v>
      </c>
      <c r="B3300" s="163">
        <v>45842</v>
      </c>
      <c r="C3300" s="164">
        <v>0.49990740740740741</v>
      </c>
      <c r="D3300" s="159">
        <v>10</v>
      </c>
      <c r="E3300" s="166" t="s">
        <v>3013</v>
      </c>
    </row>
    <row r="3301" spans="1:5">
      <c r="A3301" s="159">
        <f t="shared" si="43"/>
        <v>3300</v>
      </c>
      <c r="B3301" s="163">
        <v>45842</v>
      </c>
      <c r="C3301" s="164">
        <v>0.49781249999999999</v>
      </c>
      <c r="D3301" s="159">
        <v>10</v>
      </c>
      <c r="E3301" s="166" t="s">
        <v>3014</v>
      </c>
    </row>
    <row r="3302" spans="1:5">
      <c r="A3302" s="159">
        <f t="shared" si="43"/>
        <v>3301</v>
      </c>
      <c r="B3302" s="163">
        <v>45842</v>
      </c>
      <c r="C3302" s="164">
        <v>0.49467592592592591</v>
      </c>
      <c r="D3302" s="159">
        <v>10</v>
      </c>
      <c r="E3302" s="166" t="s">
        <v>3015</v>
      </c>
    </row>
    <row r="3303" spans="1:5">
      <c r="A3303" s="159">
        <f t="shared" si="43"/>
        <v>3302</v>
      </c>
      <c r="B3303" s="163">
        <v>45842</v>
      </c>
      <c r="C3303" s="164">
        <v>0.48702546296296295</v>
      </c>
      <c r="D3303" s="159">
        <v>9</v>
      </c>
      <c r="E3303" s="166" t="s">
        <v>3016</v>
      </c>
    </row>
    <row r="3304" spans="1:5">
      <c r="A3304" s="159">
        <f t="shared" si="43"/>
        <v>3303</v>
      </c>
      <c r="B3304" s="163">
        <v>45842</v>
      </c>
      <c r="C3304" s="164">
        <v>0.47501157407407407</v>
      </c>
      <c r="D3304" s="159">
        <v>10</v>
      </c>
      <c r="E3304" s="166" t="s">
        <v>3017</v>
      </c>
    </row>
    <row r="3305" spans="1:5">
      <c r="A3305" s="159">
        <f t="shared" si="43"/>
        <v>3304</v>
      </c>
      <c r="B3305" s="163">
        <v>45842</v>
      </c>
      <c r="C3305" s="164">
        <v>0.46728009259259262</v>
      </c>
      <c r="D3305" s="159">
        <v>10</v>
      </c>
      <c r="E3305" s="166" t="s">
        <v>653</v>
      </c>
    </row>
    <row r="3306" spans="1:5">
      <c r="A3306" s="159">
        <f t="shared" si="43"/>
        <v>3305</v>
      </c>
      <c r="B3306" s="163">
        <v>45842</v>
      </c>
      <c r="C3306" s="164">
        <v>0.46679398148148149</v>
      </c>
      <c r="D3306" s="159">
        <v>10</v>
      </c>
      <c r="E3306" s="166" t="s">
        <v>3018</v>
      </c>
    </row>
    <row r="3307" spans="1:5">
      <c r="A3307" s="159">
        <f t="shared" si="43"/>
        <v>3306</v>
      </c>
      <c r="B3307" s="163">
        <v>45842</v>
      </c>
      <c r="C3307" s="164">
        <v>0.46244212962962966</v>
      </c>
      <c r="D3307" s="159">
        <v>10</v>
      </c>
      <c r="E3307" s="166" t="s">
        <v>3019</v>
      </c>
    </row>
    <row r="3308" spans="1:5">
      <c r="A3308" s="159">
        <f t="shared" si="43"/>
        <v>3307</v>
      </c>
      <c r="B3308" s="163">
        <v>45842</v>
      </c>
      <c r="C3308" s="164">
        <v>0.45642361111111113</v>
      </c>
      <c r="D3308" s="159">
        <v>10</v>
      </c>
      <c r="E3308" s="166" t="s">
        <v>3020</v>
      </c>
    </row>
    <row r="3309" spans="1:5">
      <c r="A3309" s="159">
        <f t="shared" si="43"/>
        <v>3308</v>
      </c>
      <c r="B3309" s="163">
        <v>45842</v>
      </c>
      <c r="C3309" s="164">
        <v>0.4510763888888889</v>
      </c>
      <c r="D3309" s="159">
        <v>10</v>
      </c>
      <c r="E3309" s="166" t="s">
        <v>3021</v>
      </c>
    </row>
    <row r="3310" spans="1:5">
      <c r="A3310" s="159">
        <f t="shared" si="43"/>
        <v>3309</v>
      </c>
      <c r="B3310" s="163">
        <v>45842</v>
      </c>
      <c r="C3310" s="164">
        <v>0.44936342592592587</v>
      </c>
      <c r="D3310" s="159">
        <v>10</v>
      </c>
      <c r="E3310" s="166" t="s">
        <v>3022</v>
      </c>
    </row>
    <row r="3311" spans="1:5">
      <c r="A3311" s="159">
        <f t="shared" si="43"/>
        <v>3310</v>
      </c>
      <c r="B3311" s="163">
        <v>45842</v>
      </c>
      <c r="C3311" s="164">
        <v>0.44526620370370368</v>
      </c>
      <c r="D3311" s="159">
        <v>10</v>
      </c>
      <c r="E3311" s="166" t="s">
        <v>3023</v>
      </c>
    </row>
    <row r="3312" spans="1:5">
      <c r="A3312" s="159">
        <f t="shared" si="43"/>
        <v>3311</v>
      </c>
      <c r="B3312" s="163">
        <v>45842</v>
      </c>
      <c r="C3312" s="164">
        <v>0.4332523148148148</v>
      </c>
      <c r="D3312" s="159">
        <v>10</v>
      </c>
      <c r="E3312" s="166" t="s">
        <v>3024</v>
      </c>
    </row>
    <row r="3313" spans="1:5">
      <c r="A3313" s="159">
        <f t="shared" si="43"/>
        <v>3312</v>
      </c>
      <c r="B3313" s="163">
        <v>45842</v>
      </c>
      <c r="C3313" s="164">
        <v>0.42447916666666669</v>
      </c>
      <c r="D3313" s="159">
        <v>10</v>
      </c>
      <c r="E3313" s="166" t="s">
        <v>3025</v>
      </c>
    </row>
    <row r="3314" spans="1:5">
      <c r="A3314" s="159">
        <f t="shared" si="43"/>
        <v>3313</v>
      </c>
      <c r="B3314" s="163">
        <v>45842</v>
      </c>
      <c r="C3314" s="164">
        <v>0.4228703703703704</v>
      </c>
      <c r="D3314" s="159">
        <v>10</v>
      </c>
      <c r="E3314" s="166" t="s">
        <v>3026</v>
      </c>
    </row>
    <row r="3315" spans="1:5">
      <c r="A3315" s="159">
        <f t="shared" si="43"/>
        <v>3314</v>
      </c>
      <c r="B3315" s="163">
        <v>45842</v>
      </c>
      <c r="C3315" s="164">
        <v>0.41101851851851851</v>
      </c>
      <c r="D3315" s="159">
        <v>10</v>
      </c>
      <c r="E3315" s="166" t="s">
        <v>3027</v>
      </c>
    </row>
    <row r="3316" spans="1:5">
      <c r="A3316" s="159">
        <f t="shared" si="43"/>
        <v>3315</v>
      </c>
      <c r="B3316" s="163">
        <v>45842</v>
      </c>
      <c r="C3316" s="164">
        <v>0.4064699074074074</v>
      </c>
      <c r="D3316" s="159">
        <v>10</v>
      </c>
      <c r="E3316" s="166" t="s">
        <v>3028</v>
      </c>
    </row>
    <row r="3317" spans="1:5">
      <c r="A3317" s="159">
        <f t="shared" ref="A3317:A3380" si="44">ROW()-1</f>
        <v>3316</v>
      </c>
      <c r="B3317" s="163">
        <v>45842</v>
      </c>
      <c r="C3317" s="164">
        <v>0.39468750000000002</v>
      </c>
      <c r="D3317" s="159">
        <v>10</v>
      </c>
      <c r="E3317" s="166" t="s">
        <v>3071</v>
      </c>
    </row>
    <row r="3318" spans="1:5">
      <c r="A3318" s="159">
        <f t="shared" si="44"/>
        <v>3317</v>
      </c>
      <c r="B3318" s="163">
        <v>45842</v>
      </c>
      <c r="C3318" s="164">
        <v>0.39377314814814812</v>
      </c>
      <c r="D3318" s="159">
        <v>10</v>
      </c>
      <c r="E3318" s="166" t="s">
        <v>3029</v>
      </c>
    </row>
    <row r="3319" spans="1:5">
      <c r="A3319" s="159">
        <f t="shared" si="44"/>
        <v>3318</v>
      </c>
      <c r="B3319" s="163">
        <v>45842</v>
      </c>
      <c r="C3319" s="164">
        <v>0.39004629629629628</v>
      </c>
      <c r="D3319" s="159">
        <v>10</v>
      </c>
      <c r="E3319" s="166" t="s">
        <v>3030</v>
      </c>
    </row>
    <row r="3320" spans="1:5">
      <c r="A3320" s="159">
        <f t="shared" si="44"/>
        <v>3319</v>
      </c>
      <c r="B3320" s="163">
        <v>45842</v>
      </c>
      <c r="C3320" s="164">
        <v>0.38787037037037037</v>
      </c>
      <c r="D3320" s="159">
        <v>10</v>
      </c>
      <c r="E3320" s="166" t="s">
        <v>3031</v>
      </c>
    </row>
    <row r="3321" spans="1:5">
      <c r="A3321" s="159">
        <f t="shared" si="44"/>
        <v>3320</v>
      </c>
      <c r="B3321" s="163">
        <v>45843</v>
      </c>
      <c r="C3321" s="164">
        <v>0.73145833333333332</v>
      </c>
      <c r="D3321" s="159">
        <v>10</v>
      </c>
      <c r="E3321" s="166" t="s">
        <v>2974</v>
      </c>
    </row>
    <row r="3322" spans="1:5">
      <c r="A3322" s="159">
        <f t="shared" si="44"/>
        <v>3321</v>
      </c>
      <c r="B3322" s="163">
        <v>45843</v>
      </c>
      <c r="C3322" s="164">
        <v>0.72101851851851861</v>
      </c>
      <c r="D3322" s="159">
        <v>10</v>
      </c>
      <c r="E3322" s="166" t="s">
        <v>2975</v>
      </c>
    </row>
    <row r="3323" spans="1:5">
      <c r="A3323" s="159">
        <f t="shared" si="44"/>
        <v>3322</v>
      </c>
      <c r="B3323" s="163">
        <v>45843</v>
      </c>
      <c r="C3323" s="164">
        <v>0.71363425925925927</v>
      </c>
      <c r="D3323" s="159">
        <v>10</v>
      </c>
      <c r="E3323" s="166" t="s">
        <v>2976</v>
      </c>
    </row>
    <row r="3324" spans="1:5">
      <c r="A3324" s="159">
        <f t="shared" si="44"/>
        <v>3323</v>
      </c>
      <c r="B3324" s="163">
        <v>45843</v>
      </c>
      <c r="C3324" s="164">
        <v>0.69140046296296298</v>
      </c>
      <c r="D3324" s="159">
        <v>10</v>
      </c>
      <c r="E3324" s="166" t="s">
        <v>2977</v>
      </c>
    </row>
    <row r="3325" spans="1:5">
      <c r="A3325" s="159">
        <f t="shared" si="44"/>
        <v>3324</v>
      </c>
      <c r="B3325" s="163">
        <v>45843</v>
      </c>
      <c r="C3325" s="164">
        <v>0.67495370370370367</v>
      </c>
      <c r="D3325" s="159">
        <v>10</v>
      </c>
      <c r="E3325" s="166" t="s">
        <v>288</v>
      </c>
    </row>
    <row r="3326" spans="1:5">
      <c r="A3326" s="159">
        <f t="shared" si="44"/>
        <v>3325</v>
      </c>
      <c r="B3326" s="163">
        <v>45843</v>
      </c>
      <c r="C3326" s="164">
        <v>0.64349537037037041</v>
      </c>
      <c r="D3326" s="159">
        <v>10</v>
      </c>
      <c r="E3326" s="166" t="s">
        <v>2978</v>
      </c>
    </row>
    <row r="3327" spans="1:5">
      <c r="A3327" s="159">
        <f t="shared" si="44"/>
        <v>3326</v>
      </c>
      <c r="B3327" s="163">
        <v>45843</v>
      </c>
      <c r="C3327" s="164">
        <v>0.58554398148148146</v>
      </c>
      <c r="D3327" s="159">
        <v>10</v>
      </c>
      <c r="E3327" s="166" t="s">
        <v>2979</v>
      </c>
    </row>
    <row r="3328" spans="1:5" ht="27">
      <c r="A3328" s="159">
        <f t="shared" si="44"/>
        <v>3327</v>
      </c>
      <c r="B3328" s="163">
        <v>45843</v>
      </c>
      <c r="C3328" s="164">
        <v>0.53557870370370375</v>
      </c>
      <c r="D3328" s="159">
        <v>10</v>
      </c>
      <c r="E3328" s="166" t="s">
        <v>2980</v>
      </c>
    </row>
    <row r="3329" spans="1:5">
      <c r="A3329" s="159">
        <f t="shared" si="44"/>
        <v>3328</v>
      </c>
      <c r="B3329" s="163">
        <v>45843</v>
      </c>
      <c r="C3329" s="164">
        <v>0.5259490740740741</v>
      </c>
      <c r="D3329" s="159">
        <v>10</v>
      </c>
      <c r="E3329" s="166" t="s">
        <v>2981</v>
      </c>
    </row>
    <row r="3330" spans="1:5">
      <c r="A3330" s="159">
        <f t="shared" si="44"/>
        <v>3329</v>
      </c>
      <c r="B3330" s="163">
        <v>45843</v>
      </c>
      <c r="C3330" s="164">
        <v>0.49809027777777781</v>
      </c>
      <c r="D3330" s="159">
        <v>10</v>
      </c>
      <c r="E3330" s="166" t="s">
        <v>2982</v>
      </c>
    </row>
    <row r="3331" spans="1:5">
      <c r="A3331" s="159">
        <f t="shared" si="44"/>
        <v>3330</v>
      </c>
      <c r="B3331" s="163">
        <v>45843</v>
      </c>
      <c r="C3331" s="164">
        <v>0.4864236111111111</v>
      </c>
      <c r="D3331" s="159">
        <v>10</v>
      </c>
      <c r="E3331" s="166" t="s">
        <v>288</v>
      </c>
    </row>
    <row r="3332" spans="1:5">
      <c r="A3332" s="159">
        <f t="shared" si="44"/>
        <v>3331</v>
      </c>
      <c r="B3332" s="163">
        <v>45843</v>
      </c>
      <c r="C3332" s="164">
        <v>0.4836226851851852</v>
      </c>
      <c r="D3332" s="159">
        <v>9</v>
      </c>
      <c r="E3332" s="166" t="s">
        <v>2983</v>
      </c>
    </row>
    <row r="3333" spans="1:5">
      <c r="A3333" s="159">
        <f t="shared" si="44"/>
        <v>3332</v>
      </c>
      <c r="B3333" s="163">
        <v>45843</v>
      </c>
      <c r="C3333" s="164">
        <v>0.48028935185185184</v>
      </c>
      <c r="D3333" s="159">
        <v>10</v>
      </c>
      <c r="E3333" s="166" t="s">
        <v>2984</v>
      </c>
    </row>
    <row r="3334" spans="1:5" ht="27">
      <c r="A3334" s="159">
        <f t="shared" si="44"/>
        <v>3333</v>
      </c>
      <c r="B3334" s="163">
        <v>45843</v>
      </c>
      <c r="C3334" s="164">
        <v>0.46362268518518518</v>
      </c>
      <c r="D3334" s="159">
        <v>10</v>
      </c>
      <c r="E3334" s="166" t="s">
        <v>2985</v>
      </c>
    </row>
    <row r="3335" spans="1:5">
      <c r="A3335" s="159">
        <f t="shared" si="44"/>
        <v>3334</v>
      </c>
      <c r="B3335" s="163">
        <v>45843</v>
      </c>
      <c r="C3335" s="164">
        <v>0.46077546296296296</v>
      </c>
      <c r="D3335" s="159">
        <v>9</v>
      </c>
      <c r="E3335" s="166" t="s">
        <v>2986</v>
      </c>
    </row>
    <row r="3336" spans="1:5">
      <c r="A3336" s="159">
        <f t="shared" si="44"/>
        <v>3335</v>
      </c>
      <c r="B3336" s="163">
        <v>45843</v>
      </c>
      <c r="C3336" s="164">
        <v>0.45372685185185185</v>
      </c>
      <c r="D3336" s="159">
        <v>10</v>
      </c>
      <c r="E3336" s="166" t="s">
        <v>2987</v>
      </c>
    </row>
    <row r="3337" spans="1:5">
      <c r="A3337" s="159">
        <f t="shared" si="44"/>
        <v>3336</v>
      </c>
      <c r="B3337" s="163">
        <v>45843</v>
      </c>
      <c r="C3337" s="164">
        <v>0.44591435185185185</v>
      </c>
      <c r="D3337" s="159">
        <v>10</v>
      </c>
      <c r="E3337" s="166" t="s">
        <v>2988</v>
      </c>
    </row>
    <row r="3338" spans="1:5" ht="27">
      <c r="A3338" s="159">
        <f t="shared" si="44"/>
        <v>3337</v>
      </c>
      <c r="B3338" s="163">
        <v>45843</v>
      </c>
      <c r="C3338" s="164">
        <v>0.4366666666666667</v>
      </c>
      <c r="D3338" s="159">
        <v>10</v>
      </c>
      <c r="E3338" s="166" t="s">
        <v>2989</v>
      </c>
    </row>
    <row r="3339" spans="1:5">
      <c r="A3339" s="159">
        <f t="shared" si="44"/>
        <v>3338</v>
      </c>
      <c r="B3339" s="163">
        <v>45843</v>
      </c>
      <c r="C3339" s="164">
        <v>0.41872685185185188</v>
      </c>
      <c r="D3339" s="159">
        <v>10</v>
      </c>
      <c r="E3339" s="166" t="s">
        <v>2990</v>
      </c>
    </row>
    <row r="3340" spans="1:5" ht="27">
      <c r="A3340" s="159">
        <f t="shared" si="44"/>
        <v>3339</v>
      </c>
      <c r="B3340" s="163">
        <v>45843</v>
      </c>
      <c r="C3340" s="164">
        <v>0.41196759259259258</v>
      </c>
      <c r="D3340" s="159">
        <v>10</v>
      </c>
      <c r="E3340" s="166" t="s">
        <v>2991</v>
      </c>
    </row>
    <row r="3341" spans="1:5">
      <c r="A3341" s="159">
        <f t="shared" si="44"/>
        <v>3340</v>
      </c>
      <c r="B3341" s="163">
        <v>45843</v>
      </c>
      <c r="C3341" s="164">
        <v>0.40940972222222222</v>
      </c>
      <c r="D3341" s="159">
        <v>10</v>
      </c>
      <c r="E3341" s="166" t="s">
        <v>2992</v>
      </c>
    </row>
    <row r="3342" spans="1:5">
      <c r="A3342" s="159">
        <f t="shared" si="44"/>
        <v>3341</v>
      </c>
      <c r="B3342" s="163">
        <v>45843</v>
      </c>
      <c r="C3342" s="164">
        <v>0.40782407407407412</v>
      </c>
      <c r="D3342" s="159">
        <v>10</v>
      </c>
      <c r="E3342" s="166" t="s">
        <v>288</v>
      </c>
    </row>
    <row r="3343" spans="1:5" ht="27">
      <c r="A3343" s="159">
        <f t="shared" si="44"/>
        <v>3342</v>
      </c>
      <c r="B3343" s="163">
        <v>45843</v>
      </c>
      <c r="C3343" s="164">
        <v>0.38517361111111109</v>
      </c>
      <c r="D3343" s="159">
        <v>10</v>
      </c>
      <c r="E3343" s="166" t="s">
        <v>2993</v>
      </c>
    </row>
    <row r="3344" spans="1:5">
      <c r="A3344" s="159">
        <f t="shared" si="44"/>
        <v>3343</v>
      </c>
      <c r="B3344" s="163">
        <v>45845</v>
      </c>
      <c r="C3344" s="164">
        <v>0.90239583333333329</v>
      </c>
      <c r="D3344" s="159">
        <v>10</v>
      </c>
      <c r="E3344" s="166" t="s">
        <v>3074</v>
      </c>
    </row>
    <row r="3345" spans="1:5">
      <c r="A3345" s="159">
        <f t="shared" si="44"/>
        <v>3344</v>
      </c>
      <c r="B3345" s="163">
        <v>45845</v>
      </c>
      <c r="C3345" s="164">
        <v>0.88297453703703699</v>
      </c>
      <c r="D3345" s="159">
        <v>10</v>
      </c>
      <c r="E3345" s="166" t="s">
        <v>3075</v>
      </c>
    </row>
    <row r="3346" spans="1:5">
      <c r="A3346" s="159">
        <f t="shared" si="44"/>
        <v>3345</v>
      </c>
      <c r="B3346" s="163">
        <v>45845</v>
      </c>
      <c r="C3346" s="164">
        <v>0.85881944444444447</v>
      </c>
      <c r="D3346" s="159">
        <v>10</v>
      </c>
      <c r="E3346" s="166" t="s">
        <v>3076</v>
      </c>
    </row>
    <row r="3347" spans="1:5">
      <c r="A3347" s="159">
        <f t="shared" si="44"/>
        <v>3346</v>
      </c>
      <c r="B3347" s="163">
        <v>45845</v>
      </c>
      <c r="C3347" s="164">
        <v>0.85759259259259257</v>
      </c>
      <c r="D3347" s="159">
        <v>9</v>
      </c>
      <c r="E3347" s="166" t="s">
        <v>3077</v>
      </c>
    </row>
    <row r="3348" spans="1:5">
      <c r="A3348" s="159">
        <f t="shared" si="44"/>
        <v>3347</v>
      </c>
      <c r="B3348" s="163">
        <v>45845</v>
      </c>
      <c r="C3348" s="164">
        <v>0.85189814814814813</v>
      </c>
      <c r="D3348" s="159">
        <v>10</v>
      </c>
      <c r="E3348" s="166" t="s">
        <v>3078</v>
      </c>
    </row>
    <row r="3349" spans="1:5">
      <c r="A3349" s="159">
        <f t="shared" si="44"/>
        <v>3348</v>
      </c>
      <c r="B3349" s="163">
        <v>45845</v>
      </c>
      <c r="C3349" s="164">
        <v>0.82638888888888884</v>
      </c>
      <c r="D3349" s="159">
        <v>10</v>
      </c>
      <c r="E3349" s="166" t="s">
        <v>3079</v>
      </c>
    </row>
    <row r="3350" spans="1:5">
      <c r="A3350" s="159">
        <f t="shared" si="44"/>
        <v>3349</v>
      </c>
      <c r="B3350" s="163">
        <v>45845</v>
      </c>
      <c r="C3350" s="164">
        <v>0.82403935185185195</v>
      </c>
      <c r="D3350" s="159">
        <v>10</v>
      </c>
      <c r="E3350" s="166" t="s">
        <v>1678</v>
      </c>
    </row>
    <row r="3351" spans="1:5">
      <c r="A3351" s="159">
        <f t="shared" si="44"/>
        <v>3350</v>
      </c>
      <c r="B3351" s="163">
        <v>45845</v>
      </c>
      <c r="C3351" s="164">
        <v>0.81383101851851858</v>
      </c>
      <c r="D3351" s="159">
        <v>10</v>
      </c>
      <c r="E3351" s="166" t="s">
        <v>3080</v>
      </c>
    </row>
    <row r="3352" spans="1:5">
      <c r="A3352" s="159">
        <f t="shared" si="44"/>
        <v>3351</v>
      </c>
      <c r="B3352" s="163">
        <v>45845</v>
      </c>
      <c r="C3352" s="164">
        <v>0.8024768518518518</v>
      </c>
      <c r="D3352" s="159">
        <v>10</v>
      </c>
      <c r="E3352" s="166" t="s">
        <v>3081</v>
      </c>
    </row>
    <row r="3353" spans="1:5">
      <c r="A3353" s="159">
        <f t="shared" si="44"/>
        <v>3352</v>
      </c>
      <c r="B3353" s="163">
        <v>45845</v>
      </c>
      <c r="C3353" s="164">
        <v>0.78141203703703699</v>
      </c>
      <c r="D3353" s="159">
        <v>10</v>
      </c>
      <c r="E3353" s="166" t="s">
        <v>3082</v>
      </c>
    </row>
    <row r="3354" spans="1:5">
      <c r="A3354" s="159">
        <f t="shared" si="44"/>
        <v>3353</v>
      </c>
      <c r="B3354" s="163">
        <v>45845</v>
      </c>
      <c r="C3354" s="164">
        <v>0.78077546296296296</v>
      </c>
      <c r="D3354" s="159">
        <v>10</v>
      </c>
      <c r="E3354" s="166" t="s">
        <v>132</v>
      </c>
    </row>
    <row r="3355" spans="1:5">
      <c r="A3355" s="159">
        <f t="shared" si="44"/>
        <v>3354</v>
      </c>
      <c r="B3355" s="163">
        <v>45845</v>
      </c>
      <c r="C3355" s="164">
        <v>0.77328703703703694</v>
      </c>
      <c r="D3355" s="159">
        <v>10</v>
      </c>
      <c r="E3355" s="166" t="s">
        <v>3113</v>
      </c>
    </row>
    <row r="3356" spans="1:5">
      <c r="A3356" s="159">
        <f t="shared" si="44"/>
        <v>3355</v>
      </c>
      <c r="B3356" s="163">
        <v>45845</v>
      </c>
      <c r="C3356" s="164">
        <v>0.73078703703703696</v>
      </c>
      <c r="D3356" s="159">
        <v>10</v>
      </c>
      <c r="E3356" s="166" t="s">
        <v>3083</v>
      </c>
    </row>
    <row r="3357" spans="1:5">
      <c r="A3357" s="159">
        <f t="shared" si="44"/>
        <v>3356</v>
      </c>
      <c r="B3357" s="163">
        <v>45845</v>
      </c>
      <c r="C3357" s="164">
        <v>0.73048611111111106</v>
      </c>
      <c r="D3357" s="159">
        <v>10</v>
      </c>
      <c r="E3357" s="166" t="s">
        <v>3084</v>
      </c>
    </row>
    <row r="3358" spans="1:5">
      <c r="A3358" s="159">
        <f t="shared" si="44"/>
        <v>3357</v>
      </c>
      <c r="B3358" s="163">
        <v>45845</v>
      </c>
      <c r="C3358" s="164">
        <v>0.72524305555555557</v>
      </c>
      <c r="D3358" s="159">
        <v>10</v>
      </c>
      <c r="E3358" s="166" t="s">
        <v>3085</v>
      </c>
    </row>
    <row r="3359" spans="1:5">
      <c r="A3359" s="159">
        <f t="shared" si="44"/>
        <v>3358</v>
      </c>
      <c r="B3359" s="163">
        <v>45845</v>
      </c>
      <c r="C3359" s="164">
        <v>0.71894675925925933</v>
      </c>
      <c r="D3359" s="159">
        <v>10</v>
      </c>
      <c r="E3359" s="166" t="s">
        <v>448</v>
      </c>
    </row>
    <row r="3360" spans="1:5">
      <c r="A3360" s="159">
        <f t="shared" si="44"/>
        <v>3359</v>
      </c>
      <c r="B3360" s="163">
        <v>45845</v>
      </c>
      <c r="C3360" s="164">
        <v>0.71340277777777772</v>
      </c>
      <c r="D3360" s="159">
        <v>10</v>
      </c>
      <c r="E3360" s="166" t="s">
        <v>3086</v>
      </c>
    </row>
    <row r="3361" spans="1:5">
      <c r="A3361" s="159">
        <f t="shared" si="44"/>
        <v>3360</v>
      </c>
      <c r="B3361" s="163">
        <v>45845</v>
      </c>
      <c r="C3361" s="164">
        <v>0.7112384259259259</v>
      </c>
      <c r="D3361" s="159">
        <v>10</v>
      </c>
      <c r="E3361" s="166" t="s">
        <v>3087</v>
      </c>
    </row>
    <row r="3362" spans="1:5">
      <c r="A3362" s="159">
        <f t="shared" si="44"/>
        <v>3361</v>
      </c>
      <c r="B3362" s="163">
        <v>45845</v>
      </c>
      <c r="C3362" s="164">
        <v>0.69082175925925926</v>
      </c>
      <c r="D3362" s="159">
        <v>10</v>
      </c>
      <c r="E3362" s="166" t="s">
        <v>3088</v>
      </c>
    </row>
    <row r="3363" spans="1:5">
      <c r="A3363" s="159">
        <f t="shared" si="44"/>
        <v>3362</v>
      </c>
      <c r="B3363" s="163">
        <v>45845</v>
      </c>
      <c r="C3363" s="164">
        <v>0.68892361111111111</v>
      </c>
      <c r="D3363" s="159">
        <v>10</v>
      </c>
      <c r="E3363" s="166" t="s">
        <v>537</v>
      </c>
    </row>
    <row r="3364" spans="1:5">
      <c r="A3364" s="159">
        <f t="shared" si="44"/>
        <v>3363</v>
      </c>
      <c r="B3364" s="163">
        <v>45845</v>
      </c>
      <c r="C3364" s="164">
        <v>0.67997685185185175</v>
      </c>
      <c r="D3364" s="159">
        <v>10</v>
      </c>
      <c r="E3364" s="166" t="s">
        <v>3089</v>
      </c>
    </row>
    <row r="3365" spans="1:5">
      <c r="A3365" s="159">
        <f t="shared" si="44"/>
        <v>3364</v>
      </c>
      <c r="B3365" s="163">
        <v>45845</v>
      </c>
      <c r="C3365" s="164">
        <v>0.67887731481481473</v>
      </c>
      <c r="D3365" s="159">
        <v>9</v>
      </c>
      <c r="E3365" s="166" t="s">
        <v>3090</v>
      </c>
    </row>
    <row r="3366" spans="1:5">
      <c r="A3366" s="159">
        <f t="shared" si="44"/>
        <v>3365</v>
      </c>
      <c r="B3366" s="163">
        <v>45845</v>
      </c>
      <c r="C3366" s="164">
        <v>0.67480324074074083</v>
      </c>
      <c r="D3366" s="159">
        <v>10</v>
      </c>
      <c r="E3366" s="166" t="s">
        <v>3091</v>
      </c>
    </row>
    <row r="3367" spans="1:5">
      <c r="A3367" s="159">
        <f t="shared" si="44"/>
        <v>3366</v>
      </c>
      <c r="B3367" s="163">
        <v>45845</v>
      </c>
      <c r="C3367" s="164">
        <v>0.66930555555555549</v>
      </c>
      <c r="D3367" s="159">
        <v>10</v>
      </c>
      <c r="E3367" s="166" t="s">
        <v>3092</v>
      </c>
    </row>
    <row r="3368" spans="1:5">
      <c r="A3368" s="159">
        <f t="shared" si="44"/>
        <v>3367</v>
      </c>
      <c r="B3368" s="163">
        <v>45845</v>
      </c>
      <c r="C3368" s="164">
        <v>0.66660879629629632</v>
      </c>
      <c r="D3368" s="159">
        <v>9</v>
      </c>
      <c r="E3368" s="166" t="s">
        <v>3093</v>
      </c>
    </row>
    <row r="3369" spans="1:5">
      <c r="A3369" s="159">
        <f t="shared" si="44"/>
        <v>3368</v>
      </c>
      <c r="B3369" s="163">
        <v>45845</v>
      </c>
      <c r="C3369" s="164">
        <v>0.66180555555555554</v>
      </c>
      <c r="D3369" s="159">
        <v>10</v>
      </c>
      <c r="E3369" s="166" t="s">
        <v>3094</v>
      </c>
    </row>
    <row r="3370" spans="1:5">
      <c r="A3370" s="159">
        <f t="shared" si="44"/>
        <v>3369</v>
      </c>
      <c r="B3370" s="163">
        <v>45845</v>
      </c>
      <c r="C3370" s="164">
        <v>0.64401620370370372</v>
      </c>
      <c r="D3370" s="159">
        <v>10</v>
      </c>
      <c r="E3370" s="166" t="s">
        <v>3095</v>
      </c>
    </row>
    <row r="3371" spans="1:5">
      <c r="A3371" s="159">
        <f t="shared" si="44"/>
        <v>3370</v>
      </c>
      <c r="B3371" s="163">
        <v>45845</v>
      </c>
      <c r="C3371" s="164">
        <v>0.63468749999999996</v>
      </c>
      <c r="D3371" s="159">
        <v>10</v>
      </c>
      <c r="E3371" s="166" t="s">
        <v>3096</v>
      </c>
    </row>
    <row r="3372" spans="1:5">
      <c r="A3372" s="159">
        <f t="shared" si="44"/>
        <v>3371</v>
      </c>
      <c r="B3372" s="163">
        <v>45845</v>
      </c>
      <c r="C3372" s="164">
        <v>0.61249999999999993</v>
      </c>
      <c r="D3372" s="159">
        <v>10</v>
      </c>
      <c r="E3372" s="166" t="s">
        <v>3097</v>
      </c>
    </row>
    <row r="3373" spans="1:5" ht="27">
      <c r="A3373" s="159">
        <f t="shared" si="44"/>
        <v>3372</v>
      </c>
      <c r="B3373" s="163">
        <v>45845</v>
      </c>
      <c r="C3373" s="164">
        <v>0.59107638888888892</v>
      </c>
      <c r="D3373" s="159">
        <v>10</v>
      </c>
      <c r="E3373" s="166" t="s">
        <v>3112</v>
      </c>
    </row>
    <row r="3374" spans="1:5">
      <c r="A3374" s="159">
        <f t="shared" si="44"/>
        <v>3373</v>
      </c>
      <c r="B3374" s="163">
        <v>45845</v>
      </c>
      <c r="C3374" s="164">
        <v>0.57725694444444442</v>
      </c>
      <c r="D3374" s="159">
        <v>10</v>
      </c>
      <c r="E3374" s="166" t="s">
        <v>3098</v>
      </c>
    </row>
    <row r="3375" spans="1:5">
      <c r="A3375" s="159">
        <f t="shared" si="44"/>
        <v>3374</v>
      </c>
      <c r="B3375" s="163">
        <v>45845</v>
      </c>
      <c r="C3375" s="164">
        <v>0.56996527777777783</v>
      </c>
      <c r="D3375" s="159">
        <v>10</v>
      </c>
      <c r="E3375" s="166" t="s">
        <v>246</v>
      </c>
    </row>
    <row r="3376" spans="1:5">
      <c r="A3376" s="159">
        <f t="shared" si="44"/>
        <v>3375</v>
      </c>
      <c r="B3376" s="163">
        <v>45845</v>
      </c>
      <c r="C3376" s="164">
        <v>0.55822916666666667</v>
      </c>
      <c r="D3376" s="159">
        <v>10</v>
      </c>
      <c r="E3376" s="166" t="s">
        <v>3099</v>
      </c>
    </row>
    <row r="3377" spans="1:5">
      <c r="A3377" s="159">
        <f t="shared" si="44"/>
        <v>3376</v>
      </c>
      <c r="B3377" s="163">
        <v>45845</v>
      </c>
      <c r="C3377" s="164">
        <v>0.5545254629629629</v>
      </c>
      <c r="D3377" s="159">
        <v>10</v>
      </c>
      <c r="E3377" s="166" t="s">
        <v>3100</v>
      </c>
    </row>
    <row r="3378" spans="1:5">
      <c r="A3378" s="159">
        <f t="shared" si="44"/>
        <v>3377</v>
      </c>
      <c r="B3378" s="163">
        <v>45845</v>
      </c>
      <c r="C3378" s="164">
        <v>0.55307870370370371</v>
      </c>
      <c r="D3378" s="159">
        <v>10</v>
      </c>
      <c r="E3378" s="166" t="s">
        <v>132</v>
      </c>
    </row>
    <row r="3379" spans="1:5">
      <c r="A3379" s="159">
        <f t="shared" si="44"/>
        <v>3378</v>
      </c>
      <c r="B3379" s="163">
        <v>45845</v>
      </c>
      <c r="C3379" s="164">
        <v>0.55001157407407408</v>
      </c>
      <c r="D3379" s="159">
        <v>9</v>
      </c>
      <c r="E3379" s="166" t="s">
        <v>3101</v>
      </c>
    </row>
    <row r="3380" spans="1:5">
      <c r="A3380" s="159">
        <f t="shared" si="44"/>
        <v>3379</v>
      </c>
      <c r="B3380" s="163">
        <v>45845</v>
      </c>
      <c r="C3380" s="164">
        <v>0.53689814814814818</v>
      </c>
      <c r="D3380" s="159">
        <v>8</v>
      </c>
      <c r="E3380" s="166" t="s">
        <v>3102</v>
      </c>
    </row>
    <row r="3381" spans="1:5">
      <c r="A3381" s="159">
        <f t="shared" ref="A3381:A3444" si="45">ROW()-1</f>
        <v>3380</v>
      </c>
      <c r="B3381" s="163">
        <v>45845</v>
      </c>
      <c r="C3381" s="164">
        <v>0.53383101851851855</v>
      </c>
      <c r="D3381" s="159">
        <v>10</v>
      </c>
      <c r="E3381" s="166" t="s">
        <v>3103</v>
      </c>
    </row>
    <row r="3382" spans="1:5">
      <c r="A3382" s="159">
        <f t="shared" si="45"/>
        <v>3381</v>
      </c>
      <c r="B3382" s="163">
        <v>45845</v>
      </c>
      <c r="C3382" s="164">
        <v>0.50164351851851852</v>
      </c>
      <c r="D3382" s="159">
        <v>10</v>
      </c>
      <c r="E3382" s="166" t="s">
        <v>3111</v>
      </c>
    </row>
    <row r="3383" spans="1:5">
      <c r="A3383" s="159">
        <f t="shared" si="45"/>
        <v>3382</v>
      </c>
      <c r="B3383" s="163">
        <v>45845</v>
      </c>
      <c r="C3383" s="164">
        <v>0.48078703703703707</v>
      </c>
      <c r="D3383" s="159">
        <v>10</v>
      </c>
      <c r="E3383" s="166" t="s">
        <v>3104</v>
      </c>
    </row>
    <row r="3384" spans="1:5">
      <c r="A3384" s="159">
        <f t="shared" si="45"/>
        <v>3383</v>
      </c>
      <c r="B3384" s="163">
        <v>45845</v>
      </c>
      <c r="C3384" s="164">
        <v>0.45665509259259257</v>
      </c>
      <c r="D3384" s="159">
        <v>10</v>
      </c>
      <c r="E3384" s="166" t="s">
        <v>3105</v>
      </c>
    </row>
    <row r="3385" spans="1:5">
      <c r="A3385" s="159">
        <f t="shared" si="45"/>
        <v>3384</v>
      </c>
      <c r="B3385" s="163">
        <v>45845</v>
      </c>
      <c r="C3385" s="164">
        <v>0.4435763888888889</v>
      </c>
      <c r="D3385" s="159">
        <v>10</v>
      </c>
      <c r="E3385" s="166" t="s">
        <v>3106</v>
      </c>
    </row>
    <row r="3386" spans="1:5">
      <c r="A3386" s="159">
        <f t="shared" si="45"/>
        <v>3385</v>
      </c>
      <c r="B3386" s="163">
        <v>45845</v>
      </c>
      <c r="C3386" s="164">
        <v>0.44296296296296295</v>
      </c>
      <c r="D3386" s="159">
        <v>10</v>
      </c>
      <c r="E3386" s="166" t="s">
        <v>3107</v>
      </c>
    </row>
    <row r="3387" spans="1:5">
      <c r="A3387" s="159">
        <f t="shared" si="45"/>
        <v>3386</v>
      </c>
      <c r="B3387" s="163">
        <v>45845</v>
      </c>
      <c r="C3387" s="164">
        <v>0.39443287037037034</v>
      </c>
      <c r="D3387" s="159">
        <v>10</v>
      </c>
      <c r="E3387" s="166" t="s">
        <v>3108</v>
      </c>
    </row>
    <row r="3388" spans="1:5">
      <c r="A3388" s="159">
        <f t="shared" si="45"/>
        <v>3387</v>
      </c>
      <c r="B3388" s="163">
        <v>45845</v>
      </c>
      <c r="C3388" s="164">
        <v>0.39436342592592594</v>
      </c>
      <c r="D3388" s="159">
        <v>10</v>
      </c>
      <c r="E3388" s="166" t="s">
        <v>3109</v>
      </c>
    </row>
    <row r="3389" spans="1:5">
      <c r="A3389" s="159">
        <f t="shared" si="45"/>
        <v>3388</v>
      </c>
      <c r="B3389" s="163">
        <v>45845</v>
      </c>
      <c r="C3389" s="164">
        <v>0.38149305555555557</v>
      </c>
      <c r="D3389" s="159">
        <v>10</v>
      </c>
      <c r="E3389" s="166" t="s">
        <v>3110</v>
      </c>
    </row>
    <row r="3390" spans="1:5">
      <c r="A3390" s="174">
        <f t="shared" si="45"/>
        <v>3389</v>
      </c>
      <c r="B3390" s="163">
        <v>45846</v>
      </c>
      <c r="C3390" s="164">
        <v>0.84475694444444438</v>
      </c>
      <c r="D3390" s="159">
        <v>10</v>
      </c>
      <c r="E3390" s="166" t="s">
        <v>3114</v>
      </c>
    </row>
    <row r="3391" spans="1:5">
      <c r="A3391" s="174">
        <f t="shared" si="45"/>
        <v>3390</v>
      </c>
      <c r="B3391" s="163">
        <v>45846</v>
      </c>
      <c r="C3391" s="164">
        <v>0.79758101851851848</v>
      </c>
      <c r="D3391" s="159">
        <v>10</v>
      </c>
      <c r="E3391" s="166" t="s">
        <v>3115</v>
      </c>
    </row>
    <row r="3392" spans="1:5">
      <c r="A3392" s="174">
        <f t="shared" si="45"/>
        <v>3391</v>
      </c>
      <c r="B3392" s="163">
        <v>45846</v>
      </c>
      <c r="C3392" s="164">
        <v>0.73527777777777781</v>
      </c>
      <c r="D3392" s="159">
        <v>10</v>
      </c>
      <c r="E3392" s="166" t="s">
        <v>246</v>
      </c>
    </row>
    <row r="3393" spans="1:5">
      <c r="A3393" s="174">
        <f t="shared" si="45"/>
        <v>3392</v>
      </c>
      <c r="B3393" s="163">
        <v>45846</v>
      </c>
      <c r="C3393" s="164">
        <v>0.73289351851851858</v>
      </c>
      <c r="D3393" s="159">
        <v>10</v>
      </c>
      <c r="E3393" s="166" t="s">
        <v>3116</v>
      </c>
    </row>
    <row r="3394" spans="1:5">
      <c r="A3394" s="174">
        <f t="shared" si="45"/>
        <v>3393</v>
      </c>
      <c r="B3394" s="163">
        <v>45846</v>
      </c>
      <c r="C3394" s="164">
        <v>0.71939814814814806</v>
      </c>
      <c r="D3394" s="159">
        <v>10</v>
      </c>
      <c r="E3394" s="166" t="s">
        <v>3117</v>
      </c>
    </row>
    <row r="3395" spans="1:5">
      <c r="A3395" s="174">
        <f t="shared" si="45"/>
        <v>3394</v>
      </c>
      <c r="B3395" s="163">
        <v>45846</v>
      </c>
      <c r="C3395" s="164">
        <v>0.71818287037037043</v>
      </c>
      <c r="D3395" s="159">
        <v>10</v>
      </c>
      <c r="E3395" s="166" t="s">
        <v>3118</v>
      </c>
    </row>
    <row r="3396" spans="1:5">
      <c r="A3396" s="174">
        <f t="shared" si="45"/>
        <v>3395</v>
      </c>
      <c r="B3396" s="163">
        <v>45846</v>
      </c>
      <c r="C3396" s="164">
        <v>0.71368055555555554</v>
      </c>
      <c r="D3396" s="159">
        <v>10</v>
      </c>
      <c r="E3396" s="166" t="s">
        <v>3119</v>
      </c>
    </row>
    <row r="3397" spans="1:5">
      <c r="A3397" s="174">
        <f t="shared" si="45"/>
        <v>3396</v>
      </c>
      <c r="B3397" s="163">
        <v>45846</v>
      </c>
      <c r="C3397" s="164">
        <v>0.71248842592592598</v>
      </c>
      <c r="D3397" s="159">
        <v>10</v>
      </c>
      <c r="E3397" s="166" t="s">
        <v>3120</v>
      </c>
    </row>
    <row r="3398" spans="1:5">
      <c r="A3398" s="174">
        <f t="shared" si="45"/>
        <v>3397</v>
      </c>
      <c r="B3398" s="163">
        <v>45846</v>
      </c>
      <c r="C3398" s="164">
        <v>0.71207175925925925</v>
      </c>
      <c r="D3398" s="159">
        <v>10</v>
      </c>
      <c r="E3398" s="166" t="s">
        <v>132</v>
      </c>
    </row>
    <row r="3399" spans="1:5" ht="27">
      <c r="A3399" s="174">
        <f t="shared" si="45"/>
        <v>3398</v>
      </c>
      <c r="B3399" s="163">
        <v>45846</v>
      </c>
      <c r="C3399" s="164">
        <v>0.7101736111111111</v>
      </c>
      <c r="D3399" s="159">
        <v>10</v>
      </c>
      <c r="E3399" s="166" t="s">
        <v>3144</v>
      </c>
    </row>
    <row r="3400" spans="1:5">
      <c r="A3400" s="174">
        <f t="shared" si="45"/>
        <v>3399</v>
      </c>
      <c r="B3400" s="163">
        <v>45846</v>
      </c>
      <c r="C3400" s="164">
        <v>0.70109953703703709</v>
      </c>
      <c r="D3400" s="159">
        <v>10</v>
      </c>
      <c r="E3400" s="166" t="s">
        <v>3121</v>
      </c>
    </row>
    <row r="3401" spans="1:5">
      <c r="A3401" s="174">
        <f t="shared" si="45"/>
        <v>3400</v>
      </c>
      <c r="B3401" s="163">
        <v>45846</v>
      </c>
      <c r="C3401" s="164">
        <v>0.69601851851851848</v>
      </c>
      <c r="D3401" s="159">
        <v>10</v>
      </c>
      <c r="E3401" s="166" t="s">
        <v>1042</v>
      </c>
    </row>
    <row r="3402" spans="1:5">
      <c r="A3402" s="174">
        <f t="shared" si="45"/>
        <v>3401</v>
      </c>
      <c r="B3402" s="163">
        <v>45846</v>
      </c>
      <c r="C3402" s="164">
        <v>0.69472222222222213</v>
      </c>
      <c r="D3402" s="159">
        <v>10</v>
      </c>
      <c r="E3402" s="166" t="s">
        <v>3122</v>
      </c>
    </row>
    <row r="3403" spans="1:5">
      <c r="A3403" s="174">
        <f t="shared" si="45"/>
        <v>3402</v>
      </c>
      <c r="B3403" s="163">
        <v>45846</v>
      </c>
      <c r="C3403" s="164">
        <v>0.68449074074074068</v>
      </c>
      <c r="D3403" s="159">
        <v>10</v>
      </c>
      <c r="E3403" s="166" t="s">
        <v>313</v>
      </c>
    </row>
    <row r="3404" spans="1:5">
      <c r="A3404" s="174">
        <f t="shared" si="45"/>
        <v>3403</v>
      </c>
      <c r="B3404" s="163">
        <v>45846</v>
      </c>
      <c r="C3404" s="164">
        <v>0.66901620370370374</v>
      </c>
      <c r="D3404" s="159">
        <v>10</v>
      </c>
      <c r="E3404" s="166" t="s">
        <v>3123</v>
      </c>
    </row>
    <row r="3405" spans="1:5">
      <c r="A3405" s="174">
        <f t="shared" si="45"/>
        <v>3404</v>
      </c>
      <c r="B3405" s="163">
        <v>45846</v>
      </c>
      <c r="C3405" s="164">
        <v>0.66728009259259258</v>
      </c>
      <c r="D3405" s="159">
        <v>10</v>
      </c>
      <c r="E3405" s="166" t="s">
        <v>3124</v>
      </c>
    </row>
    <row r="3406" spans="1:5">
      <c r="A3406" s="174">
        <f t="shared" si="45"/>
        <v>3405</v>
      </c>
      <c r="B3406" s="163">
        <v>45846</v>
      </c>
      <c r="C3406" s="164">
        <v>0.6584606481481482</v>
      </c>
      <c r="D3406" s="159">
        <v>10</v>
      </c>
      <c r="E3406" s="166" t="s">
        <v>3125</v>
      </c>
    </row>
    <row r="3407" spans="1:5">
      <c r="A3407" s="174">
        <f t="shared" si="45"/>
        <v>3406</v>
      </c>
      <c r="B3407" s="163">
        <v>45846</v>
      </c>
      <c r="C3407" s="164">
        <v>0.65562500000000001</v>
      </c>
      <c r="D3407" s="159">
        <v>10</v>
      </c>
      <c r="E3407" s="166" t="s">
        <v>3126</v>
      </c>
    </row>
    <row r="3408" spans="1:5">
      <c r="A3408" s="174">
        <f t="shared" si="45"/>
        <v>3407</v>
      </c>
      <c r="B3408" s="163">
        <v>45846</v>
      </c>
      <c r="C3408" s="164">
        <v>0.65122685185185192</v>
      </c>
      <c r="D3408" s="159">
        <v>10</v>
      </c>
      <c r="E3408" s="166" t="s">
        <v>3127</v>
      </c>
    </row>
    <row r="3409" spans="1:5">
      <c r="A3409" s="174">
        <f t="shared" si="45"/>
        <v>3408</v>
      </c>
      <c r="B3409" s="163">
        <v>45846</v>
      </c>
      <c r="C3409" s="164">
        <v>0.62501157407407404</v>
      </c>
      <c r="D3409" s="159">
        <v>10</v>
      </c>
      <c r="E3409" s="166" t="s">
        <v>537</v>
      </c>
    </row>
    <row r="3410" spans="1:5">
      <c r="A3410" s="174">
        <f t="shared" si="45"/>
        <v>3409</v>
      </c>
      <c r="B3410" s="163">
        <v>45846</v>
      </c>
      <c r="C3410" s="164">
        <v>0.62458333333333338</v>
      </c>
      <c r="D3410" s="159">
        <v>10</v>
      </c>
      <c r="E3410" s="166" t="s">
        <v>3128</v>
      </c>
    </row>
    <row r="3411" spans="1:5">
      <c r="A3411" s="174">
        <f t="shared" si="45"/>
        <v>3410</v>
      </c>
      <c r="B3411" s="163">
        <v>45846</v>
      </c>
      <c r="C3411" s="164">
        <v>0.62162037037037032</v>
      </c>
      <c r="D3411" s="159">
        <v>10</v>
      </c>
      <c r="E3411" s="166" t="s">
        <v>3129</v>
      </c>
    </row>
    <row r="3412" spans="1:5">
      <c r="A3412" s="174">
        <f t="shared" si="45"/>
        <v>3411</v>
      </c>
      <c r="B3412" s="163">
        <v>45846</v>
      </c>
      <c r="C3412" s="164">
        <v>0.61212962962962958</v>
      </c>
      <c r="D3412" s="159">
        <v>10</v>
      </c>
      <c r="E3412" s="166" t="s">
        <v>3130</v>
      </c>
    </row>
    <row r="3413" spans="1:5">
      <c r="A3413" s="174">
        <f t="shared" si="45"/>
        <v>3412</v>
      </c>
      <c r="B3413" s="163">
        <v>45846</v>
      </c>
      <c r="C3413" s="164">
        <v>0.60339120370370369</v>
      </c>
      <c r="D3413" s="159">
        <v>10</v>
      </c>
      <c r="E3413" s="166" t="s">
        <v>1229</v>
      </c>
    </row>
    <row r="3414" spans="1:5">
      <c r="A3414" s="174">
        <f t="shared" si="45"/>
        <v>3413</v>
      </c>
      <c r="B3414" s="163">
        <v>45846</v>
      </c>
      <c r="C3414" s="164">
        <v>0.60040509259259256</v>
      </c>
      <c r="D3414" s="159">
        <v>10</v>
      </c>
      <c r="E3414" s="166" t="s">
        <v>3131</v>
      </c>
    </row>
    <row r="3415" spans="1:5">
      <c r="A3415" s="174">
        <f t="shared" si="45"/>
        <v>3414</v>
      </c>
      <c r="B3415" s="163">
        <v>45846</v>
      </c>
      <c r="C3415" s="164">
        <v>0.593287037037037</v>
      </c>
      <c r="D3415" s="159">
        <v>10</v>
      </c>
      <c r="E3415" s="166" t="s">
        <v>3132</v>
      </c>
    </row>
    <row r="3416" spans="1:5">
      <c r="A3416" s="174">
        <f t="shared" si="45"/>
        <v>3415</v>
      </c>
      <c r="B3416" s="163">
        <v>45846</v>
      </c>
      <c r="C3416" s="164">
        <v>0.58885416666666668</v>
      </c>
      <c r="D3416" s="159">
        <v>10</v>
      </c>
      <c r="E3416" s="166" t="s">
        <v>3133</v>
      </c>
    </row>
    <row r="3417" spans="1:5">
      <c r="A3417" s="174">
        <f t="shared" si="45"/>
        <v>3416</v>
      </c>
      <c r="B3417" s="163">
        <v>45846</v>
      </c>
      <c r="C3417" s="164">
        <v>0.58677083333333335</v>
      </c>
      <c r="D3417" s="159">
        <v>10</v>
      </c>
      <c r="E3417" s="166" t="s">
        <v>3134</v>
      </c>
    </row>
    <row r="3418" spans="1:5">
      <c r="A3418" s="174">
        <f t="shared" si="45"/>
        <v>3417</v>
      </c>
      <c r="B3418" s="163">
        <v>45846</v>
      </c>
      <c r="C3418" s="164">
        <v>0.57445601851851846</v>
      </c>
      <c r="D3418" s="159">
        <v>10</v>
      </c>
      <c r="E3418" s="166" t="s">
        <v>3135</v>
      </c>
    </row>
    <row r="3419" spans="1:5">
      <c r="A3419" s="174">
        <f t="shared" si="45"/>
        <v>3418</v>
      </c>
      <c r="B3419" s="163">
        <v>45846</v>
      </c>
      <c r="C3419" s="164">
        <v>0.48721064814814818</v>
      </c>
      <c r="D3419" s="159">
        <v>10</v>
      </c>
      <c r="E3419" s="166" t="s">
        <v>2398</v>
      </c>
    </row>
    <row r="3420" spans="1:5">
      <c r="A3420" s="174">
        <f t="shared" si="45"/>
        <v>3419</v>
      </c>
      <c r="B3420" s="163">
        <v>45846</v>
      </c>
      <c r="C3420" s="164">
        <v>0.4791435185185185</v>
      </c>
      <c r="D3420" s="159">
        <v>10</v>
      </c>
      <c r="E3420" s="166" t="s">
        <v>3136</v>
      </c>
    </row>
    <row r="3421" spans="1:5">
      <c r="A3421" s="174">
        <f t="shared" si="45"/>
        <v>3420</v>
      </c>
      <c r="B3421" s="163">
        <v>45846</v>
      </c>
      <c r="C3421" s="164">
        <v>0.47456018518518522</v>
      </c>
      <c r="D3421" s="159">
        <v>10</v>
      </c>
      <c r="E3421" s="166" t="s">
        <v>3143</v>
      </c>
    </row>
    <row r="3422" spans="1:5">
      <c r="A3422" s="174">
        <f t="shared" si="45"/>
        <v>3421</v>
      </c>
      <c r="B3422" s="163">
        <v>45846</v>
      </c>
      <c r="C3422" s="164">
        <v>0.46231481481481485</v>
      </c>
      <c r="D3422" s="159">
        <v>10</v>
      </c>
      <c r="E3422" s="166" t="s">
        <v>3137</v>
      </c>
    </row>
    <row r="3423" spans="1:5">
      <c r="A3423" s="174">
        <f t="shared" si="45"/>
        <v>3422</v>
      </c>
      <c r="B3423" s="163">
        <v>45846</v>
      </c>
      <c r="C3423" s="164">
        <v>0.44037037037037036</v>
      </c>
      <c r="D3423" s="159">
        <v>10</v>
      </c>
      <c r="E3423" s="166" t="s">
        <v>1519</v>
      </c>
    </row>
    <row r="3424" spans="1:5">
      <c r="A3424" s="174">
        <f t="shared" si="45"/>
        <v>3423</v>
      </c>
      <c r="B3424" s="163">
        <v>45846</v>
      </c>
      <c r="C3424" s="164">
        <v>0.42881944444444442</v>
      </c>
      <c r="D3424" s="159">
        <v>10</v>
      </c>
      <c r="E3424" s="166" t="s">
        <v>3138</v>
      </c>
    </row>
    <row r="3425" spans="1:5">
      <c r="A3425" s="174">
        <f t="shared" si="45"/>
        <v>3424</v>
      </c>
      <c r="B3425" s="163">
        <v>45846</v>
      </c>
      <c r="C3425" s="164">
        <v>0.41965277777777782</v>
      </c>
      <c r="D3425" s="159">
        <v>10</v>
      </c>
      <c r="E3425" s="166" t="s">
        <v>3139</v>
      </c>
    </row>
    <row r="3426" spans="1:5">
      <c r="A3426" s="174">
        <f t="shared" si="45"/>
        <v>3425</v>
      </c>
      <c r="B3426" s="163">
        <v>45846</v>
      </c>
      <c r="C3426" s="164">
        <v>0.4185532407407408</v>
      </c>
      <c r="D3426" s="159">
        <v>10</v>
      </c>
      <c r="E3426" s="166" t="s">
        <v>3140</v>
      </c>
    </row>
    <row r="3427" spans="1:5">
      <c r="A3427" s="174">
        <f t="shared" si="45"/>
        <v>3426</v>
      </c>
      <c r="B3427" s="163">
        <v>45846</v>
      </c>
      <c r="C3427" s="164">
        <v>0.39307870370370374</v>
      </c>
      <c r="D3427" s="159">
        <v>10</v>
      </c>
      <c r="E3427" s="166" t="s">
        <v>3142</v>
      </c>
    </row>
    <row r="3428" spans="1:5">
      <c r="A3428" s="174">
        <f t="shared" si="45"/>
        <v>3427</v>
      </c>
      <c r="B3428" s="163">
        <v>45846</v>
      </c>
      <c r="C3428" s="164">
        <v>0.38723379629629634</v>
      </c>
      <c r="D3428" s="159">
        <v>10</v>
      </c>
      <c r="E3428" s="166" t="s">
        <v>3141</v>
      </c>
    </row>
    <row r="3429" spans="1:5">
      <c r="A3429" s="174">
        <f t="shared" si="45"/>
        <v>3428</v>
      </c>
      <c r="B3429" s="163">
        <v>45847</v>
      </c>
      <c r="C3429" s="164">
        <v>0.88880787037037035</v>
      </c>
      <c r="D3429" s="159">
        <v>10</v>
      </c>
      <c r="E3429" s="166" t="s">
        <v>3145</v>
      </c>
    </row>
    <row r="3430" spans="1:5">
      <c r="A3430" s="174">
        <f t="shared" si="45"/>
        <v>3429</v>
      </c>
      <c r="B3430" s="163">
        <v>45847</v>
      </c>
      <c r="C3430" s="164">
        <v>0.88037037037037036</v>
      </c>
      <c r="D3430" s="159">
        <v>10</v>
      </c>
      <c r="E3430" s="166" t="s">
        <v>3146</v>
      </c>
    </row>
    <row r="3431" spans="1:5">
      <c r="A3431" s="174">
        <f t="shared" si="45"/>
        <v>3430</v>
      </c>
      <c r="B3431" s="163">
        <v>45847</v>
      </c>
      <c r="C3431" s="164">
        <v>0.83417824074074076</v>
      </c>
      <c r="D3431" s="159">
        <v>10</v>
      </c>
      <c r="E3431" s="166" t="s">
        <v>3147</v>
      </c>
    </row>
    <row r="3432" spans="1:5">
      <c r="A3432" s="174">
        <f t="shared" si="45"/>
        <v>3431</v>
      </c>
      <c r="B3432" s="163">
        <v>45847</v>
      </c>
      <c r="C3432" s="164">
        <v>0.83393518518518517</v>
      </c>
      <c r="D3432" s="159">
        <v>10</v>
      </c>
      <c r="E3432" s="166" t="s">
        <v>3148</v>
      </c>
    </row>
    <row r="3433" spans="1:5">
      <c r="A3433" s="174">
        <f t="shared" si="45"/>
        <v>3432</v>
      </c>
      <c r="B3433" s="163">
        <v>45847</v>
      </c>
      <c r="C3433" s="164">
        <v>0.81423611111111116</v>
      </c>
      <c r="D3433" s="159">
        <v>10</v>
      </c>
      <c r="E3433" s="166" t="s">
        <v>3149</v>
      </c>
    </row>
    <row r="3434" spans="1:5">
      <c r="A3434" s="174">
        <f t="shared" si="45"/>
        <v>3433</v>
      </c>
      <c r="B3434" s="163">
        <v>45847</v>
      </c>
      <c r="C3434" s="164">
        <v>0.79428240740740741</v>
      </c>
      <c r="D3434" s="159">
        <v>10</v>
      </c>
      <c r="E3434" s="166" t="s">
        <v>3150</v>
      </c>
    </row>
    <row r="3435" spans="1:5">
      <c r="A3435" s="174">
        <f t="shared" si="45"/>
        <v>3434</v>
      </c>
      <c r="B3435" s="163">
        <v>45847</v>
      </c>
      <c r="C3435" s="164">
        <v>0.78754629629629624</v>
      </c>
      <c r="D3435" s="159">
        <v>10</v>
      </c>
      <c r="E3435" s="166" t="s">
        <v>3151</v>
      </c>
    </row>
    <row r="3436" spans="1:5">
      <c r="A3436" s="174">
        <f t="shared" si="45"/>
        <v>3435</v>
      </c>
      <c r="B3436" s="163">
        <v>45847</v>
      </c>
      <c r="C3436" s="164">
        <v>0.75393518518518521</v>
      </c>
      <c r="D3436" s="159">
        <v>10</v>
      </c>
      <c r="E3436" s="166" t="s">
        <v>3152</v>
      </c>
    </row>
    <row r="3437" spans="1:5">
      <c r="A3437" s="174">
        <f t="shared" si="45"/>
        <v>3436</v>
      </c>
      <c r="B3437" s="163">
        <v>45847</v>
      </c>
      <c r="C3437" s="164">
        <v>0.75172453703703701</v>
      </c>
      <c r="D3437" s="159">
        <v>10</v>
      </c>
      <c r="E3437" s="166" t="s">
        <v>3153</v>
      </c>
    </row>
    <row r="3438" spans="1:5">
      <c r="A3438" s="174">
        <f t="shared" si="45"/>
        <v>3437</v>
      </c>
      <c r="B3438" s="163">
        <v>45847</v>
      </c>
      <c r="C3438" s="164">
        <v>0.751886574074074</v>
      </c>
      <c r="D3438" s="159">
        <v>10</v>
      </c>
      <c r="E3438" s="166" t="s">
        <v>3154</v>
      </c>
    </row>
    <row r="3439" spans="1:5">
      <c r="A3439" s="174">
        <f t="shared" si="45"/>
        <v>3438</v>
      </c>
      <c r="B3439" s="163">
        <v>45847</v>
      </c>
      <c r="C3439" s="164">
        <v>0.74972222222222218</v>
      </c>
      <c r="D3439" s="159">
        <v>10</v>
      </c>
      <c r="E3439" s="166" t="s">
        <v>3155</v>
      </c>
    </row>
    <row r="3440" spans="1:5">
      <c r="A3440" s="174">
        <f t="shared" si="45"/>
        <v>3439</v>
      </c>
      <c r="B3440" s="163">
        <v>45847</v>
      </c>
      <c r="C3440" s="164">
        <v>0.74077546296296293</v>
      </c>
      <c r="D3440" s="159">
        <v>10</v>
      </c>
      <c r="E3440" s="166" t="s">
        <v>3156</v>
      </c>
    </row>
    <row r="3441" spans="1:5">
      <c r="A3441" s="174">
        <f t="shared" si="45"/>
        <v>3440</v>
      </c>
      <c r="B3441" s="163">
        <v>45847</v>
      </c>
      <c r="C3441" s="164">
        <v>0.73936342592592597</v>
      </c>
      <c r="D3441" s="159">
        <v>10</v>
      </c>
      <c r="E3441" s="166" t="s">
        <v>3157</v>
      </c>
    </row>
    <row r="3442" spans="1:5">
      <c r="A3442" s="174">
        <f t="shared" si="45"/>
        <v>3441</v>
      </c>
      <c r="B3442" s="163">
        <v>45847</v>
      </c>
      <c r="C3442" s="164">
        <v>0.73857638888888888</v>
      </c>
      <c r="D3442" s="159">
        <v>10</v>
      </c>
      <c r="E3442" s="166" t="s">
        <v>3158</v>
      </c>
    </row>
    <row r="3443" spans="1:5">
      <c r="A3443" s="174">
        <f t="shared" si="45"/>
        <v>3442</v>
      </c>
      <c r="B3443" s="163">
        <v>45847</v>
      </c>
      <c r="C3443" s="164">
        <v>0.71343749999999995</v>
      </c>
      <c r="D3443" s="159">
        <v>10</v>
      </c>
      <c r="E3443" s="166" t="s">
        <v>3159</v>
      </c>
    </row>
    <row r="3444" spans="1:5">
      <c r="A3444" s="174">
        <f t="shared" si="45"/>
        <v>3443</v>
      </c>
      <c r="B3444" s="163">
        <v>45847</v>
      </c>
      <c r="C3444" s="164">
        <v>0.69725694444444442</v>
      </c>
      <c r="D3444" s="159">
        <v>10</v>
      </c>
      <c r="E3444" s="166" t="s">
        <v>749</v>
      </c>
    </row>
    <row r="3445" spans="1:5">
      <c r="A3445" s="174">
        <f t="shared" ref="A3445:A3508" si="46">ROW()-1</f>
        <v>3444</v>
      </c>
      <c r="B3445" s="163">
        <v>45847</v>
      </c>
      <c r="C3445" s="164">
        <v>0.69109953703703697</v>
      </c>
      <c r="D3445" s="159">
        <v>10</v>
      </c>
      <c r="E3445" s="166" t="s">
        <v>3160</v>
      </c>
    </row>
    <row r="3446" spans="1:5">
      <c r="A3446" s="174">
        <f t="shared" si="46"/>
        <v>3445</v>
      </c>
      <c r="B3446" s="163">
        <v>45847</v>
      </c>
      <c r="C3446" s="164">
        <v>0.67715277777777771</v>
      </c>
      <c r="D3446" s="159">
        <v>10</v>
      </c>
      <c r="E3446" s="166" t="s">
        <v>3161</v>
      </c>
    </row>
    <row r="3447" spans="1:5">
      <c r="A3447" s="174">
        <f t="shared" si="46"/>
        <v>3446</v>
      </c>
      <c r="B3447" s="163">
        <v>45847</v>
      </c>
      <c r="C3447" s="164">
        <v>0.67614583333333333</v>
      </c>
      <c r="D3447" s="159">
        <v>10</v>
      </c>
      <c r="E3447" s="166" t="s">
        <v>3162</v>
      </c>
    </row>
    <row r="3448" spans="1:5">
      <c r="A3448" s="174">
        <f t="shared" si="46"/>
        <v>3447</v>
      </c>
      <c r="B3448" s="163">
        <v>45847</v>
      </c>
      <c r="C3448" s="164">
        <v>0.67084490740740732</v>
      </c>
      <c r="D3448" s="159">
        <v>10</v>
      </c>
      <c r="E3448" s="166" t="s">
        <v>3163</v>
      </c>
    </row>
    <row r="3449" spans="1:5">
      <c r="A3449" s="174">
        <f t="shared" si="46"/>
        <v>3448</v>
      </c>
      <c r="B3449" s="163">
        <v>45847</v>
      </c>
      <c r="C3449" s="164">
        <v>0.66285879629629629</v>
      </c>
      <c r="D3449" s="159">
        <v>10</v>
      </c>
      <c r="E3449" s="166" t="s">
        <v>3164</v>
      </c>
    </row>
    <row r="3450" spans="1:5">
      <c r="A3450" s="174">
        <f t="shared" si="46"/>
        <v>3449</v>
      </c>
      <c r="B3450" s="163">
        <v>45847</v>
      </c>
      <c r="C3450" s="164">
        <v>0.66157407407407409</v>
      </c>
      <c r="D3450" s="159">
        <v>10</v>
      </c>
      <c r="E3450" s="166" t="s">
        <v>3165</v>
      </c>
    </row>
    <row r="3451" spans="1:5">
      <c r="A3451" s="174">
        <f t="shared" si="46"/>
        <v>3450</v>
      </c>
      <c r="B3451" s="163">
        <v>45847</v>
      </c>
      <c r="C3451" s="164">
        <v>0.65939814814814812</v>
      </c>
      <c r="D3451" s="159">
        <v>10</v>
      </c>
      <c r="E3451" s="166" t="s">
        <v>3166</v>
      </c>
    </row>
    <row r="3452" spans="1:5">
      <c r="A3452" s="174">
        <f t="shared" si="46"/>
        <v>3451</v>
      </c>
      <c r="B3452" s="163">
        <v>45847</v>
      </c>
      <c r="C3452" s="164">
        <v>0.65822916666666664</v>
      </c>
      <c r="D3452" s="159">
        <v>10</v>
      </c>
      <c r="E3452" s="166" t="s">
        <v>132</v>
      </c>
    </row>
    <row r="3453" spans="1:5">
      <c r="A3453" s="174">
        <f t="shared" si="46"/>
        <v>3452</v>
      </c>
      <c r="B3453" s="163">
        <v>45847</v>
      </c>
      <c r="C3453" s="164">
        <v>0.65721064814814811</v>
      </c>
      <c r="D3453" s="159">
        <v>10</v>
      </c>
      <c r="E3453" s="166" t="s">
        <v>3167</v>
      </c>
    </row>
    <row r="3454" spans="1:5">
      <c r="A3454" s="174">
        <f t="shared" si="46"/>
        <v>3453</v>
      </c>
      <c r="B3454" s="163">
        <v>45847</v>
      </c>
      <c r="C3454" s="164">
        <v>0.64819444444444441</v>
      </c>
      <c r="D3454" s="159">
        <v>10</v>
      </c>
      <c r="E3454" s="166" t="s">
        <v>3168</v>
      </c>
    </row>
    <row r="3455" spans="1:5">
      <c r="A3455" s="174">
        <f t="shared" si="46"/>
        <v>3454</v>
      </c>
      <c r="B3455" s="163">
        <v>45847</v>
      </c>
      <c r="C3455" s="164">
        <v>0.64341435185185192</v>
      </c>
      <c r="D3455" s="159">
        <v>10</v>
      </c>
      <c r="E3455" s="166" t="s">
        <v>3169</v>
      </c>
    </row>
    <row r="3456" spans="1:5">
      <c r="A3456" s="174">
        <f t="shared" si="46"/>
        <v>3455</v>
      </c>
      <c r="B3456" s="163">
        <v>45847</v>
      </c>
      <c r="C3456" s="164">
        <v>0.64260416666666664</v>
      </c>
      <c r="D3456" s="159">
        <v>10</v>
      </c>
      <c r="E3456" s="166" t="s">
        <v>3170</v>
      </c>
    </row>
    <row r="3457" spans="1:5">
      <c r="A3457" s="174">
        <f t="shared" si="46"/>
        <v>3456</v>
      </c>
      <c r="B3457" s="163">
        <v>45847</v>
      </c>
      <c r="C3457" s="164">
        <v>0.64038194444444441</v>
      </c>
      <c r="D3457" s="159">
        <v>10</v>
      </c>
      <c r="E3457" s="166" t="s">
        <v>3171</v>
      </c>
    </row>
    <row r="3458" spans="1:5">
      <c r="A3458" s="174">
        <f t="shared" si="46"/>
        <v>3457</v>
      </c>
      <c r="B3458" s="163">
        <v>45847</v>
      </c>
      <c r="C3458" s="164">
        <v>0.63785879629629627</v>
      </c>
      <c r="D3458" s="159">
        <v>10</v>
      </c>
      <c r="E3458" s="166" t="s">
        <v>3172</v>
      </c>
    </row>
    <row r="3459" spans="1:5" ht="27">
      <c r="A3459" s="174">
        <f t="shared" si="46"/>
        <v>3458</v>
      </c>
      <c r="B3459" s="163">
        <v>45847</v>
      </c>
      <c r="C3459" s="164">
        <v>0.63123842592592594</v>
      </c>
      <c r="D3459" s="159">
        <v>10</v>
      </c>
      <c r="E3459" s="166" t="s">
        <v>3195</v>
      </c>
    </row>
    <row r="3460" spans="1:5">
      <c r="A3460" s="174">
        <f t="shared" si="46"/>
        <v>3459</v>
      </c>
      <c r="B3460" s="163">
        <v>45847</v>
      </c>
      <c r="C3460" s="164">
        <v>0.62959490740740742</v>
      </c>
      <c r="D3460" s="159">
        <v>10</v>
      </c>
      <c r="E3460" s="166" t="s">
        <v>3173</v>
      </c>
    </row>
    <row r="3461" spans="1:5">
      <c r="A3461" s="174">
        <f t="shared" si="46"/>
        <v>3460</v>
      </c>
      <c r="B3461" s="163">
        <v>45847</v>
      </c>
      <c r="C3461" s="164">
        <v>0.62531250000000005</v>
      </c>
      <c r="D3461" s="159">
        <v>10</v>
      </c>
      <c r="E3461" s="166" t="s">
        <v>132</v>
      </c>
    </row>
    <row r="3462" spans="1:5">
      <c r="A3462" s="174">
        <f t="shared" si="46"/>
        <v>3461</v>
      </c>
      <c r="B3462" s="163">
        <v>45847</v>
      </c>
      <c r="C3462" s="164">
        <v>0.62182870370370369</v>
      </c>
      <c r="D3462" s="159">
        <v>10</v>
      </c>
      <c r="E3462" s="166" t="s">
        <v>132</v>
      </c>
    </row>
    <row r="3463" spans="1:5">
      <c r="A3463" s="174">
        <f t="shared" si="46"/>
        <v>3462</v>
      </c>
      <c r="B3463" s="163">
        <v>45847</v>
      </c>
      <c r="C3463" s="164">
        <v>0.61700231481481482</v>
      </c>
      <c r="D3463" s="159">
        <v>10</v>
      </c>
      <c r="E3463" s="166" t="s">
        <v>1039</v>
      </c>
    </row>
    <row r="3464" spans="1:5">
      <c r="A3464" s="174">
        <f t="shared" si="46"/>
        <v>3463</v>
      </c>
      <c r="B3464" s="163">
        <v>45847</v>
      </c>
      <c r="C3464" s="164">
        <v>0.60053240740740743</v>
      </c>
      <c r="D3464" s="159">
        <v>10</v>
      </c>
      <c r="E3464" s="166" t="s">
        <v>3174</v>
      </c>
    </row>
    <row r="3465" spans="1:5">
      <c r="A3465" s="174">
        <f t="shared" si="46"/>
        <v>3464</v>
      </c>
      <c r="B3465" s="163">
        <v>45847</v>
      </c>
      <c r="C3465" s="164">
        <v>0.60064814814814815</v>
      </c>
      <c r="D3465" s="159">
        <v>10</v>
      </c>
      <c r="E3465" s="166" t="s">
        <v>132</v>
      </c>
    </row>
    <row r="3466" spans="1:5">
      <c r="A3466" s="174">
        <f t="shared" si="46"/>
        <v>3465</v>
      </c>
      <c r="B3466" s="163">
        <v>45847</v>
      </c>
      <c r="C3466" s="164">
        <v>0.59817129629629628</v>
      </c>
      <c r="D3466" s="159">
        <v>7</v>
      </c>
      <c r="E3466" s="166" t="s">
        <v>3175</v>
      </c>
    </row>
    <row r="3467" spans="1:5">
      <c r="A3467" s="174">
        <f t="shared" si="46"/>
        <v>3466</v>
      </c>
      <c r="B3467" s="163">
        <v>45847</v>
      </c>
      <c r="C3467" s="164">
        <v>0.59206018518518522</v>
      </c>
      <c r="D3467" s="159">
        <v>10</v>
      </c>
      <c r="E3467" s="166" t="s">
        <v>3176</v>
      </c>
    </row>
    <row r="3468" spans="1:5">
      <c r="A3468" s="174">
        <f t="shared" si="46"/>
        <v>3467</v>
      </c>
      <c r="B3468" s="163">
        <v>45847</v>
      </c>
      <c r="C3468" s="164">
        <v>0.58540509259259255</v>
      </c>
      <c r="D3468" s="159">
        <v>10</v>
      </c>
      <c r="E3468" s="166" t="s">
        <v>3177</v>
      </c>
    </row>
    <row r="3469" spans="1:5" ht="81">
      <c r="A3469" s="174">
        <f t="shared" si="46"/>
        <v>3468</v>
      </c>
      <c r="B3469" s="163">
        <v>45847</v>
      </c>
      <c r="C3469" s="164">
        <v>0.56535879629629626</v>
      </c>
      <c r="D3469" s="159">
        <v>10</v>
      </c>
      <c r="E3469" s="166" t="s">
        <v>3194</v>
      </c>
    </row>
    <row r="3470" spans="1:5">
      <c r="A3470" s="174">
        <f t="shared" si="46"/>
        <v>3469</v>
      </c>
      <c r="B3470" s="163">
        <v>45847</v>
      </c>
      <c r="C3470" s="164">
        <v>0.50997685185185182</v>
      </c>
      <c r="D3470" s="159">
        <v>10</v>
      </c>
      <c r="E3470" s="166" t="s">
        <v>3178</v>
      </c>
    </row>
    <row r="3471" spans="1:5">
      <c r="A3471" s="174">
        <f t="shared" si="46"/>
        <v>3470</v>
      </c>
      <c r="B3471" s="163">
        <v>45847</v>
      </c>
      <c r="C3471" s="164">
        <v>0.49820601851851848</v>
      </c>
      <c r="D3471" s="159">
        <v>10</v>
      </c>
      <c r="E3471" s="166" t="s">
        <v>3179</v>
      </c>
    </row>
    <row r="3472" spans="1:5">
      <c r="A3472" s="174">
        <f t="shared" si="46"/>
        <v>3471</v>
      </c>
      <c r="B3472" s="163">
        <v>45847</v>
      </c>
      <c r="C3472" s="164">
        <v>0.49593749999999998</v>
      </c>
      <c r="D3472" s="159">
        <v>10</v>
      </c>
      <c r="E3472" s="166" t="s">
        <v>3180</v>
      </c>
    </row>
    <row r="3473" spans="1:5">
      <c r="A3473" s="174">
        <f t="shared" si="46"/>
        <v>3472</v>
      </c>
      <c r="B3473" s="163">
        <v>45847</v>
      </c>
      <c r="C3473" s="164">
        <v>0.48442129629629632</v>
      </c>
      <c r="D3473" s="159">
        <v>10</v>
      </c>
      <c r="E3473" s="166" t="s">
        <v>3181</v>
      </c>
    </row>
    <row r="3474" spans="1:5">
      <c r="A3474" s="174">
        <f t="shared" si="46"/>
        <v>3473</v>
      </c>
      <c r="B3474" s="163">
        <v>45847</v>
      </c>
      <c r="C3474" s="164">
        <v>0.48398148148148151</v>
      </c>
      <c r="D3474" s="159">
        <v>10</v>
      </c>
      <c r="E3474" s="166" t="s">
        <v>3182</v>
      </c>
    </row>
    <row r="3475" spans="1:5">
      <c r="A3475" s="174">
        <f t="shared" si="46"/>
        <v>3474</v>
      </c>
      <c r="B3475" s="163">
        <v>45847</v>
      </c>
      <c r="C3475" s="164">
        <v>0.47554398148148147</v>
      </c>
      <c r="D3475" s="159">
        <v>10</v>
      </c>
      <c r="E3475" s="166" t="s">
        <v>3183</v>
      </c>
    </row>
    <row r="3476" spans="1:5">
      <c r="A3476" s="174">
        <f t="shared" si="46"/>
        <v>3475</v>
      </c>
      <c r="B3476" s="163">
        <v>45847</v>
      </c>
      <c r="C3476" s="164">
        <v>0.47563657407407406</v>
      </c>
      <c r="D3476" s="159">
        <v>10</v>
      </c>
      <c r="E3476" s="166" t="s">
        <v>3184</v>
      </c>
    </row>
    <row r="3477" spans="1:5">
      <c r="A3477" s="174">
        <f t="shared" si="46"/>
        <v>3476</v>
      </c>
      <c r="B3477" s="163">
        <v>45847</v>
      </c>
      <c r="C3477" s="164">
        <v>0.45295138888888892</v>
      </c>
      <c r="D3477" s="159">
        <v>10</v>
      </c>
      <c r="E3477" s="166" t="s">
        <v>3185</v>
      </c>
    </row>
    <row r="3478" spans="1:5">
      <c r="A3478" s="174">
        <f t="shared" si="46"/>
        <v>3477</v>
      </c>
      <c r="B3478" s="163">
        <v>45847</v>
      </c>
      <c r="C3478" s="164">
        <v>0.45042824074074073</v>
      </c>
      <c r="D3478" s="159">
        <v>10</v>
      </c>
      <c r="E3478" s="166" t="s">
        <v>3186</v>
      </c>
    </row>
    <row r="3479" spans="1:5">
      <c r="A3479" s="174">
        <f t="shared" si="46"/>
        <v>3478</v>
      </c>
      <c r="B3479" s="163">
        <v>45847</v>
      </c>
      <c r="C3479" s="164">
        <v>0.44557870370370373</v>
      </c>
      <c r="D3479" s="159">
        <v>10</v>
      </c>
      <c r="E3479" s="166" t="s">
        <v>132</v>
      </c>
    </row>
    <row r="3480" spans="1:5">
      <c r="A3480" s="174">
        <f t="shared" si="46"/>
        <v>3479</v>
      </c>
      <c r="B3480" s="163">
        <v>45847</v>
      </c>
      <c r="C3480" s="164">
        <v>0.42987268518518523</v>
      </c>
      <c r="D3480" s="159">
        <v>10</v>
      </c>
      <c r="E3480" s="166" t="s">
        <v>3187</v>
      </c>
    </row>
    <row r="3481" spans="1:5">
      <c r="A3481" s="174">
        <f t="shared" si="46"/>
        <v>3480</v>
      </c>
      <c r="B3481" s="163">
        <v>45847</v>
      </c>
      <c r="C3481" s="164">
        <v>0.42432870370370374</v>
      </c>
      <c r="D3481" s="159">
        <v>10</v>
      </c>
      <c r="E3481" s="166" t="s">
        <v>3188</v>
      </c>
    </row>
    <row r="3482" spans="1:5">
      <c r="A3482" s="174">
        <f t="shared" si="46"/>
        <v>3481</v>
      </c>
      <c r="B3482" s="163">
        <v>45847</v>
      </c>
      <c r="C3482" s="164">
        <v>0.42115740740740742</v>
      </c>
      <c r="D3482" s="159">
        <v>10</v>
      </c>
      <c r="E3482" s="166" t="s">
        <v>3189</v>
      </c>
    </row>
    <row r="3483" spans="1:5">
      <c r="A3483" s="174">
        <f t="shared" si="46"/>
        <v>3482</v>
      </c>
      <c r="B3483" s="163">
        <v>45847</v>
      </c>
      <c r="C3483" s="164">
        <v>0.41526620370370365</v>
      </c>
      <c r="D3483" s="159">
        <v>10</v>
      </c>
      <c r="E3483" s="166" t="s">
        <v>3190</v>
      </c>
    </row>
    <row r="3484" spans="1:5">
      <c r="A3484" s="174">
        <f t="shared" si="46"/>
        <v>3483</v>
      </c>
      <c r="B3484" s="163">
        <v>45847</v>
      </c>
      <c r="C3484" s="164">
        <v>0.41410879629629632</v>
      </c>
      <c r="D3484" s="159">
        <v>10</v>
      </c>
      <c r="E3484" s="166" t="s">
        <v>3191</v>
      </c>
    </row>
    <row r="3485" spans="1:5">
      <c r="A3485" s="174">
        <f t="shared" si="46"/>
        <v>3484</v>
      </c>
      <c r="B3485" s="163">
        <v>45847</v>
      </c>
      <c r="C3485" s="164">
        <v>0.38709490740740743</v>
      </c>
      <c r="D3485" s="159">
        <v>10</v>
      </c>
      <c r="E3485" s="166" t="s">
        <v>3192</v>
      </c>
    </row>
    <row r="3486" spans="1:5">
      <c r="A3486" s="174">
        <f t="shared" si="46"/>
        <v>3485</v>
      </c>
      <c r="B3486" s="163">
        <v>45847</v>
      </c>
      <c r="C3486" s="164">
        <v>0.3821180555555555</v>
      </c>
      <c r="D3486" s="159">
        <v>10</v>
      </c>
      <c r="E3486" s="166" t="s">
        <v>3193</v>
      </c>
    </row>
    <row r="3487" spans="1:5">
      <c r="A3487" s="174">
        <f t="shared" si="46"/>
        <v>3486</v>
      </c>
      <c r="B3487" s="163">
        <v>45848</v>
      </c>
      <c r="C3487" s="164">
        <v>0.89240740740740743</v>
      </c>
      <c r="D3487" s="159">
        <v>10</v>
      </c>
      <c r="E3487" s="166" t="s">
        <v>3196</v>
      </c>
    </row>
    <row r="3488" spans="1:5">
      <c r="A3488" s="174">
        <f t="shared" si="46"/>
        <v>3487</v>
      </c>
      <c r="B3488" s="163">
        <v>45848</v>
      </c>
      <c r="C3488" s="164">
        <v>0.83893518518518517</v>
      </c>
      <c r="D3488" s="159">
        <v>10</v>
      </c>
      <c r="E3488" s="166" t="s">
        <v>3197</v>
      </c>
    </row>
    <row r="3489" spans="1:5">
      <c r="A3489" s="174">
        <f t="shared" si="46"/>
        <v>3488</v>
      </c>
      <c r="B3489" s="163">
        <v>45848</v>
      </c>
      <c r="C3489" s="164">
        <v>0.83579861111111109</v>
      </c>
      <c r="D3489" s="159">
        <v>10</v>
      </c>
      <c r="E3489" s="166" t="s">
        <v>3198</v>
      </c>
    </row>
    <row r="3490" spans="1:5">
      <c r="A3490" s="174">
        <f t="shared" si="46"/>
        <v>3489</v>
      </c>
      <c r="B3490" s="163">
        <v>45848</v>
      </c>
      <c r="C3490" s="164">
        <v>0.82964120370370376</v>
      </c>
      <c r="D3490" s="159">
        <v>10</v>
      </c>
      <c r="E3490" s="166" t="s">
        <v>3199</v>
      </c>
    </row>
    <row r="3491" spans="1:5">
      <c r="A3491" s="174">
        <f t="shared" si="46"/>
        <v>3490</v>
      </c>
      <c r="B3491" s="163">
        <v>45848</v>
      </c>
      <c r="C3491" s="164">
        <v>0.81906249999999992</v>
      </c>
      <c r="D3491" s="159">
        <v>10</v>
      </c>
      <c r="E3491" s="166" t="s">
        <v>3200</v>
      </c>
    </row>
    <row r="3492" spans="1:5">
      <c r="A3492" s="174">
        <f t="shared" si="46"/>
        <v>3491</v>
      </c>
      <c r="B3492" s="163">
        <v>45848</v>
      </c>
      <c r="C3492" s="164">
        <v>0.76412037037037039</v>
      </c>
      <c r="D3492" s="159">
        <v>10</v>
      </c>
      <c r="E3492" s="166" t="s">
        <v>3201</v>
      </c>
    </row>
    <row r="3493" spans="1:5" ht="27">
      <c r="A3493" s="174">
        <f t="shared" si="46"/>
        <v>3492</v>
      </c>
      <c r="B3493" s="163">
        <v>45848</v>
      </c>
      <c r="C3493" s="164">
        <v>0.75587962962962962</v>
      </c>
      <c r="D3493" s="159">
        <v>10</v>
      </c>
      <c r="E3493" s="166" t="s">
        <v>3202</v>
      </c>
    </row>
    <row r="3494" spans="1:5">
      <c r="A3494" s="174">
        <f t="shared" si="46"/>
        <v>3493</v>
      </c>
      <c r="B3494" s="163">
        <v>45848</v>
      </c>
      <c r="C3494" s="164">
        <v>0.73381944444444447</v>
      </c>
      <c r="D3494" s="159">
        <v>10</v>
      </c>
      <c r="E3494" s="166" t="s">
        <v>1042</v>
      </c>
    </row>
    <row r="3495" spans="1:5">
      <c r="A3495" s="174">
        <f t="shared" si="46"/>
        <v>3494</v>
      </c>
      <c r="B3495" s="163">
        <v>45848</v>
      </c>
      <c r="C3495" s="164">
        <v>0.73086805555555545</v>
      </c>
      <c r="D3495" s="159">
        <v>10</v>
      </c>
      <c r="E3495" s="166" t="s">
        <v>3203</v>
      </c>
    </row>
    <row r="3496" spans="1:5" ht="27">
      <c r="A3496" s="174">
        <f t="shared" si="46"/>
        <v>3495</v>
      </c>
      <c r="B3496" s="163">
        <v>45848</v>
      </c>
      <c r="C3496" s="164">
        <v>0.72447916666666667</v>
      </c>
      <c r="D3496" s="159">
        <v>10</v>
      </c>
      <c r="E3496" s="166" t="s">
        <v>3204</v>
      </c>
    </row>
    <row r="3497" spans="1:5">
      <c r="A3497" s="174">
        <f t="shared" si="46"/>
        <v>3496</v>
      </c>
      <c r="B3497" s="163">
        <v>45848</v>
      </c>
      <c r="C3497" s="164">
        <v>0.72083333333333333</v>
      </c>
      <c r="D3497" s="159">
        <v>10</v>
      </c>
      <c r="E3497" s="166" t="s">
        <v>3205</v>
      </c>
    </row>
    <row r="3498" spans="1:5">
      <c r="A3498" s="174">
        <f t="shared" si="46"/>
        <v>3497</v>
      </c>
      <c r="B3498" s="163">
        <v>45848</v>
      </c>
      <c r="C3498" s="164">
        <v>0.71309027777777778</v>
      </c>
      <c r="D3498" s="159">
        <v>10</v>
      </c>
      <c r="E3498" s="166" t="s">
        <v>3206</v>
      </c>
    </row>
    <row r="3499" spans="1:5">
      <c r="A3499" s="174">
        <f t="shared" si="46"/>
        <v>3498</v>
      </c>
      <c r="B3499" s="163">
        <v>45848</v>
      </c>
      <c r="C3499" s="164">
        <v>0.71037037037037043</v>
      </c>
      <c r="D3499" s="159">
        <v>10</v>
      </c>
      <c r="E3499" s="166" t="s">
        <v>3207</v>
      </c>
    </row>
    <row r="3500" spans="1:5">
      <c r="A3500" s="174">
        <f t="shared" si="46"/>
        <v>3499</v>
      </c>
      <c r="B3500" s="163">
        <v>45848</v>
      </c>
      <c r="C3500" s="164">
        <v>0.69378472222222232</v>
      </c>
      <c r="D3500" s="159">
        <v>10</v>
      </c>
      <c r="E3500" s="166" t="s">
        <v>3208</v>
      </c>
    </row>
    <row r="3501" spans="1:5">
      <c r="A3501" s="174">
        <f t="shared" si="46"/>
        <v>3500</v>
      </c>
      <c r="B3501" s="163">
        <v>45848</v>
      </c>
      <c r="C3501" s="164">
        <v>0.6856712962962962</v>
      </c>
      <c r="D3501" s="159">
        <v>10</v>
      </c>
      <c r="E3501" s="166" t="s">
        <v>3209</v>
      </c>
    </row>
    <row r="3502" spans="1:5">
      <c r="A3502" s="174">
        <f t="shared" si="46"/>
        <v>3501</v>
      </c>
      <c r="B3502" s="163">
        <v>45848</v>
      </c>
      <c r="C3502" s="164">
        <v>0.68035879629629636</v>
      </c>
      <c r="D3502" s="159">
        <v>10</v>
      </c>
      <c r="E3502" s="166" t="s">
        <v>3210</v>
      </c>
    </row>
    <row r="3503" spans="1:5">
      <c r="A3503" s="174">
        <f t="shared" si="46"/>
        <v>3502</v>
      </c>
      <c r="B3503" s="163">
        <v>45848</v>
      </c>
      <c r="C3503" s="164">
        <v>0.67737268518518512</v>
      </c>
      <c r="D3503" s="159">
        <v>10</v>
      </c>
      <c r="E3503" s="166" t="s">
        <v>132</v>
      </c>
    </row>
    <row r="3504" spans="1:5">
      <c r="A3504" s="174">
        <f t="shared" si="46"/>
        <v>3503</v>
      </c>
      <c r="B3504" s="163">
        <v>45848</v>
      </c>
      <c r="C3504" s="164">
        <v>0.62107638888888894</v>
      </c>
      <c r="D3504" s="159">
        <v>10</v>
      </c>
      <c r="E3504" s="166" t="s">
        <v>3211</v>
      </c>
    </row>
    <row r="3505" spans="1:5">
      <c r="A3505" s="174">
        <f t="shared" si="46"/>
        <v>3504</v>
      </c>
      <c r="B3505" s="163">
        <v>45848</v>
      </c>
      <c r="C3505" s="164">
        <v>0.61790509259259252</v>
      </c>
      <c r="D3505" s="159">
        <v>10</v>
      </c>
      <c r="E3505" s="166" t="s">
        <v>3212</v>
      </c>
    </row>
    <row r="3506" spans="1:5">
      <c r="A3506" s="174">
        <f t="shared" si="46"/>
        <v>3505</v>
      </c>
      <c r="B3506" s="163">
        <v>45848</v>
      </c>
      <c r="C3506" s="164">
        <v>0.60896990740740742</v>
      </c>
      <c r="D3506" s="159">
        <v>10</v>
      </c>
      <c r="E3506" s="166" t="s">
        <v>3213</v>
      </c>
    </row>
    <row r="3507" spans="1:5" ht="27">
      <c r="A3507" s="174">
        <f t="shared" si="46"/>
        <v>3506</v>
      </c>
      <c r="B3507" s="163">
        <v>45848</v>
      </c>
      <c r="C3507" s="164">
        <v>0.60854166666666665</v>
      </c>
      <c r="D3507" s="159">
        <v>10</v>
      </c>
      <c r="E3507" s="166" t="s">
        <v>3234</v>
      </c>
    </row>
    <row r="3508" spans="1:5" ht="27">
      <c r="A3508" s="174">
        <f t="shared" si="46"/>
        <v>3507</v>
      </c>
      <c r="B3508" s="163">
        <v>45848</v>
      </c>
      <c r="C3508" s="164">
        <v>0.60151620370370373</v>
      </c>
      <c r="D3508" s="159">
        <v>10</v>
      </c>
      <c r="E3508" s="166" t="s">
        <v>3214</v>
      </c>
    </row>
    <row r="3509" spans="1:5">
      <c r="A3509" s="174">
        <f t="shared" ref="A3509:A3572" si="47">ROW()-1</f>
        <v>3508</v>
      </c>
      <c r="B3509" s="163">
        <v>45848</v>
      </c>
      <c r="C3509" s="164">
        <v>0.5958796296296297</v>
      </c>
      <c r="D3509" s="159">
        <v>10</v>
      </c>
      <c r="E3509" s="166" t="s">
        <v>3215</v>
      </c>
    </row>
    <row r="3510" spans="1:5">
      <c r="A3510" s="174">
        <f t="shared" si="47"/>
        <v>3509</v>
      </c>
      <c r="B3510" s="163">
        <v>45848</v>
      </c>
      <c r="C3510" s="164">
        <v>0.59403935185185186</v>
      </c>
      <c r="D3510" s="159">
        <v>10</v>
      </c>
      <c r="E3510" s="166" t="s">
        <v>3216</v>
      </c>
    </row>
    <row r="3511" spans="1:5">
      <c r="A3511" s="174">
        <f t="shared" si="47"/>
        <v>3510</v>
      </c>
      <c r="B3511" s="163">
        <v>45848</v>
      </c>
      <c r="C3511" s="164">
        <v>0.59075231481481483</v>
      </c>
      <c r="D3511" s="159">
        <v>10</v>
      </c>
      <c r="E3511" s="166" t="s">
        <v>3217</v>
      </c>
    </row>
    <row r="3512" spans="1:5" ht="27">
      <c r="A3512" s="174">
        <f t="shared" si="47"/>
        <v>3511</v>
      </c>
      <c r="B3512" s="163">
        <v>45848</v>
      </c>
      <c r="C3512" s="164">
        <v>0.59037037037037032</v>
      </c>
      <c r="D3512" s="159">
        <v>10</v>
      </c>
      <c r="E3512" s="166" t="s">
        <v>3233</v>
      </c>
    </row>
    <row r="3513" spans="1:5">
      <c r="A3513" s="174">
        <f t="shared" si="47"/>
        <v>3512</v>
      </c>
      <c r="B3513" s="163">
        <v>45848</v>
      </c>
      <c r="C3513" s="164">
        <v>0.58234953703703707</v>
      </c>
      <c r="D3513" s="159">
        <v>10</v>
      </c>
      <c r="E3513" s="166" t="s">
        <v>3218</v>
      </c>
    </row>
    <row r="3514" spans="1:5">
      <c r="A3514" s="174">
        <f t="shared" si="47"/>
        <v>3513</v>
      </c>
      <c r="B3514" s="163">
        <v>45848</v>
      </c>
      <c r="C3514" s="164">
        <v>0.57781249999999995</v>
      </c>
      <c r="D3514" s="159">
        <v>10</v>
      </c>
      <c r="E3514" s="166" t="s">
        <v>3219</v>
      </c>
    </row>
    <row r="3515" spans="1:5">
      <c r="A3515" s="174">
        <f t="shared" si="47"/>
        <v>3514</v>
      </c>
      <c r="B3515" s="163">
        <v>45848</v>
      </c>
      <c r="C3515" s="164">
        <v>0.53298611111111105</v>
      </c>
      <c r="D3515" s="159">
        <v>10</v>
      </c>
      <c r="E3515" s="166" t="s">
        <v>3220</v>
      </c>
    </row>
    <row r="3516" spans="1:5">
      <c r="A3516" s="174">
        <f t="shared" si="47"/>
        <v>3515</v>
      </c>
      <c r="B3516" s="163">
        <v>45848</v>
      </c>
      <c r="C3516" s="164">
        <v>0.5191203703703704</v>
      </c>
      <c r="D3516" s="159">
        <v>10</v>
      </c>
      <c r="E3516" s="166" t="s">
        <v>3221</v>
      </c>
    </row>
    <row r="3517" spans="1:5">
      <c r="A3517" s="174">
        <f t="shared" si="47"/>
        <v>3516</v>
      </c>
      <c r="B3517" s="163">
        <v>45848</v>
      </c>
      <c r="C3517" s="164">
        <v>0.50458333333333327</v>
      </c>
      <c r="D3517" s="159">
        <v>10</v>
      </c>
      <c r="E3517" s="166" t="s">
        <v>3222</v>
      </c>
    </row>
    <row r="3518" spans="1:5">
      <c r="A3518" s="174">
        <f t="shared" si="47"/>
        <v>3517</v>
      </c>
      <c r="B3518" s="163">
        <v>45848</v>
      </c>
      <c r="C3518" s="164">
        <v>0.50440972222222225</v>
      </c>
      <c r="D3518" s="159">
        <v>10</v>
      </c>
      <c r="E3518" s="166" t="s">
        <v>3223</v>
      </c>
    </row>
    <row r="3519" spans="1:5">
      <c r="A3519" s="174">
        <f t="shared" si="47"/>
        <v>3518</v>
      </c>
      <c r="B3519" s="163">
        <v>45848</v>
      </c>
      <c r="C3519" s="164">
        <v>0.4990046296296296</v>
      </c>
      <c r="D3519" s="159">
        <v>10</v>
      </c>
      <c r="E3519" s="166" t="s">
        <v>3224</v>
      </c>
    </row>
    <row r="3520" spans="1:5">
      <c r="A3520" s="174">
        <f t="shared" si="47"/>
        <v>3519</v>
      </c>
      <c r="B3520" s="163">
        <v>45848</v>
      </c>
      <c r="C3520" s="164">
        <v>0.49747685185185181</v>
      </c>
      <c r="D3520" s="159">
        <v>10</v>
      </c>
      <c r="E3520" s="166" t="s">
        <v>3225</v>
      </c>
    </row>
    <row r="3521" spans="1:5">
      <c r="A3521" s="174">
        <f t="shared" si="47"/>
        <v>3520</v>
      </c>
      <c r="B3521" s="163">
        <v>45848</v>
      </c>
      <c r="C3521" s="164">
        <v>0.49511574074074072</v>
      </c>
      <c r="D3521" s="159">
        <v>10</v>
      </c>
      <c r="E3521" s="166" t="s">
        <v>3226</v>
      </c>
    </row>
    <row r="3522" spans="1:5">
      <c r="A3522" s="174">
        <f t="shared" si="47"/>
        <v>3521</v>
      </c>
      <c r="B3522" s="163">
        <v>45848</v>
      </c>
      <c r="C3522" s="164">
        <v>0.48422453703703705</v>
      </c>
      <c r="D3522" s="159">
        <v>10</v>
      </c>
      <c r="E3522" s="166" t="s">
        <v>3232</v>
      </c>
    </row>
    <row r="3523" spans="1:5">
      <c r="A3523" s="174">
        <f t="shared" si="47"/>
        <v>3522</v>
      </c>
      <c r="B3523" s="163">
        <v>45848</v>
      </c>
      <c r="C3523" s="164">
        <v>0.43921296296296292</v>
      </c>
      <c r="D3523" s="159">
        <v>10</v>
      </c>
      <c r="E3523" s="166" t="s">
        <v>3227</v>
      </c>
    </row>
    <row r="3524" spans="1:5">
      <c r="A3524" s="174">
        <f t="shared" si="47"/>
        <v>3523</v>
      </c>
      <c r="B3524" s="163">
        <v>45848</v>
      </c>
      <c r="C3524" s="164">
        <v>0.43893518518518521</v>
      </c>
      <c r="D3524" s="159">
        <v>10</v>
      </c>
      <c r="E3524" s="166" t="s">
        <v>537</v>
      </c>
    </row>
    <row r="3525" spans="1:5">
      <c r="A3525" s="174">
        <f t="shared" si="47"/>
        <v>3524</v>
      </c>
      <c r="B3525" s="163">
        <v>45848</v>
      </c>
      <c r="C3525" s="164">
        <v>0.43721064814814814</v>
      </c>
      <c r="D3525" s="159">
        <v>10</v>
      </c>
      <c r="E3525" s="166" t="s">
        <v>3228</v>
      </c>
    </row>
    <row r="3526" spans="1:5">
      <c r="A3526" s="174">
        <f t="shared" si="47"/>
        <v>3525</v>
      </c>
      <c r="B3526" s="163">
        <v>45848</v>
      </c>
      <c r="C3526" s="164">
        <v>0.41168981481481487</v>
      </c>
      <c r="D3526" s="159">
        <v>10</v>
      </c>
      <c r="E3526" s="166" t="s">
        <v>3229</v>
      </c>
    </row>
    <row r="3527" spans="1:5">
      <c r="A3527" s="174">
        <f t="shared" si="47"/>
        <v>3526</v>
      </c>
      <c r="B3527" s="163">
        <v>45848</v>
      </c>
      <c r="C3527" s="164">
        <v>0.40013888888888888</v>
      </c>
      <c r="D3527" s="159">
        <v>10</v>
      </c>
      <c r="E3527" s="166" t="s">
        <v>3230</v>
      </c>
    </row>
    <row r="3528" spans="1:5">
      <c r="A3528" s="174">
        <f t="shared" si="47"/>
        <v>3527</v>
      </c>
      <c r="B3528" s="163">
        <v>45848</v>
      </c>
      <c r="C3528" s="164">
        <v>0.39496527777777773</v>
      </c>
      <c r="D3528" s="159">
        <v>10</v>
      </c>
      <c r="E3528" s="166" t="s">
        <v>3231</v>
      </c>
    </row>
    <row r="3529" spans="1:5">
      <c r="A3529" s="174">
        <f t="shared" si="47"/>
        <v>3528</v>
      </c>
      <c r="B3529" s="163">
        <v>45849</v>
      </c>
      <c r="C3529" s="164">
        <v>0.84758101851851853</v>
      </c>
      <c r="D3529" s="159">
        <v>9</v>
      </c>
      <c r="E3529" s="166" t="s">
        <v>3248</v>
      </c>
    </row>
    <row r="3530" spans="1:5">
      <c r="A3530" s="174">
        <f t="shared" si="47"/>
        <v>3529</v>
      </c>
      <c r="B3530" s="163">
        <v>45849</v>
      </c>
      <c r="C3530" s="164">
        <v>0.74504629629629626</v>
      </c>
      <c r="D3530" s="159">
        <v>10</v>
      </c>
      <c r="E3530" s="166" t="s">
        <v>3249</v>
      </c>
    </row>
    <row r="3531" spans="1:5">
      <c r="A3531" s="174">
        <f t="shared" si="47"/>
        <v>3530</v>
      </c>
      <c r="B3531" s="163">
        <v>45849</v>
      </c>
      <c r="C3531" s="164">
        <v>0.73592592592592598</v>
      </c>
      <c r="D3531" s="159">
        <v>10</v>
      </c>
      <c r="E3531" s="166" t="s">
        <v>273</v>
      </c>
    </row>
    <row r="3532" spans="1:5">
      <c r="A3532" s="174">
        <f t="shared" si="47"/>
        <v>3531</v>
      </c>
      <c r="B3532" s="163">
        <v>45849</v>
      </c>
      <c r="C3532" s="164">
        <v>0.72550925925925924</v>
      </c>
      <c r="D3532" s="159">
        <v>9</v>
      </c>
      <c r="E3532" s="166" t="s">
        <v>3250</v>
      </c>
    </row>
    <row r="3533" spans="1:5">
      <c r="A3533" s="174">
        <f t="shared" si="47"/>
        <v>3532</v>
      </c>
      <c r="B3533" s="163">
        <v>45849</v>
      </c>
      <c r="C3533" s="164">
        <v>0.72120370370370368</v>
      </c>
      <c r="D3533" s="159">
        <v>10</v>
      </c>
      <c r="E3533" s="166" t="s">
        <v>304</v>
      </c>
    </row>
    <row r="3534" spans="1:5">
      <c r="A3534" s="174">
        <f t="shared" si="47"/>
        <v>3533</v>
      </c>
      <c r="B3534" s="163">
        <v>45849</v>
      </c>
      <c r="C3534" s="164">
        <v>0.71890046296296306</v>
      </c>
      <c r="D3534" s="159">
        <v>10</v>
      </c>
      <c r="E3534" s="166" t="s">
        <v>3251</v>
      </c>
    </row>
    <row r="3535" spans="1:5">
      <c r="A3535" s="174">
        <f t="shared" si="47"/>
        <v>3534</v>
      </c>
      <c r="B3535" s="163">
        <v>45849</v>
      </c>
      <c r="C3535" s="164">
        <v>0.71318287037037031</v>
      </c>
      <c r="D3535" s="159">
        <v>10</v>
      </c>
      <c r="E3535" s="166" t="s">
        <v>3252</v>
      </c>
    </row>
    <row r="3536" spans="1:5">
      <c r="A3536" s="174">
        <f t="shared" si="47"/>
        <v>3535</v>
      </c>
      <c r="B3536" s="163">
        <v>45849</v>
      </c>
      <c r="C3536" s="164">
        <v>0.70947916666666666</v>
      </c>
      <c r="D3536" s="159">
        <v>10</v>
      </c>
      <c r="E3536" s="166" t="s">
        <v>3253</v>
      </c>
    </row>
    <row r="3537" spans="1:5">
      <c r="A3537" s="174">
        <f t="shared" si="47"/>
        <v>3536</v>
      </c>
      <c r="B3537" s="163">
        <v>45849</v>
      </c>
      <c r="C3537" s="164">
        <v>0.70177083333333334</v>
      </c>
      <c r="D3537" s="159">
        <v>1</v>
      </c>
      <c r="E3537" s="166" t="s">
        <v>3254</v>
      </c>
    </row>
    <row r="3538" spans="1:5">
      <c r="A3538" s="174">
        <f t="shared" si="47"/>
        <v>3537</v>
      </c>
      <c r="B3538" s="163">
        <v>45849</v>
      </c>
      <c r="C3538" s="164">
        <v>0.6999305555555555</v>
      </c>
      <c r="D3538" s="159">
        <v>10</v>
      </c>
      <c r="E3538" s="166" t="s">
        <v>3255</v>
      </c>
    </row>
    <row r="3539" spans="1:5">
      <c r="A3539" s="174">
        <f t="shared" si="47"/>
        <v>3538</v>
      </c>
      <c r="B3539" s="163">
        <v>45849</v>
      </c>
      <c r="C3539" s="164">
        <v>0.69586805555555553</v>
      </c>
      <c r="D3539" s="159">
        <v>10</v>
      </c>
      <c r="E3539" s="166" t="s">
        <v>3256</v>
      </c>
    </row>
    <row r="3540" spans="1:5">
      <c r="A3540" s="174">
        <f t="shared" si="47"/>
        <v>3539</v>
      </c>
      <c r="B3540" s="163">
        <v>45849</v>
      </c>
      <c r="C3540" s="164">
        <v>0.68571759259259257</v>
      </c>
      <c r="D3540" s="159">
        <v>10</v>
      </c>
      <c r="E3540" s="166" t="s">
        <v>3257</v>
      </c>
    </row>
    <row r="3541" spans="1:5">
      <c r="A3541" s="174">
        <f t="shared" si="47"/>
        <v>3540</v>
      </c>
      <c r="B3541" s="163">
        <v>45849</v>
      </c>
      <c r="C3541" s="164">
        <v>0.677800925925926</v>
      </c>
      <c r="D3541" s="159">
        <v>10</v>
      </c>
      <c r="E3541" s="166" t="s">
        <v>3258</v>
      </c>
    </row>
    <row r="3542" spans="1:5">
      <c r="A3542" s="174">
        <f t="shared" si="47"/>
        <v>3541</v>
      </c>
      <c r="B3542" s="163">
        <v>45849</v>
      </c>
      <c r="C3542" s="164">
        <v>0.66065972222222225</v>
      </c>
      <c r="D3542" s="159">
        <v>10</v>
      </c>
      <c r="E3542" s="166" t="s">
        <v>3259</v>
      </c>
    </row>
    <row r="3543" spans="1:5">
      <c r="A3543" s="174">
        <f t="shared" si="47"/>
        <v>3542</v>
      </c>
      <c r="B3543" s="163">
        <v>45849</v>
      </c>
      <c r="C3543" s="164">
        <v>0.65995370370370365</v>
      </c>
      <c r="D3543" s="159">
        <v>10</v>
      </c>
      <c r="E3543" s="166" t="s">
        <v>3260</v>
      </c>
    </row>
    <row r="3544" spans="1:5">
      <c r="A3544" s="174">
        <f t="shared" si="47"/>
        <v>3543</v>
      </c>
      <c r="B3544" s="163">
        <v>45849</v>
      </c>
      <c r="C3544" s="164">
        <v>0.64693287037037039</v>
      </c>
      <c r="D3544" s="159">
        <v>10</v>
      </c>
      <c r="E3544" s="166" t="s">
        <v>3261</v>
      </c>
    </row>
    <row r="3545" spans="1:5">
      <c r="A3545" s="174">
        <f t="shared" si="47"/>
        <v>3544</v>
      </c>
      <c r="B3545" s="163">
        <v>45849</v>
      </c>
      <c r="C3545" s="164">
        <v>0.6448032407407408</v>
      </c>
      <c r="D3545" s="159">
        <v>10</v>
      </c>
      <c r="E3545" s="166" t="s">
        <v>3262</v>
      </c>
    </row>
    <row r="3546" spans="1:5">
      <c r="A3546" s="174">
        <f t="shared" si="47"/>
        <v>3545</v>
      </c>
      <c r="B3546" s="163">
        <v>45849</v>
      </c>
      <c r="C3546" s="164">
        <v>0.62511574074074072</v>
      </c>
      <c r="D3546" s="159">
        <v>10</v>
      </c>
      <c r="E3546" s="166" t="s">
        <v>3263</v>
      </c>
    </row>
    <row r="3547" spans="1:5">
      <c r="A3547" s="174">
        <f t="shared" si="47"/>
        <v>3546</v>
      </c>
      <c r="B3547" s="163">
        <v>45849</v>
      </c>
      <c r="C3547" s="164">
        <v>0.62370370370370376</v>
      </c>
      <c r="D3547" s="159">
        <v>10</v>
      </c>
      <c r="E3547" s="166" t="s">
        <v>3264</v>
      </c>
    </row>
    <row r="3548" spans="1:5">
      <c r="A3548" s="174">
        <f t="shared" si="47"/>
        <v>3547</v>
      </c>
      <c r="B3548" s="163">
        <v>45849</v>
      </c>
      <c r="C3548" s="164">
        <v>0.61062499999999997</v>
      </c>
      <c r="D3548" s="159">
        <v>10</v>
      </c>
      <c r="E3548" s="166" t="s">
        <v>3281</v>
      </c>
    </row>
    <row r="3549" spans="1:5">
      <c r="A3549" s="174">
        <f t="shared" si="47"/>
        <v>3548</v>
      </c>
      <c r="B3549" s="163">
        <v>45849</v>
      </c>
      <c r="C3549" s="164">
        <v>0.61085648148148153</v>
      </c>
      <c r="D3549" s="159">
        <v>10</v>
      </c>
      <c r="E3549" s="166" t="s">
        <v>3265</v>
      </c>
    </row>
    <row r="3550" spans="1:5">
      <c r="A3550" s="174">
        <f t="shared" si="47"/>
        <v>3549</v>
      </c>
      <c r="B3550" s="163">
        <v>45849</v>
      </c>
      <c r="C3550" s="164">
        <v>0.59702546296296299</v>
      </c>
      <c r="D3550" s="159">
        <v>10</v>
      </c>
      <c r="E3550" s="166" t="s">
        <v>3266</v>
      </c>
    </row>
    <row r="3551" spans="1:5">
      <c r="A3551" s="174">
        <f t="shared" si="47"/>
        <v>3550</v>
      </c>
      <c r="B3551" s="163">
        <v>45849</v>
      </c>
      <c r="C3551" s="164">
        <v>0.57962962962962961</v>
      </c>
      <c r="D3551" s="159">
        <v>10</v>
      </c>
      <c r="E3551" s="166" t="s">
        <v>3267</v>
      </c>
    </row>
    <row r="3552" spans="1:5">
      <c r="A3552" s="174">
        <f t="shared" si="47"/>
        <v>3551</v>
      </c>
      <c r="B3552" s="163">
        <v>45849</v>
      </c>
      <c r="C3552" s="164">
        <v>0.56546296296296295</v>
      </c>
      <c r="D3552" s="159">
        <v>10</v>
      </c>
      <c r="E3552" s="166" t="s">
        <v>3268</v>
      </c>
    </row>
    <row r="3553" spans="1:5">
      <c r="A3553" s="174">
        <f t="shared" si="47"/>
        <v>3552</v>
      </c>
      <c r="B3553" s="163">
        <v>45849</v>
      </c>
      <c r="C3553" s="164">
        <v>0.55454861111111109</v>
      </c>
      <c r="D3553" s="159">
        <v>10</v>
      </c>
      <c r="E3553" s="166" t="s">
        <v>3269</v>
      </c>
    </row>
    <row r="3554" spans="1:5">
      <c r="A3554" s="174">
        <f t="shared" si="47"/>
        <v>3553</v>
      </c>
      <c r="B3554" s="163">
        <v>45849</v>
      </c>
      <c r="C3554" s="164">
        <v>0.55373842592592593</v>
      </c>
      <c r="D3554" s="159">
        <v>10</v>
      </c>
      <c r="E3554" s="166" t="s">
        <v>194</v>
      </c>
    </row>
    <row r="3555" spans="1:5">
      <c r="A3555" s="174">
        <f t="shared" si="47"/>
        <v>3554</v>
      </c>
      <c r="B3555" s="163">
        <v>45849</v>
      </c>
      <c r="C3555" s="164">
        <v>0.51539351851851845</v>
      </c>
      <c r="D3555" s="159">
        <v>10</v>
      </c>
      <c r="E3555" s="166" t="s">
        <v>3270</v>
      </c>
    </row>
    <row r="3556" spans="1:5">
      <c r="A3556" s="174">
        <f t="shared" si="47"/>
        <v>3555</v>
      </c>
      <c r="B3556" s="163">
        <v>45849</v>
      </c>
      <c r="C3556" s="164">
        <v>0.48965277777777777</v>
      </c>
      <c r="D3556" s="159">
        <v>10</v>
      </c>
      <c r="E3556" s="166" t="s">
        <v>3271</v>
      </c>
    </row>
    <row r="3557" spans="1:5">
      <c r="A3557" s="174">
        <f t="shared" si="47"/>
        <v>3556</v>
      </c>
      <c r="B3557" s="163">
        <v>45849</v>
      </c>
      <c r="C3557" s="164">
        <v>0.47569444444444442</v>
      </c>
      <c r="D3557" s="159">
        <v>10</v>
      </c>
      <c r="E3557" s="166" t="s">
        <v>3272</v>
      </c>
    </row>
    <row r="3558" spans="1:5">
      <c r="A3558" s="174">
        <f t="shared" si="47"/>
        <v>3557</v>
      </c>
      <c r="B3558" s="163">
        <v>45849</v>
      </c>
      <c r="C3558" s="164">
        <v>0.45693287037037034</v>
      </c>
      <c r="D3558" s="159">
        <v>10</v>
      </c>
      <c r="E3558" s="166" t="s">
        <v>3273</v>
      </c>
    </row>
    <row r="3559" spans="1:5">
      <c r="A3559" s="174">
        <f t="shared" si="47"/>
        <v>3558</v>
      </c>
      <c r="B3559" s="163">
        <v>45849</v>
      </c>
      <c r="C3559" s="164">
        <v>0.43271990740740746</v>
      </c>
      <c r="D3559" s="159">
        <v>10</v>
      </c>
      <c r="E3559" s="166" t="s">
        <v>3274</v>
      </c>
    </row>
    <row r="3560" spans="1:5">
      <c r="A3560" s="174">
        <f t="shared" si="47"/>
        <v>3559</v>
      </c>
      <c r="B3560" s="163">
        <v>45849</v>
      </c>
      <c r="C3560" s="164">
        <v>0.42814814814814817</v>
      </c>
      <c r="D3560" s="159">
        <v>9</v>
      </c>
      <c r="E3560" s="166" t="s">
        <v>3275</v>
      </c>
    </row>
    <row r="3561" spans="1:5">
      <c r="A3561" s="174">
        <f t="shared" si="47"/>
        <v>3560</v>
      </c>
      <c r="B3561" s="163">
        <v>45849</v>
      </c>
      <c r="C3561" s="164">
        <v>0.42541666666666672</v>
      </c>
      <c r="D3561" s="159">
        <v>10</v>
      </c>
      <c r="E3561" s="166" t="s">
        <v>3276</v>
      </c>
    </row>
    <row r="3562" spans="1:5">
      <c r="A3562" s="174">
        <f t="shared" si="47"/>
        <v>3561</v>
      </c>
      <c r="B3562" s="163">
        <v>45849</v>
      </c>
      <c r="C3562" s="164">
        <v>0.41468750000000004</v>
      </c>
      <c r="D3562" s="159">
        <v>10</v>
      </c>
      <c r="E3562" s="166" t="s">
        <v>3277</v>
      </c>
    </row>
    <row r="3563" spans="1:5">
      <c r="A3563" s="174">
        <f t="shared" si="47"/>
        <v>3562</v>
      </c>
      <c r="B3563" s="163">
        <v>45849</v>
      </c>
      <c r="C3563" s="164">
        <v>0.40630787037037036</v>
      </c>
      <c r="D3563" s="159">
        <v>10</v>
      </c>
      <c r="E3563" s="166" t="s">
        <v>3278</v>
      </c>
    </row>
    <row r="3564" spans="1:5">
      <c r="A3564" s="174">
        <f t="shared" si="47"/>
        <v>3563</v>
      </c>
      <c r="B3564" s="163">
        <v>45849</v>
      </c>
      <c r="C3564" s="164">
        <v>0.40379629629629626</v>
      </c>
      <c r="D3564" s="159">
        <v>10</v>
      </c>
      <c r="E3564" s="166" t="s">
        <v>3280</v>
      </c>
    </row>
    <row r="3565" spans="1:5" ht="27">
      <c r="A3565" s="174">
        <f t="shared" si="47"/>
        <v>3564</v>
      </c>
      <c r="B3565" s="163">
        <v>45849</v>
      </c>
      <c r="C3565" s="164">
        <v>0.38027777777777777</v>
      </c>
      <c r="D3565" s="159">
        <v>10</v>
      </c>
      <c r="E3565" s="166" t="s">
        <v>3279</v>
      </c>
    </row>
    <row r="3566" spans="1:5">
      <c r="A3566" s="174">
        <f t="shared" si="47"/>
        <v>3565</v>
      </c>
      <c r="B3566" s="163">
        <v>45850</v>
      </c>
      <c r="C3566" s="164">
        <v>0.70037037037037031</v>
      </c>
      <c r="D3566" s="159">
        <v>10</v>
      </c>
      <c r="E3566" s="166" t="s">
        <v>3235</v>
      </c>
    </row>
    <row r="3567" spans="1:5">
      <c r="A3567" s="174">
        <f t="shared" si="47"/>
        <v>3566</v>
      </c>
      <c r="B3567" s="163">
        <v>45850</v>
      </c>
      <c r="C3567" s="164">
        <v>0.64297453703703711</v>
      </c>
      <c r="D3567" s="159">
        <v>10</v>
      </c>
      <c r="E3567" s="166" t="s">
        <v>3236</v>
      </c>
    </row>
    <row r="3568" spans="1:5">
      <c r="A3568" s="174">
        <f t="shared" si="47"/>
        <v>3567</v>
      </c>
      <c r="B3568" s="163">
        <v>45850</v>
      </c>
      <c r="C3568" s="164">
        <v>0.6381944444444444</v>
      </c>
      <c r="D3568" s="159">
        <v>10</v>
      </c>
      <c r="E3568" s="166" t="s">
        <v>3237</v>
      </c>
    </row>
    <row r="3569" spans="1:5">
      <c r="A3569" s="174">
        <f t="shared" si="47"/>
        <v>3568</v>
      </c>
      <c r="B3569" s="163">
        <v>45850</v>
      </c>
      <c r="C3569" s="164">
        <v>0.61211805555555554</v>
      </c>
      <c r="D3569" s="159">
        <v>10</v>
      </c>
      <c r="E3569" s="166" t="s">
        <v>288</v>
      </c>
    </row>
    <row r="3570" spans="1:5">
      <c r="A3570" s="174">
        <f t="shared" si="47"/>
        <v>3569</v>
      </c>
      <c r="B3570" s="163">
        <v>45850</v>
      </c>
      <c r="C3570" s="164">
        <v>0.59138888888888885</v>
      </c>
      <c r="D3570" s="159">
        <v>10</v>
      </c>
      <c r="E3570" s="166" t="s">
        <v>3238</v>
      </c>
    </row>
    <row r="3571" spans="1:5">
      <c r="A3571" s="174">
        <f t="shared" si="47"/>
        <v>3570</v>
      </c>
      <c r="B3571" s="163">
        <v>45850</v>
      </c>
      <c r="C3571" s="164">
        <v>0.58839120370370368</v>
      </c>
      <c r="D3571" s="159">
        <v>10</v>
      </c>
      <c r="E3571" s="166" t="s">
        <v>246</v>
      </c>
    </row>
    <row r="3572" spans="1:5">
      <c r="A3572" s="174">
        <f t="shared" si="47"/>
        <v>3571</v>
      </c>
      <c r="B3572" s="163">
        <v>45850</v>
      </c>
      <c r="C3572" s="164">
        <v>0.51224537037037032</v>
      </c>
      <c r="D3572" s="159">
        <v>10</v>
      </c>
      <c r="E3572" s="166" t="s">
        <v>3239</v>
      </c>
    </row>
    <row r="3573" spans="1:5">
      <c r="A3573" s="174">
        <f t="shared" ref="A3573:A3636" si="48">ROW()-1</f>
        <v>3572</v>
      </c>
      <c r="B3573" s="163">
        <v>45850</v>
      </c>
      <c r="C3573" s="164">
        <v>0.50070601851851848</v>
      </c>
      <c r="D3573" s="159">
        <v>10</v>
      </c>
      <c r="E3573" s="166" t="s">
        <v>244</v>
      </c>
    </row>
    <row r="3574" spans="1:5">
      <c r="A3574" s="174">
        <f t="shared" si="48"/>
        <v>3573</v>
      </c>
      <c r="B3574" s="163">
        <v>45850</v>
      </c>
      <c r="C3574" s="164">
        <v>0.50053240740740745</v>
      </c>
      <c r="D3574" s="159">
        <v>10</v>
      </c>
      <c r="E3574" s="166" t="s">
        <v>3240</v>
      </c>
    </row>
    <row r="3575" spans="1:5">
      <c r="A3575" s="174">
        <f t="shared" si="48"/>
        <v>3574</v>
      </c>
      <c r="B3575" s="163">
        <v>45850</v>
      </c>
      <c r="C3575" s="164">
        <v>0.48738425925925927</v>
      </c>
      <c r="D3575" s="159">
        <v>10</v>
      </c>
      <c r="E3575" s="166" t="s">
        <v>3241</v>
      </c>
    </row>
    <row r="3576" spans="1:5">
      <c r="A3576" s="174">
        <f t="shared" si="48"/>
        <v>3575</v>
      </c>
      <c r="B3576" s="163">
        <v>45850</v>
      </c>
      <c r="C3576" s="164">
        <v>0.46388888888888885</v>
      </c>
      <c r="D3576" s="159">
        <v>10</v>
      </c>
      <c r="E3576" s="166" t="s">
        <v>3242</v>
      </c>
    </row>
    <row r="3577" spans="1:5">
      <c r="A3577" s="174">
        <f t="shared" si="48"/>
        <v>3576</v>
      </c>
      <c r="B3577" s="163">
        <v>45850</v>
      </c>
      <c r="C3577" s="164">
        <v>0.42783564814814817</v>
      </c>
      <c r="D3577" s="159">
        <v>10</v>
      </c>
      <c r="E3577" s="166" t="s">
        <v>3243</v>
      </c>
    </row>
    <row r="3578" spans="1:5">
      <c r="A3578" s="174">
        <f t="shared" si="48"/>
        <v>3577</v>
      </c>
      <c r="B3578" s="163">
        <v>45850</v>
      </c>
      <c r="C3578" s="164">
        <v>0.42233796296296294</v>
      </c>
      <c r="D3578" s="159">
        <v>10</v>
      </c>
      <c r="E3578" s="166" t="s">
        <v>3244</v>
      </c>
    </row>
    <row r="3579" spans="1:5">
      <c r="A3579" s="174">
        <f t="shared" si="48"/>
        <v>3578</v>
      </c>
      <c r="B3579" s="163">
        <v>45850</v>
      </c>
      <c r="C3579" s="164">
        <v>0.39520833333333333</v>
      </c>
      <c r="D3579" s="159">
        <v>10</v>
      </c>
      <c r="E3579" s="166" t="s">
        <v>3245</v>
      </c>
    </row>
    <row r="3580" spans="1:5">
      <c r="A3580" s="174">
        <f t="shared" si="48"/>
        <v>3579</v>
      </c>
      <c r="B3580" s="163">
        <v>45850</v>
      </c>
      <c r="C3580" s="164">
        <v>0.39023148148148151</v>
      </c>
      <c r="D3580" s="159">
        <v>10</v>
      </c>
      <c r="E3580" s="166" t="s">
        <v>1724</v>
      </c>
    </row>
    <row r="3581" spans="1:5">
      <c r="A3581" s="174">
        <f t="shared" si="48"/>
        <v>3580</v>
      </c>
      <c r="B3581" s="163">
        <v>45850</v>
      </c>
      <c r="C3581" s="164">
        <v>0.38858796296296294</v>
      </c>
      <c r="D3581" s="159">
        <v>10</v>
      </c>
      <c r="E3581" s="166" t="s">
        <v>3246</v>
      </c>
    </row>
    <row r="3582" spans="1:5">
      <c r="A3582" s="174">
        <f t="shared" si="48"/>
        <v>3581</v>
      </c>
      <c r="B3582" s="163">
        <v>45850</v>
      </c>
      <c r="C3582" s="164">
        <v>0.37851851851851853</v>
      </c>
      <c r="D3582" s="159">
        <v>10</v>
      </c>
      <c r="E3582" s="166" t="s">
        <v>3247</v>
      </c>
    </row>
    <row r="3583" spans="1:5">
      <c r="A3583" s="174">
        <f t="shared" si="48"/>
        <v>3582</v>
      </c>
      <c r="B3583" s="163">
        <v>45852</v>
      </c>
      <c r="C3583" s="164">
        <v>0.87565972222222221</v>
      </c>
      <c r="D3583" s="159">
        <v>10</v>
      </c>
      <c r="E3583" s="166" t="s">
        <v>3282</v>
      </c>
    </row>
    <row r="3584" spans="1:5" ht="54">
      <c r="A3584" s="174">
        <f t="shared" si="48"/>
        <v>3583</v>
      </c>
      <c r="B3584" s="163">
        <v>45852</v>
      </c>
      <c r="C3584" s="164">
        <v>0.87444444444444447</v>
      </c>
      <c r="D3584" s="159">
        <v>10</v>
      </c>
      <c r="E3584" s="166" t="s">
        <v>3283</v>
      </c>
    </row>
    <row r="3585" spans="1:5" ht="27">
      <c r="A3585" s="174">
        <f t="shared" si="48"/>
        <v>3584</v>
      </c>
      <c r="B3585" s="163">
        <v>45852</v>
      </c>
      <c r="C3585" s="164">
        <v>0.86144675925925929</v>
      </c>
      <c r="D3585" s="159">
        <v>10</v>
      </c>
      <c r="E3585" s="166" t="s">
        <v>3284</v>
      </c>
    </row>
    <row r="3586" spans="1:5">
      <c r="A3586" s="174">
        <f t="shared" si="48"/>
        <v>3585</v>
      </c>
      <c r="B3586" s="163">
        <v>45852</v>
      </c>
      <c r="C3586" s="164">
        <v>0.8279050925925926</v>
      </c>
      <c r="D3586" s="159">
        <v>10</v>
      </c>
      <c r="E3586" s="166" t="s">
        <v>1579</v>
      </c>
    </row>
    <row r="3587" spans="1:5">
      <c r="A3587" s="174">
        <f t="shared" si="48"/>
        <v>3586</v>
      </c>
      <c r="B3587" s="163">
        <v>45852</v>
      </c>
      <c r="C3587" s="164">
        <v>0.78767361111111101</v>
      </c>
      <c r="D3587" s="159">
        <v>10</v>
      </c>
      <c r="E3587" s="166" t="s">
        <v>3285</v>
      </c>
    </row>
    <row r="3588" spans="1:5">
      <c r="A3588" s="174">
        <f t="shared" si="48"/>
        <v>3587</v>
      </c>
      <c r="B3588" s="163">
        <v>45852</v>
      </c>
      <c r="C3588" s="164">
        <v>0.7527314814814815</v>
      </c>
      <c r="D3588" s="159">
        <v>10</v>
      </c>
      <c r="E3588" s="166" t="s">
        <v>3286</v>
      </c>
    </row>
    <row r="3589" spans="1:5">
      <c r="A3589" s="174">
        <f t="shared" si="48"/>
        <v>3588</v>
      </c>
      <c r="B3589" s="163">
        <v>45852</v>
      </c>
      <c r="C3589" s="164">
        <v>0.74784722222222222</v>
      </c>
      <c r="D3589" s="159">
        <v>10</v>
      </c>
      <c r="E3589" s="166" t="s">
        <v>3287</v>
      </c>
    </row>
    <row r="3590" spans="1:5">
      <c r="A3590" s="174">
        <f t="shared" si="48"/>
        <v>3589</v>
      </c>
      <c r="B3590" s="163">
        <v>45852</v>
      </c>
      <c r="C3590" s="164">
        <v>0.74234953703703699</v>
      </c>
      <c r="D3590" s="159">
        <v>10</v>
      </c>
      <c r="E3590" s="166" t="s">
        <v>3288</v>
      </c>
    </row>
    <row r="3591" spans="1:5">
      <c r="A3591" s="174">
        <f t="shared" si="48"/>
        <v>3590</v>
      </c>
      <c r="B3591" s="163">
        <v>45852</v>
      </c>
      <c r="C3591" s="164">
        <v>0.74072916666666666</v>
      </c>
      <c r="D3591" s="159">
        <v>10</v>
      </c>
      <c r="E3591" s="166" t="s">
        <v>3289</v>
      </c>
    </row>
    <row r="3592" spans="1:5">
      <c r="A3592" s="174">
        <f t="shared" si="48"/>
        <v>3591</v>
      </c>
      <c r="B3592" s="163">
        <v>45852</v>
      </c>
      <c r="C3592" s="164">
        <v>0.73717592592592596</v>
      </c>
      <c r="D3592" s="159">
        <v>10</v>
      </c>
      <c r="E3592" s="166" t="s">
        <v>3290</v>
      </c>
    </row>
    <row r="3593" spans="1:5">
      <c r="A3593" s="174">
        <f t="shared" si="48"/>
        <v>3592</v>
      </c>
      <c r="B3593" s="163">
        <v>45852</v>
      </c>
      <c r="C3593" s="164">
        <v>0.73476851851851854</v>
      </c>
      <c r="D3593" s="159">
        <v>10</v>
      </c>
      <c r="E3593" s="166" t="s">
        <v>3291</v>
      </c>
    </row>
    <row r="3594" spans="1:5">
      <c r="A3594" s="174">
        <f t="shared" si="48"/>
        <v>3593</v>
      </c>
      <c r="B3594" s="163">
        <v>45852</v>
      </c>
      <c r="C3594" s="164">
        <v>0.73020833333333324</v>
      </c>
      <c r="D3594" s="159">
        <v>10</v>
      </c>
      <c r="E3594" s="166" t="s">
        <v>3292</v>
      </c>
    </row>
    <row r="3595" spans="1:5">
      <c r="A3595" s="174">
        <f t="shared" si="48"/>
        <v>3594</v>
      </c>
      <c r="B3595" s="163">
        <v>45852</v>
      </c>
      <c r="C3595" s="164">
        <v>0.72290509259259261</v>
      </c>
      <c r="D3595" s="159">
        <v>10</v>
      </c>
      <c r="E3595" s="166" t="s">
        <v>313</v>
      </c>
    </row>
    <row r="3596" spans="1:5">
      <c r="A3596" s="174">
        <f t="shared" si="48"/>
        <v>3595</v>
      </c>
      <c r="B3596" s="163">
        <v>45852</v>
      </c>
      <c r="C3596" s="164">
        <v>0.71452546296296304</v>
      </c>
      <c r="D3596" s="159">
        <v>10</v>
      </c>
      <c r="E3596" s="166" t="s">
        <v>690</v>
      </c>
    </row>
    <row r="3597" spans="1:5">
      <c r="A3597" s="174">
        <f t="shared" si="48"/>
        <v>3596</v>
      </c>
      <c r="B3597" s="163">
        <v>45852</v>
      </c>
      <c r="C3597" s="164">
        <v>0.70694444444444438</v>
      </c>
      <c r="D3597" s="159">
        <v>10</v>
      </c>
      <c r="E3597" s="166" t="s">
        <v>3293</v>
      </c>
    </row>
    <row r="3598" spans="1:5">
      <c r="A3598" s="174">
        <f t="shared" si="48"/>
        <v>3597</v>
      </c>
      <c r="B3598" s="163">
        <v>45852</v>
      </c>
      <c r="C3598" s="164">
        <v>0.70510416666666664</v>
      </c>
      <c r="D3598" s="159">
        <v>10</v>
      </c>
      <c r="E3598" s="166" t="s">
        <v>3294</v>
      </c>
    </row>
    <row r="3599" spans="1:5">
      <c r="A3599" s="174">
        <f t="shared" si="48"/>
        <v>3598</v>
      </c>
      <c r="B3599" s="163">
        <v>45852</v>
      </c>
      <c r="C3599" s="164">
        <v>0.70325231481481476</v>
      </c>
      <c r="D3599" s="159">
        <v>10</v>
      </c>
      <c r="E3599" s="166" t="s">
        <v>2233</v>
      </c>
    </row>
    <row r="3600" spans="1:5">
      <c r="A3600" s="174">
        <f t="shared" si="48"/>
        <v>3599</v>
      </c>
      <c r="B3600" s="163">
        <v>45852</v>
      </c>
      <c r="C3600" s="164">
        <v>0.7017592592592593</v>
      </c>
      <c r="D3600" s="159">
        <v>10</v>
      </c>
      <c r="E3600" s="166" t="s">
        <v>3295</v>
      </c>
    </row>
    <row r="3601" spans="1:5">
      <c r="A3601" s="174">
        <f t="shared" si="48"/>
        <v>3600</v>
      </c>
      <c r="B3601" s="163">
        <v>45852</v>
      </c>
      <c r="C3601" s="164">
        <v>0.70124999999999993</v>
      </c>
      <c r="D3601" s="159">
        <v>10</v>
      </c>
      <c r="E3601" s="166" t="s">
        <v>2385</v>
      </c>
    </row>
    <row r="3602" spans="1:5">
      <c r="A3602" s="174">
        <f t="shared" si="48"/>
        <v>3601</v>
      </c>
      <c r="B3602" s="163">
        <v>45852</v>
      </c>
      <c r="C3602" s="164">
        <v>0.69143518518518521</v>
      </c>
      <c r="D3602" s="159">
        <v>10</v>
      </c>
      <c r="E3602" s="166" t="s">
        <v>179</v>
      </c>
    </row>
    <row r="3603" spans="1:5">
      <c r="A3603" s="174">
        <f t="shared" si="48"/>
        <v>3602</v>
      </c>
      <c r="B3603" s="163">
        <v>45852</v>
      </c>
      <c r="C3603" s="164">
        <v>0.68829861111111112</v>
      </c>
      <c r="D3603" s="159">
        <v>10</v>
      </c>
      <c r="E3603" s="166" t="s">
        <v>3296</v>
      </c>
    </row>
    <row r="3604" spans="1:5">
      <c r="A3604" s="174">
        <f t="shared" si="48"/>
        <v>3603</v>
      </c>
      <c r="B3604" s="163">
        <v>45852</v>
      </c>
      <c r="C3604" s="164">
        <v>0.68547453703703709</v>
      </c>
      <c r="D3604" s="159">
        <v>10</v>
      </c>
      <c r="E3604" s="166" t="s">
        <v>3297</v>
      </c>
    </row>
    <row r="3605" spans="1:5" ht="27">
      <c r="A3605" s="174">
        <f t="shared" si="48"/>
        <v>3604</v>
      </c>
      <c r="B3605" s="163">
        <v>45852</v>
      </c>
      <c r="C3605" s="164">
        <v>0.67834490740740738</v>
      </c>
      <c r="D3605" s="159">
        <v>10</v>
      </c>
      <c r="E3605" s="166" t="s">
        <v>3333</v>
      </c>
    </row>
    <row r="3606" spans="1:5">
      <c r="A3606" s="174">
        <f t="shared" si="48"/>
        <v>3605</v>
      </c>
      <c r="B3606" s="163">
        <v>45852</v>
      </c>
      <c r="C3606" s="164">
        <v>0.67093749999999996</v>
      </c>
      <c r="D3606" s="159">
        <v>10</v>
      </c>
      <c r="E3606" s="166" t="s">
        <v>3298</v>
      </c>
    </row>
    <row r="3607" spans="1:5">
      <c r="A3607" s="174">
        <f t="shared" si="48"/>
        <v>3606</v>
      </c>
      <c r="B3607" s="163">
        <v>45852</v>
      </c>
      <c r="C3607" s="164">
        <v>0.66895833333333332</v>
      </c>
      <c r="D3607" s="159">
        <v>10</v>
      </c>
      <c r="E3607" s="166" t="s">
        <v>3299</v>
      </c>
    </row>
    <row r="3608" spans="1:5">
      <c r="A3608" s="174">
        <f t="shared" si="48"/>
        <v>3607</v>
      </c>
      <c r="B3608" s="163">
        <v>45852</v>
      </c>
      <c r="C3608" s="164">
        <v>0.66486111111111112</v>
      </c>
      <c r="D3608" s="159">
        <v>10</v>
      </c>
      <c r="E3608" s="166" t="s">
        <v>3300</v>
      </c>
    </row>
    <row r="3609" spans="1:5" ht="27">
      <c r="A3609" s="174">
        <f t="shared" si="48"/>
        <v>3608</v>
      </c>
      <c r="B3609" s="163">
        <v>45852</v>
      </c>
      <c r="C3609" s="164">
        <v>0.66325231481481484</v>
      </c>
      <c r="D3609" s="159">
        <v>10</v>
      </c>
      <c r="E3609" s="166" t="s">
        <v>3301</v>
      </c>
    </row>
    <row r="3610" spans="1:5">
      <c r="A3610" s="174">
        <f t="shared" si="48"/>
        <v>3609</v>
      </c>
      <c r="B3610" s="163">
        <v>45852</v>
      </c>
      <c r="C3610" s="164">
        <v>0.65785879629629629</v>
      </c>
      <c r="D3610" s="159">
        <v>10</v>
      </c>
      <c r="E3610" s="166" t="s">
        <v>3302</v>
      </c>
    </row>
    <row r="3611" spans="1:5">
      <c r="A3611" s="174">
        <f t="shared" si="48"/>
        <v>3610</v>
      </c>
      <c r="B3611" s="163">
        <v>45852</v>
      </c>
      <c r="C3611" s="164">
        <v>0.65093750000000006</v>
      </c>
      <c r="D3611" s="159">
        <v>10</v>
      </c>
      <c r="E3611" s="166" t="s">
        <v>3303</v>
      </c>
    </row>
    <row r="3612" spans="1:5">
      <c r="A3612" s="174">
        <f t="shared" si="48"/>
        <v>3611</v>
      </c>
      <c r="B3612" s="163">
        <v>45852</v>
      </c>
      <c r="C3612" s="164">
        <v>0.6419907407407407</v>
      </c>
      <c r="D3612" s="159">
        <v>10</v>
      </c>
      <c r="E3612" s="166" t="s">
        <v>3304</v>
      </c>
    </row>
    <row r="3613" spans="1:5">
      <c r="A3613" s="174">
        <f t="shared" si="48"/>
        <v>3612</v>
      </c>
      <c r="B3613" s="163">
        <v>45852</v>
      </c>
      <c r="C3613" s="164">
        <v>0.63578703703703698</v>
      </c>
      <c r="D3613" s="159">
        <v>10</v>
      </c>
      <c r="E3613" s="166" t="s">
        <v>3305</v>
      </c>
    </row>
    <row r="3614" spans="1:5">
      <c r="A3614" s="174">
        <f t="shared" si="48"/>
        <v>3613</v>
      </c>
      <c r="B3614" s="163">
        <v>45852</v>
      </c>
      <c r="C3614" s="164">
        <v>0.63195601851851857</v>
      </c>
      <c r="D3614" s="159">
        <v>10</v>
      </c>
      <c r="E3614" s="166" t="s">
        <v>3306</v>
      </c>
    </row>
    <row r="3615" spans="1:5">
      <c r="A3615" s="174">
        <f t="shared" si="48"/>
        <v>3614</v>
      </c>
      <c r="B3615" s="163">
        <v>45852</v>
      </c>
      <c r="C3615" s="164">
        <v>0.63011574074074073</v>
      </c>
      <c r="D3615" s="159">
        <v>10</v>
      </c>
      <c r="E3615" s="166" t="s">
        <v>3307</v>
      </c>
    </row>
    <row r="3616" spans="1:5">
      <c r="A3616" s="174">
        <f t="shared" si="48"/>
        <v>3615</v>
      </c>
      <c r="B3616" s="163">
        <v>45852</v>
      </c>
      <c r="C3616" s="164">
        <v>0.62524305555555559</v>
      </c>
      <c r="D3616" s="159">
        <v>10</v>
      </c>
      <c r="E3616" s="166" t="s">
        <v>3308</v>
      </c>
    </row>
    <row r="3617" spans="1:5">
      <c r="A3617" s="174">
        <f t="shared" si="48"/>
        <v>3616</v>
      </c>
      <c r="B3617" s="163">
        <v>45852</v>
      </c>
      <c r="C3617" s="164">
        <v>0.62101851851851853</v>
      </c>
      <c r="D3617" s="159">
        <v>10</v>
      </c>
      <c r="E3617" s="166" t="s">
        <v>3309</v>
      </c>
    </row>
    <row r="3618" spans="1:5">
      <c r="A3618" s="174">
        <f t="shared" si="48"/>
        <v>3617</v>
      </c>
      <c r="B3618" s="163">
        <v>45852</v>
      </c>
      <c r="C3618" s="164">
        <v>0.61399305555555561</v>
      </c>
      <c r="D3618" s="159">
        <v>10</v>
      </c>
      <c r="E3618" s="166" t="s">
        <v>3310</v>
      </c>
    </row>
    <row r="3619" spans="1:5">
      <c r="A3619" s="174">
        <f t="shared" si="48"/>
        <v>3618</v>
      </c>
      <c r="B3619" s="163">
        <v>45852</v>
      </c>
      <c r="C3619" s="164">
        <v>0.59756944444444449</v>
      </c>
      <c r="D3619" s="159">
        <v>10</v>
      </c>
      <c r="E3619" s="166" t="s">
        <v>3311</v>
      </c>
    </row>
    <row r="3620" spans="1:5">
      <c r="A3620" s="174">
        <f t="shared" si="48"/>
        <v>3619</v>
      </c>
      <c r="B3620" s="163">
        <v>45852</v>
      </c>
      <c r="C3620" s="164">
        <v>0.59275462962962966</v>
      </c>
      <c r="D3620" s="159">
        <v>10</v>
      </c>
      <c r="E3620" s="166" t="s">
        <v>3312</v>
      </c>
    </row>
    <row r="3621" spans="1:5">
      <c r="A3621" s="174">
        <f t="shared" si="48"/>
        <v>3620</v>
      </c>
      <c r="B3621" s="163">
        <v>45852</v>
      </c>
      <c r="C3621" s="164">
        <v>0.58292824074074068</v>
      </c>
      <c r="D3621" s="159">
        <v>10</v>
      </c>
      <c r="E3621" s="166" t="s">
        <v>3332</v>
      </c>
    </row>
    <row r="3622" spans="1:5">
      <c r="A3622" s="174">
        <f t="shared" si="48"/>
        <v>3621</v>
      </c>
      <c r="B3622" s="163">
        <v>45852</v>
      </c>
      <c r="C3622" s="164">
        <v>0.5823842592592593</v>
      </c>
      <c r="D3622" s="159">
        <v>10</v>
      </c>
      <c r="E3622" s="166" t="s">
        <v>3313</v>
      </c>
    </row>
    <row r="3623" spans="1:5">
      <c r="A3623" s="174">
        <f t="shared" si="48"/>
        <v>3622</v>
      </c>
      <c r="B3623" s="163">
        <v>45852</v>
      </c>
      <c r="C3623" s="164">
        <v>0.56009259259259259</v>
      </c>
      <c r="D3623" s="159">
        <v>10</v>
      </c>
      <c r="E3623" s="166" t="s">
        <v>3314</v>
      </c>
    </row>
    <row r="3624" spans="1:5">
      <c r="A3624" s="174">
        <f t="shared" si="48"/>
        <v>3623</v>
      </c>
      <c r="B3624" s="163">
        <v>45852</v>
      </c>
      <c r="C3624" s="164">
        <v>0.54787037037037034</v>
      </c>
      <c r="D3624" s="159">
        <v>10</v>
      </c>
      <c r="E3624" s="166" t="s">
        <v>3315</v>
      </c>
    </row>
    <row r="3625" spans="1:5">
      <c r="A3625" s="174">
        <f t="shared" si="48"/>
        <v>3624</v>
      </c>
      <c r="B3625" s="163">
        <v>45852</v>
      </c>
      <c r="C3625" s="164">
        <v>0.54583333333333328</v>
      </c>
      <c r="D3625" s="159">
        <v>7</v>
      </c>
      <c r="E3625" s="166" t="s">
        <v>3316</v>
      </c>
    </row>
    <row r="3626" spans="1:5">
      <c r="A3626" s="174">
        <f t="shared" si="48"/>
        <v>3625</v>
      </c>
      <c r="B3626" s="163">
        <v>45852</v>
      </c>
      <c r="C3626" s="164">
        <v>0.49159722222222224</v>
      </c>
      <c r="D3626" s="159">
        <v>10</v>
      </c>
      <c r="E3626" s="166" t="s">
        <v>3317</v>
      </c>
    </row>
    <row r="3627" spans="1:5">
      <c r="A3627" s="174">
        <f t="shared" si="48"/>
        <v>3626</v>
      </c>
      <c r="B3627" s="163">
        <v>45852</v>
      </c>
      <c r="C3627" s="164">
        <v>0.48177083333333331</v>
      </c>
      <c r="D3627" s="159">
        <v>10</v>
      </c>
      <c r="E3627" s="166" t="s">
        <v>3318</v>
      </c>
    </row>
    <row r="3628" spans="1:5">
      <c r="A3628" s="174">
        <f t="shared" si="48"/>
        <v>3627</v>
      </c>
      <c r="B3628" s="163">
        <v>45852</v>
      </c>
      <c r="C3628" s="164">
        <v>0.479525462962963</v>
      </c>
      <c r="D3628" s="159">
        <v>10</v>
      </c>
      <c r="E3628" s="166" t="s">
        <v>3319</v>
      </c>
    </row>
    <row r="3629" spans="1:5">
      <c r="A3629" s="174">
        <f t="shared" si="48"/>
        <v>3628</v>
      </c>
      <c r="B3629" s="163">
        <v>45852</v>
      </c>
      <c r="C3629" s="164">
        <v>0.47822916666666665</v>
      </c>
      <c r="D3629" s="159">
        <v>10</v>
      </c>
      <c r="E3629" s="166" t="s">
        <v>194</v>
      </c>
    </row>
    <row r="3630" spans="1:5">
      <c r="A3630" s="174">
        <f t="shared" si="48"/>
        <v>3629</v>
      </c>
      <c r="B3630" s="163">
        <v>45852</v>
      </c>
      <c r="C3630" s="164">
        <v>0.46751157407407407</v>
      </c>
      <c r="D3630" s="159">
        <v>10</v>
      </c>
      <c r="E3630" s="166" t="s">
        <v>3320</v>
      </c>
    </row>
    <row r="3631" spans="1:5">
      <c r="A3631" s="174">
        <f t="shared" si="48"/>
        <v>3630</v>
      </c>
      <c r="B3631" s="163">
        <v>45852</v>
      </c>
      <c r="C3631" s="164">
        <v>0.46728009259259262</v>
      </c>
      <c r="D3631" s="159">
        <v>10</v>
      </c>
      <c r="E3631" s="166" t="s">
        <v>3321</v>
      </c>
    </row>
    <row r="3632" spans="1:5">
      <c r="A3632" s="174">
        <f t="shared" si="48"/>
        <v>3631</v>
      </c>
      <c r="B3632" s="163">
        <v>45852</v>
      </c>
      <c r="C3632" s="164">
        <v>0.46650462962962963</v>
      </c>
      <c r="D3632" s="159">
        <v>10</v>
      </c>
      <c r="E3632" s="166" t="s">
        <v>3322</v>
      </c>
    </row>
    <row r="3633" spans="1:5">
      <c r="A3633" s="174">
        <f t="shared" si="48"/>
        <v>3632</v>
      </c>
      <c r="B3633" s="163">
        <v>45852</v>
      </c>
      <c r="C3633" s="164">
        <v>0.45957175925925925</v>
      </c>
      <c r="D3633" s="159">
        <v>10</v>
      </c>
      <c r="E3633" s="166" t="s">
        <v>3323</v>
      </c>
    </row>
    <row r="3634" spans="1:5">
      <c r="A3634" s="174">
        <f t="shared" si="48"/>
        <v>3633</v>
      </c>
      <c r="B3634" s="163">
        <v>45852</v>
      </c>
      <c r="C3634" s="164">
        <v>0.43284722222222222</v>
      </c>
      <c r="D3634" s="159">
        <v>10</v>
      </c>
      <c r="E3634" s="166" t="s">
        <v>3324</v>
      </c>
    </row>
    <row r="3635" spans="1:5">
      <c r="A3635" s="174">
        <f t="shared" si="48"/>
        <v>3634</v>
      </c>
      <c r="B3635" s="163">
        <v>45852</v>
      </c>
      <c r="C3635" s="164">
        <v>0.43440972222222224</v>
      </c>
      <c r="D3635" s="159">
        <v>10</v>
      </c>
      <c r="E3635" s="166" t="s">
        <v>3325</v>
      </c>
    </row>
    <row r="3636" spans="1:5">
      <c r="A3636" s="174">
        <f t="shared" si="48"/>
        <v>3635</v>
      </c>
      <c r="B3636" s="163">
        <v>45852</v>
      </c>
      <c r="C3636" s="164">
        <v>0.42870370370370375</v>
      </c>
      <c r="D3636" s="159">
        <v>10</v>
      </c>
      <c r="E3636" s="166" t="s">
        <v>3326</v>
      </c>
    </row>
    <row r="3637" spans="1:5">
      <c r="A3637" s="174">
        <f t="shared" ref="A3637:A3700" si="49">ROW()-1</f>
        <v>3636</v>
      </c>
      <c r="B3637" s="163">
        <v>45852</v>
      </c>
      <c r="C3637" s="164">
        <v>0.42407407407407405</v>
      </c>
      <c r="D3637" s="159">
        <v>10</v>
      </c>
      <c r="E3637" s="166" t="s">
        <v>3327</v>
      </c>
    </row>
    <row r="3638" spans="1:5">
      <c r="A3638" s="174">
        <f t="shared" si="49"/>
        <v>3637</v>
      </c>
      <c r="B3638" s="163">
        <v>45852</v>
      </c>
      <c r="C3638" s="164">
        <v>0.4175578703703704</v>
      </c>
      <c r="D3638" s="159">
        <v>10</v>
      </c>
      <c r="E3638" s="166" t="s">
        <v>3328</v>
      </c>
    </row>
    <row r="3639" spans="1:5" ht="27">
      <c r="A3639" s="174">
        <f t="shared" si="49"/>
        <v>3638</v>
      </c>
      <c r="B3639" s="163">
        <v>45852</v>
      </c>
      <c r="C3639" s="164">
        <v>0.41030092592592587</v>
      </c>
      <c r="D3639" s="159">
        <v>10</v>
      </c>
      <c r="E3639" s="166" t="s">
        <v>3331</v>
      </c>
    </row>
    <row r="3640" spans="1:5">
      <c r="A3640" s="174">
        <f t="shared" si="49"/>
        <v>3639</v>
      </c>
      <c r="B3640" s="163">
        <v>45852</v>
      </c>
      <c r="C3640" s="164">
        <v>0.40917824074074072</v>
      </c>
      <c r="D3640" s="159">
        <v>10</v>
      </c>
      <c r="E3640" s="166" t="s">
        <v>288</v>
      </c>
    </row>
    <row r="3641" spans="1:5">
      <c r="A3641" s="174">
        <f t="shared" si="49"/>
        <v>3640</v>
      </c>
      <c r="B3641" s="163">
        <v>45852</v>
      </c>
      <c r="C3641" s="164">
        <v>0.40728009259259257</v>
      </c>
      <c r="D3641" s="159">
        <v>10</v>
      </c>
      <c r="E3641" s="166" t="s">
        <v>3329</v>
      </c>
    </row>
    <row r="3642" spans="1:5">
      <c r="A3642" s="174">
        <f t="shared" si="49"/>
        <v>3641</v>
      </c>
      <c r="B3642" s="163">
        <v>45852</v>
      </c>
      <c r="C3642" s="164">
        <v>0.38392361111111112</v>
      </c>
      <c r="D3642" s="159">
        <v>10</v>
      </c>
      <c r="E3642" s="166" t="s">
        <v>3330</v>
      </c>
    </row>
    <row r="3643" spans="1:5">
      <c r="A3643" s="174">
        <f t="shared" si="49"/>
        <v>3642</v>
      </c>
      <c r="B3643" s="163">
        <v>45853</v>
      </c>
      <c r="C3643" s="164">
        <v>0.84793981481481484</v>
      </c>
      <c r="D3643" s="159">
        <v>10</v>
      </c>
      <c r="E3643" s="166" t="s">
        <v>3334</v>
      </c>
    </row>
    <row r="3644" spans="1:5">
      <c r="A3644" s="174">
        <f t="shared" si="49"/>
        <v>3643</v>
      </c>
      <c r="B3644" s="163">
        <v>45853</v>
      </c>
      <c r="C3644" s="164">
        <v>0.83835648148148145</v>
      </c>
      <c r="D3644" s="159">
        <v>10</v>
      </c>
      <c r="E3644" s="166" t="s">
        <v>690</v>
      </c>
    </row>
    <row r="3645" spans="1:5">
      <c r="A3645" s="174">
        <f t="shared" si="49"/>
        <v>3644</v>
      </c>
      <c r="B3645" s="163">
        <v>45853</v>
      </c>
      <c r="C3645" s="164">
        <v>0.74717592592592597</v>
      </c>
      <c r="D3645" s="159">
        <v>10</v>
      </c>
    </row>
    <row r="3646" spans="1:5">
      <c r="A3646" s="174">
        <f t="shared" si="49"/>
        <v>3645</v>
      </c>
      <c r="B3646" s="163">
        <v>45853</v>
      </c>
      <c r="C3646" s="164">
        <v>0.74605324074074064</v>
      </c>
      <c r="D3646" s="159">
        <v>10</v>
      </c>
      <c r="E3646" s="166" t="s">
        <v>3335</v>
      </c>
    </row>
    <row r="3647" spans="1:5">
      <c r="A3647" s="174">
        <f t="shared" si="49"/>
        <v>3646</v>
      </c>
      <c r="B3647" s="163">
        <v>45853</v>
      </c>
      <c r="C3647" s="164">
        <v>0.74535879629629631</v>
      </c>
      <c r="D3647" s="159">
        <v>10</v>
      </c>
      <c r="E3647" s="166" t="s">
        <v>3336</v>
      </c>
    </row>
    <row r="3648" spans="1:5">
      <c r="A3648" s="174">
        <f t="shared" si="49"/>
        <v>3647</v>
      </c>
      <c r="B3648" s="163">
        <v>45853</v>
      </c>
      <c r="C3648" s="164">
        <v>0.71667824074074071</v>
      </c>
      <c r="D3648" s="159">
        <v>10</v>
      </c>
      <c r="E3648" s="166" t="s">
        <v>288</v>
      </c>
    </row>
    <row r="3649" spans="1:5">
      <c r="A3649" s="174">
        <f t="shared" si="49"/>
        <v>3648</v>
      </c>
      <c r="B3649" s="163">
        <v>45853</v>
      </c>
      <c r="C3649" s="164">
        <v>0.71418981481481481</v>
      </c>
      <c r="D3649" s="159">
        <v>10</v>
      </c>
      <c r="E3649" s="166" t="s">
        <v>3337</v>
      </c>
    </row>
    <row r="3650" spans="1:5">
      <c r="A3650" s="174">
        <f t="shared" si="49"/>
        <v>3649</v>
      </c>
      <c r="B3650" s="163">
        <v>45853</v>
      </c>
      <c r="C3650" s="164">
        <v>0.70928240740740733</v>
      </c>
      <c r="D3650" s="159">
        <v>10</v>
      </c>
      <c r="E3650" s="166" t="s">
        <v>3338</v>
      </c>
    </row>
    <row r="3651" spans="1:5">
      <c r="A3651" s="174">
        <f t="shared" si="49"/>
        <v>3650</v>
      </c>
      <c r="B3651" s="163">
        <v>45853</v>
      </c>
      <c r="C3651" s="164">
        <v>0.69893518518518516</v>
      </c>
      <c r="D3651" s="159">
        <v>10</v>
      </c>
      <c r="E3651" s="166" t="s">
        <v>3339</v>
      </c>
    </row>
    <row r="3652" spans="1:5">
      <c r="A3652" s="174">
        <f t="shared" si="49"/>
        <v>3651</v>
      </c>
      <c r="B3652" s="163">
        <v>45853</v>
      </c>
      <c r="C3652" s="164">
        <v>0.6960763888888889</v>
      </c>
      <c r="D3652" s="159">
        <v>10</v>
      </c>
      <c r="E3652" s="166" t="s">
        <v>3340</v>
      </c>
    </row>
    <row r="3653" spans="1:5">
      <c r="A3653" s="174">
        <f t="shared" si="49"/>
        <v>3652</v>
      </c>
      <c r="B3653" s="163">
        <v>45853</v>
      </c>
      <c r="C3653" s="164">
        <v>0.68893518518518526</v>
      </c>
      <c r="D3653" s="159">
        <v>10</v>
      </c>
      <c r="E3653" s="166" t="s">
        <v>3341</v>
      </c>
    </row>
    <row r="3654" spans="1:5">
      <c r="A3654" s="174">
        <f t="shared" si="49"/>
        <v>3653</v>
      </c>
      <c r="B3654" s="163">
        <v>45853</v>
      </c>
      <c r="C3654" s="164">
        <v>0.67982638888888891</v>
      </c>
      <c r="D3654" s="159">
        <v>10</v>
      </c>
      <c r="E3654" s="166" t="s">
        <v>3296</v>
      </c>
    </row>
    <row r="3655" spans="1:5">
      <c r="A3655" s="174">
        <f t="shared" si="49"/>
        <v>3654</v>
      </c>
      <c r="B3655" s="163">
        <v>45853</v>
      </c>
      <c r="C3655" s="164">
        <v>0.67516203703703714</v>
      </c>
      <c r="D3655" s="159">
        <v>10</v>
      </c>
      <c r="E3655" s="166" t="s">
        <v>3342</v>
      </c>
    </row>
    <row r="3656" spans="1:5" ht="40.5">
      <c r="A3656" s="174">
        <f t="shared" si="49"/>
        <v>3655</v>
      </c>
      <c r="B3656" s="163">
        <v>45853</v>
      </c>
      <c r="C3656" s="164">
        <v>0.6723958333333333</v>
      </c>
      <c r="D3656" s="159">
        <v>10</v>
      </c>
      <c r="E3656" s="166" t="s">
        <v>3373</v>
      </c>
    </row>
    <row r="3657" spans="1:5">
      <c r="A3657" s="174">
        <f t="shared" si="49"/>
        <v>3656</v>
      </c>
      <c r="B3657" s="163">
        <v>45853</v>
      </c>
      <c r="C3657" s="164">
        <v>0.6662731481481482</v>
      </c>
      <c r="D3657" s="159">
        <v>10</v>
      </c>
      <c r="E3657" s="166" t="s">
        <v>3343</v>
      </c>
    </row>
    <row r="3658" spans="1:5">
      <c r="A3658" s="174">
        <f t="shared" si="49"/>
        <v>3657</v>
      </c>
      <c r="B3658" s="163">
        <v>45853</v>
      </c>
      <c r="C3658" s="164">
        <v>0.65439814814814812</v>
      </c>
      <c r="D3658" s="159">
        <v>10</v>
      </c>
      <c r="E3658" s="166" t="s">
        <v>3344</v>
      </c>
    </row>
    <row r="3659" spans="1:5">
      <c r="A3659" s="174">
        <f t="shared" si="49"/>
        <v>3658</v>
      </c>
      <c r="B3659" s="163">
        <v>45853</v>
      </c>
      <c r="C3659" s="164">
        <v>0.65328703703703705</v>
      </c>
      <c r="D3659" s="159">
        <v>10</v>
      </c>
      <c r="E3659" s="166" t="s">
        <v>3345</v>
      </c>
    </row>
    <row r="3660" spans="1:5">
      <c r="A3660" s="174">
        <f t="shared" si="49"/>
        <v>3659</v>
      </c>
      <c r="B3660" s="163">
        <v>45853</v>
      </c>
      <c r="C3660" s="164">
        <v>0.62761574074074067</v>
      </c>
      <c r="D3660" s="159">
        <v>10</v>
      </c>
      <c r="E3660" s="166" t="s">
        <v>3346</v>
      </c>
    </row>
    <row r="3661" spans="1:5">
      <c r="A3661" s="174">
        <f t="shared" si="49"/>
        <v>3660</v>
      </c>
      <c r="B3661" s="163">
        <v>45853</v>
      </c>
      <c r="C3661" s="164">
        <v>0.61346064814814816</v>
      </c>
      <c r="D3661" s="159">
        <v>10</v>
      </c>
      <c r="E3661" s="166" t="s">
        <v>3347</v>
      </c>
    </row>
    <row r="3662" spans="1:5">
      <c r="A3662" s="174">
        <f t="shared" si="49"/>
        <v>3661</v>
      </c>
      <c r="B3662" s="163">
        <v>45853</v>
      </c>
      <c r="C3662" s="164">
        <v>0.61113425925925924</v>
      </c>
      <c r="D3662" s="159">
        <v>10</v>
      </c>
      <c r="E3662" s="166" t="s">
        <v>3348</v>
      </c>
    </row>
    <row r="3663" spans="1:5">
      <c r="A3663" s="174">
        <f t="shared" si="49"/>
        <v>3662</v>
      </c>
      <c r="B3663" s="163">
        <v>45853</v>
      </c>
      <c r="C3663" s="164">
        <v>0.60593750000000002</v>
      </c>
      <c r="D3663" s="159">
        <v>10</v>
      </c>
      <c r="E3663" s="166" t="s">
        <v>288</v>
      </c>
    </row>
    <row r="3664" spans="1:5">
      <c r="A3664" s="174">
        <f t="shared" si="49"/>
        <v>3663</v>
      </c>
      <c r="B3664" s="163">
        <v>45853</v>
      </c>
      <c r="C3664" s="164">
        <v>0.60528935185185184</v>
      </c>
      <c r="D3664" s="159">
        <v>10</v>
      </c>
      <c r="E3664" s="166" t="s">
        <v>3349</v>
      </c>
    </row>
    <row r="3665" spans="1:5">
      <c r="A3665" s="174">
        <f t="shared" si="49"/>
        <v>3664</v>
      </c>
      <c r="B3665" s="163">
        <v>45853</v>
      </c>
      <c r="C3665" s="164">
        <v>0.60518518518518516</v>
      </c>
      <c r="D3665" s="159">
        <v>10</v>
      </c>
      <c r="E3665" s="166" t="s">
        <v>132</v>
      </c>
    </row>
    <row r="3666" spans="1:5">
      <c r="A3666" s="174">
        <f t="shared" si="49"/>
        <v>3665</v>
      </c>
      <c r="B3666" s="163">
        <v>45853</v>
      </c>
      <c r="C3666" s="164">
        <v>0.59315972222222224</v>
      </c>
      <c r="D3666" s="159">
        <v>10</v>
      </c>
      <c r="E3666" s="166" t="s">
        <v>3350</v>
      </c>
    </row>
    <row r="3667" spans="1:5">
      <c r="A3667" s="174">
        <f t="shared" si="49"/>
        <v>3666</v>
      </c>
      <c r="B3667" s="163">
        <v>45853</v>
      </c>
      <c r="C3667" s="164">
        <v>0.58569444444444441</v>
      </c>
      <c r="D3667" s="159">
        <v>10</v>
      </c>
      <c r="E3667" s="166" t="s">
        <v>1186</v>
      </c>
    </row>
    <row r="3668" spans="1:5">
      <c r="A3668" s="174">
        <f t="shared" si="49"/>
        <v>3667</v>
      </c>
      <c r="B3668" s="163">
        <v>45853</v>
      </c>
      <c r="C3668" s="164">
        <v>0.58311342592592597</v>
      </c>
      <c r="D3668" s="159">
        <v>10</v>
      </c>
      <c r="E3668" s="166" t="s">
        <v>3351</v>
      </c>
    </row>
    <row r="3669" spans="1:5">
      <c r="A3669" s="174">
        <f t="shared" si="49"/>
        <v>3668</v>
      </c>
      <c r="B3669" s="163">
        <v>45853</v>
      </c>
      <c r="C3669" s="164">
        <v>0.57976851851851852</v>
      </c>
      <c r="D3669" s="159">
        <v>10</v>
      </c>
      <c r="E3669" s="166" t="s">
        <v>3352</v>
      </c>
    </row>
    <row r="3670" spans="1:5">
      <c r="A3670" s="174">
        <f t="shared" si="49"/>
        <v>3669</v>
      </c>
      <c r="B3670" s="163">
        <v>45853</v>
      </c>
      <c r="C3670" s="164">
        <v>0.57363425925925926</v>
      </c>
      <c r="D3670" s="159">
        <v>10</v>
      </c>
      <c r="E3670" s="166" t="s">
        <v>3353</v>
      </c>
    </row>
    <row r="3671" spans="1:5">
      <c r="A3671" s="174">
        <f t="shared" si="49"/>
        <v>3670</v>
      </c>
      <c r="B3671" s="163">
        <v>45853</v>
      </c>
      <c r="C3671" s="164">
        <v>0.57104166666666667</v>
      </c>
      <c r="D3671" s="159">
        <v>10</v>
      </c>
      <c r="E3671" s="166" t="s">
        <v>3354</v>
      </c>
    </row>
    <row r="3672" spans="1:5">
      <c r="A3672" s="174">
        <f t="shared" si="49"/>
        <v>3671</v>
      </c>
      <c r="B3672" s="163">
        <v>45853</v>
      </c>
      <c r="C3672" s="164">
        <v>0.56899305555555557</v>
      </c>
      <c r="D3672" s="159">
        <v>10</v>
      </c>
      <c r="E3672" s="166" t="s">
        <v>132</v>
      </c>
    </row>
    <row r="3673" spans="1:5">
      <c r="A3673" s="174">
        <f t="shared" si="49"/>
        <v>3672</v>
      </c>
      <c r="B3673" s="163">
        <v>45853</v>
      </c>
      <c r="C3673" s="164">
        <v>0.51465277777777774</v>
      </c>
      <c r="D3673" s="159">
        <v>10</v>
      </c>
      <c r="E3673" s="166" t="s">
        <v>3355</v>
      </c>
    </row>
    <row r="3674" spans="1:5" ht="27">
      <c r="A3674" s="174">
        <f t="shared" si="49"/>
        <v>3673</v>
      </c>
      <c r="B3674" s="163">
        <v>45853</v>
      </c>
      <c r="C3674" s="164">
        <v>0.50187499999999996</v>
      </c>
      <c r="D3674" s="159">
        <v>10</v>
      </c>
      <c r="E3674" s="166" t="s">
        <v>3372</v>
      </c>
    </row>
    <row r="3675" spans="1:5">
      <c r="A3675" s="174">
        <f t="shared" si="49"/>
        <v>3674</v>
      </c>
      <c r="B3675" s="163">
        <v>45853</v>
      </c>
      <c r="C3675" s="164">
        <v>0.49287037037037035</v>
      </c>
      <c r="D3675" s="159">
        <v>10</v>
      </c>
      <c r="E3675" s="166" t="s">
        <v>3356</v>
      </c>
    </row>
    <row r="3676" spans="1:5">
      <c r="A3676" s="174">
        <f t="shared" si="49"/>
        <v>3675</v>
      </c>
      <c r="B3676" s="163">
        <v>45853</v>
      </c>
      <c r="C3676" s="164">
        <v>0.49217592592592596</v>
      </c>
      <c r="D3676" s="159">
        <v>10</v>
      </c>
      <c r="E3676" s="166" t="s">
        <v>3357</v>
      </c>
    </row>
    <row r="3677" spans="1:5">
      <c r="A3677" s="174">
        <f t="shared" si="49"/>
        <v>3676</v>
      </c>
      <c r="B3677" s="163">
        <v>45853</v>
      </c>
      <c r="C3677" s="164">
        <v>0.49016203703703703</v>
      </c>
      <c r="D3677" s="159">
        <v>10</v>
      </c>
      <c r="E3677" s="166" t="s">
        <v>159</v>
      </c>
    </row>
    <row r="3678" spans="1:5">
      <c r="A3678" s="174">
        <f t="shared" si="49"/>
        <v>3677</v>
      </c>
      <c r="B3678" s="163">
        <v>45853</v>
      </c>
      <c r="C3678" s="164">
        <v>0.48974537037037041</v>
      </c>
      <c r="D3678" s="159">
        <v>10</v>
      </c>
      <c r="E3678" s="166" t="s">
        <v>3358</v>
      </c>
    </row>
    <row r="3679" spans="1:5">
      <c r="A3679" s="174">
        <f t="shared" si="49"/>
        <v>3678</v>
      </c>
      <c r="B3679" s="163">
        <v>45853</v>
      </c>
      <c r="C3679" s="164">
        <v>0.48401620370370368</v>
      </c>
      <c r="D3679" s="159">
        <v>10</v>
      </c>
      <c r="E3679" s="166" t="s">
        <v>3359</v>
      </c>
    </row>
    <row r="3680" spans="1:5">
      <c r="A3680" s="174">
        <f t="shared" si="49"/>
        <v>3679</v>
      </c>
      <c r="B3680" s="163">
        <v>45853</v>
      </c>
      <c r="C3680" s="164">
        <v>0.47895833333333332</v>
      </c>
      <c r="D3680" s="159">
        <v>10</v>
      </c>
      <c r="E3680" s="166" t="s">
        <v>246</v>
      </c>
    </row>
    <row r="3681" spans="1:5">
      <c r="A3681" s="174">
        <f t="shared" si="49"/>
        <v>3680</v>
      </c>
      <c r="B3681" s="163">
        <v>45853</v>
      </c>
      <c r="C3681" s="164">
        <v>0.47413194444444445</v>
      </c>
      <c r="D3681" s="159">
        <v>10</v>
      </c>
      <c r="E3681" s="166" t="s">
        <v>3360</v>
      </c>
    </row>
    <row r="3682" spans="1:5">
      <c r="A3682" s="174">
        <f t="shared" si="49"/>
        <v>3681</v>
      </c>
      <c r="B3682" s="163">
        <v>45853</v>
      </c>
      <c r="C3682" s="164">
        <v>0.47010416666666671</v>
      </c>
      <c r="D3682" s="159">
        <v>10</v>
      </c>
      <c r="E3682" s="166" t="s">
        <v>244</v>
      </c>
    </row>
    <row r="3683" spans="1:5">
      <c r="A3683" s="174">
        <f t="shared" si="49"/>
        <v>3682</v>
      </c>
      <c r="B3683" s="163">
        <v>45853</v>
      </c>
      <c r="C3683" s="164">
        <v>0.45200231481481484</v>
      </c>
      <c r="D3683" s="159">
        <v>10</v>
      </c>
      <c r="E3683" s="166" t="s">
        <v>3361</v>
      </c>
    </row>
    <row r="3684" spans="1:5">
      <c r="A3684" s="174">
        <f t="shared" si="49"/>
        <v>3683</v>
      </c>
      <c r="B3684" s="163">
        <v>45853</v>
      </c>
      <c r="C3684" s="164">
        <v>0.4450115740740741</v>
      </c>
      <c r="D3684" s="159">
        <v>10</v>
      </c>
      <c r="E3684" s="166" t="s">
        <v>3362</v>
      </c>
    </row>
    <row r="3685" spans="1:5">
      <c r="A3685" s="174">
        <f t="shared" si="49"/>
        <v>3684</v>
      </c>
      <c r="B3685" s="163">
        <v>45853</v>
      </c>
      <c r="C3685" s="164">
        <v>0.44230324074074073</v>
      </c>
      <c r="D3685" s="159">
        <v>10</v>
      </c>
      <c r="E3685" s="166" t="s">
        <v>3363</v>
      </c>
    </row>
    <row r="3686" spans="1:5">
      <c r="A3686" s="174">
        <f t="shared" si="49"/>
        <v>3685</v>
      </c>
      <c r="B3686" s="163">
        <v>45853</v>
      </c>
      <c r="C3686" s="164">
        <v>0.4375</v>
      </c>
      <c r="D3686" s="159">
        <v>10</v>
      </c>
      <c r="E3686" s="166" t="s">
        <v>3364</v>
      </c>
    </row>
    <row r="3687" spans="1:5">
      <c r="A3687" s="174">
        <f t="shared" si="49"/>
        <v>3686</v>
      </c>
      <c r="B3687" s="163">
        <v>45853</v>
      </c>
      <c r="C3687" s="164">
        <v>0.4324305555555556</v>
      </c>
      <c r="D3687" s="159">
        <v>10</v>
      </c>
      <c r="E3687" s="166" t="s">
        <v>3365</v>
      </c>
    </row>
    <row r="3688" spans="1:5">
      <c r="A3688" s="174">
        <f t="shared" si="49"/>
        <v>3687</v>
      </c>
      <c r="B3688" s="163">
        <v>45853</v>
      </c>
      <c r="C3688" s="164">
        <v>0.43339120370370371</v>
      </c>
      <c r="D3688" s="159">
        <v>10</v>
      </c>
      <c r="E3688" s="166" t="s">
        <v>3366</v>
      </c>
    </row>
    <row r="3689" spans="1:5">
      <c r="A3689" s="174">
        <f t="shared" si="49"/>
        <v>3688</v>
      </c>
      <c r="B3689" s="163">
        <v>45853</v>
      </c>
      <c r="C3689" s="164">
        <v>0.43100694444444443</v>
      </c>
      <c r="D3689" s="159">
        <v>10</v>
      </c>
      <c r="E3689" s="166" t="s">
        <v>132</v>
      </c>
    </row>
    <row r="3690" spans="1:5">
      <c r="A3690" s="174">
        <f t="shared" si="49"/>
        <v>3689</v>
      </c>
      <c r="B3690" s="163">
        <v>45853</v>
      </c>
      <c r="C3690" s="164">
        <v>0.41690972222222222</v>
      </c>
      <c r="D3690" s="159">
        <v>10</v>
      </c>
      <c r="E3690" s="166" t="s">
        <v>3367</v>
      </c>
    </row>
    <row r="3691" spans="1:5" ht="27">
      <c r="A3691" s="174">
        <f t="shared" si="49"/>
        <v>3690</v>
      </c>
      <c r="B3691" s="163">
        <v>45853</v>
      </c>
      <c r="C3691" s="164">
        <v>0.41665509259259265</v>
      </c>
      <c r="D3691" s="159">
        <v>10</v>
      </c>
      <c r="E3691" s="166" t="s">
        <v>3371</v>
      </c>
    </row>
    <row r="3692" spans="1:5">
      <c r="A3692" s="174">
        <f t="shared" si="49"/>
        <v>3691</v>
      </c>
      <c r="B3692" s="163">
        <v>45853</v>
      </c>
      <c r="C3692" s="164">
        <v>0.4070023148148148</v>
      </c>
      <c r="D3692" s="159">
        <v>10</v>
      </c>
      <c r="E3692" s="166" t="s">
        <v>3368</v>
      </c>
    </row>
    <row r="3693" spans="1:5">
      <c r="A3693" s="174">
        <f t="shared" si="49"/>
        <v>3692</v>
      </c>
      <c r="B3693" s="163">
        <v>45853</v>
      </c>
      <c r="C3693" s="164">
        <v>0.40502314814814816</v>
      </c>
      <c r="D3693" s="159">
        <v>10</v>
      </c>
      <c r="E3693" s="166" t="s">
        <v>3369</v>
      </c>
    </row>
    <row r="3694" spans="1:5">
      <c r="A3694" s="174">
        <f t="shared" si="49"/>
        <v>3693</v>
      </c>
      <c r="B3694" s="163">
        <v>45853</v>
      </c>
      <c r="C3694" s="164">
        <v>0.39030092592592597</v>
      </c>
      <c r="D3694" s="159">
        <v>10</v>
      </c>
      <c r="E3694" s="166" t="s">
        <v>3370</v>
      </c>
    </row>
    <row r="3695" spans="1:5">
      <c r="A3695" s="174">
        <f t="shared" si="49"/>
        <v>3694</v>
      </c>
      <c r="B3695" s="163">
        <v>45854</v>
      </c>
      <c r="C3695" s="164">
        <v>0.8835763888888889</v>
      </c>
      <c r="D3695" s="159">
        <v>10</v>
      </c>
      <c r="E3695" s="166" t="s">
        <v>3374</v>
      </c>
    </row>
    <row r="3696" spans="1:5">
      <c r="A3696" s="174">
        <f t="shared" si="49"/>
        <v>3695</v>
      </c>
      <c r="B3696" s="163">
        <v>45854</v>
      </c>
      <c r="C3696" s="164">
        <v>0.87929398148148152</v>
      </c>
      <c r="D3696" s="159">
        <v>10</v>
      </c>
      <c r="E3696" s="166" t="s">
        <v>3375</v>
      </c>
    </row>
    <row r="3697" spans="1:5">
      <c r="A3697" s="174">
        <f t="shared" si="49"/>
        <v>3696</v>
      </c>
      <c r="B3697" s="163">
        <v>45854</v>
      </c>
      <c r="C3697" s="164">
        <v>0.87626157407407401</v>
      </c>
      <c r="D3697" s="159">
        <v>10</v>
      </c>
      <c r="E3697" s="166" t="s">
        <v>3376</v>
      </c>
    </row>
    <row r="3698" spans="1:5">
      <c r="A3698" s="174">
        <f t="shared" si="49"/>
        <v>3697</v>
      </c>
      <c r="B3698" s="163">
        <v>45854</v>
      </c>
      <c r="C3698" s="164">
        <v>0.82285879629629621</v>
      </c>
      <c r="D3698" s="159">
        <v>10</v>
      </c>
      <c r="E3698" s="166" t="s">
        <v>3377</v>
      </c>
    </row>
    <row r="3699" spans="1:5">
      <c r="A3699" s="174">
        <f t="shared" si="49"/>
        <v>3698</v>
      </c>
      <c r="B3699" s="163">
        <v>45854</v>
      </c>
      <c r="C3699" s="164">
        <v>0.80508101851851854</v>
      </c>
      <c r="D3699" s="159">
        <v>10</v>
      </c>
      <c r="E3699" s="166" t="s">
        <v>3378</v>
      </c>
    </row>
    <row r="3700" spans="1:5">
      <c r="A3700" s="174">
        <f t="shared" si="49"/>
        <v>3699</v>
      </c>
      <c r="B3700" s="163">
        <v>45854</v>
      </c>
      <c r="C3700" s="164">
        <v>0.78864583333333327</v>
      </c>
      <c r="D3700" s="159">
        <v>10</v>
      </c>
      <c r="E3700" s="166" t="s">
        <v>3379</v>
      </c>
    </row>
    <row r="3701" spans="1:5">
      <c r="A3701" s="174">
        <f t="shared" ref="A3701:A3764" si="50">ROW()-1</f>
        <v>3700</v>
      </c>
      <c r="B3701" s="163">
        <v>45854</v>
      </c>
      <c r="C3701" s="164">
        <v>0.76894675925925926</v>
      </c>
      <c r="D3701" s="159">
        <v>10</v>
      </c>
      <c r="E3701" s="166" t="s">
        <v>3380</v>
      </c>
    </row>
    <row r="3702" spans="1:5">
      <c r="A3702" s="174">
        <f t="shared" si="50"/>
        <v>3701</v>
      </c>
      <c r="B3702" s="163">
        <v>45854</v>
      </c>
      <c r="C3702" s="164">
        <v>0.71759259259259256</v>
      </c>
      <c r="D3702" s="159">
        <v>10</v>
      </c>
      <c r="E3702" s="166" t="s">
        <v>3381</v>
      </c>
    </row>
    <row r="3703" spans="1:5">
      <c r="A3703" s="174">
        <f t="shared" si="50"/>
        <v>3702</v>
      </c>
      <c r="B3703" s="163">
        <v>45854</v>
      </c>
      <c r="C3703" s="164">
        <v>0.71545138888888893</v>
      </c>
      <c r="D3703" s="159">
        <v>10</v>
      </c>
      <c r="E3703" s="166" t="s">
        <v>132</v>
      </c>
    </row>
    <row r="3704" spans="1:5">
      <c r="A3704" s="174">
        <f t="shared" si="50"/>
        <v>3703</v>
      </c>
      <c r="B3704" s="163">
        <v>45854</v>
      </c>
      <c r="C3704" s="164">
        <v>0.71085648148148151</v>
      </c>
      <c r="D3704" s="159">
        <v>10</v>
      </c>
      <c r="E3704" s="166" t="s">
        <v>3382</v>
      </c>
    </row>
    <row r="3705" spans="1:5">
      <c r="A3705" s="174">
        <f t="shared" si="50"/>
        <v>3704</v>
      </c>
      <c r="B3705" s="163">
        <v>45854</v>
      </c>
      <c r="C3705" s="164">
        <v>0.69690972222222225</v>
      </c>
      <c r="D3705" s="159">
        <v>10</v>
      </c>
      <c r="E3705" s="166" t="s">
        <v>3383</v>
      </c>
    </row>
    <row r="3706" spans="1:5">
      <c r="A3706" s="174">
        <f t="shared" si="50"/>
        <v>3705</v>
      </c>
      <c r="B3706" s="163">
        <v>45854</v>
      </c>
      <c r="C3706" s="164">
        <v>0.67697916666666658</v>
      </c>
      <c r="D3706" s="159">
        <v>10</v>
      </c>
      <c r="E3706" s="166" t="s">
        <v>3384</v>
      </c>
    </row>
    <row r="3707" spans="1:5">
      <c r="A3707" s="174">
        <f t="shared" si="50"/>
        <v>3706</v>
      </c>
      <c r="B3707" s="163">
        <v>45854</v>
      </c>
      <c r="C3707" s="164">
        <v>0.66856481481481478</v>
      </c>
      <c r="D3707" s="159">
        <v>10</v>
      </c>
      <c r="E3707" s="166" t="s">
        <v>3385</v>
      </c>
    </row>
    <row r="3708" spans="1:5">
      <c r="A3708" s="174">
        <f t="shared" si="50"/>
        <v>3707</v>
      </c>
      <c r="B3708" s="163">
        <v>45854</v>
      </c>
      <c r="C3708" s="164">
        <v>0.66204861111111113</v>
      </c>
      <c r="D3708" s="159">
        <v>7</v>
      </c>
      <c r="E3708" s="166" t="s">
        <v>3386</v>
      </c>
    </row>
    <row r="3709" spans="1:5">
      <c r="A3709" s="174">
        <f t="shared" si="50"/>
        <v>3708</v>
      </c>
      <c r="B3709" s="163">
        <v>45854</v>
      </c>
      <c r="C3709" s="164">
        <v>0.65815972222222219</v>
      </c>
      <c r="D3709" s="159">
        <v>10</v>
      </c>
      <c r="E3709" s="166" t="s">
        <v>3387</v>
      </c>
    </row>
    <row r="3710" spans="1:5">
      <c r="A3710" s="174">
        <f t="shared" si="50"/>
        <v>3709</v>
      </c>
      <c r="B3710" s="163">
        <v>45854</v>
      </c>
      <c r="C3710" s="164">
        <v>0.65707175925925931</v>
      </c>
      <c r="D3710" s="159">
        <v>10</v>
      </c>
      <c r="E3710" s="166" t="s">
        <v>3388</v>
      </c>
    </row>
    <row r="3711" spans="1:5">
      <c r="A3711" s="174">
        <f t="shared" si="50"/>
        <v>3710</v>
      </c>
      <c r="B3711" s="163">
        <v>45854</v>
      </c>
      <c r="C3711" s="164">
        <v>0.64604166666666674</v>
      </c>
      <c r="D3711" s="159">
        <v>10</v>
      </c>
      <c r="E3711" s="166" t="s">
        <v>3389</v>
      </c>
    </row>
    <row r="3712" spans="1:5">
      <c r="A3712" s="174">
        <f t="shared" si="50"/>
        <v>3711</v>
      </c>
      <c r="B3712" s="163">
        <v>45854</v>
      </c>
      <c r="C3712" s="164">
        <v>0.64550925925925928</v>
      </c>
      <c r="D3712" s="159">
        <v>10</v>
      </c>
      <c r="E3712" s="166" t="s">
        <v>3390</v>
      </c>
    </row>
    <row r="3713" spans="1:5">
      <c r="A3713" s="174">
        <f t="shared" si="50"/>
        <v>3712</v>
      </c>
      <c r="B3713" s="163">
        <v>45854</v>
      </c>
      <c r="C3713" s="164">
        <v>0.62755787037037036</v>
      </c>
      <c r="D3713" s="159">
        <v>10</v>
      </c>
      <c r="E3713" s="166" t="s">
        <v>3391</v>
      </c>
    </row>
    <row r="3714" spans="1:5">
      <c r="A3714" s="174">
        <f t="shared" si="50"/>
        <v>3713</v>
      </c>
      <c r="B3714" s="163">
        <v>45854</v>
      </c>
      <c r="C3714" s="164">
        <v>0.61293981481481474</v>
      </c>
      <c r="D3714" s="159">
        <v>10</v>
      </c>
      <c r="E3714" s="166" t="s">
        <v>3392</v>
      </c>
    </row>
    <row r="3715" spans="1:5">
      <c r="A3715" s="174">
        <f t="shared" si="50"/>
        <v>3714</v>
      </c>
      <c r="B3715" s="163">
        <v>45854</v>
      </c>
      <c r="C3715" s="164">
        <v>0.60303240740740738</v>
      </c>
      <c r="D3715" s="159">
        <v>10</v>
      </c>
      <c r="E3715" s="166" t="s">
        <v>3393</v>
      </c>
    </row>
    <row r="3716" spans="1:5">
      <c r="A3716" s="174">
        <f t="shared" si="50"/>
        <v>3715</v>
      </c>
      <c r="B3716" s="163">
        <v>45854</v>
      </c>
      <c r="C3716" s="164">
        <v>0.5919444444444445</v>
      </c>
      <c r="D3716" s="159">
        <v>10</v>
      </c>
      <c r="E3716" s="166" t="s">
        <v>2028</v>
      </c>
    </row>
    <row r="3717" spans="1:5">
      <c r="A3717" s="174">
        <f t="shared" si="50"/>
        <v>3716</v>
      </c>
      <c r="B3717" s="163">
        <v>45854</v>
      </c>
      <c r="C3717" s="164">
        <v>0.56554398148148144</v>
      </c>
      <c r="D3717" s="159">
        <v>10</v>
      </c>
      <c r="E3717" s="166" t="s">
        <v>3394</v>
      </c>
    </row>
    <row r="3718" spans="1:5">
      <c r="A3718" s="174">
        <f t="shared" si="50"/>
        <v>3717</v>
      </c>
      <c r="B3718" s="163">
        <v>45854</v>
      </c>
      <c r="C3718" s="164">
        <v>0.55708333333333326</v>
      </c>
      <c r="D3718" s="159">
        <v>10</v>
      </c>
      <c r="E3718" s="166" t="s">
        <v>3395</v>
      </c>
    </row>
    <row r="3719" spans="1:5">
      <c r="A3719" s="174">
        <f t="shared" si="50"/>
        <v>3718</v>
      </c>
      <c r="B3719" s="163">
        <v>45854</v>
      </c>
      <c r="C3719" s="164">
        <v>0.55312499999999998</v>
      </c>
      <c r="D3719" s="159">
        <v>10</v>
      </c>
      <c r="E3719" s="166" t="s">
        <v>3396</v>
      </c>
    </row>
    <row r="3720" spans="1:5">
      <c r="A3720" s="174">
        <f t="shared" si="50"/>
        <v>3719</v>
      </c>
      <c r="B3720" s="163">
        <v>45854</v>
      </c>
      <c r="C3720" s="164">
        <v>0.54894675925925929</v>
      </c>
      <c r="D3720" s="159">
        <v>10</v>
      </c>
      <c r="E3720" s="166" t="s">
        <v>3397</v>
      </c>
    </row>
    <row r="3721" spans="1:5">
      <c r="A3721" s="174">
        <f t="shared" si="50"/>
        <v>3720</v>
      </c>
      <c r="B3721" s="163">
        <v>45854</v>
      </c>
      <c r="C3721" s="164">
        <v>0.53383101851851855</v>
      </c>
      <c r="D3721" s="159">
        <v>10</v>
      </c>
      <c r="E3721" s="166" t="s">
        <v>3398</v>
      </c>
    </row>
    <row r="3722" spans="1:5">
      <c r="A3722" s="174">
        <f t="shared" si="50"/>
        <v>3721</v>
      </c>
      <c r="B3722" s="163">
        <v>45854</v>
      </c>
      <c r="C3722" s="164">
        <v>0.4984837962962963</v>
      </c>
      <c r="D3722" s="159">
        <v>10</v>
      </c>
      <c r="E3722" s="166" t="s">
        <v>3399</v>
      </c>
    </row>
    <row r="3723" spans="1:5">
      <c r="A3723" s="174">
        <f t="shared" si="50"/>
        <v>3722</v>
      </c>
      <c r="B3723" s="163">
        <v>45854</v>
      </c>
      <c r="C3723" s="164">
        <v>0.47641203703703705</v>
      </c>
      <c r="D3723" s="159">
        <v>10</v>
      </c>
      <c r="E3723" s="166" t="s">
        <v>3400</v>
      </c>
    </row>
    <row r="3724" spans="1:5">
      <c r="A3724" s="174">
        <f t="shared" si="50"/>
        <v>3723</v>
      </c>
      <c r="B3724" s="163">
        <v>45854</v>
      </c>
      <c r="C3724" s="164">
        <v>0.46240740740740738</v>
      </c>
      <c r="D3724" s="159">
        <v>10</v>
      </c>
      <c r="E3724" s="166" t="s">
        <v>3401</v>
      </c>
    </row>
    <row r="3725" spans="1:5">
      <c r="A3725" s="174">
        <f t="shared" si="50"/>
        <v>3724</v>
      </c>
      <c r="B3725" s="163">
        <v>45854</v>
      </c>
      <c r="C3725" s="164">
        <v>0.46096064814814813</v>
      </c>
      <c r="D3725" s="159">
        <v>7</v>
      </c>
      <c r="E3725" s="166" t="s">
        <v>3402</v>
      </c>
    </row>
    <row r="3726" spans="1:5">
      <c r="A3726" s="174">
        <f t="shared" si="50"/>
        <v>3725</v>
      </c>
      <c r="B3726" s="163">
        <v>45854</v>
      </c>
      <c r="C3726" s="164">
        <v>0.45555555555555555</v>
      </c>
      <c r="D3726" s="159">
        <v>10</v>
      </c>
      <c r="E3726" s="166" t="s">
        <v>3403</v>
      </c>
    </row>
    <row r="3727" spans="1:5">
      <c r="A3727" s="174">
        <f t="shared" si="50"/>
        <v>3726</v>
      </c>
      <c r="B3727" s="163">
        <v>45854</v>
      </c>
      <c r="C3727" s="164">
        <v>0.450162037037037</v>
      </c>
      <c r="D3727" s="159">
        <v>10</v>
      </c>
      <c r="E3727" s="166" t="s">
        <v>3404</v>
      </c>
    </row>
    <row r="3728" spans="1:5">
      <c r="A3728" s="174">
        <f t="shared" si="50"/>
        <v>3727</v>
      </c>
      <c r="B3728" s="163">
        <v>45854</v>
      </c>
      <c r="C3728" s="164">
        <v>0.45106481481481481</v>
      </c>
      <c r="D3728" s="159">
        <v>10</v>
      </c>
      <c r="E3728" s="166" t="s">
        <v>3405</v>
      </c>
    </row>
    <row r="3729" spans="1:5">
      <c r="A3729" s="174">
        <f t="shared" si="50"/>
        <v>3728</v>
      </c>
      <c r="B3729" s="163">
        <v>45854</v>
      </c>
      <c r="C3729" s="164">
        <v>0.44894675925925925</v>
      </c>
      <c r="D3729" s="159">
        <v>10</v>
      </c>
      <c r="E3729" s="166" t="s">
        <v>2397</v>
      </c>
    </row>
    <row r="3730" spans="1:5">
      <c r="A3730" s="174">
        <f t="shared" si="50"/>
        <v>3729</v>
      </c>
      <c r="B3730" s="163">
        <v>45854</v>
      </c>
      <c r="C3730" s="164">
        <v>0.44498842592592597</v>
      </c>
      <c r="D3730" s="159">
        <v>10</v>
      </c>
      <c r="E3730" s="166" t="s">
        <v>3406</v>
      </c>
    </row>
    <row r="3731" spans="1:5">
      <c r="A3731" s="174">
        <f t="shared" si="50"/>
        <v>3730</v>
      </c>
      <c r="B3731" s="163">
        <v>45854</v>
      </c>
      <c r="C3731" s="164">
        <v>0.4418171296296296</v>
      </c>
      <c r="D3731" s="159">
        <v>10</v>
      </c>
      <c r="E3731" s="166" t="s">
        <v>3407</v>
      </c>
    </row>
    <row r="3732" spans="1:5">
      <c r="A3732" s="174">
        <f t="shared" si="50"/>
        <v>3731</v>
      </c>
      <c r="B3732" s="163">
        <v>45854</v>
      </c>
      <c r="C3732" s="164">
        <v>0.43730324074074073</v>
      </c>
      <c r="D3732" s="159">
        <v>8</v>
      </c>
      <c r="E3732" s="166" t="s">
        <v>3408</v>
      </c>
    </row>
    <row r="3733" spans="1:5">
      <c r="A3733" s="174">
        <f t="shared" si="50"/>
        <v>3732</v>
      </c>
      <c r="B3733" s="163">
        <v>45854</v>
      </c>
      <c r="C3733" s="164">
        <v>0.43476851851851855</v>
      </c>
      <c r="D3733" s="159">
        <v>10</v>
      </c>
      <c r="E3733" s="166" t="s">
        <v>132</v>
      </c>
    </row>
    <row r="3734" spans="1:5">
      <c r="A3734" s="174">
        <f t="shared" si="50"/>
        <v>3733</v>
      </c>
      <c r="B3734" s="163">
        <v>45854</v>
      </c>
      <c r="C3734" s="164">
        <v>0.4277199074074074</v>
      </c>
      <c r="D3734" s="159">
        <v>10</v>
      </c>
      <c r="E3734" s="166" t="s">
        <v>3409</v>
      </c>
    </row>
    <row r="3735" spans="1:5">
      <c r="A3735" s="174">
        <f t="shared" si="50"/>
        <v>3734</v>
      </c>
      <c r="B3735" s="163">
        <v>45854</v>
      </c>
      <c r="C3735" s="164">
        <v>0.41366898148148151</v>
      </c>
      <c r="D3735" s="159">
        <v>10</v>
      </c>
      <c r="E3735" s="166" t="s">
        <v>3410</v>
      </c>
    </row>
    <row r="3736" spans="1:5">
      <c r="A3736" s="174">
        <f t="shared" si="50"/>
        <v>3735</v>
      </c>
      <c r="B3736" s="163">
        <v>45854</v>
      </c>
      <c r="C3736" s="164">
        <v>0.41099537037037037</v>
      </c>
      <c r="D3736" s="159">
        <v>10</v>
      </c>
      <c r="E3736" s="166" t="s">
        <v>3411</v>
      </c>
    </row>
    <row r="3737" spans="1:5">
      <c r="A3737" s="174">
        <f t="shared" si="50"/>
        <v>3736</v>
      </c>
      <c r="B3737" s="163">
        <v>45854</v>
      </c>
      <c r="C3737" s="164">
        <v>0.41006944444444443</v>
      </c>
      <c r="D3737" s="159">
        <v>10</v>
      </c>
      <c r="E3737" s="166" t="s">
        <v>3412</v>
      </c>
    </row>
    <row r="3738" spans="1:5">
      <c r="A3738" s="174">
        <f t="shared" si="50"/>
        <v>3737</v>
      </c>
      <c r="B3738" s="163">
        <v>45854</v>
      </c>
      <c r="C3738" s="164">
        <v>0.3868402777777778</v>
      </c>
      <c r="D3738" s="159">
        <v>10</v>
      </c>
      <c r="E3738" s="166" t="s">
        <v>3413</v>
      </c>
    </row>
    <row r="3739" spans="1:5">
      <c r="A3739" s="174">
        <f t="shared" si="50"/>
        <v>3738</v>
      </c>
      <c r="B3739" s="163">
        <v>45854</v>
      </c>
      <c r="C3739" s="164">
        <v>0.38131944444444449</v>
      </c>
      <c r="D3739" s="159">
        <v>10</v>
      </c>
      <c r="E3739" s="166" t="s">
        <v>3414</v>
      </c>
    </row>
    <row r="3740" spans="1:5">
      <c r="A3740" s="174">
        <f t="shared" si="50"/>
        <v>3739</v>
      </c>
      <c r="B3740" s="163">
        <v>45855</v>
      </c>
      <c r="C3740" s="164">
        <v>0.87853009259259263</v>
      </c>
      <c r="D3740" s="159">
        <v>10</v>
      </c>
      <c r="E3740" s="166" t="s">
        <v>3415</v>
      </c>
    </row>
    <row r="3741" spans="1:5">
      <c r="A3741" s="174">
        <f t="shared" si="50"/>
        <v>3740</v>
      </c>
      <c r="B3741" s="163">
        <v>45855</v>
      </c>
      <c r="C3741" s="164">
        <v>0.85803240740740738</v>
      </c>
      <c r="D3741" s="159">
        <v>10</v>
      </c>
      <c r="E3741" s="166" t="s">
        <v>3416</v>
      </c>
    </row>
    <row r="3742" spans="1:5">
      <c r="A3742" s="174">
        <f t="shared" si="50"/>
        <v>3741</v>
      </c>
      <c r="B3742" s="163">
        <v>45855</v>
      </c>
      <c r="C3742" s="164">
        <v>0.74315972222222226</v>
      </c>
      <c r="D3742" s="159">
        <v>10</v>
      </c>
      <c r="E3742" s="166" t="s">
        <v>3417</v>
      </c>
    </row>
    <row r="3743" spans="1:5">
      <c r="A3743" s="174">
        <f t="shared" si="50"/>
        <v>3742</v>
      </c>
      <c r="B3743" s="163">
        <v>45855</v>
      </c>
      <c r="C3743" s="164">
        <v>0.72781250000000008</v>
      </c>
      <c r="D3743" s="159">
        <v>10</v>
      </c>
      <c r="E3743" s="166" t="s">
        <v>3418</v>
      </c>
    </row>
    <row r="3744" spans="1:5">
      <c r="A3744" s="174">
        <f t="shared" si="50"/>
        <v>3743</v>
      </c>
      <c r="B3744" s="163">
        <v>45855</v>
      </c>
      <c r="C3744" s="164">
        <v>0.71329861111111115</v>
      </c>
      <c r="D3744" s="159">
        <v>10</v>
      </c>
      <c r="E3744" s="166" t="s">
        <v>3419</v>
      </c>
    </row>
    <row r="3745" spans="1:5">
      <c r="A3745" s="174">
        <f t="shared" si="50"/>
        <v>3744</v>
      </c>
      <c r="B3745" s="163">
        <v>45855</v>
      </c>
      <c r="C3745" s="164">
        <v>0.70862268518518512</v>
      </c>
      <c r="D3745" s="159">
        <v>10</v>
      </c>
      <c r="E3745" s="166" t="s">
        <v>3420</v>
      </c>
    </row>
    <row r="3746" spans="1:5">
      <c r="A3746" s="174">
        <f t="shared" si="50"/>
        <v>3745</v>
      </c>
      <c r="B3746" s="163">
        <v>45855</v>
      </c>
      <c r="C3746" s="164">
        <v>0.687962962962963</v>
      </c>
      <c r="D3746" s="159">
        <v>10</v>
      </c>
      <c r="E3746" s="166" t="s">
        <v>3421</v>
      </c>
    </row>
    <row r="3747" spans="1:5">
      <c r="A3747" s="174">
        <f t="shared" si="50"/>
        <v>3746</v>
      </c>
      <c r="B3747" s="163">
        <v>45855</v>
      </c>
      <c r="C3747" s="164">
        <v>0.67623842592592587</v>
      </c>
      <c r="D3747" s="159">
        <v>10</v>
      </c>
      <c r="E3747" s="166" t="s">
        <v>3422</v>
      </c>
    </row>
    <row r="3748" spans="1:5">
      <c r="A3748" s="174">
        <f t="shared" si="50"/>
        <v>3747</v>
      </c>
      <c r="B3748" s="163">
        <v>45855</v>
      </c>
      <c r="C3748" s="164">
        <v>0.67504629629629631</v>
      </c>
      <c r="D3748" s="159">
        <v>10</v>
      </c>
      <c r="E3748" s="166" t="s">
        <v>3423</v>
      </c>
    </row>
    <row r="3749" spans="1:5">
      <c r="A3749" s="174">
        <f t="shared" si="50"/>
        <v>3748</v>
      </c>
      <c r="B3749" s="163">
        <v>45855</v>
      </c>
      <c r="C3749" s="164">
        <v>0.67031249999999998</v>
      </c>
      <c r="D3749" s="159">
        <v>10</v>
      </c>
      <c r="E3749" s="166" t="s">
        <v>3424</v>
      </c>
    </row>
    <row r="3750" spans="1:5">
      <c r="A3750" s="174">
        <f t="shared" si="50"/>
        <v>3749</v>
      </c>
      <c r="B3750" s="163">
        <v>45855</v>
      </c>
      <c r="C3750" s="164">
        <v>0.664525462962963</v>
      </c>
      <c r="D3750" s="159">
        <v>10</v>
      </c>
      <c r="E3750" s="166" t="s">
        <v>3425</v>
      </c>
    </row>
    <row r="3751" spans="1:5">
      <c r="A3751" s="174">
        <f t="shared" si="50"/>
        <v>3750</v>
      </c>
      <c r="B3751" s="163">
        <v>45855</v>
      </c>
      <c r="C3751" s="164">
        <v>0.65825231481481483</v>
      </c>
      <c r="D3751" s="159">
        <v>10</v>
      </c>
      <c r="E3751" s="166" t="s">
        <v>3426</v>
      </c>
    </row>
    <row r="3752" spans="1:5">
      <c r="A3752" s="174">
        <f t="shared" si="50"/>
        <v>3751</v>
      </c>
      <c r="B3752" s="163">
        <v>45855</v>
      </c>
      <c r="C3752" s="164">
        <v>0.65715277777777781</v>
      </c>
      <c r="D3752" s="159">
        <v>10</v>
      </c>
      <c r="E3752" s="166" t="s">
        <v>3451</v>
      </c>
    </row>
    <row r="3753" spans="1:5">
      <c r="A3753" s="174">
        <f t="shared" si="50"/>
        <v>3752</v>
      </c>
      <c r="B3753" s="163">
        <v>45855</v>
      </c>
      <c r="C3753" s="164">
        <v>0.65605324074074078</v>
      </c>
      <c r="D3753" s="159">
        <v>10</v>
      </c>
      <c r="E3753" s="166" t="s">
        <v>3427</v>
      </c>
    </row>
    <row r="3754" spans="1:5">
      <c r="A3754" s="174">
        <f t="shared" si="50"/>
        <v>3753</v>
      </c>
      <c r="B3754" s="163">
        <v>45855</v>
      </c>
      <c r="C3754" s="164">
        <v>0.65122685185185192</v>
      </c>
      <c r="D3754" s="159">
        <v>10</v>
      </c>
      <c r="E3754" s="166" t="s">
        <v>3428</v>
      </c>
    </row>
    <row r="3755" spans="1:5">
      <c r="A3755" s="174">
        <f t="shared" si="50"/>
        <v>3754</v>
      </c>
      <c r="B3755" s="163">
        <v>45855</v>
      </c>
      <c r="C3755" s="164">
        <v>0.6491203703703704</v>
      </c>
      <c r="D3755" s="159">
        <v>10</v>
      </c>
      <c r="E3755" s="166" t="s">
        <v>3429</v>
      </c>
    </row>
    <row r="3756" spans="1:5">
      <c r="A3756" s="174">
        <f t="shared" si="50"/>
        <v>3755</v>
      </c>
      <c r="B3756" s="163">
        <v>45855</v>
      </c>
      <c r="C3756" s="164">
        <v>0.63240740740740742</v>
      </c>
      <c r="D3756" s="159">
        <v>10</v>
      </c>
      <c r="E3756" s="166" t="s">
        <v>3430</v>
      </c>
    </row>
    <row r="3757" spans="1:5">
      <c r="A3757" s="174">
        <f t="shared" si="50"/>
        <v>3756</v>
      </c>
      <c r="B3757" s="163">
        <v>45855</v>
      </c>
      <c r="C3757" s="164">
        <v>0.6252199074074074</v>
      </c>
      <c r="D3757" s="159">
        <v>10</v>
      </c>
      <c r="E3757" s="166" t="s">
        <v>3431</v>
      </c>
    </row>
    <row r="3758" spans="1:5">
      <c r="A3758" s="174">
        <f t="shared" si="50"/>
        <v>3757</v>
      </c>
      <c r="B3758" s="163">
        <v>45855</v>
      </c>
      <c r="C3758" s="164">
        <v>0.57045138888888891</v>
      </c>
      <c r="D3758" s="159">
        <v>10</v>
      </c>
      <c r="E3758" s="166" t="s">
        <v>3432</v>
      </c>
    </row>
    <row r="3759" spans="1:5" ht="27">
      <c r="A3759" s="174">
        <f t="shared" si="50"/>
        <v>3758</v>
      </c>
      <c r="B3759" s="163">
        <v>45855</v>
      </c>
      <c r="C3759" s="164">
        <v>0.55928240740740742</v>
      </c>
      <c r="D3759" s="159">
        <v>10</v>
      </c>
      <c r="E3759" s="166" t="s">
        <v>3450</v>
      </c>
    </row>
    <row r="3760" spans="1:5">
      <c r="A3760" s="174">
        <f t="shared" si="50"/>
        <v>3759</v>
      </c>
      <c r="B3760" s="163">
        <v>45855</v>
      </c>
      <c r="C3760" s="164">
        <v>0.55513888888888896</v>
      </c>
      <c r="D3760" s="159">
        <v>9</v>
      </c>
      <c r="E3760" s="166" t="s">
        <v>406</v>
      </c>
    </row>
    <row r="3761" spans="1:5">
      <c r="A3761" s="174">
        <f t="shared" si="50"/>
        <v>3760</v>
      </c>
      <c r="B3761" s="163">
        <v>45855</v>
      </c>
      <c r="C3761" s="164">
        <v>0.55341435185185184</v>
      </c>
      <c r="D3761" s="159">
        <v>10</v>
      </c>
      <c r="E3761" s="166" t="s">
        <v>3433</v>
      </c>
    </row>
    <row r="3762" spans="1:5">
      <c r="A3762" s="174">
        <f t="shared" si="50"/>
        <v>3761</v>
      </c>
      <c r="B3762" s="163">
        <v>45855</v>
      </c>
      <c r="C3762" s="164">
        <v>0.55101851851851846</v>
      </c>
      <c r="D3762" s="159">
        <v>10</v>
      </c>
      <c r="E3762" s="166" t="s">
        <v>3434</v>
      </c>
    </row>
    <row r="3763" spans="1:5">
      <c r="A3763" s="174">
        <f t="shared" si="50"/>
        <v>3762</v>
      </c>
      <c r="B3763" s="163">
        <v>45855</v>
      </c>
      <c r="C3763" s="164">
        <v>0.49717592592592591</v>
      </c>
      <c r="D3763" s="159">
        <v>10</v>
      </c>
      <c r="E3763" s="166" t="s">
        <v>3435</v>
      </c>
    </row>
    <row r="3764" spans="1:5">
      <c r="A3764" s="174">
        <f t="shared" si="50"/>
        <v>3763</v>
      </c>
      <c r="B3764" s="163">
        <v>45855</v>
      </c>
      <c r="C3764" s="164">
        <v>0.49237268518518523</v>
      </c>
      <c r="D3764" s="159">
        <v>10</v>
      </c>
      <c r="E3764" s="166" t="s">
        <v>2535</v>
      </c>
    </row>
    <row r="3765" spans="1:5">
      <c r="A3765" s="174">
        <f t="shared" ref="A3765:A3828" si="51">ROW()-1</f>
        <v>3764</v>
      </c>
      <c r="B3765" s="163">
        <v>45855</v>
      </c>
      <c r="C3765" s="164">
        <v>0.48508101851851854</v>
      </c>
      <c r="D3765" s="159">
        <v>10</v>
      </c>
      <c r="E3765" s="166" t="s">
        <v>3436</v>
      </c>
    </row>
    <row r="3766" spans="1:5">
      <c r="A3766" s="174">
        <f t="shared" si="51"/>
        <v>3765</v>
      </c>
      <c r="B3766" s="163">
        <v>45855</v>
      </c>
      <c r="C3766" s="164">
        <v>0.47653935185185187</v>
      </c>
      <c r="D3766" s="159">
        <v>10</v>
      </c>
      <c r="E3766" s="166" t="s">
        <v>3437</v>
      </c>
    </row>
    <row r="3767" spans="1:5">
      <c r="A3767" s="174">
        <f t="shared" si="51"/>
        <v>3766</v>
      </c>
      <c r="B3767" s="163">
        <v>45855</v>
      </c>
      <c r="C3767" s="164">
        <v>0.47637731481481477</v>
      </c>
      <c r="D3767" s="159">
        <v>10</v>
      </c>
      <c r="E3767" s="166" t="s">
        <v>3438</v>
      </c>
    </row>
    <row r="3768" spans="1:5">
      <c r="A3768" s="174">
        <f t="shared" si="51"/>
        <v>3767</v>
      </c>
      <c r="B3768" s="163">
        <v>45855</v>
      </c>
      <c r="C3768" s="164">
        <v>0.47491898148148143</v>
      </c>
      <c r="D3768" s="159">
        <v>10</v>
      </c>
      <c r="E3768" s="166" t="s">
        <v>3439</v>
      </c>
    </row>
    <row r="3769" spans="1:5">
      <c r="A3769" s="174">
        <f t="shared" si="51"/>
        <v>3768</v>
      </c>
      <c r="B3769" s="163">
        <v>45855</v>
      </c>
      <c r="C3769" s="164">
        <v>0.46026620370370369</v>
      </c>
      <c r="D3769" s="159">
        <v>10</v>
      </c>
      <c r="E3769" s="166" t="s">
        <v>3449</v>
      </c>
    </row>
    <row r="3770" spans="1:5">
      <c r="A3770" s="174">
        <f t="shared" si="51"/>
        <v>3769</v>
      </c>
      <c r="B3770" s="163">
        <v>45855</v>
      </c>
      <c r="C3770" s="164">
        <v>0.45559027777777777</v>
      </c>
      <c r="D3770" s="159">
        <v>10</v>
      </c>
      <c r="E3770" s="166" t="s">
        <v>3440</v>
      </c>
    </row>
    <row r="3771" spans="1:5">
      <c r="A3771" s="174">
        <f t="shared" si="51"/>
        <v>3770</v>
      </c>
      <c r="B3771" s="163">
        <v>45855</v>
      </c>
      <c r="C3771" s="164">
        <v>0.42334490740740738</v>
      </c>
      <c r="D3771" s="159">
        <v>10</v>
      </c>
      <c r="E3771" s="166" t="s">
        <v>3441</v>
      </c>
    </row>
    <row r="3772" spans="1:5">
      <c r="A3772" s="174">
        <f t="shared" si="51"/>
        <v>3771</v>
      </c>
      <c r="B3772" s="163">
        <v>45855</v>
      </c>
      <c r="C3772" s="164">
        <v>0.41104166666666669</v>
      </c>
      <c r="D3772" s="159">
        <v>10</v>
      </c>
      <c r="E3772" s="166" t="s">
        <v>3442</v>
      </c>
    </row>
    <row r="3773" spans="1:5">
      <c r="A3773" s="174">
        <f t="shared" si="51"/>
        <v>3772</v>
      </c>
      <c r="B3773" s="163">
        <v>45855</v>
      </c>
      <c r="C3773" s="164">
        <v>0.40695601851851854</v>
      </c>
      <c r="D3773" s="159">
        <v>10</v>
      </c>
      <c r="E3773" s="166" t="s">
        <v>3443</v>
      </c>
    </row>
    <row r="3774" spans="1:5">
      <c r="A3774" s="174">
        <f t="shared" si="51"/>
        <v>3773</v>
      </c>
      <c r="B3774" s="163">
        <v>45855</v>
      </c>
      <c r="C3774" s="164">
        <v>0.4004050925925926</v>
      </c>
      <c r="D3774" s="159">
        <v>10</v>
      </c>
      <c r="E3774" s="166" t="s">
        <v>3444</v>
      </c>
    </row>
    <row r="3775" spans="1:5">
      <c r="A3775" s="174">
        <f t="shared" si="51"/>
        <v>3774</v>
      </c>
      <c r="B3775" s="163">
        <v>45855</v>
      </c>
      <c r="C3775" s="164">
        <v>0.39564814814814814</v>
      </c>
      <c r="D3775" s="159">
        <v>10</v>
      </c>
      <c r="E3775" s="166" t="s">
        <v>3445</v>
      </c>
    </row>
    <row r="3776" spans="1:5">
      <c r="A3776" s="174">
        <f t="shared" si="51"/>
        <v>3775</v>
      </c>
      <c r="B3776" s="163">
        <v>45855</v>
      </c>
      <c r="C3776" s="164">
        <v>0.39225694444444442</v>
      </c>
      <c r="D3776" s="159">
        <v>10</v>
      </c>
      <c r="E3776" s="166" t="s">
        <v>3446</v>
      </c>
    </row>
    <row r="3777" spans="1:5">
      <c r="A3777" s="174">
        <f t="shared" si="51"/>
        <v>3776</v>
      </c>
      <c r="B3777" s="163">
        <v>45855</v>
      </c>
      <c r="C3777" s="164">
        <v>0.38521990740740741</v>
      </c>
      <c r="D3777" s="159">
        <v>10</v>
      </c>
      <c r="E3777" s="166" t="s">
        <v>3447</v>
      </c>
    </row>
    <row r="3778" spans="1:5">
      <c r="A3778" s="174">
        <f t="shared" si="51"/>
        <v>3777</v>
      </c>
      <c r="B3778" s="163">
        <v>45855</v>
      </c>
      <c r="C3778" s="164">
        <v>0.38497685185185188</v>
      </c>
      <c r="D3778" s="159">
        <v>10</v>
      </c>
      <c r="E3778" s="166" t="s">
        <v>3448</v>
      </c>
    </row>
    <row r="3779" spans="1:5">
      <c r="A3779" s="174">
        <f t="shared" si="51"/>
        <v>3778</v>
      </c>
      <c r="B3779" s="163">
        <v>45855</v>
      </c>
      <c r="C3779" s="164">
        <v>0.38207175925925929</v>
      </c>
      <c r="D3779" s="159">
        <v>10</v>
      </c>
      <c r="E3779" s="166" t="s">
        <v>284</v>
      </c>
    </row>
    <row r="3780" spans="1:5">
      <c r="A3780" s="174">
        <f t="shared" si="51"/>
        <v>3779</v>
      </c>
      <c r="B3780" s="163">
        <v>45856</v>
      </c>
      <c r="C3780" s="164">
        <v>0.85555555555555562</v>
      </c>
      <c r="D3780" s="159">
        <v>10</v>
      </c>
      <c r="E3780" s="166" t="s">
        <v>3470</v>
      </c>
    </row>
    <row r="3781" spans="1:5">
      <c r="A3781" s="174">
        <f t="shared" si="51"/>
        <v>3780</v>
      </c>
      <c r="B3781" s="163">
        <v>45856</v>
      </c>
      <c r="C3781" s="164">
        <v>0.83939814814814817</v>
      </c>
      <c r="D3781" s="159">
        <v>10</v>
      </c>
      <c r="E3781" s="166" t="s">
        <v>132</v>
      </c>
    </row>
    <row r="3782" spans="1:5">
      <c r="A3782" s="174">
        <f t="shared" si="51"/>
        <v>3781</v>
      </c>
      <c r="B3782" s="163">
        <v>45856</v>
      </c>
      <c r="C3782" s="164">
        <v>0.76706018518518515</v>
      </c>
      <c r="D3782" s="159">
        <v>10</v>
      </c>
      <c r="E3782" s="166" t="s">
        <v>3471</v>
      </c>
    </row>
    <row r="3783" spans="1:5">
      <c r="A3783" s="174">
        <f t="shared" si="51"/>
        <v>3782</v>
      </c>
      <c r="B3783" s="163">
        <v>45856</v>
      </c>
      <c r="C3783" s="164">
        <v>0.74047453703703703</v>
      </c>
      <c r="D3783" s="159">
        <v>10</v>
      </c>
      <c r="E3783" s="166" t="s">
        <v>3472</v>
      </c>
    </row>
    <row r="3784" spans="1:5">
      <c r="A3784" s="174">
        <f t="shared" si="51"/>
        <v>3783</v>
      </c>
      <c r="B3784" s="163">
        <v>45856</v>
      </c>
      <c r="C3784" s="164">
        <v>0.73927083333333332</v>
      </c>
      <c r="D3784" s="159">
        <v>10</v>
      </c>
      <c r="E3784" s="166" t="s">
        <v>3473</v>
      </c>
    </row>
    <row r="3785" spans="1:5">
      <c r="A3785" s="174">
        <f t="shared" si="51"/>
        <v>3784</v>
      </c>
      <c r="B3785" s="163">
        <v>45856</v>
      </c>
      <c r="C3785" s="164">
        <v>0.73295138888888889</v>
      </c>
      <c r="D3785" s="159">
        <v>10</v>
      </c>
      <c r="E3785" s="166" t="s">
        <v>3474</v>
      </c>
    </row>
    <row r="3786" spans="1:5">
      <c r="A3786" s="174">
        <f t="shared" si="51"/>
        <v>3785</v>
      </c>
      <c r="B3786" s="163">
        <v>45856</v>
      </c>
      <c r="C3786" s="164">
        <v>0.73149305555555555</v>
      </c>
      <c r="D3786" s="159">
        <v>10</v>
      </c>
      <c r="E3786" s="166" t="s">
        <v>1710</v>
      </c>
    </row>
    <row r="3787" spans="1:5">
      <c r="A3787" s="174">
        <f t="shared" si="51"/>
        <v>3786</v>
      </c>
      <c r="B3787" s="163">
        <v>45856</v>
      </c>
      <c r="C3787" s="164">
        <v>0.73157407407407404</v>
      </c>
      <c r="D3787" s="159">
        <v>10</v>
      </c>
      <c r="E3787" s="166" t="s">
        <v>3475</v>
      </c>
    </row>
    <row r="3788" spans="1:5">
      <c r="A3788" s="174">
        <f t="shared" si="51"/>
        <v>3787</v>
      </c>
      <c r="B3788" s="163">
        <v>45856</v>
      </c>
      <c r="C3788" s="164">
        <v>0.73093750000000002</v>
      </c>
      <c r="D3788" s="159">
        <v>10</v>
      </c>
      <c r="E3788" s="166" t="s">
        <v>3476</v>
      </c>
    </row>
    <row r="3789" spans="1:5">
      <c r="A3789" s="174">
        <f t="shared" si="51"/>
        <v>3788</v>
      </c>
      <c r="B3789" s="163">
        <v>45856</v>
      </c>
      <c r="C3789" s="164">
        <v>0.72664351851851849</v>
      </c>
      <c r="D3789" s="159">
        <v>10</v>
      </c>
      <c r="E3789" s="166" t="s">
        <v>3477</v>
      </c>
    </row>
    <row r="3790" spans="1:5">
      <c r="A3790" s="174">
        <f t="shared" si="51"/>
        <v>3789</v>
      </c>
      <c r="B3790" s="163">
        <v>45856</v>
      </c>
      <c r="C3790" s="164">
        <v>0.72649305555555566</v>
      </c>
      <c r="D3790" s="159">
        <v>10</v>
      </c>
      <c r="E3790" s="166" t="s">
        <v>3478</v>
      </c>
    </row>
    <row r="3791" spans="1:5">
      <c r="A3791" s="174">
        <f t="shared" si="51"/>
        <v>3790</v>
      </c>
      <c r="B3791" s="163">
        <v>45856</v>
      </c>
      <c r="C3791" s="164">
        <v>0.72017361111111111</v>
      </c>
      <c r="D3791" s="159">
        <v>10</v>
      </c>
      <c r="E3791" s="166" t="s">
        <v>488</v>
      </c>
    </row>
    <row r="3792" spans="1:5">
      <c r="A3792" s="174">
        <f t="shared" si="51"/>
        <v>3791</v>
      </c>
      <c r="B3792" s="163">
        <v>45856</v>
      </c>
      <c r="C3792" s="164">
        <v>0.70795138888888898</v>
      </c>
      <c r="D3792" s="159">
        <v>10</v>
      </c>
      <c r="E3792" s="166" t="s">
        <v>3479</v>
      </c>
    </row>
    <row r="3793" spans="1:5">
      <c r="A3793" s="174">
        <f t="shared" si="51"/>
        <v>3792</v>
      </c>
      <c r="B3793" s="163">
        <v>45856</v>
      </c>
      <c r="C3793" s="164">
        <v>0.69748842592592597</v>
      </c>
      <c r="D3793" s="159">
        <v>10</v>
      </c>
      <c r="E3793" s="166" t="s">
        <v>3480</v>
      </c>
    </row>
    <row r="3794" spans="1:5">
      <c r="A3794" s="174">
        <f t="shared" si="51"/>
        <v>3793</v>
      </c>
      <c r="B3794" s="163">
        <v>45856</v>
      </c>
      <c r="C3794" s="164">
        <v>0.68768518518518518</v>
      </c>
      <c r="D3794" s="159">
        <v>10</v>
      </c>
      <c r="E3794" s="166" t="s">
        <v>3481</v>
      </c>
    </row>
    <row r="3795" spans="1:5">
      <c r="A3795" s="174">
        <f t="shared" si="51"/>
        <v>3794</v>
      </c>
      <c r="B3795" s="163">
        <v>45856</v>
      </c>
      <c r="C3795" s="164">
        <v>0.67651620370370369</v>
      </c>
      <c r="D3795" s="159">
        <v>10</v>
      </c>
      <c r="E3795" s="166" t="s">
        <v>3482</v>
      </c>
    </row>
    <row r="3796" spans="1:5">
      <c r="A3796" s="174">
        <f t="shared" si="51"/>
        <v>3795</v>
      </c>
      <c r="B3796" s="163">
        <v>45856</v>
      </c>
      <c r="C3796" s="164">
        <v>0.67622685185185183</v>
      </c>
      <c r="D3796" s="159">
        <v>10</v>
      </c>
      <c r="E3796" s="166" t="s">
        <v>3483</v>
      </c>
    </row>
    <row r="3797" spans="1:5">
      <c r="A3797" s="174">
        <f t="shared" si="51"/>
        <v>3796</v>
      </c>
      <c r="B3797" s="163">
        <v>45856</v>
      </c>
      <c r="C3797" s="164">
        <v>0.66945601851851855</v>
      </c>
      <c r="D3797" s="159">
        <v>10</v>
      </c>
      <c r="E3797" s="166" t="s">
        <v>3484</v>
      </c>
    </row>
    <row r="3798" spans="1:5">
      <c r="A3798" s="174">
        <f t="shared" si="51"/>
        <v>3797</v>
      </c>
      <c r="B3798" s="163">
        <v>45856</v>
      </c>
      <c r="C3798" s="164">
        <v>0.66075231481481478</v>
      </c>
      <c r="D3798" s="159">
        <v>10</v>
      </c>
      <c r="E3798" s="166" t="s">
        <v>3485</v>
      </c>
    </row>
    <row r="3799" spans="1:5">
      <c r="A3799" s="174">
        <f t="shared" si="51"/>
        <v>3798</v>
      </c>
      <c r="B3799" s="163">
        <v>45856</v>
      </c>
      <c r="C3799" s="164">
        <v>0.65930555555555559</v>
      </c>
      <c r="D3799" s="159">
        <v>10</v>
      </c>
      <c r="E3799" s="166" t="s">
        <v>3486</v>
      </c>
    </row>
    <row r="3800" spans="1:5">
      <c r="A3800" s="174">
        <f t="shared" si="51"/>
        <v>3799</v>
      </c>
      <c r="B3800" s="163">
        <v>45856</v>
      </c>
      <c r="C3800" s="164">
        <v>0.65770833333333334</v>
      </c>
      <c r="D3800" s="159">
        <v>10</v>
      </c>
      <c r="E3800" s="166" t="s">
        <v>3487</v>
      </c>
    </row>
    <row r="3801" spans="1:5">
      <c r="A3801" s="174">
        <f t="shared" si="51"/>
        <v>3800</v>
      </c>
      <c r="B3801" s="163">
        <v>45856</v>
      </c>
      <c r="C3801" s="164">
        <v>0.65489583333333334</v>
      </c>
      <c r="D3801" s="159">
        <v>10</v>
      </c>
      <c r="E3801" s="166" t="s">
        <v>288</v>
      </c>
    </row>
    <row r="3802" spans="1:5">
      <c r="A3802" s="174">
        <f t="shared" si="51"/>
        <v>3801</v>
      </c>
      <c r="B3802" s="163">
        <v>45856</v>
      </c>
      <c r="C3802" s="164">
        <v>0.64804398148148146</v>
      </c>
      <c r="D3802" s="159">
        <v>10</v>
      </c>
      <c r="E3802" s="166" t="s">
        <v>3488</v>
      </c>
    </row>
    <row r="3803" spans="1:5">
      <c r="A3803" s="174">
        <f t="shared" si="51"/>
        <v>3802</v>
      </c>
      <c r="B3803" s="163">
        <v>45856</v>
      </c>
      <c r="C3803" s="164">
        <v>0.63678240740740744</v>
      </c>
      <c r="D3803" s="159">
        <v>10</v>
      </c>
      <c r="E3803" s="166" t="s">
        <v>3489</v>
      </c>
    </row>
    <row r="3804" spans="1:5">
      <c r="A3804" s="174">
        <f t="shared" si="51"/>
        <v>3803</v>
      </c>
      <c r="B3804" s="163">
        <v>45856</v>
      </c>
      <c r="C3804" s="164">
        <v>0.62920138888888888</v>
      </c>
      <c r="D3804" s="159">
        <v>10</v>
      </c>
      <c r="E3804" s="166" t="s">
        <v>3490</v>
      </c>
    </row>
    <row r="3805" spans="1:5">
      <c r="A3805" s="174">
        <f t="shared" si="51"/>
        <v>3804</v>
      </c>
      <c r="B3805" s="163">
        <v>45856</v>
      </c>
      <c r="C3805" s="164">
        <v>0.62702546296296291</v>
      </c>
      <c r="D3805" s="159">
        <v>10</v>
      </c>
      <c r="E3805" s="166" t="s">
        <v>3491</v>
      </c>
    </row>
    <row r="3806" spans="1:5">
      <c r="A3806" s="174">
        <f t="shared" si="51"/>
        <v>3805</v>
      </c>
      <c r="B3806" s="163">
        <v>45856</v>
      </c>
      <c r="C3806" s="164">
        <v>0.62537037037037035</v>
      </c>
      <c r="D3806" s="159">
        <v>10</v>
      </c>
      <c r="E3806" s="166" t="s">
        <v>3492</v>
      </c>
    </row>
    <row r="3807" spans="1:5">
      <c r="A3807" s="174">
        <f t="shared" si="51"/>
        <v>3806</v>
      </c>
      <c r="B3807" s="163">
        <v>45856</v>
      </c>
      <c r="C3807" s="164">
        <v>0.6205208333333333</v>
      </c>
      <c r="D3807" s="159">
        <v>10</v>
      </c>
      <c r="E3807" s="166" t="s">
        <v>3493</v>
      </c>
    </row>
    <row r="3808" spans="1:5">
      <c r="A3808" s="174">
        <f t="shared" si="51"/>
        <v>3807</v>
      </c>
      <c r="B3808" s="163">
        <v>45856</v>
      </c>
      <c r="C3808" s="164">
        <v>0.60997685185185191</v>
      </c>
      <c r="D3808" s="159">
        <v>10</v>
      </c>
      <c r="E3808" s="166" t="s">
        <v>3494</v>
      </c>
    </row>
    <row r="3809" spans="1:5" ht="27">
      <c r="A3809" s="174">
        <f t="shared" si="51"/>
        <v>3808</v>
      </c>
      <c r="B3809" s="163">
        <v>45856</v>
      </c>
      <c r="C3809" s="164">
        <v>0.6037731481481482</v>
      </c>
      <c r="D3809" s="159">
        <v>10</v>
      </c>
      <c r="E3809" s="166" t="s">
        <v>3523</v>
      </c>
    </row>
    <row r="3810" spans="1:5">
      <c r="A3810" s="174">
        <f t="shared" si="51"/>
        <v>3809</v>
      </c>
      <c r="B3810" s="163">
        <v>45856</v>
      </c>
      <c r="C3810" s="164">
        <v>0.60239583333333335</v>
      </c>
      <c r="D3810" s="159">
        <v>10</v>
      </c>
      <c r="E3810" s="166" t="s">
        <v>3495</v>
      </c>
    </row>
    <row r="3811" spans="1:5">
      <c r="A3811" s="174">
        <f t="shared" si="51"/>
        <v>3810</v>
      </c>
      <c r="B3811" s="163">
        <v>45856</v>
      </c>
      <c r="C3811" s="164">
        <v>0.59938657407407414</v>
      </c>
      <c r="D3811" s="159">
        <v>10</v>
      </c>
      <c r="E3811" s="166" t="s">
        <v>3496</v>
      </c>
    </row>
    <row r="3812" spans="1:5">
      <c r="A3812" s="174">
        <f t="shared" si="51"/>
        <v>3811</v>
      </c>
      <c r="B3812" s="163">
        <v>45856</v>
      </c>
      <c r="C3812" s="164">
        <v>0.5977662037037037</v>
      </c>
      <c r="D3812" s="159">
        <v>10</v>
      </c>
      <c r="E3812" s="166" t="s">
        <v>3497</v>
      </c>
    </row>
    <row r="3813" spans="1:5">
      <c r="A3813" s="174">
        <f t="shared" si="51"/>
        <v>3812</v>
      </c>
      <c r="B3813" s="163">
        <v>45856</v>
      </c>
      <c r="C3813" s="164">
        <v>0.59149305555555554</v>
      </c>
      <c r="D3813" s="159">
        <v>10</v>
      </c>
      <c r="E3813" s="166" t="s">
        <v>418</v>
      </c>
    </row>
    <row r="3814" spans="1:5">
      <c r="A3814" s="174">
        <f t="shared" si="51"/>
        <v>3813</v>
      </c>
      <c r="B3814" s="163">
        <v>45856</v>
      </c>
      <c r="C3814" s="164">
        <v>0.58769675925925924</v>
      </c>
      <c r="D3814" s="159">
        <v>10</v>
      </c>
      <c r="E3814" s="166" t="s">
        <v>3498</v>
      </c>
    </row>
    <row r="3815" spans="1:5">
      <c r="A3815" s="174">
        <f t="shared" si="51"/>
        <v>3814</v>
      </c>
      <c r="B3815" s="163">
        <v>45856</v>
      </c>
      <c r="C3815" s="164">
        <v>0.56708333333333327</v>
      </c>
      <c r="D3815" s="159">
        <v>10</v>
      </c>
      <c r="E3815" s="166" t="s">
        <v>3499</v>
      </c>
    </row>
    <row r="3816" spans="1:5">
      <c r="A3816" s="174">
        <f t="shared" si="51"/>
        <v>3815</v>
      </c>
      <c r="B3816" s="163">
        <v>45856</v>
      </c>
      <c r="C3816" s="164">
        <v>0.55479166666666668</v>
      </c>
      <c r="D3816" s="159">
        <v>10</v>
      </c>
      <c r="E3816" s="166" t="s">
        <v>3500</v>
      </c>
    </row>
    <row r="3817" spans="1:5">
      <c r="A3817" s="174">
        <f t="shared" si="51"/>
        <v>3816</v>
      </c>
      <c r="B3817" s="163">
        <v>45856</v>
      </c>
      <c r="C3817" s="164">
        <v>0.55184027777777778</v>
      </c>
      <c r="D3817" s="159">
        <v>10</v>
      </c>
      <c r="E3817" s="166" t="s">
        <v>3501</v>
      </c>
    </row>
    <row r="3818" spans="1:5">
      <c r="A3818" s="174">
        <f t="shared" si="51"/>
        <v>3817</v>
      </c>
      <c r="B3818" s="163">
        <v>45856</v>
      </c>
      <c r="C3818" s="164">
        <v>0.52749999999999997</v>
      </c>
      <c r="D3818" s="159">
        <v>10</v>
      </c>
      <c r="E3818" s="166" t="s">
        <v>3502</v>
      </c>
    </row>
    <row r="3819" spans="1:5">
      <c r="A3819" s="174">
        <f t="shared" si="51"/>
        <v>3818</v>
      </c>
      <c r="B3819" s="163">
        <v>45856</v>
      </c>
      <c r="C3819" s="164">
        <v>0.52025462962962965</v>
      </c>
      <c r="D3819" s="159">
        <v>10</v>
      </c>
      <c r="E3819" s="166" t="s">
        <v>3503</v>
      </c>
    </row>
    <row r="3820" spans="1:5">
      <c r="A3820" s="174">
        <f t="shared" si="51"/>
        <v>3819</v>
      </c>
      <c r="B3820" s="163">
        <v>45856</v>
      </c>
      <c r="C3820" s="164">
        <v>0.5114467592592592</v>
      </c>
      <c r="D3820" s="159">
        <v>10</v>
      </c>
      <c r="E3820" s="166" t="s">
        <v>3504</v>
      </c>
    </row>
    <row r="3821" spans="1:5">
      <c r="A3821" s="174">
        <f t="shared" si="51"/>
        <v>3820</v>
      </c>
      <c r="B3821" s="163">
        <v>45856</v>
      </c>
      <c r="C3821" s="164">
        <v>0.51001157407407405</v>
      </c>
      <c r="D3821" s="159">
        <v>10</v>
      </c>
      <c r="E3821" s="166" t="s">
        <v>3505</v>
      </c>
    </row>
    <row r="3822" spans="1:5">
      <c r="A3822" s="174">
        <f t="shared" si="51"/>
        <v>3821</v>
      </c>
      <c r="B3822" s="163">
        <v>45856</v>
      </c>
      <c r="C3822" s="164">
        <v>0.48650462962962965</v>
      </c>
      <c r="D3822" s="159">
        <v>10</v>
      </c>
      <c r="E3822" s="166" t="s">
        <v>3506</v>
      </c>
    </row>
    <row r="3823" spans="1:5" ht="27">
      <c r="A3823" s="174">
        <f t="shared" si="51"/>
        <v>3822</v>
      </c>
      <c r="B3823" s="163">
        <v>45856</v>
      </c>
      <c r="C3823" s="164">
        <v>0.48292824074074076</v>
      </c>
      <c r="D3823" s="159">
        <v>10</v>
      </c>
      <c r="E3823" s="166" t="s">
        <v>3522</v>
      </c>
    </row>
    <row r="3824" spans="1:5">
      <c r="A3824" s="174">
        <f t="shared" si="51"/>
        <v>3823</v>
      </c>
      <c r="B3824" s="163">
        <v>45856</v>
      </c>
      <c r="C3824" s="164">
        <v>0.47280092592592587</v>
      </c>
      <c r="D3824" s="159">
        <v>10</v>
      </c>
      <c r="E3824" s="166" t="s">
        <v>3507</v>
      </c>
    </row>
    <row r="3825" spans="1:5">
      <c r="A3825" s="174">
        <f t="shared" si="51"/>
        <v>3824</v>
      </c>
      <c r="B3825" s="163">
        <v>45856</v>
      </c>
      <c r="C3825" s="164">
        <v>0.47156250000000005</v>
      </c>
      <c r="D3825" s="159">
        <v>10</v>
      </c>
      <c r="E3825" s="166" t="s">
        <v>3508</v>
      </c>
    </row>
    <row r="3826" spans="1:5" ht="40.5">
      <c r="A3826" s="174">
        <f t="shared" si="51"/>
        <v>3825</v>
      </c>
      <c r="B3826" s="163">
        <v>45856</v>
      </c>
      <c r="C3826" s="164">
        <v>0.47097222222222218</v>
      </c>
      <c r="D3826" s="159">
        <v>10</v>
      </c>
      <c r="E3826" s="166" t="s">
        <v>3521</v>
      </c>
    </row>
    <row r="3827" spans="1:5">
      <c r="A3827" s="174">
        <f t="shared" si="51"/>
        <v>3826</v>
      </c>
      <c r="B3827" s="163">
        <v>45856</v>
      </c>
      <c r="C3827" s="164">
        <v>0.46873842592592596</v>
      </c>
      <c r="D3827" s="159">
        <v>10</v>
      </c>
      <c r="E3827" s="166" t="s">
        <v>3509</v>
      </c>
    </row>
    <row r="3828" spans="1:5">
      <c r="A3828" s="174">
        <f t="shared" si="51"/>
        <v>3827</v>
      </c>
      <c r="B3828" s="163">
        <v>45856</v>
      </c>
      <c r="C3828" s="164">
        <v>0.46104166666666663</v>
      </c>
      <c r="D3828" s="159">
        <v>10</v>
      </c>
      <c r="E3828" s="166" t="s">
        <v>3510</v>
      </c>
    </row>
    <row r="3829" spans="1:5">
      <c r="A3829" s="174">
        <f t="shared" ref="A3829:A3892" si="52">ROW()-1</f>
        <v>3828</v>
      </c>
      <c r="B3829" s="163">
        <v>45856</v>
      </c>
      <c r="C3829" s="164">
        <v>0.45951388888888894</v>
      </c>
      <c r="D3829" s="159">
        <v>10</v>
      </c>
      <c r="E3829" s="166" t="s">
        <v>3511</v>
      </c>
    </row>
    <row r="3830" spans="1:5">
      <c r="A3830" s="174">
        <f t="shared" si="52"/>
        <v>3829</v>
      </c>
      <c r="B3830" s="163">
        <v>45856</v>
      </c>
      <c r="C3830" s="164">
        <v>0.45645833333333335</v>
      </c>
      <c r="D3830" s="159">
        <v>10</v>
      </c>
      <c r="E3830" s="166" t="s">
        <v>3512</v>
      </c>
    </row>
    <row r="3831" spans="1:5">
      <c r="A3831" s="174">
        <f t="shared" si="52"/>
        <v>3830</v>
      </c>
      <c r="B3831" s="163">
        <v>45856</v>
      </c>
      <c r="C3831" s="164">
        <v>0.45504629629629628</v>
      </c>
      <c r="D3831" s="159">
        <v>10</v>
      </c>
      <c r="E3831" s="166" t="s">
        <v>3513</v>
      </c>
    </row>
    <row r="3832" spans="1:5">
      <c r="A3832" s="174">
        <f t="shared" si="52"/>
        <v>3831</v>
      </c>
      <c r="B3832" s="163">
        <v>45856</v>
      </c>
      <c r="C3832" s="164">
        <v>0.4372800925925926</v>
      </c>
      <c r="D3832" s="159">
        <v>10</v>
      </c>
      <c r="E3832" s="166" t="s">
        <v>3514</v>
      </c>
    </row>
    <row r="3833" spans="1:5">
      <c r="A3833" s="174">
        <f t="shared" si="52"/>
        <v>3832</v>
      </c>
      <c r="B3833" s="163">
        <v>45856</v>
      </c>
      <c r="C3833" s="164">
        <v>0.42953703703703705</v>
      </c>
      <c r="D3833" s="159">
        <v>10</v>
      </c>
      <c r="E3833" s="166" t="s">
        <v>3515</v>
      </c>
    </row>
    <row r="3834" spans="1:5">
      <c r="A3834" s="174">
        <f t="shared" si="52"/>
        <v>3833</v>
      </c>
      <c r="B3834" s="163">
        <v>45856</v>
      </c>
      <c r="C3834" s="164">
        <v>0.42255787037037035</v>
      </c>
      <c r="D3834" s="159">
        <v>10</v>
      </c>
      <c r="E3834" s="166" t="s">
        <v>3516</v>
      </c>
    </row>
    <row r="3835" spans="1:5">
      <c r="A3835" s="174">
        <f t="shared" si="52"/>
        <v>3834</v>
      </c>
      <c r="B3835" s="163">
        <v>45856</v>
      </c>
      <c r="C3835" s="164">
        <v>0.40800925925925924</v>
      </c>
      <c r="D3835" s="159">
        <v>10</v>
      </c>
      <c r="E3835" s="166" t="s">
        <v>3517</v>
      </c>
    </row>
    <row r="3836" spans="1:5">
      <c r="A3836" s="174">
        <f t="shared" si="52"/>
        <v>3835</v>
      </c>
      <c r="B3836" s="163">
        <v>45856</v>
      </c>
      <c r="C3836" s="164">
        <v>0.40247685185185184</v>
      </c>
      <c r="D3836" s="159">
        <v>10</v>
      </c>
      <c r="E3836" s="166" t="s">
        <v>3518</v>
      </c>
    </row>
    <row r="3837" spans="1:5">
      <c r="A3837" s="174">
        <f t="shared" si="52"/>
        <v>3836</v>
      </c>
      <c r="B3837" s="163">
        <v>45856</v>
      </c>
      <c r="C3837" s="164">
        <v>0.39524305555555556</v>
      </c>
      <c r="D3837" s="159">
        <v>10</v>
      </c>
      <c r="E3837" s="166" t="s">
        <v>3519</v>
      </c>
    </row>
    <row r="3838" spans="1:5">
      <c r="A3838" s="174">
        <f t="shared" si="52"/>
        <v>3837</v>
      </c>
      <c r="B3838" s="163">
        <v>45856</v>
      </c>
      <c r="C3838" s="164">
        <v>0.37966435185185188</v>
      </c>
      <c r="D3838" s="159">
        <v>10</v>
      </c>
      <c r="E3838" s="166" t="s">
        <v>3520</v>
      </c>
    </row>
    <row r="3839" spans="1:5">
      <c r="A3839" s="174">
        <f t="shared" si="52"/>
        <v>3838</v>
      </c>
      <c r="B3839" s="163">
        <v>45857</v>
      </c>
      <c r="C3839" s="164">
        <v>0.6855902777777777</v>
      </c>
      <c r="D3839" s="159">
        <v>10</v>
      </c>
      <c r="E3839" s="166" t="s">
        <v>3452</v>
      </c>
    </row>
    <row r="3840" spans="1:5">
      <c r="A3840" s="174">
        <f t="shared" si="52"/>
        <v>3839</v>
      </c>
      <c r="B3840" s="163">
        <v>45857</v>
      </c>
      <c r="C3840" s="164">
        <v>0.67484953703703709</v>
      </c>
      <c r="D3840" s="159">
        <v>10</v>
      </c>
      <c r="E3840" s="166" t="s">
        <v>3453</v>
      </c>
    </row>
    <row r="3841" spans="1:5">
      <c r="A3841" s="174">
        <f t="shared" si="52"/>
        <v>3840</v>
      </c>
      <c r="B3841" s="163">
        <v>45857</v>
      </c>
      <c r="C3841" s="164">
        <v>0.66069444444444447</v>
      </c>
      <c r="D3841" s="159">
        <v>10</v>
      </c>
      <c r="E3841" s="166" t="s">
        <v>3454</v>
      </c>
    </row>
    <row r="3842" spans="1:5">
      <c r="A3842" s="174">
        <f t="shared" si="52"/>
        <v>3841</v>
      </c>
      <c r="B3842" s="163">
        <v>45857</v>
      </c>
      <c r="C3842" s="164">
        <v>0.65856481481481477</v>
      </c>
      <c r="D3842" s="159">
        <v>10</v>
      </c>
      <c r="E3842" s="166" t="s">
        <v>246</v>
      </c>
    </row>
    <row r="3843" spans="1:5">
      <c r="A3843" s="174">
        <f t="shared" si="52"/>
        <v>3842</v>
      </c>
      <c r="B3843" s="163">
        <v>45857</v>
      </c>
      <c r="C3843" s="164">
        <v>0.62101851851851853</v>
      </c>
      <c r="D3843" s="159">
        <v>10</v>
      </c>
      <c r="E3843" s="166" t="s">
        <v>3455</v>
      </c>
    </row>
    <row r="3844" spans="1:5">
      <c r="A3844" s="174">
        <f t="shared" si="52"/>
        <v>3843</v>
      </c>
      <c r="B3844" s="163">
        <v>45857</v>
      </c>
      <c r="C3844" s="164">
        <v>0.58759259259259256</v>
      </c>
      <c r="D3844" s="159">
        <v>10</v>
      </c>
      <c r="E3844" s="166" t="s">
        <v>3456</v>
      </c>
    </row>
    <row r="3845" spans="1:5">
      <c r="A3845" s="174">
        <f t="shared" si="52"/>
        <v>3844</v>
      </c>
      <c r="B3845" s="163">
        <v>45857</v>
      </c>
      <c r="C3845" s="164">
        <v>0.55912037037037032</v>
      </c>
      <c r="D3845" s="159">
        <v>10</v>
      </c>
      <c r="E3845" s="166" t="s">
        <v>3457</v>
      </c>
    </row>
    <row r="3846" spans="1:5">
      <c r="A3846" s="174">
        <f t="shared" si="52"/>
        <v>3845</v>
      </c>
      <c r="B3846" s="163">
        <v>45857</v>
      </c>
      <c r="C3846" s="164">
        <v>0.55133101851851851</v>
      </c>
      <c r="D3846" s="159">
        <v>10</v>
      </c>
      <c r="E3846" s="166" t="s">
        <v>132</v>
      </c>
    </row>
    <row r="3847" spans="1:5">
      <c r="A3847" s="174">
        <f t="shared" si="52"/>
        <v>3846</v>
      </c>
      <c r="B3847" s="163">
        <v>45857</v>
      </c>
      <c r="C3847" s="164">
        <v>0.54995370370370367</v>
      </c>
      <c r="D3847" s="159">
        <v>10</v>
      </c>
      <c r="E3847" s="166" t="s">
        <v>3458</v>
      </c>
    </row>
    <row r="3848" spans="1:5">
      <c r="A3848" s="174">
        <f t="shared" si="52"/>
        <v>3847</v>
      </c>
      <c r="B3848" s="163">
        <v>45857</v>
      </c>
      <c r="C3848" s="164">
        <v>0.51097222222222227</v>
      </c>
      <c r="D3848" s="159">
        <v>10</v>
      </c>
      <c r="E3848" s="166" t="s">
        <v>3459</v>
      </c>
    </row>
    <row r="3849" spans="1:5">
      <c r="A3849" s="174">
        <f t="shared" si="52"/>
        <v>3848</v>
      </c>
      <c r="B3849" s="163">
        <v>45857</v>
      </c>
      <c r="C3849" s="164">
        <v>0.49820601851851848</v>
      </c>
      <c r="D3849" s="159">
        <v>10</v>
      </c>
      <c r="E3849" s="166" t="s">
        <v>3460</v>
      </c>
    </row>
    <row r="3850" spans="1:5" ht="40.5">
      <c r="A3850" s="174">
        <f t="shared" si="52"/>
        <v>3849</v>
      </c>
      <c r="B3850" s="163">
        <v>45857</v>
      </c>
      <c r="C3850" s="164">
        <v>0.48686342592592591</v>
      </c>
      <c r="D3850" s="159">
        <v>10</v>
      </c>
      <c r="E3850" s="166" t="s">
        <v>3461</v>
      </c>
    </row>
    <row r="3851" spans="1:5">
      <c r="A3851" s="174">
        <f t="shared" si="52"/>
        <v>3850</v>
      </c>
      <c r="B3851" s="163">
        <v>45857</v>
      </c>
      <c r="C3851" s="164">
        <v>0.48556712962962961</v>
      </c>
      <c r="D3851" s="159">
        <v>10</v>
      </c>
      <c r="E3851" s="166" t="s">
        <v>3462</v>
      </c>
    </row>
    <row r="3852" spans="1:5">
      <c r="A3852" s="174">
        <f t="shared" si="52"/>
        <v>3851</v>
      </c>
      <c r="B3852" s="163">
        <v>45857</v>
      </c>
      <c r="C3852" s="164">
        <v>0.46923611111111113</v>
      </c>
      <c r="D3852" s="159">
        <v>10</v>
      </c>
      <c r="E3852" s="166" t="s">
        <v>3463</v>
      </c>
    </row>
    <row r="3853" spans="1:5">
      <c r="A3853" s="174">
        <f t="shared" si="52"/>
        <v>3852</v>
      </c>
      <c r="B3853" s="163">
        <v>45857</v>
      </c>
      <c r="C3853" s="164">
        <v>0.46247685185185183</v>
      </c>
      <c r="D3853" s="159">
        <v>10</v>
      </c>
      <c r="E3853" s="166" t="s">
        <v>3464</v>
      </c>
    </row>
    <row r="3854" spans="1:5">
      <c r="A3854" s="174">
        <f t="shared" si="52"/>
        <v>3853</v>
      </c>
      <c r="B3854" s="163">
        <v>45857</v>
      </c>
      <c r="C3854" s="164">
        <v>0.46221064814814811</v>
      </c>
      <c r="D3854" s="159">
        <v>10</v>
      </c>
      <c r="E3854" s="166" t="s">
        <v>3465</v>
      </c>
    </row>
    <row r="3855" spans="1:5">
      <c r="A3855" s="174">
        <f t="shared" si="52"/>
        <v>3854</v>
      </c>
      <c r="B3855" s="163">
        <v>45857</v>
      </c>
      <c r="C3855" s="164">
        <v>0.43953703703703706</v>
      </c>
      <c r="D3855" s="159">
        <v>10</v>
      </c>
      <c r="E3855" s="166" t="s">
        <v>3466</v>
      </c>
    </row>
    <row r="3856" spans="1:5">
      <c r="A3856" s="174">
        <f t="shared" si="52"/>
        <v>3855</v>
      </c>
      <c r="B3856" s="163">
        <v>45857</v>
      </c>
      <c r="C3856" s="164">
        <v>0.43520833333333336</v>
      </c>
      <c r="D3856" s="159">
        <v>10</v>
      </c>
      <c r="E3856" s="166" t="s">
        <v>3467</v>
      </c>
    </row>
    <row r="3857" spans="1:5">
      <c r="A3857" s="174">
        <f t="shared" si="52"/>
        <v>3856</v>
      </c>
      <c r="B3857" s="163">
        <v>45857</v>
      </c>
      <c r="C3857" s="164">
        <v>0.43236111111111114</v>
      </c>
      <c r="D3857" s="159">
        <v>10</v>
      </c>
      <c r="E3857" s="166" t="s">
        <v>3468</v>
      </c>
    </row>
    <row r="3858" spans="1:5">
      <c r="A3858" s="174">
        <f t="shared" si="52"/>
        <v>3857</v>
      </c>
      <c r="B3858" s="163">
        <v>45857</v>
      </c>
      <c r="C3858" s="164">
        <v>0.40629629629629632</v>
      </c>
      <c r="D3858" s="159">
        <v>10</v>
      </c>
      <c r="E3858" s="166" t="s">
        <v>3469</v>
      </c>
    </row>
    <row r="3859" spans="1:5">
      <c r="A3859" s="174">
        <f t="shared" si="52"/>
        <v>3858</v>
      </c>
      <c r="B3859" s="163">
        <v>45859</v>
      </c>
      <c r="C3859" s="164">
        <v>0.88414351851851858</v>
      </c>
      <c r="D3859" s="159">
        <v>10</v>
      </c>
      <c r="E3859" s="166" t="s">
        <v>3570</v>
      </c>
    </row>
    <row r="3860" spans="1:5">
      <c r="A3860" s="174">
        <f t="shared" si="52"/>
        <v>3859</v>
      </c>
      <c r="B3860" s="163">
        <v>45859</v>
      </c>
      <c r="C3860" s="164">
        <v>0.85851851851851846</v>
      </c>
      <c r="D3860" s="159">
        <v>10</v>
      </c>
      <c r="E3860" s="166" t="s">
        <v>3524</v>
      </c>
    </row>
    <row r="3861" spans="1:5">
      <c r="A3861" s="174">
        <f t="shared" si="52"/>
        <v>3860</v>
      </c>
      <c r="B3861" s="163">
        <v>45859</v>
      </c>
      <c r="C3861" s="164">
        <v>0.84273148148148147</v>
      </c>
      <c r="D3861" s="159">
        <v>10</v>
      </c>
      <c r="E3861" s="166" t="s">
        <v>3525</v>
      </c>
    </row>
    <row r="3862" spans="1:5">
      <c r="A3862" s="174">
        <f t="shared" si="52"/>
        <v>3861</v>
      </c>
      <c r="B3862" s="163">
        <v>45859</v>
      </c>
      <c r="C3862" s="164">
        <v>0.81726851851851856</v>
      </c>
      <c r="D3862" s="159">
        <v>10</v>
      </c>
      <c r="E3862" s="166" t="s">
        <v>3526</v>
      </c>
    </row>
    <row r="3863" spans="1:5">
      <c r="A3863" s="174">
        <f t="shared" si="52"/>
        <v>3862</v>
      </c>
      <c r="B3863" s="163">
        <v>45859</v>
      </c>
      <c r="C3863" s="164">
        <v>0.81126157407407407</v>
      </c>
      <c r="D3863" s="159">
        <v>10</v>
      </c>
      <c r="E3863" s="166" t="s">
        <v>3527</v>
      </c>
    </row>
    <row r="3864" spans="1:5">
      <c r="A3864" s="174">
        <f t="shared" si="52"/>
        <v>3863</v>
      </c>
      <c r="B3864" s="163">
        <v>45859</v>
      </c>
      <c r="C3864" s="164">
        <v>0.7408217592592593</v>
      </c>
      <c r="D3864" s="159">
        <v>10</v>
      </c>
      <c r="E3864" s="166" t="s">
        <v>3528</v>
      </c>
    </row>
    <row r="3865" spans="1:5" ht="54">
      <c r="A3865" s="174">
        <f t="shared" si="52"/>
        <v>3864</v>
      </c>
      <c r="B3865" s="163">
        <v>45859</v>
      </c>
      <c r="C3865" s="164">
        <v>0.74023148148148143</v>
      </c>
      <c r="D3865" s="159">
        <v>10</v>
      </c>
      <c r="E3865" s="166" t="s">
        <v>3569</v>
      </c>
    </row>
    <row r="3866" spans="1:5">
      <c r="A3866" s="174">
        <f t="shared" si="52"/>
        <v>3865</v>
      </c>
      <c r="B3866" s="163">
        <v>45859</v>
      </c>
      <c r="C3866" s="164">
        <v>0.73719907407407403</v>
      </c>
      <c r="D3866" s="159">
        <v>10</v>
      </c>
      <c r="E3866" s="166" t="s">
        <v>3529</v>
      </c>
    </row>
    <row r="3867" spans="1:5">
      <c r="A3867" s="174">
        <f t="shared" si="52"/>
        <v>3866</v>
      </c>
      <c r="B3867" s="163">
        <v>45859</v>
      </c>
      <c r="C3867" s="164">
        <v>0.71062499999999995</v>
      </c>
      <c r="D3867" s="159">
        <v>10</v>
      </c>
      <c r="E3867" s="166" t="s">
        <v>418</v>
      </c>
    </row>
    <row r="3868" spans="1:5">
      <c r="A3868" s="174">
        <f t="shared" si="52"/>
        <v>3867</v>
      </c>
      <c r="B3868" s="163">
        <v>45859</v>
      </c>
      <c r="C3868" s="164">
        <v>0.71060185185185187</v>
      </c>
      <c r="D3868" s="159">
        <v>10</v>
      </c>
      <c r="E3868" s="166" t="s">
        <v>3530</v>
      </c>
    </row>
    <row r="3869" spans="1:5">
      <c r="A3869" s="174">
        <f t="shared" si="52"/>
        <v>3868</v>
      </c>
      <c r="B3869" s="163">
        <v>45859</v>
      </c>
      <c r="C3869" s="164">
        <v>0.70452546296296292</v>
      </c>
      <c r="D3869" s="159">
        <v>10</v>
      </c>
      <c r="E3869" s="166" t="s">
        <v>3531</v>
      </c>
    </row>
    <row r="3870" spans="1:5">
      <c r="A3870" s="174">
        <f t="shared" si="52"/>
        <v>3869</v>
      </c>
      <c r="B3870" s="163">
        <v>45859</v>
      </c>
      <c r="C3870" s="164">
        <v>0.70304398148148151</v>
      </c>
      <c r="D3870" s="159">
        <v>10</v>
      </c>
      <c r="E3870" s="166" t="s">
        <v>3532</v>
      </c>
    </row>
    <row r="3871" spans="1:5">
      <c r="A3871" s="174">
        <f t="shared" si="52"/>
        <v>3870</v>
      </c>
      <c r="B3871" s="163">
        <v>45859</v>
      </c>
      <c r="C3871" s="164">
        <v>0.70200231481481479</v>
      </c>
      <c r="D3871" s="159">
        <v>10</v>
      </c>
      <c r="E3871" s="166" t="s">
        <v>215</v>
      </c>
    </row>
    <row r="3872" spans="1:5">
      <c r="A3872" s="174">
        <f t="shared" si="52"/>
        <v>3871</v>
      </c>
      <c r="B3872" s="163">
        <v>45859</v>
      </c>
      <c r="C3872" s="164">
        <v>0.69569444444444439</v>
      </c>
      <c r="D3872" s="159">
        <v>10</v>
      </c>
      <c r="E3872" s="166" t="s">
        <v>3533</v>
      </c>
    </row>
    <row r="3873" spans="1:5">
      <c r="A3873" s="174">
        <f t="shared" si="52"/>
        <v>3872</v>
      </c>
      <c r="B3873" s="163">
        <v>45859</v>
      </c>
      <c r="C3873" s="164">
        <v>0.69489583333333327</v>
      </c>
      <c r="D3873" s="159">
        <v>10</v>
      </c>
      <c r="E3873" s="166" t="s">
        <v>3534</v>
      </c>
    </row>
    <row r="3874" spans="1:5">
      <c r="A3874" s="174">
        <f t="shared" si="52"/>
        <v>3873</v>
      </c>
      <c r="B3874" s="163">
        <v>45859</v>
      </c>
      <c r="C3874" s="164">
        <v>0.6912962962962963</v>
      </c>
      <c r="D3874" s="159">
        <v>10</v>
      </c>
      <c r="E3874" s="166" t="s">
        <v>3535</v>
      </c>
    </row>
    <row r="3875" spans="1:5">
      <c r="A3875" s="174">
        <f t="shared" si="52"/>
        <v>3874</v>
      </c>
      <c r="B3875" s="163">
        <v>45859</v>
      </c>
      <c r="C3875" s="164">
        <v>0.69059027777777782</v>
      </c>
      <c r="D3875" s="159">
        <v>10</v>
      </c>
      <c r="E3875" s="166" t="s">
        <v>3536</v>
      </c>
    </row>
    <row r="3876" spans="1:5">
      <c r="A3876" s="174">
        <f t="shared" si="52"/>
        <v>3875</v>
      </c>
      <c r="B3876" s="163">
        <v>45859</v>
      </c>
      <c r="C3876" s="164">
        <v>0.69015046296296301</v>
      </c>
      <c r="D3876" s="159">
        <v>10</v>
      </c>
      <c r="E3876" s="166" t="s">
        <v>3537</v>
      </c>
    </row>
    <row r="3877" spans="1:5">
      <c r="A3877" s="174">
        <f t="shared" si="52"/>
        <v>3876</v>
      </c>
      <c r="B3877" s="163">
        <v>45859</v>
      </c>
      <c r="C3877" s="164">
        <v>0.68366898148148147</v>
      </c>
      <c r="D3877" s="159">
        <v>10</v>
      </c>
      <c r="E3877" s="166" t="s">
        <v>3538</v>
      </c>
    </row>
    <row r="3878" spans="1:5">
      <c r="A3878" s="174">
        <f t="shared" si="52"/>
        <v>3877</v>
      </c>
      <c r="B3878" s="163">
        <v>45859</v>
      </c>
      <c r="C3878" s="164">
        <v>0.68300925925925926</v>
      </c>
      <c r="D3878" s="159">
        <v>10</v>
      </c>
      <c r="E3878" s="166" t="s">
        <v>3539</v>
      </c>
    </row>
    <row r="3879" spans="1:5">
      <c r="A3879" s="174">
        <f t="shared" si="52"/>
        <v>3878</v>
      </c>
      <c r="B3879" s="163">
        <v>45859</v>
      </c>
      <c r="C3879" s="164">
        <v>0.67848379629629629</v>
      </c>
      <c r="D3879" s="159">
        <v>10</v>
      </c>
      <c r="E3879" s="166" t="s">
        <v>3540</v>
      </c>
    </row>
    <row r="3880" spans="1:5">
      <c r="A3880" s="174">
        <f t="shared" si="52"/>
        <v>3879</v>
      </c>
      <c r="B3880" s="163">
        <v>45859</v>
      </c>
      <c r="C3880" s="164">
        <v>0.67793981481481491</v>
      </c>
      <c r="D3880" s="159">
        <v>10</v>
      </c>
      <c r="E3880" s="166" t="s">
        <v>3541</v>
      </c>
    </row>
    <row r="3881" spans="1:5">
      <c r="A3881" s="174">
        <f t="shared" si="52"/>
        <v>3880</v>
      </c>
      <c r="B3881" s="163">
        <v>45859</v>
      </c>
      <c r="C3881" s="164">
        <v>0.67038194444444443</v>
      </c>
      <c r="D3881" s="159">
        <v>10</v>
      </c>
      <c r="E3881" s="166" t="s">
        <v>3542</v>
      </c>
    </row>
    <row r="3882" spans="1:5">
      <c r="A3882" s="174">
        <f t="shared" si="52"/>
        <v>3881</v>
      </c>
      <c r="B3882" s="163">
        <v>45859</v>
      </c>
      <c r="C3882" s="164">
        <v>0.66407407407407404</v>
      </c>
      <c r="D3882" s="159">
        <v>10</v>
      </c>
      <c r="E3882" s="166" t="s">
        <v>3543</v>
      </c>
    </row>
    <row r="3883" spans="1:5">
      <c r="A3883" s="174">
        <f t="shared" si="52"/>
        <v>3882</v>
      </c>
      <c r="B3883" s="163">
        <v>45859</v>
      </c>
      <c r="C3883" s="164">
        <v>0.65709490740740739</v>
      </c>
      <c r="D3883" s="159">
        <v>10</v>
      </c>
      <c r="E3883" s="166" t="s">
        <v>3544</v>
      </c>
    </row>
    <row r="3884" spans="1:5">
      <c r="A3884" s="174">
        <f t="shared" si="52"/>
        <v>3883</v>
      </c>
      <c r="B3884" s="163">
        <v>45859</v>
      </c>
      <c r="C3884" s="164">
        <v>0.64971064814814816</v>
      </c>
      <c r="D3884" s="159">
        <v>10</v>
      </c>
      <c r="E3884" s="166" t="s">
        <v>3545</v>
      </c>
    </row>
    <row r="3885" spans="1:5">
      <c r="A3885" s="174">
        <f t="shared" si="52"/>
        <v>3884</v>
      </c>
      <c r="B3885" s="163">
        <v>45859</v>
      </c>
      <c r="C3885" s="164">
        <v>0.64109953703703704</v>
      </c>
      <c r="D3885" s="159">
        <v>10</v>
      </c>
      <c r="E3885" s="166" t="s">
        <v>3546</v>
      </c>
    </row>
    <row r="3886" spans="1:5">
      <c r="A3886" s="174">
        <f t="shared" si="52"/>
        <v>3885</v>
      </c>
      <c r="B3886" s="163">
        <v>45859</v>
      </c>
      <c r="C3886" s="164">
        <v>0.62188657407407411</v>
      </c>
      <c r="D3886" s="159">
        <v>10</v>
      </c>
      <c r="E3886" s="166" t="s">
        <v>3547</v>
      </c>
    </row>
    <row r="3887" spans="1:5">
      <c r="A3887" s="174">
        <f t="shared" si="52"/>
        <v>3886</v>
      </c>
      <c r="B3887" s="163">
        <v>45859</v>
      </c>
      <c r="C3887" s="164">
        <v>0.60662037037037042</v>
      </c>
      <c r="D3887" s="159">
        <v>10</v>
      </c>
      <c r="E3887" s="166" t="s">
        <v>3548</v>
      </c>
    </row>
    <row r="3888" spans="1:5">
      <c r="A3888" s="174">
        <f t="shared" si="52"/>
        <v>3887</v>
      </c>
      <c r="B3888" s="163">
        <v>45859</v>
      </c>
      <c r="C3888" s="164">
        <v>0.60563657407407401</v>
      </c>
      <c r="D3888" s="159">
        <v>10</v>
      </c>
      <c r="E3888" s="166" t="s">
        <v>3549</v>
      </c>
    </row>
    <row r="3889" spans="1:5" ht="27">
      <c r="A3889" s="174">
        <f t="shared" si="52"/>
        <v>3888</v>
      </c>
      <c r="B3889" s="163">
        <v>45859</v>
      </c>
      <c r="C3889" s="164">
        <v>0.59425925925925926</v>
      </c>
      <c r="D3889" s="159">
        <v>10</v>
      </c>
      <c r="E3889" s="166" t="s">
        <v>3568</v>
      </c>
    </row>
    <row r="3890" spans="1:5">
      <c r="A3890" s="174">
        <f t="shared" si="52"/>
        <v>3889</v>
      </c>
      <c r="B3890" s="163">
        <v>45859</v>
      </c>
      <c r="C3890" s="164">
        <v>0.57866898148148149</v>
      </c>
      <c r="D3890" s="159">
        <v>10</v>
      </c>
      <c r="E3890" s="166" t="s">
        <v>3550</v>
      </c>
    </row>
    <row r="3891" spans="1:5">
      <c r="A3891" s="174">
        <f t="shared" si="52"/>
        <v>3890</v>
      </c>
      <c r="B3891" s="163">
        <v>45859</v>
      </c>
      <c r="C3891" s="164">
        <v>0.57251157407407405</v>
      </c>
      <c r="D3891" s="159">
        <v>10</v>
      </c>
      <c r="E3891" s="166" t="s">
        <v>3551</v>
      </c>
    </row>
    <row r="3892" spans="1:5">
      <c r="A3892" s="174">
        <f t="shared" si="52"/>
        <v>3891</v>
      </c>
      <c r="B3892" s="163">
        <v>45859</v>
      </c>
      <c r="C3892" s="164">
        <v>0.55912037037037032</v>
      </c>
      <c r="D3892" s="159">
        <v>10</v>
      </c>
      <c r="E3892" s="166" t="s">
        <v>273</v>
      </c>
    </row>
    <row r="3893" spans="1:5">
      <c r="A3893" s="174">
        <f t="shared" ref="A3893:A3956" si="53">ROW()-1</f>
        <v>3892</v>
      </c>
      <c r="B3893" s="163">
        <v>45859</v>
      </c>
      <c r="C3893" s="164">
        <v>0.55734953703703705</v>
      </c>
      <c r="D3893" s="159">
        <v>10</v>
      </c>
      <c r="E3893" s="166" t="s">
        <v>3552</v>
      </c>
    </row>
    <row r="3894" spans="1:5">
      <c r="A3894" s="174">
        <f t="shared" si="53"/>
        <v>3893</v>
      </c>
      <c r="B3894" s="163">
        <v>45859</v>
      </c>
      <c r="C3894" s="164">
        <v>0.55655092592592592</v>
      </c>
      <c r="D3894" s="159">
        <v>10</v>
      </c>
      <c r="E3894" s="166" t="s">
        <v>3553</v>
      </c>
    </row>
    <row r="3895" spans="1:5">
      <c r="A3895" s="174">
        <f t="shared" si="53"/>
        <v>3894</v>
      </c>
      <c r="B3895" s="163">
        <v>45859</v>
      </c>
      <c r="C3895" s="164">
        <v>0.53087962962962965</v>
      </c>
      <c r="D3895" s="159">
        <v>10</v>
      </c>
      <c r="E3895" s="166" t="s">
        <v>3554</v>
      </c>
    </row>
    <row r="3896" spans="1:5">
      <c r="A3896" s="174">
        <f t="shared" si="53"/>
        <v>3895</v>
      </c>
      <c r="B3896" s="163">
        <v>45859</v>
      </c>
      <c r="C3896" s="164">
        <v>0.48868055555555556</v>
      </c>
      <c r="D3896" s="159">
        <v>10</v>
      </c>
      <c r="E3896" s="166" t="s">
        <v>3555</v>
      </c>
    </row>
    <row r="3897" spans="1:5">
      <c r="A3897" s="174">
        <f t="shared" si="53"/>
        <v>3896</v>
      </c>
      <c r="B3897" s="163">
        <v>45859</v>
      </c>
      <c r="C3897" s="164">
        <v>0.48424768518518518</v>
      </c>
      <c r="D3897" s="159">
        <v>10</v>
      </c>
      <c r="E3897" s="166" t="s">
        <v>3556</v>
      </c>
    </row>
    <row r="3898" spans="1:5">
      <c r="A3898" s="174">
        <f t="shared" si="53"/>
        <v>3897</v>
      </c>
      <c r="B3898" s="163">
        <v>45859</v>
      </c>
      <c r="C3898" s="164">
        <v>0.4808912037037037</v>
      </c>
      <c r="D3898" s="159">
        <v>10</v>
      </c>
      <c r="E3898" s="166" t="s">
        <v>3557</v>
      </c>
    </row>
    <row r="3899" spans="1:5">
      <c r="A3899" s="174">
        <f t="shared" si="53"/>
        <v>3898</v>
      </c>
      <c r="B3899" s="163">
        <v>45859</v>
      </c>
      <c r="C3899" s="164">
        <v>0.46839120370370368</v>
      </c>
      <c r="D3899" s="159">
        <v>10</v>
      </c>
      <c r="E3899" s="166" t="s">
        <v>3558</v>
      </c>
    </row>
    <row r="3900" spans="1:5">
      <c r="A3900" s="174">
        <f t="shared" si="53"/>
        <v>3899</v>
      </c>
      <c r="B3900" s="163">
        <v>45859</v>
      </c>
      <c r="C3900" s="164">
        <v>0.46100694444444446</v>
      </c>
      <c r="D3900" s="159">
        <v>10</v>
      </c>
      <c r="E3900" s="166" t="s">
        <v>2277</v>
      </c>
    </row>
    <row r="3901" spans="1:5">
      <c r="A3901" s="174">
        <f t="shared" si="53"/>
        <v>3900</v>
      </c>
      <c r="B3901" s="163">
        <v>45859</v>
      </c>
      <c r="C3901" s="164">
        <v>0.45840277777777777</v>
      </c>
      <c r="D3901" s="159">
        <v>10</v>
      </c>
      <c r="E3901" s="166" t="s">
        <v>3567</v>
      </c>
    </row>
    <row r="3902" spans="1:5">
      <c r="A3902" s="174">
        <f t="shared" si="53"/>
        <v>3901</v>
      </c>
      <c r="B3902" s="163">
        <v>45859</v>
      </c>
      <c r="C3902" s="164">
        <v>0.43584490740740739</v>
      </c>
      <c r="D3902" s="159">
        <v>10</v>
      </c>
      <c r="E3902" s="166" t="s">
        <v>3559</v>
      </c>
    </row>
    <row r="3903" spans="1:5">
      <c r="A3903" s="174">
        <f t="shared" si="53"/>
        <v>3902</v>
      </c>
      <c r="B3903" s="163">
        <v>45859</v>
      </c>
      <c r="C3903" s="164">
        <v>0.4286342592592593</v>
      </c>
      <c r="D3903" s="159">
        <v>10</v>
      </c>
      <c r="E3903" s="166" t="s">
        <v>246</v>
      </c>
    </row>
    <row r="3904" spans="1:5">
      <c r="A3904" s="174">
        <f t="shared" si="53"/>
        <v>3903</v>
      </c>
      <c r="B3904" s="163">
        <v>45859</v>
      </c>
      <c r="C3904" s="164">
        <v>0.42664351851851851</v>
      </c>
      <c r="D3904" s="159">
        <v>10</v>
      </c>
      <c r="E3904" s="166" t="s">
        <v>1291</v>
      </c>
    </row>
    <row r="3905" spans="1:5">
      <c r="A3905" s="174">
        <f t="shared" si="53"/>
        <v>3904</v>
      </c>
      <c r="B3905" s="163">
        <v>45859</v>
      </c>
      <c r="C3905" s="164">
        <v>0.42141203703703706</v>
      </c>
      <c r="D3905" s="159">
        <v>10</v>
      </c>
      <c r="E3905" s="166" t="s">
        <v>3560</v>
      </c>
    </row>
    <row r="3906" spans="1:5">
      <c r="A3906" s="174">
        <f t="shared" si="53"/>
        <v>3905</v>
      </c>
      <c r="B3906" s="163">
        <v>45859</v>
      </c>
      <c r="C3906" s="164">
        <v>0.41208333333333336</v>
      </c>
      <c r="D3906" s="159">
        <v>10</v>
      </c>
      <c r="E3906" s="166" t="s">
        <v>3561</v>
      </c>
    </row>
    <row r="3907" spans="1:5">
      <c r="A3907" s="174">
        <f t="shared" si="53"/>
        <v>3906</v>
      </c>
      <c r="B3907" s="163">
        <v>45859</v>
      </c>
      <c r="C3907" s="164">
        <v>0.40591435185185182</v>
      </c>
      <c r="D3907" s="159">
        <v>10</v>
      </c>
      <c r="E3907" s="166" t="s">
        <v>3562</v>
      </c>
    </row>
    <row r="3908" spans="1:5">
      <c r="A3908" s="174">
        <f t="shared" si="53"/>
        <v>3907</v>
      </c>
      <c r="B3908" s="163">
        <v>45859</v>
      </c>
      <c r="C3908" s="164">
        <v>0.40405092592592595</v>
      </c>
      <c r="D3908" s="159">
        <v>10</v>
      </c>
      <c r="E3908" s="166" t="s">
        <v>3563</v>
      </c>
    </row>
    <row r="3909" spans="1:5">
      <c r="A3909" s="174">
        <f t="shared" si="53"/>
        <v>3908</v>
      </c>
      <c r="B3909" s="163">
        <v>45859</v>
      </c>
      <c r="C3909" s="164">
        <v>0.39831018518518518</v>
      </c>
      <c r="D3909" s="159">
        <v>10</v>
      </c>
      <c r="E3909" s="166" t="s">
        <v>3564</v>
      </c>
    </row>
    <row r="3910" spans="1:5">
      <c r="A3910" s="174">
        <f t="shared" si="53"/>
        <v>3909</v>
      </c>
      <c r="B3910" s="163">
        <v>45859</v>
      </c>
      <c r="C3910" s="164">
        <v>0.39531250000000001</v>
      </c>
      <c r="D3910" s="159">
        <v>10</v>
      </c>
      <c r="E3910" s="166" t="s">
        <v>3565</v>
      </c>
    </row>
    <row r="3911" spans="1:5">
      <c r="A3911" s="174">
        <f t="shared" si="53"/>
        <v>3910</v>
      </c>
      <c r="B3911" s="163">
        <v>45859</v>
      </c>
      <c r="C3911" s="164">
        <v>0.3873611111111111</v>
      </c>
      <c r="D3911" s="159">
        <v>10</v>
      </c>
      <c r="E3911" s="166" t="s">
        <v>3566</v>
      </c>
    </row>
    <row r="3912" spans="1:5">
      <c r="A3912" s="174">
        <f t="shared" si="53"/>
        <v>3911</v>
      </c>
      <c r="B3912" s="163">
        <v>45860</v>
      </c>
      <c r="C3912" s="164">
        <v>0.91119212962962959</v>
      </c>
      <c r="D3912" s="159">
        <v>10</v>
      </c>
      <c r="E3912" s="166" t="s">
        <v>3571</v>
      </c>
    </row>
    <row r="3913" spans="1:5">
      <c r="A3913" s="174">
        <f t="shared" si="53"/>
        <v>3912</v>
      </c>
      <c r="B3913" s="163">
        <v>45860</v>
      </c>
      <c r="C3913" s="164">
        <v>0.90303240740740742</v>
      </c>
      <c r="D3913" s="159">
        <v>10</v>
      </c>
      <c r="E3913" s="166" t="s">
        <v>3572</v>
      </c>
    </row>
    <row r="3914" spans="1:5">
      <c r="A3914" s="174">
        <f t="shared" si="53"/>
        <v>3913</v>
      </c>
      <c r="B3914" s="163">
        <v>45860</v>
      </c>
      <c r="C3914" s="164">
        <v>0.86409722222222218</v>
      </c>
      <c r="D3914" s="159">
        <v>10</v>
      </c>
      <c r="E3914" s="166" t="s">
        <v>3573</v>
      </c>
    </row>
    <row r="3915" spans="1:5">
      <c r="A3915" s="174">
        <f t="shared" si="53"/>
        <v>3914</v>
      </c>
      <c r="B3915" s="163">
        <v>45860</v>
      </c>
      <c r="C3915" s="164">
        <v>0.82248842592592597</v>
      </c>
      <c r="D3915" s="159">
        <v>10</v>
      </c>
      <c r="E3915" s="166" t="s">
        <v>3574</v>
      </c>
    </row>
    <row r="3916" spans="1:5">
      <c r="A3916" s="174">
        <f t="shared" si="53"/>
        <v>3915</v>
      </c>
      <c r="B3916" s="163">
        <v>45860</v>
      </c>
      <c r="C3916" s="164">
        <v>0.76016203703703711</v>
      </c>
      <c r="D3916" s="159">
        <v>10</v>
      </c>
      <c r="E3916" s="166" t="s">
        <v>3575</v>
      </c>
    </row>
    <row r="3917" spans="1:5" ht="27">
      <c r="A3917" s="174">
        <f t="shared" si="53"/>
        <v>3916</v>
      </c>
      <c r="B3917" s="163">
        <v>45860</v>
      </c>
      <c r="C3917" s="164">
        <v>0.74954861111111104</v>
      </c>
      <c r="D3917" s="159">
        <v>10</v>
      </c>
      <c r="E3917" s="166" t="s">
        <v>3576</v>
      </c>
    </row>
    <row r="3918" spans="1:5">
      <c r="A3918" s="174">
        <f t="shared" si="53"/>
        <v>3917</v>
      </c>
      <c r="B3918" s="163">
        <v>45860</v>
      </c>
      <c r="C3918" s="164">
        <v>0.74659722222222225</v>
      </c>
      <c r="D3918" s="159">
        <v>10</v>
      </c>
      <c r="E3918" s="166" t="s">
        <v>1042</v>
      </c>
    </row>
    <row r="3919" spans="1:5">
      <c r="A3919" s="174">
        <f t="shared" si="53"/>
        <v>3918</v>
      </c>
      <c r="B3919" s="163">
        <v>45860</v>
      </c>
      <c r="C3919" s="164">
        <v>0.74553240740740734</v>
      </c>
      <c r="D3919" s="159">
        <v>10</v>
      </c>
      <c r="E3919" s="166" t="s">
        <v>3577</v>
      </c>
    </row>
    <row r="3920" spans="1:5">
      <c r="A3920" s="174">
        <f t="shared" si="53"/>
        <v>3919</v>
      </c>
      <c r="B3920" s="163">
        <v>45860</v>
      </c>
      <c r="C3920" s="164">
        <v>0.73871527777777779</v>
      </c>
      <c r="D3920" s="159">
        <v>10</v>
      </c>
      <c r="E3920" s="166" t="s">
        <v>3578</v>
      </c>
    </row>
    <row r="3921" spans="1:5">
      <c r="A3921" s="174">
        <f t="shared" si="53"/>
        <v>3920</v>
      </c>
      <c r="B3921" s="163">
        <v>45860</v>
      </c>
      <c r="C3921" s="164">
        <v>0.73854166666666676</v>
      </c>
      <c r="D3921" s="159">
        <v>10</v>
      </c>
      <c r="E3921" s="166" t="s">
        <v>3579</v>
      </c>
    </row>
    <row r="3922" spans="1:5" ht="27">
      <c r="A3922" s="174">
        <f t="shared" si="53"/>
        <v>3921</v>
      </c>
      <c r="B3922" s="163">
        <v>45860</v>
      </c>
      <c r="C3922" s="164">
        <v>0.72535879629629629</v>
      </c>
      <c r="D3922" s="159">
        <v>10</v>
      </c>
      <c r="E3922" s="166" t="s">
        <v>3610</v>
      </c>
    </row>
    <row r="3923" spans="1:5">
      <c r="A3923" s="174">
        <f t="shared" si="53"/>
        <v>3922</v>
      </c>
      <c r="B3923" s="163">
        <v>45860</v>
      </c>
      <c r="C3923" s="164">
        <v>0.72047453703703701</v>
      </c>
      <c r="D3923" s="159">
        <v>10</v>
      </c>
      <c r="E3923" s="166" t="s">
        <v>3580</v>
      </c>
    </row>
    <row r="3924" spans="1:5">
      <c r="A3924" s="174">
        <f t="shared" si="53"/>
        <v>3923</v>
      </c>
      <c r="B3924" s="163">
        <v>45860</v>
      </c>
      <c r="C3924" s="164">
        <v>0.71942129629629636</v>
      </c>
      <c r="D3924" s="159">
        <v>10</v>
      </c>
      <c r="E3924" s="166" t="s">
        <v>3581</v>
      </c>
    </row>
    <row r="3925" spans="1:5">
      <c r="A3925" s="174">
        <f t="shared" si="53"/>
        <v>3924</v>
      </c>
      <c r="B3925" s="163">
        <v>45860</v>
      </c>
      <c r="C3925" s="164">
        <v>0.71152777777777787</v>
      </c>
      <c r="D3925" s="159">
        <v>10</v>
      </c>
      <c r="E3925" s="166" t="s">
        <v>3582</v>
      </c>
    </row>
    <row r="3926" spans="1:5">
      <c r="A3926" s="174">
        <f t="shared" si="53"/>
        <v>3925</v>
      </c>
      <c r="B3926" s="163">
        <v>45860</v>
      </c>
      <c r="C3926" s="164">
        <v>0.69695601851851852</v>
      </c>
      <c r="D3926" s="159">
        <v>10</v>
      </c>
      <c r="E3926" s="166" t="s">
        <v>3583</v>
      </c>
    </row>
    <row r="3927" spans="1:5">
      <c r="A3927" s="174">
        <f t="shared" si="53"/>
        <v>3926</v>
      </c>
      <c r="B3927" s="163">
        <v>45860</v>
      </c>
      <c r="C3927" s="164">
        <v>0.68665509259259261</v>
      </c>
      <c r="D3927" s="159">
        <v>10</v>
      </c>
      <c r="E3927" s="166" t="s">
        <v>3584</v>
      </c>
    </row>
    <row r="3928" spans="1:5">
      <c r="A3928" s="174">
        <f t="shared" si="53"/>
        <v>3927</v>
      </c>
      <c r="B3928" s="163">
        <v>45860</v>
      </c>
      <c r="C3928" s="164">
        <v>0.66421296296296295</v>
      </c>
      <c r="D3928" s="159">
        <v>10</v>
      </c>
      <c r="E3928" s="166" t="s">
        <v>246</v>
      </c>
    </row>
    <row r="3929" spans="1:5">
      <c r="A3929" s="174">
        <f t="shared" si="53"/>
        <v>3928</v>
      </c>
      <c r="B3929" s="163">
        <v>45860</v>
      </c>
      <c r="C3929" s="164">
        <v>0.65621527777777777</v>
      </c>
      <c r="D3929" s="159">
        <v>10</v>
      </c>
      <c r="E3929" s="166" t="s">
        <v>3585</v>
      </c>
    </row>
    <row r="3930" spans="1:5">
      <c r="A3930" s="174">
        <f t="shared" si="53"/>
        <v>3929</v>
      </c>
      <c r="B3930" s="163">
        <v>45860</v>
      </c>
      <c r="C3930" s="164">
        <v>0.63385416666666672</v>
      </c>
      <c r="D3930" s="159">
        <v>10</v>
      </c>
      <c r="E3930" s="166" t="s">
        <v>3586</v>
      </c>
    </row>
    <row r="3931" spans="1:5">
      <c r="A3931" s="174">
        <f t="shared" si="53"/>
        <v>3930</v>
      </c>
      <c r="B3931" s="163">
        <v>45860</v>
      </c>
      <c r="C3931" s="164">
        <v>0.63334490740740745</v>
      </c>
      <c r="D3931" s="159">
        <v>10</v>
      </c>
      <c r="E3931" s="166" t="s">
        <v>3587</v>
      </c>
    </row>
    <row r="3932" spans="1:5">
      <c r="A3932" s="174">
        <f t="shared" si="53"/>
        <v>3931</v>
      </c>
      <c r="B3932" s="163">
        <v>45860</v>
      </c>
      <c r="C3932" s="164">
        <v>0.63159722222222225</v>
      </c>
      <c r="D3932" s="159">
        <v>10</v>
      </c>
      <c r="E3932" s="166" t="s">
        <v>3588</v>
      </c>
    </row>
    <row r="3933" spans="1:5">
      <c r="A3933" s="174">
        <f t="shared" si="53"/>
        <v>3932</v>
      </c>
      <c r="B3933" s="163">
        <v>45860</v>
      </c>
      <c r="C3933" s="164">
        <v>0.62891203703703702</v>
      </c>
      <c r="D3933" s="159">
        <v>10</v>
      </c>
      <c r="E3933" s="166" t="s">
        <v>3589</v>
      </c>
    </row>
    <row r="3934" spans="1:5">
      <c r="A3934" s="174">
        <f t="shared" si="53"/>
        <v>3933</v>
      </c>
      <c r="B3934" s="163">
        <v>45860</v>
      </c>
      <c r="C3934" s="164">
        <v>0.62738425925925922</v>
      </c>
      <c r="D3934" s="159">
        <v>10</v>
      </c>
      <c r="E3934" s="166" t="s">
        <v>3590</v>
      </c>
    </row>
    <row r="3935" spans="1:5">
      <c r="A3935" s="174">
        <f t="shared" si="53"/>
        <v>3934</v>
      </c>
      <c r="B3935" s="163">
        <v>45860</v>
      </c>
      <c r="C3935" s="164">
        <v>0.62653935185185183</v>
      </c>
      <c r="D3935" s="159">
        <v>10</v>
      </c>
      <c r="E3935" s="166" t="s">
        <v>3591</v>
      </c>
    </row>
    <row r="3936" spans="1:5">
      <c r="A3936" s="174">
        <f t="shared" si="53"/>
        <v>3935</v>
      </c>
      <c r="B3936" s="163">
        <v>45860</v>
      </c>
      <c r="C3936" s="164">
        <v>0.61399305555555561</v>
      </c>
      <c r="D3936" s="159">
        <v>10</v>
      </c>
      <c r="E3936" s="166" t="s">
        <v>3592</v>
      </c>
    </row>
    <row r="3937" spans="1:5">
      <c r="A3937" s="174">
        <f t="shared" si="53"/>
        <v>3936</v>
      </c>
      <c r="B3937" s="163">
        <v>45860</v>
      </c>
      <c r="C3937" s="164">
        <v>0.61420138888888887</v>
      </c>
      <c r="D3937" s="159">
        <v>10</v>
      </c>
      <c r="E3937" s="166" t="s">
        <v>3593</v>
      </c>
    </row>
    <row r="3938" spans="1:5">
      <c r="A3938" s="174">
        <f t="shared" si="53"/>
        <v>3937</v>
      </c>
      <c r="B3938" s="163">
        <v>45860</v>
      </c>
      <c r="C3938" s="164">
        <v>0.60824074074074075</v>
      </c>
      <c r="D3938" s="159">
        <v>10</v>
      </c>
      <c r="E3938" s="166" t="s">
        <v>3594</v>
      </c>
    </row>
    <row r="3939" spans="1:5">
      <c r="A3939" s="174">
        <f t="shared" si="53"/>
        <v>3938</v>
      </c>
      <c r="B3939" s="163">
        <v>45860</v>
      </c>
      <c r="C3939" s="164">
        <v>0.6068634259259259</v>
      </c>
      <c r="D3939" s="159">
        <v>10</v>
      </c>
      <c r="E3939" s="166" t="s">
        <v>3595</v>
      </c>
    </row>
    <row r="3940" spans="1:5" ht="27">
      <c r="A3940" s="174">
        <f t="shared" si="53"/>
        <v>3939</v>
      </c>
      <c r="B3940" s="163">
        <v>45860</v>
      </c>
      <c r="C3940" s="164">
        <v>0.60135416666666663</v>
      </c>
      <c r="D3940" s="159">
        <v>10</v>
      </c>
      <c r="E3940" s="166" t="s">
        <v>3609</v>
      </c>
    </row>
    <row r="3941" spans="1:5">
      <c r="A3941" s="174">
        <f t="shared" si="53"/>
        <v>3940</v>
      </c>
      <c r="B3941" s="163">
        <v>45860</v>
      </c>
      <c r="C3941" s="164">
        <v>0.59745370370370365</v>
      </c>
      <c r="D3941" s="159">
        <v>10</v>
      </c>
      <c r="E3941" s="166" t="s">
        <v>3596</v>
      </c>
    </row>
    <row r="3942" spans="1:5">
      <c r="A3942" s="174">
        <f t="shared" si="53"/>
        <v>3941</v>
      </c>
      <c r="B3942" s="163">
        <v>45860</v>
      </c>
      <c r="C3942" s="164">
        <v>0.5864583333333333</v>
      </c>
      <c r="D3942" s="159">
        <v>10</v>
      </c>
      <c r="E3942" s="166" t="s">
        <v>3597</v>
      </c>
    </row>
    <row r="3943" spans="1:5">
      <c r="A3943" s="174">
        <f t="shared" si="53"/>
        <v>3942</v>
      </c>
      <c r="B3943" s="163">
        <v>45860</v>
      </c>
      <c r="C3943" s="164">
        <v>0.5549074074074074</v>
      </c>
      <c r="D3943" s="159">
        <v>10</v>
      </c>
      <c r="E3943" s="166" t="s">
        <v>3598</v>
      </c>
    </row>
    <row r="3944" spans="1:5">
      <c r="A3944" s="174">
        <f t="shared" si="53"/>
        <v>3943</v>
      </c>
      <c r="B3944" s="163">
        <v>45860</v>
      </c>
      <c r="C3944" s="164">
        <v>0.54901620370370374</v>
      </c>
      <c r="D3944" s="159">
        <v>10</v>
      </c>
      <c r="E3944" s="166" t="s">
        <v>246</v>
      </c>
    </row>
    <row r="3945" spans="1:5">
      <c r="A3945" s="174">
        <f t="shared" si="53"/>
        <v>3944</v>
      </c>
      <c r="B3945" s="163">
        <v>45860</v>
      </c>
      <c r="C3945" s="164">
        <v>0.54478009259259264</v>
      </c>
      <c r="D3945" s="159">
        <v>10</v>
      </c>
      <c r="E3945" s="166" t="s">
        <v>3599</v>
      </c>
    </row>
    <row r="3946" spans="1:5" ht="27">
      <c r="A3946" s="174">
        <f t="shared" si="53"/>
        <v>3945</v>
      </c>
      <c r="B3946" s="163">
        <v>45860</v>
      </c>
      <c r="C3946" s="164">
        <v>0.54283564814814811</v>
      </c>
      <c r="D3946" s="159">
        <v>1</v>
      </c>
      <c r="E3946" s="166" t="s">
        <v>3600</v>
      </c>
    </row>
    <row r="3947" spans="1:5">
      <c r="A3947" s="174">
        <f t="shared" si="53"/>
        <v>3946</v>
      </c>
      <c r="B3947" s="163">
        <v>45860</v>
      </c>
      <c r="C3947" s="164">
        <v>0.52618055555555554</v>
      </c>
      <c r="D3947" s="159">
        <v>10</v>
      </c>
      <c r="E3947" s="166" t="s">
        <v>3601</v>
      </c>
    </row>
    <row r="3948" spans="1:5">
      <c r="A3948" s="174">
        <f t="shared" si="53"/>
        <v>3947</v>
      </c>
      <c r="B3948" s="163">
        <v>45860</v>
      </c>
      <c r="C3948" s="164">
        <v>0.5256481481481482</v>
      </c>
      <c r="D3948" s="159">
        <v>10</v>
      </c>
      <c r="E3948" s="166" t="s">
        <v>3602</v>
      </c>
    </row>
    <row r="3949" spans="1:5">
      <c r="A3949" s="174">
        <f t="shared" si="53"/>
        <v>3948</v>
      </c>
      <c r="B3949" s="163">
        <v>45860</v>
      </c>
      <c r="C3949" s="164">
        <v>0.5019675925925926</v>
      </c>
      <c r="D3949" s="159">
        <v>10</v>
      </c>
      <c r="E3949" s="166" t="s">
        <v>3603</v>
      </c>
    </row>
    <row r="3950" spans="1:5">
      <c r="A3950" s="174">
        <f t="shared" si="53"/>
        <v>3949</v>
      </c>
      <c r="B3950" s="163">
        <v>45860</v>
      </c>
      <c r="C3950" s="164">
        <v>0.49824074074074076</v>
      </c>
      <c r="D3950" s="159">
        <v>10</v>
      </c>
      <c r="E3950" s="166" t="s">
        <v>3604</v>
      </c>
    </row>
    <row r="3951" spans="1:5">
      <c r="A3951" s="174">
        <f t="shared" si="53"/>
        <v>3950</v>
      </c>
      <c r="B3951" s="163">
        <v>45860</v>
      </c>
      <c r="C3951" s="164">
        <v>0.45774305555555556</v>
      </c>
      <c r="D3951" s="159">
        <v>10</v>
      </c>
      <c r="E3951" s="166" t="s">
        <v>3605</v>
      </c>
    </row>
    <row r="3952" spans="1:5">
      <c r="A3952" s="174">
        <f t="shared" si="53"/>
        <v>3951</v>
      </c>
      <c r="B3952" s="163">
        <v>45860</v>
      </c>
      <c r="C3952" s="164">
        <v>0.44224537037037037</v>
      </c>
      <c r="D3952" s="159">
        <v>10</v>
      </c>
      <c r="E3952" s="166" t="s">
        <v>3606</v>
      </c>
    </row>
    <row r="3953" spans="1:5">
      <c r="A3953" s="174">
        <f t="shared" si="53"/>
        <v>3952</v>
      </c>
      <c r="B3953" s="163">
        <v>45860</v>
      </c>
      <c r="C3953" s="164">
        <v>0.4168055555555556</v>
      </c>
      <c r="D3953" s="159">
        <v>10</v>
      </c>
      <c r="E3953" s="166" t="s">
        <v>3607</v>
      </c>
    </row>
    <row r="3954" spans="1:5" ht="27">
      <c r="A3954" s="174">
        <f t="shared" si="53"/>
        <v>3953</v>
      </c>
      <c r="B3954" s="163">
        <v>45860</v>
      </c>
      <c r="C3954" s="164">
        <v>0.39892361111111113</v>
      </c>
      <c r="D3954" s="159">
        <v>10</v>
      </c>
      <c r="E3954" s="166" t="s">
        <v>3608</v>
      </c>
    </row>
    <row r="3955" spans="1:5">
      <c r="A3955" s="174">
        <f t="shared" si="53"/>
        <v>3954</v>
      </c>
      <c r="B3955" s="163">
        <v>45860</v>
      </c>
      <c r="C3955" s="164">
        <v>0.38284722222222217</v>
      </c>
      <c r="D3955" s="159">
        <v>10</v>
      </c>
      <c r="E3955" s="166" t="s">
        <v>2535</v>
      </c>
    </row>
    <row r="3956" spans="1:5">
      <c r="A3956" s="174">
        <f t="shared" si="53"/>
        <v>3955</v>
      </c>
      <c r="B3956" s="163">
        <v>45861</v>
      </c>
      <c r="C3956" s="164">
        <v>0.90322916666666664</v>
      </c>
      <c r="D3956" s="159">
        <v>10</v>
      </c>
      <c r="E3956" s="166" t="s">
        <v>3611</v>
      </c>
    </row>
    <row r="3957" spans="1:5">
      <c r="A3957" s="174">
        <f t="shared" ref="A3957:A4020" si="54">ROW()-1</f>
        <v>3956</v>
      </c>
      <c r="B3957" s="163">
        <v>45861</v>
      </c>
      <c r="C3957" s="164">
        <v>0.88657407407407407</v>
      </c>
      <c r="D3957" s="159">
        <v>10</v>
      </c>
      <c r="E3957" s="166" t="s">
        <v>448</v>
      </c>
    </row>
    <row r="3958" spans="1:5" ht="27">
      <c r="A3958" s="174">
        <f t="shared" si="54"/>
        <v>3957</v>
      </c>
      <c r="B3958" s="163">
        <v>45861</v>
      </c>
      <c r="C3958" s="164">
        <v>0.88015046296296295</v>
      </c>
      <c r="D3958" s="159">
        <v>10</v>
      </c>
      <c r="E3958" s="166" t="s">
        <v>3647</v>
      </c>
    </row>
    <row r="3959" spans="1:5">
      <c r="A3959" s="174">
        <f t="shared" si="54"/>
        <v>3958</v>
      </c>
      <c r="B3959" s="163">
        <v>45861</v>
      </c>
      <c r="C3959" s="164">
        <v>0.83046296296296296</v>
      </c>
      <c r="D3959" s="159">
        <v>10</v>
      </c>
      <c r="E3959" s="166" t="s">
        <v>3612</v>
      </c>
    </row>
    <row r="3960" spans="1:5">
      <c r="A3960" s="174">
        <f t="shared" si="54"/>
        <v>3959</v>
      </c>
      <c r="B3960" s="163">
        <v>45861</v>
      </c>
      <c r="C3960" s="164">
        <v>0.80531249999999999</v>
      </c>
      <c r="D3960" s="159">
        <v>10</v>
      </c>
      <c r="E3960" s="166" t="s">
        <v>3613</v>
      </c>
    </row>
    <row r="3961" spans="1:5" ht="27">
      <c r="A3961" s="174">
        <f t="shared" si="54"/>
        <v>3960</v>
      </c>
      <c r="B3961" s="163">
        <v>45861</v>
      </c>
      <c r="C3961" s="164">
        <v>0.74474537037037036</v>
      </c>
      <c r="D3961" s="159">
        <v>10</v>
      </c>
      <c r="E3961" s="166" t="s">
        <v>3614</v>
      </c>
    </row>
    <row r="3962" spans="1:5">
      <c r="A3962" s="174">
        <f t="shared" si="54"/>
        <v>3961</v>
      </c>
      <c r="B3962" s="163">
        <v>45861</v>
      </c>
      <c r="C3962" s="164">
        <v>0.74321759259259268</v>
      </c>
      <c r="D3962" s="159">
        <v>10</v>
      </c>
      <c r="E3962" s="166" t="s">
        <v>3615</v>
      </c>
    </row>
    <row r="3963" spans="1:5">
      <c r="A3963" s="174">
        <f t="shared" si="54"/>
        <v>3962</v>
      </c>
      <c r="B3963" s="163">
        <v>45861</v>
      </c>
      <c r="C3963" s="164">
        <v>0.7414236111111111</v>
      </c>
      <c r="D3963" s="159">
        <v>10</v>
      </c>
      <c r="E3963" s="166" t="s">
        <v>3616</v>
      </c>
    </row>
    <row r="3964" spans="1:5">
      <c r="A3964" s="174">
        <f t="shared" si="54"/>
        <v>3963</v>
      </c>
      <c r="B3964" s="163">
        <v>45861</v>
      </c>
      <c r="C3964" s="164">
        <v>0.74197916666666675</v>
      </c>
      <c r="D3964" s="159">
        <v>10</v>
      </c>
      <c r="E3964" s="166" t="s">
        <v>3617</v>
      </c>
    </row>
    <row r="3965" spans="1:5">
      <c r="A3965" s="174">
        <f t="shared" si="54"/>
        <v>3964</v>
      </c>
      <c r="B3965" s="163">
        <v>45861</v>
      </c>
      <c r="C3965" s="164">
        <v>0.74126157407407411</v>
      </c>
      <c r="D3965" s="159">
        <v>10</v>
      </c>
      <c r="E3965" s="166" t="s">
        <v>3618</v>
      </c>
    </row>
    <row r="3966" spans="1:5" ht="40.5">
      <c r="A3966" s="174">
        <f t="shared" si="54"/>
        <v>3965</v>
      </c>
      <c r="B3966" s="163">
        <v>45861</v>
      </c>
      <c r="C3966" s="164">
        <v>0.72082175925925929</v>
      </c>
      <c r="D3966" s="159">
        <v>10</v>
      </c>
      <c r="E3966" s="166" t="s">
        <v>3646</v>
      </c>
    </row>
    <row r="3967" spans="1:5">
      <c r="A3967" s="174">
        <f t="shared" si="54"/>
        <v>3966</v>
      </c>
      <c r="B3967" s="163">
        <v>45861</v>
      </c>
      <c r="C3967" s="164">
        <v>0.69476851851851851</v>
      </c>
      <c r="D3967" s="159">
        <v>10</v>
      </c>
      <c r="E3967" s="166" t="s">
        <v>3619</v>
      </c>
    </row>
    <row r="3968" spans="1:5">
      <c r="A3968" s="174">
        <f t="shared" si="54"/>
        <v>3967</v>
      </c>
      <c r="B3968" s="163">
        <v>45861</v>
      </c>
      <c r="C3968" s="164">
        <v>0.67594907407407412</v>
      </c>
      <c r="D3968" s="159">
        <v>10</v>
      </c>
      <c r="E3968" s="166" t="s">
        <v>3620</v>
      </c>
    </row>
    <row r="3969" spans="1:5">
      <c r="A3969" s="174">
        <f t="shared" si="54"/>
        <v>3968</v>
      </c>
      <c r="B3969" s="163">
        <v>45861</v>
      </c>
      <c r="C3969" s="164">
        <v>0.66745370370370372</v>
      </c>
      <c r="D3969" s="159">
        <v>1</v>
      </c>
      <c r="E3969" s="166" t="s">
        <v>3621</v>
      </c>
    </row>
    <row r="3970" spans="1:5">
      <c r="A3970" s="174">
        <f t="shared" si="54"/>
        <v>3969</v>
      </c>
      <c r="B3970" s="163">
        <v>45861</v>
      </c>
      <c r="C3970" s="164">
        <v>0.62510416666666668</v>
      </c>
      <c r="D3970" s="159">
        <v>10</v>
      </c>
      <c r="E3970" s="166" t="s">
        <v>3622</v>
      </c>
    </row>
    <row r="3971" spans="1:5">
      <c r="A3971" s="174">
        <f t="shared" si="54"/>
        <v>3970</v>
      </c>
      <c r="B3971" s="163">
        <v>45861</v>
      </c>
      <c r="C3971" s="164">
        <v>0.61537037037037035</v>
      </c>
      <c r="D3971" s="159">
        <v>10</v>
      </c>
      <c r="E3971" s="166" t="s">
        <v>3623</v>
      </c>
    </row>
    <row r="3972" spans="1:5">
      <c r="A3972" s="174">
        <f t="shared" si="54"/>
        <v>3971</v>
      </c>
      <c r="B3972" s="163">
        <v>45861</v>
      </c>
      <c r="C3972" s="164">
        <v>0.60826388888888883</v>
      </c>
      <c r="D3972" s="159">
        <v>10</v>
      </c>
      <c r="E3972" s="166" t="s">
        <v>3624</v>
      </c>
    </row>
    <row r="3973" spans="1:5">
      <c r="A3973" s="174">
        <f t="shared" si="54"/>
        <v>3972</v>
      </c>
      <c r="B3973" s="163">
        <v>45861</v>
      </c>
      <c r="C3973" s="164">
        <v>0.59300925925925929</v>
      </c>
      <c r="D3973" s="159">
        <v>10</v>
      </c>
      <c r="E3973" s="166" t="s">
        <v>3625</v>
      </c>
    </row>
    <row r="3974" spans="1:5">
      <c r="A3974" s="174">
        <f t="shared" si="54"/>
        <v>3973</v>
      </c>
      <c r="B3974" s="163">
        <v>45861</v>
      </c>
      <c r="C3974" s="164">
        <v>0.59096064814814808</v>
      </c>
      <c r="D3974" s="159">
        <v>10</v>
      </c>
      <c r="E3974" s="166" t="s">
        <v>3626</v>
      </c>
    </row>
    <row r="3975" spans="1:5">
      <c r="A3975" s="174">
        <f t="shared" si="54"/>
        <v>3974</v>
      </c>
      <c r="B3975" s="163">
        <v>45861</v>
      </c>
      <c r="C3975" s="164">
        <v>0.59023148148148141</v>
      </c>
      <c r="D3975" s="159">
        <v>10</v>
      </c>
      <c r="E3975" s="166" t="s">
        <v>537</v>
      </c>
    </row>
    <row r="3976" spans="1:5">
      <c r="A3976" s="174">
        <f t="shared" si="54"/>
        <v>3975</v>
      </c>
      <c r="B3976" s="163">
        <v>45861</v>
      </c>
      <c r="C3976" s="164">
        <v>0.58209490740740744</v>
      </c>
      <c r="D3976" s="159">
        <v>10</v>
      </c>
      <c r="E3976" s="166" t="s">
        <v>3627</v>
      </c>
    </row>
    <row r="3977" spans="1:5">
      <c r="A3977" s="174">
        <f t="shared" si="54"/>
        <v>3976</v>
      </c>
      <c r="B3977" s="163">
        <v>45861</v>
      </c>
      <c r="C3977" s="164">
        <v>0.57350694444444439</v>
      </c>
      <c r="D3977" s="159">
        <v>10</v>
      </c>
      <c r="E3977" s="166" t="s">
        <v>3628</v>
      </c>
    </row>
    <row r="3978" spans="1:5">
      <c r="A3978" s="174">
        <f t="shared" si="54"/>
        <v>3977</v>
      </c>
      <c r="B3978" s="163">
        <v>45861</v>
      </c>
      <c r="C3978" s="164">
        <v>0.56895833333333334</v>
      </c>
      <c r="D3978" s="159">
        <v>10</v>
      </c>
      <c r="E3978" s="166" t="s">
        <v>3629</v>
      </c>
    </row>
    <row r="3979" spans="1:5">
      <c r="A3979" s="174">
        <f t="shared" si="54"/>
        <v>3978</v>
      </c>
      <c r="B3979" s="163">
        <v>45861</v>
      </c>
      <c r="C3979" s="164">
        <v>0.56597222222222221</v>
      </c>
      <c r="D3979" s="159">
        <v>10</v>
      </c>
      <c r="E3979" s="166" t="s">
        <v>3630</v>
      </c>
    </row>
    <row r="3980" spans="1:5">
      <c r="A3980" s="174">
        <f t="shared" si="54"/>
        <v>3979</v>
      </c>
      <c r="B3980" s="163">
        <v>45861</v>
      </c>
      <c r="C3980" s="164">
        <v>0.5628819444444445</v>
      </c>
      <c r="D3980" s="159">
        <v>10</v>
      </c>
    </row>
    <row r="3981" spans="1:5">
      <c r="A3981" s="174">
        <f t="shared" si="54"/>
        <v>3980</v>
      </c>
      <c r="B3981" s="163">
        <v>45861</v>
      </c>
      <c r="C3981" s="164">
        <v>0.54056712962962961</v>
      </c>
      <c r="D3981" s="159">
        <v>10</v>
      </c>
      <c r="E3981" s="166" t="s">
        <v>770</v>
      </c>
    </row>
    <row r="3982" spans="1:5">
      <c r="A3982" s="174">
        <f t="shared" si="54"/>
        <v>3981</v>
      </c>
      <c r="B3982" s="163">
        <v>45861</v>
      </c>
      <c r="C3982" s="164">
        <v>0.52526620370370369</v>
      </c>
      <c r="D3982" s="159">
        <v>10</v>
      </c>
      <c r="E3982" s="166" t="s">
        <v>3631</v>
      </c>
    </row>
    <row r="3983" spans="1:5" ht="27">
      <c r="A3983" s="174">
        <f t="shared" si="54"/>
        <v>3982</v>
      </c>
      <c r="B3983" s="163">
        <v>45861</v>
      </c>
      <c r="C3983" s="164">
        <v>0.50310185185185186</v>
      </c>
      <c r="D3983" s="159">
        <v>10</v>
      </c>
      <c r="E3983" s="166" t="s">
        <v>3645</v>
      </c>
    </row>
    <row r="3984" spans="1:5">
      <c r="A3984" s="174">
        <f t="shared" si="54"/>
        <v>3983</v>
      </c>
      <c r="B3984" s="163">
        <v>45861</v>
      </c>
      <c r="C3984" s="164">
        <v>0.50094907407407407</v>
      </c>
      <c r="D3984" s="159">
        <v>10</v>
      </c>
      <c r="E3984" s="166" t="s">
        <v>3632</v>
      </c>
    </row>
    <row r="3985" spans="1:5">
      <c r="A3985" s="174">
        <f t="shared" si="54"/>
        <v>3984</v>
      </c>
      <c r="B3985" s="163">
        <v>45861</v>
      </c>
      <c r="C3985" s="164">
        <v>0.49276620370370372</v>
      </c>
      <c r="D3985" s="159">
        <v>10</v>
      </c>
      <c r="E3985" s="166" t="s">
        <v>3633</v>
      </c>
    </row>
    <row r="3986" spans="1:5">
      <c r="A3986" s="174">
        <f t="shared" si="54"/>
        <v>3985</v>
      </c>
      <c r="B3986" s="163">
        <v>45861</v>
      </c>
      <c r="C3986" s="164">
        <v>0.47369212962962964</v>
      </c>
      <c r="D3986" s="159">
        <v>10</v>
      </c>
      <c r="E3986" s="166" t="s">
        <v>3634</v>
      </c>
    </row>
    <row r="3987" spans="1:5">
      <c r="A3987" s="174">
        <f t="shared" si="54"/>
        <v>3986</v>
      </c>
      <c r="B3987" s="163">
        <v>45861</v>
      </c>
      <c r="C3987" s="164">
        <v>0.47189814814814812</v>
      </c>
      <c r="D3987" s="159">
        <v>10</v>
      </c>
      <c r="E3987" s="166" t="s">
        <v>3635</v>
      </c>
    </row>
    <row r="3988" spans="1:5">
      <c r="A3988" s="174">
        <f t="shared" si="54"/>
        <v>3987</v>
      </c>
      <c r="B3988" s="163">
        <v>45861</v>
      </c>
      <c r="C3988" s="164">
        <v>0.45567129629629632</v>
      </c>
      <c r="D3988" s="159">
        <v>10</v>
      </c>
      <c r="E3988" s="166" t="s">
        <v>3636</v>
      </c>
    </row>
    <row r="3989" spans="1:5">
      <c r="A3989" s="174">
        <f t="shared" si="54"/>
        <v>3988</v>
      </c>
      <c r="B3989" s="163">
        <v>45861</v>
      </c>
      <c r="C3989" s="164">
        <v>0.45042824074074073</v>
      </c>
      <c r="D3989" s="159">
        <v>10</v>
      </c>
      <c r="E3989" s="166" t="s">
        <v>3637</v>
      </c>
    </row>
    <row r="3990" spans="1:5">
      <c r="A3990" s="174">
        <f t="shared" si="54"/>
        <v>3989</v>
      </c>
      <c r="B3990" s="163">
        <v>45861</v>
      </c>
      <c r="C3990" s="164">
        <v>0.43567129629629631</v>
      </c>
      <c r="D3990" s="159">
        <v>10</v>
      </c>
      <c r="E3990" s="166" t="s">
        <v>3638</v>
      </c>
    </row>
    <row r="3991" spans="1:5">
      <c r="A3991" s="174">
        <f t="shared" si="54"/>
        <v>3990</v>
      </c>
      <c r="B3991" s="163">
        <v>45861</v>
      </c>
      <c r="C3991" s="164">
        <v>0.4226273148148148</v>
      </c>
      <c r="D3991" s="159">
        <v>10</v>
      </c>
      <c r="E3991" s="166" t="s">
        <v>3639</v>
      </c>
    </row>
    <row r="3992" spans="1:5">
      <c r="A3992" s="174">
        <f t="shared" si="54"/>
        <v>3991</v>
      </c>
      <c r="B3992" s="163">
        <v>45861</v>
      </c>
      <c r="C3992" s="164">
        <v>0.41974537037037035</v>
      </c>
      <c r="D3992" s="159">
        <v>10</v>
      </c>
      <c r="E3992" s="166" t="s">
        <v>3640</v>
      </c>
    </row>
    <row r="3993" spans="1:5">
      <c r="A3993" s="174">
        <f t="shared" si="54"/>
        <v>3992</v>
      </c>
      <c r="B3993" s="163">
        <v>45861</v>
      </c>
      <c r="C3993" s="164">
        <v>0.41783564814814816</v>
      </c>
      <c r="D3993" s="159">
        <v>10</v>
      </c>
      <c r="E3993" s="166" t="s">
        <v>313</v>
      </c>
    </row>
    <row r="3994" spans="1:5">
      <c r="A3994" s="174">
        <f t="shared" si="54"/>
        <v>3993</v>
      </c>
      <c r="B3994" s="163">
        <v>45861</v>
      </c>
      <c r="C3994" s="164">
        <v>0.40995370370370371</v>
      </c>
      <c r="D3994" s="159">
        <v>10</v>
      </c>
      <c r="E3994" s="166" t="s">
        <v>3641</v>
      </c>
    </row>
    <row r="3995" spans="1:5">
      <c r="A3995" s="174">
        <f t="shared" si="54"/>
        <v>3994</v>
      </c>
      <c r="B3995" s="163">
        <v>45861</v>
      </c>
      <c r="C3995" s="164">
        <v>0.4088310185185185</v>
      </c>
      <c r="D3995" s="159">
        <v>10</v>
      </c>
      <c r="E3995" s="166" t="s">
        <v>565</v>
      </c>
    </row>
    <row r="3996" spans="1:5">
      <c r="A3996" s="174">
        <f t="shared" si="54"/>
        <v>3995</v>
      </c>
      <c r="B3996" s="163">
        <v>45861</v>
      </c>
      <c r="C3996" s="164">
        <v>0.40256944444444448</v>
      </c>
      <c r="D3996" s="159">
        <v>10</v>
      </c>
      <c r="E3996" s="166" t="s">
        <v>3642</v>
      </c>
    </row>
    <row r="3997" spans="1:5">
      <c r="A3997" s="174">
        <f t="shared" si="54"/>
        <v>3996</v>
      </c>
      <c r="B3997" s="163">
        <v>45861</v>
      </c>
      <c r="C3997" s="164">
        <v>0.40113425925925927</v>
      </c>
      <c r="D3997" s="159">
        <v>10</v>
      </c>
      <c r="E3997" s="166" t="s">
        <v>3643</v>
      </c>
    </row>
    <row r="3998" spans="1:5">
      <c r="A3998" s="174">
        <f t="shared" si="54"/>
        <v>3997</v>
      </c>
      <c r="B3998" s="163">
        <v>45861</v>
      </c>
      <c r="C3998" s="164">
        <v>0.38685185185185184</v>
      </c>
      <c r="D3998" s="159">
        <v>8</v>
      </c>
      <c r="E3998" s="166" t="s">
        <v>3644</v>
      </c>
    </row>
    <row r="3999" spans="1:5">
      <c r="A3999" s="174">
        <f t="shared" si="54"/>
        <v>3998</v>
      </c>
      <c r="B3999" s="163">
        <v>45862</v>
      </c>
      <c r="C3999" s="164">
        <v>0.90449074074074076</v>
      </c>
      <c r="D3999" s="159">
        <v>10</v>
      </c>
      <c r="E3999" s="166" t="s">
        <v>3648</v>
      </c>
    </row>
    <row r="4000" spans="1:5">
      <c r="A4000" s="174">
        <f t="shared" si="54"/>
        <v>3999</v>
      </c>
      <c r="B4000" s="163">
        <v>45862</v>
      </c>
      <c r="C4000" s="164">
        <v>0.89671296296296299</v>
      </c>
      <c r="D4000" s="159">
        <v>10</v>
      </c>
      <c r="E4000" s="166" t="s">
        <v>3649</v>
      </c>
    </row>
    <row r="4001" spans="1:5">
      <c r="A4001" s="174">
        <f t="shared" si="54"/>
        <v>4000</v>
      </c>
      <c r="B4001" s="163">
        <v>45862</v>
      </c>
      <c r="C4001" s="164">
        <v>0.85166666666666668</v>
      </c>
      <c r="D4001" s="159">
        <v>10</v>
      </c>
      <c r="E4001" s="166" t="s">
        <v>370</v>
      </c>
    </row>
    <row r="4002" spans="1:5">
      <c r="A4002" s="174">
        <f t="shared" si="54"/>
        <v>4001</v>
      </c>
      <c r="B4002" s="163">
        <v>45862</v>
      </c>
      <c r="C4002" s="164">
        <v>0.8297337962962964</v>
      </c>
      <c r="D4002" s="159">
        <v>10</v>
      </c>
      <c r="E4002" s="166" t="s">
        <v>3650</v>
      </c>
    </row>
    <row r="4003" spans="1:5">
      <c r="A4003" s="174">
        <f t="shared" si="54"/>
        <v>4002</v>
      </c>
      <c r="B4003" s="163">
        <v>45862</v>
      </c>
      <c r="C4003" s="164">
        <v>0.82447916666666676</v>
      </c>
      <c r="D4003" s="159">
        <v>10</v>
      </c>
      <c r="E4003" s="166" t="s">
        <v>3651</v>
      </c>
    </row>
    <row r="4004" spans="1:5">
      <c r="A4004" s="174">
        <f t="shared" si="54"/>
        <v>4003</v>
      </c>
      <c r="B4004" s="163">
        <v>45862</v>
      </c>
      <c r="C4004" s="164">
        <v>0.80958333333333332</v>
      </c>
      <c r="D4004" s="159">
        <v>5</v>
      </c>
      <c r="E4004" s="166" t="s">
        <v>3652</v>
      </c>
    </row>
    <row r="4005" spans="1:5">
      <c r="A4005" s="174">
        <f t="shared" si="54"/>
        <v>4004</v>
      </c>
      <c r="B4005" s="163">
        <v>45862</v>
      </c>
      <c r="C4005" s="164">
        <v>0.74737268518518529</v>
      </c>
      <c r="D4005" s="159">
        <v>10</v>
      </c>
      <c r="E4005" s="166" t="s">
        <v>1042</v>
      </c>
    </row>
    <row r="4006" spans="1:5">
      <c r="A4006" s="174">
        <f t="shared" si="54"/>
        <v>4005</v>
      </c>
      <c r="B4006" s="163">
        <v>45862</v>
      </c>
      <c r="C4006" s="164">
        <v>0.74642361111111111</v>
      </c>
      <c r="D4006" s="159">
        <v>10</v>
      </c>
      <c r="E4006" s="166" t="s">
        <v>1579</v>
      </c>
    </row>
    <row r="4007" spans="1:5">
      <c r="A4007" s="174">
        <f t="shared" si="54"/>
        <v>4006</v>
      </c>
      <c r="B4007" s="163">
        <v>45862</v>
      </c>
      <c r="C4007" s="164">
        <v>0.73795138888888889</v>
      </c>
      <c r="D4007" s="159">
        <v>10</v>
      </c>
      <c r="E4007" s="166" t="s">
        <v>3653</v>
      </c>
    </row>
    <row r="4008" spans="1:5">
      <c r="A4008" s="174">
        <f t="shared" si="54"/>
        <v>4007</v>
      </c>
      <c r="B4008" s="163">
        <v>45862</v>
      </c>
      <c r="C4008" s="164">
        <v>0.73365740740740737</v>
      </c>
      <c r="D4008" s="159">
        <v>10</v>
      </c>
      <c r="E4008" s="166" t="s">
        <v>3654</v>
      </c>
    </row>
    <row r="4009" spans="1:5" ht="27">
      <c r="A4009" s="174">
        <f t="shared" si="54"/>
        <v>4008</v>
      </c>
      <c r="B4009" s="163">
        <v>45862</v>
      </c>
      <c r="C4009" s="164">
        <v>0.71699074074074076</v>
      </c>
      <c r="D4009" s="159">
        <v>1</v>
      </c>
      <c r="E4009" s="166" t="s">
        <v>3655</v>
      </c>
    </row>
    <row r="4010" spans="1:5">
      <c r="A4010" s="174">
        <f t="shared" si="54"/>
        <v>4009</v>
      </c>
      <c r="B4010" s="163">
        <v>45862</v>
      </c>
      <c r="C4010" s="164">
        <v>0.71062499999999995</v>
      </c>
      <c r="D4010" s="159">
        <v>10</v>
      </c>
      <c r="E4010" s="166" t="s">
        <v>3656</v>
      </c>
    </row>
    <row r="4011" spans="1:5">
      <c r="A4011" s="174">
        <f t="shared" si="54"/>
        <v>4010</v>
      </c>
      <c r="B4011" s="163">
        <v>45862</v>
      </c>
      <c r="C4011" s="164">
        <v>0.69457175925925929</v>
      </c>
      <c r="D4011" s="159">
        <v>10</v>
      </c>
      <c r="E4011" s="166" t="s">
        <v>3657</v>
      </c>
    </row>
    <row r="4012" spans="1:5">
      <c r="A4012" s="174">
        <f t="shared" si="54"/>
        <v>4011</v>
      </c>
      <c r="B4012" s="163">
        <v>45862</v>
      </c>
      <c r="C4012" s="164">
        <v>0.69238425925925917</v>
      </c>
      <c r="D4012" s="159">
        <v>10</v>
      </c>
      <c r="E4012" s="166" t="s">
        <v>3658</v>
      </c>
    </row>
    <row r="4013" spans="1:5">
      <c r="A4013" s="174">
        <f t="shared" si="54"/>
        <v>4012</v>
      </c>
      <c r="B4013" s="163">
        <v>45862</v>
      </c>
      <c r="C4013" s="164">
        <v>0.69059027777777782</v>
      </c>
      <c r="D4013" s="159">
        <v>10</v>
      </c>
      <c r="E4013" s="166" t="s">
        <v>3659</v>
      </c>
    </row>
    <row r="4014" spans="1:5">
      <c r="A4014" s="174">
        <f t="shared" si="54"/>
        <v>4013</v>
      </c>
      <c r="B4014" s="163">
        <v>45862</v>
      </c>
      <c r="C4014" s="164">
        <v>0.68726851851851845</v>
      </c>
      <c r="D4014" s="159">
        <v>10</v>
      </c>
      <c r="E4014" s="166" t="s">
        <v>2233</v>
      </c>
    </row>
    <row r="4015" spans="1:5">
      <c r="A4015" s="174">
        <f t="shared" si="54"/>
        <v>4014</v>
      </c>
      <c r="B4015" s="163">
        <v>45862</v>
      </c>
      <c r="C4015" s="164">
        <v>0.68374999999999997</v>
      </c>
      <c r="D4015" s="159">
        <v>10</v>
      </c>
      <c r="E4015" s="166" t="s">
        <v>3660</v>
      </c>
    </row>
    <row r="4016" spans="1:5">
      <c r="A4016" s="174">
        <f t="shared" si="54"/>
        <v>4015</v>
      </c>
      <c r="B4016" s="163">
        <v>45862</v>
      </c>
      <c r="C4016" s="164">
        <v>0.68215277777777772</v>
      </c>
      <c r="D4016" s="159">
        <v>10</v>
      </c>
      <c r="E4016" s="166" t="s">
        <v>3661</v>
      </c>
    </row>
    <row r="4017" spans="1:5">
      <c r="A4017" s="174">
        <f t="shared" si="54"/>
        <v>4016</v>
      </c>
      <c r="B4017" s="163">
        <v>45862</v>
      </c>
      <c r="C4017" s="164">
        <v>0.66045138888888888</v>
      </c>
      <c r="D4017" s="159">
        <v>10</v>
      </c>
      <c r="E4017" s="166" t="s">
        <v>3662</v>
      </c>
    </row>
    <row r="4018" spans="1:5">
      <c r="A4018" s="174">
        <f t="shared" si="54"/>
        <v>4017</v>
      </c>
      <c r="B4018" s="163">
        <v>45862</v>
      </c>
      <c r="C4018" s="164">
        <v>0.65346064814814808</v>
      </c>
      <c r="D4018" s="159">
        <v>10</v>
      </c>
      <c r="E4018" s="166" t="s">
        <v>3663</v>
      </c>
    </row>
    <row r="4019" spans="1:5">
      <c r="A4019" s="174">
        <f t="shared" si="54"/>
        <v>4018</v>
      </c>
      <c r="B4019" s="163">
        <v>45862</v>
      </c>
      <c r="C4019" s="164">
        <v>0.65143518518518517</v>
      </c>
      <c r="D4019" s="159">
        <v>10</v>
      </c>
      <c r="E4019" s="166" t="s">
        <v>3664</v>
      </c>
    </row>
    <row r="4020" spans="1:5">
      <c r="A4020" s="174">
        <f t="shared" si="54"/>
        <v>4019</v>
      </c>
      <c r="B4020" s="163">
        <v>45862</v>
      </c>
      <c r="C4020" s="164">
        <v>0.64149305555555558</v>
      </c>
      <c r="D4020" s="159">
        <v>10</v>
      </c>
      <c r="E4020" s="166" t="s">
        <v>3665</v>
      </c>
    </row>
    <row r="4021" spans="1:5">
      <c r="A4021" s="174">
        <f t="shared" ref="A4021:A4084" si="55">ROW()-1</f>
        <v>4020</v>
      </c>
      <c r="B4021" s="163">
        <v>45862</v>
      </c>
      <c r="C4021" s="164">
        <v>0.63287037037037031</v>
      </c>
      <c r="D4021" s="159">
        <v>10</v>
      </c>
      <c r="E4021" s="166" t="s">
        <v>3666</v>
      </c>
    </row>
    <row r="4022" spans="1:5" ht="27">
      <c r="A4022" s="174">
        <f t="shared" si="55"/>
        <v>4021</v>
      </c>
      <c r="B4022" s="163">
        <v>45862</v>
      </c>
      <c r="C4022" s="164">
        <v>0.63142361111111112</v>
      </c>
      <c r="D4022" s="159">
        <v>10</v>
      </c>
      <c r="E4022" s="166" t="s">
        <v>3690</v>
      </c>
    </row>
    <row r="4023" spans="1:5">
      <c r="A4023" s="174">
        <f t="shared" si="55"/>
        <v>4022</v>
      </c>
      <c r="B4023" s="163">
        <v>45862</v>
      </c>
      <c r="C4023" s="164">
        <v>0.6270486111111111</v>
      </c>
      <c r="D4023" s="159">
        <v>10</v>
      </c>
      <c r="E4023" s="166" t="s">
        <v>3667</v>
      </c>
    </row>
    <row r="4024" spans="1:5">
      <c r="A4024" s="174">
        <f t="shared" si="55"/>
        <v>4023</v>
      </c>
      <c r="B4024" s="163">
        <v>45862</v>
      </c>
      <c r="C4024" s="164">
        <v>0.62236111111111114</v>
      </c>
      <c r="D4024" s="159">
        <v>10</v>
      </c>
      <c r="E4024" s="166" t="s">
        <v>3668</v>
      </c>
    </row>
    <row r="4025" spans="1:5">
      <c r="A4025" s="174">
        <f t="shared" si="55"/>
        <v>4024</v>
      </c>
      <c r="B4025" s="163">
        <v>45862</v>
      </c>
      <c r="C4025" s="164">
        <v>0.61062499999999997</v>
      </c>
      <c r="D4025" s="159">
        <v>10</v>
      </c>
      <c r="E4025" s="166" t="s">
        <v>132</v>
      </c>
    </row>
    <row r="4026" spans="1:5" ht="40.5">
      <c r="A4026" s="174">
        <f t="shared" si="55"/>
        <v>4025</v>
      </c>
      <c r="B4026" s="163">
        <v>45862</v>
      </c>
      <c r="C4026" s="164">
        <v>0.61048611111111117</v>
      </c>
      <c r="D4026" s="159">
        <v>10</v>
      </c>
      <c r="E4026" s="166" t="s">
        <v>3689</v>
      </c>
    </row>
    <row r="4027" spans="1:5">
      <c r="A4027" s="174">
        <f t="shared" si="55"/>
        <v>4026</v>
      </c>
      <c r="B4027" s="163">
        <v>45862</v>
      </c>
      <c r="C4027" s="164">
        <v>0.60406250000000006</v>
      </c>
      <c r="D4027" s="159">
        <v>10</v>
      </c>
      <c r="E4027" s="166" t="s">
        <v>3669</v>
      </c>
    </row>
    <row r="4028" spans="1:5">
      <c r="A4028" s="174">
        <f t="shared" si="55"/>
        <v>4027</v>
      </c>
      <c r="B4028" s="163">
        <v>45862</v>
      </c>
      <c r="C4028" s="164">
        <v>0.59423611111111108</v>
      </c>
      <c r="D4028" s="159">
        <v>10</v>
      </c>
      <c r="E4028" s="166" t="s">
        <v>3670</v>
      </c>
    </row>
    <row r="4029" spans="1:5">
      <c r="A4029" s="174">
        <f t="shared" si="55"/>
        <v>4028</v>
      </c>
      <c r="B4029" s="163">
        <v>45862</v>
      </c>
      <c r="C4029" s="164">
        <v>0.59291666666666665</v>
      </c>
      <c r="D4029" s="159">
        <v>10</v>
      </c>
      <c r="E4029" s="166" t="s">
        <v>132</v>
      </c>
    </row>
    <row r="4030" spans="1:5">
      <c r="A4030" s="174">
        <f t="shared" si="55"/>
        <v>4029</v>
      </c>
      <c r="B4030" s="163">
        <v>45862</v>
      </c>
      <c r="C4030" s="164">
        <v>0.58725694444444443</v>
      </c>
      <c r="D4030" s="159">
        <v>10</v>
      </c>
      <c r="E4030" s="166" t="s">
        <v>3688</v>
      </c>
    </row>
    <row r="4031" spans="1:5">
      <c r="A4031" s="174">
        <f t="shared" si="55"/>
        <v>4030</v>
      </c>
      <c r="B4031" s="163">
        <v>45862</v>
      </c>
      <c r="C4031" s="164">
        <v>0.58474537037037033</v>
      </c>
      <c r="D4031" s="159">
        <v>10</v>
      </c>
      <c r="E4031" s="166" t="s">
        <v>3662</v>
      </c>
    </row>
    <row r="4032" spans="1:5">
      <c r="A4032" s="174">
        <f t="shared" si="55"/>
        <v>4031</v>
      </c>
      <c r="B4032" s="163">
        <v>45862</v>
      </c>
      <c r="C4032" s="164">
        <v>0.58129629629629631</v>
      </c>
      <c r="D4032" s="159">
        <v>10</v>
      </c>
      <c r="E4032" s="166" t="s">
        <v>3671</v>
      </c>
    </row>
    <row r="4033" spans="1:5">
      <c r="A4033" s="174">
        <f t="shared" si="55"/>
        <v>4032</v>
      </c>
      <c r="B4033" s="163">
        <v>45862</v>
      </c>
      <c r="C4033" s="164">
        <v>0.57804398148148151</v>
      </c>
      <c r="D4033" s="159">
        <v>10</v>
      </c>
      <c r="E4033" s="166" t="s">
        <v>3672</v>
      </c>
    </row>
    <row r="4034" spans="1:5">
      <c r="A4034" s="174">
        <f t="shared" si="55"/>
        <v>4033</v>
      </c>
      <c r="B4034" s="163">
        <v>45862</v>
      </c>
      <c r="C4034" s="164">
        <v>0.57138888888888884</v>
      </c>
      <c r="D4034" s="159">
        <v>10</v>
      </c>
      <c r="E4034" s="166" t="s">
        <v>3673</v>
      </c>
    </row>
    <row r="4035" spans="1:5">
      <c r="A4035" s="174">
        <f t="shared" si="55"/>
        <v>4034</v>
      </c>
      <c r="B4035" s="163">
        <v>45862</v>
      </c>
      <c r="C4035" s="164">
        <v>0.56381944444444443</v>
      </c>
      <c r="D4035" s="159">
        <v>10</v>
      </c>
      <c r="E4035" s="166" t="s">
        <v>3674</v>
      </c>
    </row>
    <row r="4036" spans="1:5">
      <c r="A4036" s="174">
        <f t="shared" si="55"/>
        <v>4035</v>
      </c>
      <c r="B4036" s="163">
        <v>45862</v>
      </c>
      <c r="C4036" s="164">
        <v>0.55079861111111106</v>
      </c>
      <c r="D4036" s="159">
        <v>10</v>
      </c>
      <c r="E4036" s="166" t="s">
        <v>3675</v>
      </c>
    </row>
    <row r="4037" spans="1:5">
      <c r="A4037" s="174">
        <f t="shared" si="55"/>
        <v>4036</v>
      </c>
      <c r="B4037" s="163">
        <v>45862</v>
      </c>
      <c r="C4037" s="164">
        <v>0.52655092592592589</v>
      </c>
      <c r="D4037" s="159">
        <v>10</v>
      </c>
      <c r="E4037" s="166" t="s">
        <v>2382</v>
      </c>
    </row>
    <row r="4038" spans="1:5">
      <c r="A4038" s="174">
        <f t="shared" si="55"/>
        <v>4037</v>
      </c>
      <c r="B4038" s="163">
        <v>45862</v>
      </c>
      <c r="C4038" s="164">
        <v>0.52</v>
      </c>
      <c r="D4038" s="159">
        <v>10</v>
      </c>
      <c r="E4038" s="166" t="s">
        <v>3676</v>
      </c>
    </row>
    <row r="4039" spans="1:5">
      <c r="A4039" s="174">
        <f t="shared" si="55"/>
        <v>4038</v>
      </c>
      <c r="B4039" s="163">
        <v>45862</v>
      </c>
      <c r="C4039" s="164">
        <v>0.50337962962962968</v>
      </c>
      <c r="D4039" s="159">
        <v>10</v>
      </c>
      <c r="E4039" s="166" t="s">
        <v>3677</v>
      </c>
    </row>
    <row r="4040" spans="1:5">
      <c r="A4040" s="174">
        <f t="shared" si="55"/>
        <v>4039</v>
      </c>
      <c r="B4040" s="163">
        <v>45862</v>
      </c>
      <c r="C4040" s="164">
        <v>0.47868055555555555</v>
      </c>
      <c r="D4040" s="159">
        <v>10</v>
      </c>
      <c r="E4040" s="166" t="s">
        <v>3678</v>
      </c>
    </row>
    <row r="4041" spans="1:5">
      <c r="A4041" s="174">
        <f t="shared" si="55"/>
        <v>4040</v>
      </c>
      <c r="B4041" s="163">
        <v>45862</v>
      </c>
      <c r="C4041" s="164">
        <v>0.46577546296296296</v>
      </c>
      <c r="D4041" s="159">
        <v>10</v>
      </c>
      <c r="E4041" s="166" t="s">
        <v>3679</v>
      </c>
    </row>
    <row r="4042" spans="1:5">
      <c r="A4042" s="174">
        <f t="shared" si="55"/>
        <v>4041</v>
      </c>
      <c r="B4042" s="163">
        <v>45862</v>
      </c>
      <c r="C4042" s="164">
        <v>0.4612384259259259</v>
      </c>
      <c r="D4042" s="159">
        <v>10</v>
      </c>
      <c r="E4042" s="166" t="s">
        <v>3680</v>
      </c>
    </row>
    <row r="4043" spans="1:5">
      <c r="A4043" s="174">
        <f t="shared" si="55"/>
        <v>4042</v>
      </c>
      <c r="B4043" s="163">
        <v>45862</v>
      </c>
      <c r="C4043" s="164">
        <v>0.44218750000000001</v>
      </c>
      <c r="D4043" s="159">
        <v>10</v>
      </c>
      <c r="E4043" s="166" t="s">
        <v>3681</v>
      </c>
    </row>
    <row r="4044" spans="1:5">
      <c r="A4044" s="174">
        <f t="shared" si="55"/>
        <v>4043</v>
      </c>
      <c r="B4044" s="163">
        <v>45862</v>
      </c>
      <c r="C4044" s="164">
        <v>0.43861111111111112</v>
      </c>
      <c r="D4044" s="159">
        <v>10</v>
      </c>
      <c r="E4044" s="166" t="s">
        <v>3682</v>
      </c>
    </row>
    <row r="4045" spans="1:5">
      <c r="A4045" s="174">
        <f t="shared" si="55"/>
        <v>4044</v>
      </c>
      <c r="B4045" s="163">
        <v>45862</v>
      </c>
      <c r="C4045" s="164">
        <v>0.41094907407407405</v>
      </c>
      <c r="D4045" s="159">
        <v>10</v>
      </c>
    </row>
    <row r="4046" spans="1:5">
      <c r="A4046" s="174">
        <f t="shared" si="55"/>
        <v>4045</v>
      </c>
      <c r="B4046" s="163">
        <v>45862</v>
      </c>
      <c r="C4046" s="164">
        <v>0.41002314814814816</v>
      </c>
      <c r="D4046" s="159">
        <v>10</v>
      </c>
      <c r="E4046" s="166" t="s">
        <v>3683</v>
      </c>
    </row>
    <row r="4047" spans="1:5">
      <c r="A4047" s="174">
        <f t="shared" si="55"/>
        <v>4046</v>
      </c>
      <c r="B4047" s="163">
        <v>45862</v>
      </c>
      <c r="C4047" s="164">
        <v>0.39915509259259258</v>
      </c>
      <c r="D4047" s="159">
        <v>10</v>
      </c>
      <c r="E4047" s="166" t="s">
        <v>3684</v>
      </c>
    </row>
    <row r="4048" spans="1:5">
      <c r="A4048" s="174">
        <f t="shared" si="55"/>
        <v>4047</v>
      </c>
      <c r="B4048" s="163">
        <v>45862</v>
      </c>
      <c r="C4048" s="164">
        <v>0.39697916666666666</v>
      </c>
      <c r="D4048" s="159">
        <v>10</v>
      </c>
      <c r="E4048" s="166" t="s">
        <v>3685</v>
      </c>
    </row>
    <row r="4049" spans="1:5">
      <c r="A4049" s="174">
        <f t="shared" si="55"/>
        <v>4048</v>
      </c>
      <c r="B4049" s="163">
        <v>45862</v>
      </c>
      <c r="C4049" s="164">
        <v>0.39462962962962966</v>
      </c>
      <c r="D4049" s="159">
        <v>8</v>
      </c>
      <c r="E4049" s="166" t="s">
        <v>565</v>
      </c>
    </row>
    <row r="4050" spans="1:5">
      <c r="A4050" s="174">
        <f t="shared" si="55"/>
        <v>4049</v>
      </c>
      <c r="B4050" s="163">
        <v>45862</v>
      </c>
      <c r="C4050" s="164">
        <v>0.39168981481481485</v>
      </c>
      <c r="D4050" s="159">
        <v>6</v>
      </c>
      <c r="E4050" s="166" t="s">
        <v>3686</v>
      </c>
    </row>
    <row r="4051" spans="1:5">
      <c r="A4051" s="174">
        <f t="shared" si="55"/>
        <v>4050</v>
      </c>
      <c r="B4051" s="163">
        <v>45862</v>
      </c>
      <c r="C4051" s="164">
        <v>0.38614583333333335</v>
      </c>
      <c r="D4051" s="159">
        <v>10</v>
      </c>
      <c r="E4051" s="166" t="s">
        <v>3687</v>
      </c>
    </row>
    <row r="4052" spans="1:5">
      <c r="A4052" s="174">
        <f t="shared" si="55"/>
        <v>4051</v>
      </c>
      <c r="B4052" s="163">
        <v>45862</v>
      </c>
      <c r="C4052" s="164">
        <v>0.38030092592592596</v>
      </c>
      <c r="D4052" s="159">
        <v>10</v>
      </c>
      <c r="E4052" s="166" t="s">
        <v>2383</v>
      </c>
    </row>
    <row r="4053" spans="1:5">
      <c r="A4053" s="174">
        <f t="shared" si="55"/>
        <v>4052</v>
      </c>
      <c r="B4053" s="163">
        <v>45863</v>
      </c>
      <c r="C4053" s="164">
        <v>0.75013888888888891</v>
      </c>
      <c r="D4053" s="159">
        <v>10</v>
      </c>
      <c r="E4053" s="166" t="s">
        <v>690</v>
      </c>
    </row>
    <row r="4054" spans="1:5">
      <c r="A4054" s="174">
        <f t="shared" si="55"/>
        <v>4053</v>
      </c>
      <c r="B4054" s="163">
        <v>45863</v>
      </c>
      <c r="C4054" s="164">
        <v>0.74856481481481474</v>
      </c>
      <c r="D4054" s="159">
        <v>10</v>
      </c>
      <c r="E4054" s="166" t="s">
        <v>3725</v>
      </c>
    </row>
    <row r="4055" spans="1:5">
      <c r="A4055" s="174">
        <f t="shared" si="55"/>
        <v>4054</v>
      </c>
      <c r="B4055" s="163">
        <v>45863</v>
      </c>
      <c r="C4055" s="164">
        <v>0.72758101851851853</v>
      </c>
      <c r="D4055" s="159">
        <v>10</v>
      </c>
      <c r="E4055" s="166" t="s">
        <v>3701</v>
      </c>
    </row>
    <row r="4056" spans="1:5">
      <c r="A4056" s="174">
        <f t="shared" si="55"/>
        <v>4055</v>
      </c>
      <c r="B4056" s="163">
        <v>45863</v>
      </c>
      <c r="C4056" s="164">
        <v>0.72695601851851854</v>
      </c>
      <c r="D4056" s="159">
        <v>10</v>
      </c>
      <c r="E4056" s="166" t="s">
        <v>3702</v>
      </c>
    </row>
    <row r="4057" spans="1:5">
      <c r="A4057" s="174">
        <f t="shared" si="55"/>
        <v>4056</v>
      </c>
      <c r="B4057" s="163">
        <v>45863</v>
      </c>
      <c r="C4057" s="164">
        <v>0.72644675925925928</v>
      </c>
      <c r="D4057" s="159">
        <v>10</v>
      </c>
      <c r="E4057" s="166">
        <v>1</v>
      </c>
    </row>
    <row r="4058" spans="1:5">
      <c r="A4058" s="174">
        <f t="shared" si="55"/>
        <v>4057</v>
      </c>
      <c r="B4058" s="163">
        <v>45863</v>
      </c>
      <c r="C4058" s="164">
        <v>0.67310185185185178</v>
      </c>
      <c r="D4058" s="159">
        <v>10</v>
      </c>
      <c r="E4058" s="166" t="s">
        <v>3703</v>
      </c>
    </row>
    <row r="4059" spans="1:5">
      <c r="A4059" s="174">
        <f t="shared" si="55"/>
        <v>4058</v>
      </c>
      <c r="B4059" s="163">
        <v>45863</v>
      </c>
      <c r="C4059" s="164">
        <v>0.67182870370370373</v>
      </c>
      <c r="D4059" s="159">
        <v>10</v>
      </c>
      <c r="E4059" s="166" t="s">
        <v>3704</v>
      </c>
    </row>
    <row r="4060" spans="1:5">
      <c r="A4060" s="174">
        <f t="shared" si="55"/>
        <v>4059</v>
      </c>
      <c r="B4060" s="163">
        <v>45863</v>
      </c>
      <c r="C4060" s="164">
        <v>0.66087962962962965</v>
      </c>
      <c r="D4060" s="159">
        <v>10</v>
      </c>
      <c r="E4060" s="166" t="s">
        <v>179</v>
      </c>
    </row>
    <row r="4061" spans="1:5">
      <c r="A4061" s="174">
        <f t="shared" si="55"/>
        <v>4060</v>
      </c>
      <c r="B4061" s="163">
        <v>45863</v>
      </c>
      <c r="C4061" s="164">
        <v>0.65796296296296297</v>
      </c>
      <c r="D4061" s="159">
        <v>10</v>
      </c>
      <c r="E4061" s="166" t="s">
        <v>3705</v>
      </c>
    </row>
    <row r="4062" spans="1:5">
      <c r="A4062" s="174">
        <f t="shared" si="55"/>
        <v>4061</v>
      </c>
      <c r="B4062" s="163">
        <v>45863</v>
      </c>
      <c r="C4062" s="164">
        <v>0.64751157407407411</v>
      </c>
      <c r="D4062" s="159">
        <v>10</v>
      </c>
      <c r="E4062" s="166" t="s">
        <v>3706</v>
      </c>
    </row>
    <row r="4063" spans="1:5">
      <c r="A4063" s="174">
        <f t="shared" si="55"/>
        <v>4062</v>
      </c>
      <c r="B4063" s="163">
        <v>45863</v>
      </c>
      <c r="C4063" s="164">
        <v>0.61195601851851855</v>
      </c>
      <c r="D4063" s="159">
        <v>10</v>
      </c>
      <c r="E4063" s="166" t="s">
        <v>3724</v>
      </c>
    </row>
    <row r="4064" spans="1:5">
      <c r="A4064" s="174">
        <f t="shared" si="55"/>
        <v>4063</v>
      </c>
      <c r="B4064" s="163">
        <v>45863</v>
      </c>
      <c r="C4064" s="164">
        <v>0.61136574074074079</v>
      </c>
      <c r="D4064" s="159">
        <v>10</v>
      </c>
      <c r="E4064" s="166" t="s">
        <v>575</v>
      </c>
    </row>
    <row r="4065" spans="1:5">
      <c r="A4065" s="174">
        <f t="shared" si="55"/>
        <v>4064</v>
      </c>
      <c r="B4065" s="163">
        <v>45863</v>
      </c>
      <c r="C4065" s="164">
        <v>0.60042824074074075</v>
      </c>
      <c r="D4065" s="159">
        <v>10</v>
      </c>
      <c r="E4065" s="166" t="s">
        <v>3707</v>
      </c>
    </row>
    <row r="4066" spans="1:5">
      <c r="A4066" s="174">
        <f t="shared" si="55"/>
        <v>4065</v>
      </c>
      <c r="B4066" s="163">
        <v>45863</v>
      </c>
      <c r="C4066" s="164">
        <v>0.59265046296296298</v>
      </c>
      <c r="D4066" s="159">
        <v>10</v>
      </c>
      <c r="E4066" s="166" t="s">
        <v>3708</v>
      </c>
    </row>
    <row r="4067" spans="1:5">
      <c r="A4067" s="174">
        <f t="shared" si="55"/>
        <v>4066</v>
      </c>
      <c r="B4067" s="163">
        <v>45863</v>
      </c>
      <c r="C4067" s="164">
        <v>0.59247685185185184</v>
      </c>
      <c r="D4067" s="159">
        <v>10</v>
      </c>
      <c r="E4067" s="166" t="s">
        <v>3709</v>
      </c>
    </row>
    <row r="4068" spans="1:5">
      <c r="A4068" s="174">
        <f t="shared" si="55"/>
        <v>4067</v>
      </c>
      <c r="B4068" s="163">
        <v>45863</v>
      </c>
      <c r="C4068" s="164">
        <v>0.5872222222222222</v>
      </c>
      <c r="D4068" s="159">
        <v>10</v>
      </c>
      <c r="E4068" s="166" t="s">
        <v>3710</v>
      </c>
    </row>
    <row r="4069" spans="1:5">
      <c r="A4069" s="174">
        <f t="shared" si="55"/>
        <v>4068</v>
      </c>
      <c r="B4069" s="163">
        <v>45863</v>
      </c>
      <c r="C4069" s="164">
        <v>0.57784722222222229</v>
      </c>
      <c r="D4069" s="159">
        <v>10</v>
      </c>
      <c r="E4069" s="166" t="s">
        <v>3711</v>
      </c>
    </row>
    <row r="4070" spans="1:5">
      <c r="A4070" s="174">
        <f t="shared" si="55"/>
        <v>4069</v>
      </c>
      <c r="B4070" s="163">
        <v>45863</v>
      </c>
      <c r="C4070" s="164">
        <v>0.56917824074074075</v>
      </c>
      <c r="D4070" s="159">
        <v>1</v>
      </c>
      <c r="E4070" s="166" t="s">
        <v>3712</v>
      </c>
    </row>
    <row r="4071" spans="1:5">
      <c r="A4071" s="174">
        <f t="shared" si="55"/>
        <v>4070</v>
      </c>
      <c r="B4071" s="163">
        <v>45863</v>
      </c>
      <c r="C4071" s="164">
        <v>0.56331018518518516</v>
      </c>
      <c r="D4071" s="159">
        <v>10</v>
      </c>
      <c r="E4071" s="166" t="s">
        <v>418</v>
      </c>
    </row>
    <row r="4072" spans="1:5">
      <c r="A4072" s="174">
        <f t="shared" si="55"/>
        <v>4071</v>
      </c>
      <c r="B4072" s="163">
        <v>45863</v>
      </c>
      <c r="C4072" s="164">
        <v>0.56298611111111108</v>
      </c>
      <c r="D4072" s="159">
        <v>10</v>
      </c>
      <c r="E4072" s="166" t="s">
        <v>3713</v>
      </c>
    </row>
    <row r="4073" spans="1:5">
      <c r="A4073" s="174">
        <f t="shared" si="55"/>
        <v>4072</v>
      </c>
      <c r="B4073" s="163">
        <v>45863</v>
      </c>
      <c r="C4073" s="164">
        <v>0.56140046296296298</v>
      </c>
      <c r="D4073" s="159">
        <v>10</v>
      </c>
      <c r="E4073" s="166" t="s">
        <v>3714</v>
      </c>
    </row>
    <row r="4074" spans="1:5">
      <c r="A4074" s="174">
        <f t="shared" si="55"/>
        <v>4073</v>
      </c>
      <c r="B4074" s="163">
        <v>45863</v>
      </c>
      <c r="C4074" s="164">
        <v>0.53028935185185189</v>
      </c>
      <c r="D4074" s="159">
        <v>9</v>
      </c>
      <c r="E4074" s="166" t="s">
        <v>3715</v>
      </c>
    </row>
    <row r="4075" spans="1:5">
      <c r="A4075" s="174">
        <f t="shared" si="55"/>
        <v>4074</v>
      </c>
      <c r="B4075" s="163">
        <v>45863</v>
      </c>
      <c r="C4075" s="164">
        <v>0.50277777777777777</v>
      </c>
      <c r="D4075" s="159">
        <v>10</v>
      </c>
      <c r="E4075" s="166" t="s">
        <v>3716</v>
      </c>
    </row>
    <row r="4076" spans="1:5">
      <c r="A4076" s="174">
        <f t="shared" si="55"/>
        <v>4075</v>
      </c>
      <c r="B4076" s="163">
        <v>45863</v>
      </c>
      <c r="C4076" s="164">
        <v>0.49106481481481484</v>
      </c>
      <c r="D4076" s="159">
        <v>10</v>
      </c>
      <c r="E4076" s="166" t="s">
        <v>1305</v>
      </c>
    </row>
    <row r="4077" spans="1:5">
      <c r="A4077" s="174">
        <f t="shared" si="55"/>
        <v>4076</v>
      </c>
      <c r="B4077" s="163">
        <v>45863</v>
      </c>
      <c r="C4077" s="164">
        <v>0.48663194444444446</v>
      </c>
      <c r="D4077" s="159">
        <v>1</v>
      </c>
      <c r="E4077" s="166" t="s">
        <v>3717</v>
      </c>
    </row>
    <row r="4078" spans="1:5">
      <c r="A4078" s="174">
        <f t="shared" si="55"/>
        <v>4077</v>
      </c>
      <c r="B4078" s="163">
        <v>45863</v>
      </c>
      <c r="C4078" s="164">
        <v>0.48304398148148148</v>
      </c>
      <c r="D4078" s="159">
        <v>10</v>
      </c>
      <c r="E4078" s="166" t="s">
        <v>3718</v>
      </c>
    </row>
    <row r="4079" spans="1:5">
      <c r="A4079" s="174">
        <f t="shared" si="55"/>
        <v>4078</v>
      </c>
      <c r="B4079" s="163">
        <v>45863</v>
      </c>
      <c r="C4079" s="164">
        <v>0.48156249999999995</v>
      </c>
      <c r="D4079" s="159">
        <v>10</v>
      </c>
      <c r="E4079" s="166" t="s">
        <v>537</v>
      </c>
    </row>
    <row r="4080" spans="1:5">
      <c r="A4080" s="174">
        <f t="shared" si="55"/>
        <v>4079</v>
      </c>
      <c r="B4080" s="163">
        <v>45863</v>
      </c>
      <c r="C4080" s="164">
        <v>0.47218749999999998</v>
      </c>
      <c r="D4080" s="159">
        <v>10</v>
      </c>
      <c r="E4080" s="166" t="s">
        <v>3719</v>
      </c>
    </row>
    <row r="4081" spans="1:5">
      <c r="A4081" s="174">
        <f t="shared" si="55"/>
        <v>4080</v>
      </c>
      <c r="B4081" s="163">
        <v>45863</v>
      </c>
      <c r="C4081" s="164">
        <v>0.47072916666666664</v>
      </c>
      <c r="D4081" s="159">
        <v>10</v>
      </c>
      <c r="E4081" s="166" t="s">
        <v>132</v>
      </c>
    </row>
    <row r="4082" spans="1:5">
      <c r="A4082" s="174">
        <f t="shared" si="55"/>
        <v>4081</v>
      </c>
      <c r="B4082" s="163">
        <v>45863</v>
      </c>
      <c r="C4082" s="164">
        <v>0.46258101851851857</v>
      </c>
      <c r="D4082" s="159">
        <v>10</v>
      </c>
      <c r="E4082" s="166" t="s">
        <v>3420</v>
      </c>
    </row>
    <row r="4083" spans="1:5">
      <c r="A4083" s="174">
        <f t="shared" si="55"/>
        <v>4082</v>
      </c>
      <c r="B4083" s="163">
        <v>45863</v>
      </c>
      <c r="C4083" s="164">
        <v>0.45574074074074072</v>
      </c>
      <c r="D4083" s="159">
        <v>10</v>
      </c>
      <c r="E4083" s="166" t="s">
        <v>3720</v>
      </c>
    </row>
    <row r="4084" spans="1:5">
      <c r="A4084" s="174">
        <f t="shared" si="55"/>
        <v>4083</v>
      </c>
      <c r="B4084" s="163">
        <v>45863</v>
      </c>
      <c r="C4084" s="164">
        <v>0.44874999999999998</v>
      </c>
      <c r="D4084" s="159">
        <v>10</v>
      </c>
      <c r="E4084" s="166" t="s">
        <v>3721</v>
      </c>
    </row>
    <row r="4085" spans="1:5">
      <c r="A4085" s="174">
        <f t="shared" ref="A4085:A4148" si="56">ROW()-1</f>
        <v>4084</v>
      </c>
      <c r="B4085" s="163">
        <v>45863</v>
      </c>
      <c r="C4085" s="164">
        <v>0.44428240740740743</v>
      </c>
      <c r="D4085" s="159">
        <v>10</v>
      </c>
      <c r="E4085" s="166" t="s">
        <v>3722</v>
      </c>
    </row>
    <row r="4086" spans="1:5">
      <c r="A4086" s="174">
        <f t="shared" si="56"/>
        <v>4085</v>
      </c>
      <c r="B4086" s="163">
        <v>45863</v>
      </c>
      <c r="C4086" s="164">
        <v>0.42733796296296295</v>
      </c>
      <c r="D4086" s="159">
        <v>10</v>
      </c>
      <c r="E4086" s="166" t="s">
        <v>1291</v>
      </c>
    </row>
    <row r="4087" spans="1:5">
      <c r="A4087" s="174">
        <f t="shared" si="56"/>
        <v>4086</v>
      </c>
      <c r="B4087" s="163">
        <v>45863</v>
      </c>
      <c r="C4087" s="164">
        <v>0.40590277777777778</v>
      </c>
      <c r="D4087" s="159">
        <v>10</v>
      </c>
      <c r="E4087" s="166" t="s">
        <v>3723</v>
      </c>
    </row>
    <row r="4088" spans="1:5">
      <c r="A4088" s="174">
        <f t="shared" si="56"/>
        <v>4087</v>
      </c>
      <c r="B4088" s="163">
        <v>45863</v>
      </c>
      <c r="C4088" s="164">
        <v>0.40057870370370369</v>
      </c>
      <c r="D4088" s="159">
        <v>10</v>
      </c>
      <c r="E4088" s="166" t="s">
        <v>1579</v>
      </c>
    </row>
    <row r="4089" spans="1:5">
      <c r="A4089" s="174">
        <f t="shared" si="56"/>
        <v>4088</v>
      </c>
      <c r="B4089" s="163">
        <v>45864</v>
      </c>
      <c r="C4089" s="164">
        <v>0.71931712962962957</v>
      </c>
      <c r="D4089" s="159">
        <v>10</v>
      </c>
      <c r="E4089" s="166" t="s">
        <v>3691</v>
      </c>
    </row>
    <row r="4090" spans="1:5">
      <c r="A4090" s="174">
        <f t="shared" si="56"/>
        <v>4089</v>
      </c>
      <c r="B4090" s="163">
        <v>45864</v>
      </c>
      <c r="C4090" s="164">
        <v>0.6508680555555556</v>
      </c>
      <c r="D4090" s="159">
        <v>10</v>
      </c>
      <c r="E4090" s="166" t="s">
        <v>3692</v>
      </c>
    </row>
    <row r="4091" spans="1:5">
      <c r="A4091" s="174">
        <f t="shared" si="56"/>
        <v>4090</v>
      </c>
      <c r="B4091" s="163">
        <v>45864</v>
      </c>
      <c r="C4091" s="164">
        <v>0.62946759259259266</v>
      </c>
      <c r="D4091" s="159">
        <v>10</v>
      </c>
      <c r="E4091" s="166" t="s">
        <v>537</v>
      </c>
    </row>
    <row r="4092" spans="1:5">
      <c r="A4092" s="174">
        <f t="shared" si="56"/>
        <v>4091</v>
      </c>
      <c r="B4092" s="163">
        <v>45864</v>
      </c>
      <c r="C4092" s="164">
        <v>0.61251157407407408</v>
      </c>
      <c r="D4092" s="159">
        <v>10</v>
      </c>
      <c r="E4092" s="166" t="s">
        <v>3693</v>
      </c>
    </row>
    <row r="4093" spans="1:5">
      <c r="A4093" s="174">
        <f t="shared" si="56"/>
        <v>4092</v>
      </c>
      <c r="B4093" s="163">
        <v>45864</v>
      </c>
      <c r="C4093" s="164">
        <v>0.56592592592592594</v>
      </c>
      <c r="D4093" s="159">
        <v>10</v>
      </c>
      <c r="E4093" s="166" t="s">
        <v>3694</v>
      </c>
    </row>
    <row r="4094" spans="1:5">
      <c r="A4094" s="174">
        <f t="shared" si="56"/>
        <v>4093</v>
      </c>
      <c r="B4094" s="163">
        <v>45864</v>
      </c>
      <c r="C4094" s="164">
        <v>0.55487268518518518</v>
      </c>
      <c r="D4094" s="159">
        <v>10</v>
      </c>
      <c r="E4094" s="166" t="s">
        <v>3543</v>
      </c>
    </row>
    <row r="4095" spans="1:5">
      <c r="A4095" s="174">
        <f t="shared" si="56"/>
        <v>4094</v>
      </c>
      <c r="B4095" s="163">
        <v>45864</v>
      </c>
      <c r="C4095" s="164">
        <v>0.53776620370370376</v>
      </c>
      <c r="D4095" s="159">
        <v>10</v>
      </c>
      <c r="E4095" s="166" t="s">
        <v>3695</v>
      </c>
    </row>
    <row r="4096" spans="1:5">
      <c r="A4096" s="174">
        <f t="shared" si="56"/>
        <v>4095</v>
      </c>
      <c r="B4096" s="163">
        <v>45864</v>
      </c>
      <c r="C4096" s="164">
        <v>0.47513888888888883</v>
      </c>
      <c r="D4096" s="159">
        <v>10</v>
      </c>
      <c r="E4096" s="166" t="s">
        <v>3696</v>
      </c>
    </row>
    <row r="4097" spans="1:5">
      <c r="A4097" s="174">
        <f t="shared" si="56"/>
        <v>4096</v>
      </c>
      <c r="B4097" s="163">
        <v>45864</v>
      </c>
      <c r="C4097" s="164">
        <v>0.46062500000000001</v>
      </c>
      <c r="D4097" s="159">
        <v>10</v>
      </c>
      <c r="E4097" s="166" t="s">
        <v>3697</v>
      </c>
    </row>
    <row r="4098" spans="1:5" ht="27">
      <c r="A4098" s="174">
        <f t="shared" si="56"/>
        <v>4097</v>
      </c>
      <c r="B4098" s="163">
        <v>45864</v>
      </c>
      <c r="C4098" s="164">
        <v>0.45825231481481482</v>
      </c>
      <c r="D4098" s="159">
        <v>10</v>
      </c>
      <c r="E4098" s="166" t="s">
        <v>3698</v>
      </c>
    </row>
    <row r="4099" spans="1:5">
      <c r="A4099" s="174">
        <f t="shared" si="56"/>
        <v>4098</v>
      </c>
      <c r="B4099" s="163">
        <v>45864</v>
      </c>
      <c r="C4099" s="164">
        <v>0.4548726851851852</v>
      </c>
      <c r="D4099" s="159">
        <v>10</v>
      </c>
      <c r="E4099" s="166" t="s">
        <v>3699</v>
      </c>
    </row>
    <row r="4100" spans="1:5">
      <c r="A4100" s="174">
        <f t="shared" si="56"/>
        <v>4099</v>
      </c>
      <c r="B4100" s="163">
        <v>45864</v>
      </c>
      <c r="C4100" s="164">
        <v>0.38999999999999996</v>
      </c>
      <c r="D4100" s="159">
        <v>10</v>
      </c>
      <c r="E4100" s="166" t="s">
        <v>3700</v>
      </c>
    </row>
    <row r="4101" spans="1:5">
      <c r="A4101" s="174">
        <f t="shared" si="56"/>
        <v>4100</v>
      </c>
      <c r="B4101" s="163">
        <v>45866</v>
      </c>
      <c r="C4101" s="164">
        <v>0.83334490740740741</v>
      </c>
      <c r="D4101" s="159">
        <v>10</v>
      </c>
      <c r="E4101" s="166" t="s">
        <v>3726</v>
      </c>
    </row>
    <row r="4102" spans="1:5">
      <c r="A4102" s="174">
        <f t="shared" si="56"/>
        <v>4101</v>
      </c>
      <c r="B4102" s="163">
        <v>45866</v>
      </c>
      <c r="C4102" s="164">
        <v>0.82810185185185192</v>
      </c>
      <c r="D4102" s="159">
        <v>10</v>
      </c>
      <c r="E4102" s="166" t="s">
        <v>3727</v>
      </c>
    </row>
    <row r="4103" spans="1:5">
      <c r="A4103" s="174">
        <f t="shared" si="56"/>
        <v>4102</v>
      </c>
      <c r="B4103" s="163">
        <v>45866</v>
      </c>
      <c r="C4103" s="164">
        <v>0.8019560185185185</v>
      </c>
      <c r="D4103" s="159">
        <v>10</v>
      </c>
      <c r="E4103" s="166" t="s">
        <v>3728</v>
      </c>
    </row>
    <row r="4104" spans="1:5">
      <c r="A4104" s="174">
        <f t="shared" si="56"/>
        <v>4103</v>
      </c>
      <c r="B4104" s="163">
        <v>45866</v>
      </c>
      <c r="C4104" s="164">
        <v>0.78196759259259263</v>
      </c>
      <c r="D4104" s="159">
        <v>10</v>
      </c>
      <c r="E4104" s="166" t="s">
        <v>3729</v>
      </c>
    </row>
    <row r="4105" spans="1:5">
      <c r="A4105" s="174">
        <f t="shared" si="56"/>
        <v>4104</v>
      </c>
      <c r="B4105" s="163">
        <v>45866</v>
      </c>
      <c r="C4105" s="164">
        <v>0.77508101851851852</v>
      </c>
      <c r="D4105" s="159">
        <v>10</v>
      </c>
      <c r="E4105" s="166" t="s">
        <v>3730</v>
      </c>
    </row>
    <row r="4106" spans="1:5">
      <c r="A4106" s="174">
        <f t="shared" si="56"/>
        <v>4105</v>
      </c>
      <c r="B4106" s="163">
        <v>45866</v>
      </c>
      <c r="C4106" s="164">
        <v>0.75339120370370372</v>
      </c>
      <c r="D4106" s="159">
        <v>10</v>
      </c>
      <c r="E4106" s="166" t="s">
        <v>3731</v>
      </c>
    </row>
    <row r="4107" spans="1:5">
      <c r="A4107" s="174">
        <f t="shared" si="56"/>
        <v>4106</v>
      </c>
      <c r="B4107" s="163">
        <v>45866</v>
      </c>
      <c r="C4107" s="164">
        <v>0.75084490740740739</v>
      </c>
      <c r="D4107" s="159">
        <v>10</v>
      </c>
      <c r="E4107" s="166" t="s">
        <v>3732</v>
      </c>
    </row>
    <row r="4108" spans="1:5">
      <c r="A4108" s="174">
        <f t="shared" si="56"/>
        <v>4107</v>
      </c>
      <c r="B4108" s="163">
        <v>45866</v>
      </c>
      <c r="C4108" s="164">
        <v>0.745</v>
      </c>
      <c r="D4108" s="159">
        <v>10</v>
      </c>
      <c r="E4108" s="166" t="s">
        <v>3733</v>
      </c>
    </row>
    <row r="4109" spans="1:5">
      <c r="A4109" s="174">
        <f t="shared" si="56"/>
        <v>4108</v>
      </c>
      <c r="B4109" s="163">
        <v>45866</v>
      </c>
      <c r="C4109" s="164">
        <v>0.74480324074074078</v>
      </c>
      <c r="D4109" s="159">
        <v>10</v>
      </c>
      <c r="E4109" s="166" t="s">
        <v>3734</v>
      </c>
    </row>
    <row r="4110" spans="1:5">
      <c r="A4110" s="174">
        <f t="shared" si="56"/>
        <v>4109</v>
      </c>
      <c r="B4110" s="163">
        <v>45866</v>
      </c>
      <c r="C4110" s="164">
        <v>0.7397800925925927</v>
      </c>
      <c r="D4110" s="159">
        <v>10</v>
      </c>
      <c r="E4110" s="166" t="s">
        <v>3735</v>
      </c>
    </row>
    <row r="4111" spans="1:5">
      <c r="A4111" s="174">
        <f t="shared" si="56"/>
        <v>4110</v>
      </c>
      <c r="B4111" s="163">
        <v>45866</v>
      </c>
      <c r="C4111" s="164">
        <v>0.73810185185185195</v>
      </c>
      <c r="D4111" s="159">
        <v>10</v>
      </c>
      <c r="E4111" s="166" t="s">
        <v>3736</v>
      </c>
    </row>
    <row r="4112" spans="1:5">
      <c r="A4112" s="174">
        <f t="shared" si="56"/>
        <v>4111</v>
      </c>
      <c r="B4112" s="163">
        <v>45866</v>
      </c>
      <c r="C4112" s="164">
        <v>0.73761574074074077</v>
      </c>
      <c r="D4112" s="159">
        <v>10</v>
      </c>
      <c r="E4112" s="166" t="s">
        <v>3737</v>
      </c>
    </row>
    <row r="4113" spans="1:5">
      <c r="A4113" s="174">
        <f t="shared" si="56"/>
        <v>4112</v>
      </c>
      <c r="B4113" s="163">
        <v>45866</v>
      </c>
      <c r="C4113" s="164">
        <v>0.73692129629629621</v>
      </c>
      <c r="D4113" s="159">
        <v>10</v>
      </c>
      <c r="E4113" s="166" t="s">
        <v>313</v>
      </c>
    </row>
    <row r="4114" spans="1:5">
      <c r="A4114" s="174">
        <f t="shared" si="56"/>
        <v>4113</v>
      </c>
      <c r="B4114" s="163">
        <v>45866</v>
      </c>
      <c r="C4114" s="164">
        <v>0.73613425925925924</v>
      </c>
      <c r="D4114" s="159">
        <v>10</v>
      </c>
      <c r="E4114" s="166" t="s">
        <v>3738</v>
      </c>
    </row>
    <row r="4115" spans="1:5">
      <c r="A4115" s="174">
        <f t="shared" si="56"/>
        <v>4114</v>
      </c>
      <c r="B4115" s="163">
        <v>45866</v>
      </c>
      <c r="C4115" s="164">
        <v>0.73562500000000008</v>
      </c>
      <c r="D4115" s="159">
        <v>10</v>
      </c>
      <c r="E4115" s="166" t="s">
        <v>3739</v>
      </c>
    </row>
    <row r="4116" spans="1:5">
      <c r="A4116" s="174">
        <f t="shared" si="56"/>
        <v>4115</v>
      </c>
      <c r="B4116" s="163">
        <v>45866</v>
      </c>
      <c r="C4116" s="164">
        <v>0.72682870370370367</v>
      </c>
      <c r="D4116" s="159">
        <v>10</v>
      </c>
      <c r="E4116" s="166" t="s">
        <v>132</v>
      </c>
    </row>
    <row r="4117" spans="1:5">
      <c r="A4117" s="174">
        <f t="shared" si="56"/>
        <v>4116</v>
      </c>
      <c r="B4117" s="163">
        <v>45866</v>
      </c>
      <c r="C4117" s="164">
        <v>0.71791666666666665</v>
      </c>
      <c r="D4117" s="159">
        <v>10</v>
      </c>
      <c r="E4117" s="166" t="s">
        <v>3740</v>
      </c>
    </row>
    <row r="4118" spans="1:5">
      <c r="A4118" s="174">
        <f t="shared" si="56"/>
        <v>4117</v>
      </c>
      <c r="B4118" s="163">
        <v>45866</v>
      </c>
      <c r="C4118" s="164">
        <v>0.71189814814814811</v>
      </c>
      <c r="D4118" s="159">
        <v>10</v>
      </c>
      <c r="E4118" s="166" t="s">
        <v>3780</v>
      </c>
    </row>
    <row r="4119" spans="1:5">
      <c r="A4119" s="174">
        <f t="shared" si="56"/>
        <v>4118</v>
      </c>
      <c r="B4119" s="163">
        <v>45866</v>
      </c>
      <c r="C4119" s="164">
        <v>0.70451388888888899</v>
      </c>
      <c r="D4119" s="159">
        <v>10</v>
      </c>
      <c r="E4119" s="166" t="s">
        <v>3741</v>
      </c>
    </row>
    <row r="4120" spans="1:5">
      <c r="A4120" s="174">
        <f t="shared" si="56"/>
        <v>4119</v>
      </c>
      <c r="B4120" s="163">
        <v>45866</v>
      </c>
      <c r="C4120" s="164">
        <v>0.69215277777777784</v>
      </c>
      <c r="D4120" s="159">
        <v>10</v>
      </c>
      <c r="E4120" s="166" t="s">
        <v>3742</v>
      </c>
    </row>
    <row r="4121" spans="1:5">
      <c r="A4121" s="174">
        <f t="shared" si="56"/>
        <v>4120</v>
      </c>
      <c r="B4121" s="163">
        <v>45866</v>
      </c>
      <c r="C4121" s="164">
        <v>0.68743055555555566</v>
      </c>
      <c r="D4121" s="159">
        <v>10</v>
      </c>
      <c r="E4121" s="166" t="s">
        <v>3743</v>
      </c>
    </row>
    <row r="4122" spans="1:5" ht="27">
      <c r="A4122" s="174">
        <f t="shared" si="56"/>
        <v>4121</v>
      </c>
      <c r="B4122" s="163">
        <v>45866</v>
      </c>
      <c r="C4122" s="164">
        <v>0.68756944444444434</v>
      </c>
      <c r="D4122" s="159">
        <v>10</v>
      </c>
      <c r="E4122" s="166" t="s">
        <v>3744</v>
      </c>
    </row>
    <row r="4123" spans="1:5">
      <c r="A4123" s="174">
        <f t="shared" si="56"/>
        <v>4122</v>
      </c>
      <c r="B4123" s="163">
        <v>45866</v>
      </c>
      <c r="C4123" s="164">
        <v>0.67586805555555562</v>
      </c>
      <c r="D4123" s="159">
        <v>10</v>
      </c>
      <c r="E4123" s="166" t="s">
        <v>3745</v>
      </c>
    </row>
    <row r="4124" spans="1:5">
      <c r="A4124" s="174">
        <f t="shared" si="56"/>
        <v>4123</v>
      </c>
      <c r="B4124" s="163">
        <v>45866</v>
      </c>
      <c r="C4124" s="164">
        <v>0.67557870370370365</v>
      </c>
      <c r="D4124" s="159">
        <v>10</v>
      </c>
      <c r="E4124" s="166" t="s">
        <v>3746</v>
      </c>
    </row>
    <row r="4125" spans="1:5">
      <c r="A4125" s="174">
        <f t="shared" si="56"/>
        <v>4124</v>
      </c>
      <c r="B4125" s="163">
        <v>45866</v>
      </c>
      <c r="C4125" s="164">
        <v>0.67215277777777782</v>
      </c>
      <c r="D4125" s="159">
        <v>10</v>
      </c>
      <c r="E4125" s="166" t="s">
        <v>3747</v>
      </c>
    </row>
    <row r="4126" spans="1:5">
      <c r="A4126" s="174">
        <f t="shared" si="56"/>
        <v>4125</v>
      </c>
      <c r="B4126" s="163">
        <v>45866</v>
      </c>
      <c r="C4126" s="164">
        <v>0.67070601851851841</v>
      </c>
      <c r="D4126" s="159">
        <v>10</v>
      </c>
      <c r="E4126" s="166" t="s">
        <v>3748</v>
      </c>
    </row>
    <row r="4127" spans="1:5">
      <c r="A4127" s="174">
        <f t="shared" si="56"/>
        <v>4126</v>
      </c>
      <c r="B4127" s="163">
        <v>45866</v>
      </c>
      <c r="C4127" s="164">
        <v>0.65539351851851857</v>
      </c>
      <c r="D4127" s="159">
        <v>10</v>
      </c>
      <c r="E4127" s="166" t="s">
        <v>3749</v>
      </c>
    </row>
    <row r="4128" spans="1:5">
      <c r="A4128" s="174">
        <f t="shared" si="56"/>
        <v>4127</v>
      </c>
      <c r="B4128" s="163">
        <v>45866</v>
      </c>
      <c r="C4128" s="164">
        <v>0.64699074074074081</v>
      </c>
      <c r="D4128" s="159">
        <v>10</v>
      </c>
      <c r="E4128" s="166" t="s">
        <v>3750</v>
      </c>
    </row>
    <row r="4129" spans="1:5">
      <c r="A4129" s="174">
        <f t="shared" si="56"/>
        <v>4128</v>
      </c>
      <c r="B4129" s="163">
        <v>45866</v>
      </c>
      <c r="C4129" s="164">
        <v>0.64644675925925921</v>
      </c>
      <c r="D4129" s="159">
        <v>10</v>
      </c>
      <c r="E4129" s="166" t="s">
        <v>3751</v>
      </c>
    </row>
    <row r="4130" spans="1:5">
      <c r="A4130" s="174">
        <f t="shared" si="56"/>
        <v>4129</v>
      </c>
      <c r="B4130" s="163">
        <v>45866</v>
      </c>
      <c r="C4130" s="164">
        <v>0.63972222222222219</v>
      </c>
      <c r="D4130" s="159">
        <v>10</v>
      </c>
      <c r="E4130" s="166" t="s">
        <v>3752</v>
      </c>
    </row>
    <row r="4131" spans="1:5">
      <c r="A4131" s="174">
        <f t="shared" si="56"/>
        <v>4130</v>
      </c>
      <c r="B4131" s="163">
        <v>45866</v>
      </c>
      <c r="C4131" s="164">
        <v>0.63717592592592587</v>
      </c>
      <c r="D4131" s="159">
        <v>10</v>
      </c>
      <c r="E4131" s="166" t="s">
        <v>3753</v>
      </c>
    </row>
    <row r="4132" spans="1:5">
      <c r="A4132" s="174">
        <f t="shared" si="56"/>
        <v>4131</v>
      </c>
      <c r="B4132" s="163">
        <v>45866</v>
      </c>
      <c r="C4132" s="164">
        <v>0.62746527777777772</v>
      </c>
      <c r="D4132" s="159">
        <v>10</v>
      </c>
      <c r="E4132" s="166" t="s">
        <v>132</v>
      </c>
    </row>
    <row r="4133" spans="1:5">
      <c r="A4133" s="174">
        <f t="shared" si="56"/>
        <v>4132</v>
      </c>
      <c r="B4133" s="163">
        <v>45866</v>
      </c>
      <c r="C4133" s="164">
        <v>0.62579861111111112</v>
      </c>
      <c r="D4133" s="159">
        <v>10</v>
      </c>
      <c r="E4133" s="166" t="s">
        <v>3754</v>
      </c>
    </row>
    <row r="4134" spans="1:5">
      <c r="A4134" s="174">
        <f t="shared" si="56"/>
        <v>4133</v>
      </c>
      <c r="B4134" s="163">
        <v>45866</v>
      </c>
      <c r="C4134" s="164">
        <v>0.58638888888888896</v>
      </c>
      <c r="D4134" s="159">
        <v>10</v>
      </c>
      <c r="E4134" s="166" t="s">
        <v>3755</v>
      </c>
    </row>
    <row r="4135" spans="1:5">
      <c r="A4135" s="174">
        <f t="shared" si="56"/>
        <v>4134</v>
      </c>
      <c r="B4135" s="163">
        <v>45866</v>
      </c>
      <c r="C4135" s="164">
        <v>0.58462962962962961</v>
      </c>
      <c r="D4135" s="159">
        <v>10</v>
      </c>
      <c r="E4135" s="166" t="s">
        <v>3756</v>
      </c>
    </row>
    <row r="4136" spans="1:5">
      <c r="A4136" s="174">
        <f t="shared" si="56"/>
        <v>4135</v>
      </c>
      <c r="B4136" s="163">
        <v>45866</v>
      </c>
      <c r="C4136" s="164">
        <v>0.58292824074074068</v>
      </c>
      <c r="D4136" s="159">
        <v>10</v>
      </c>
      <c r="E4136" s="166" t="s">
        <v>3757</v>
      </c>
    </row>
    <row r="4137" spans="1:5">
      <c r="A4137" s="174">
        <f t="shared" si="56"/>
        <v>4136</v>
      </c>
      <c r="B4137" s="163">
        <v>45866</v>
      </c>
      <c r="C4137" s="164">
        <v>0.58218749999999997</v>
      </c>
      <c r="D4137" s="159">
        <v>10</v>
      </c>
      <c r="E4137" s="166" t="s">
        <v>3758</v>
      </c>
    </row>
    <row r="4138" spans="1:5">
      <c r="A4138" s="174">
        <f t="shared" si="56"/>
        <v>4137</v>
      </c>
      <c r="B4138" s="163">
        <v>45866</v>
      </c>
      <c r="C4138" s="164">
        <v>0.58116898148148144</v>
      </c>
      <c r="D4138" s="159">
        <v>10</v>
      </c>
      <c r="E4138" s="166" t="s">
        <v>3779</v>
      </c>
    </row>
    <row r="4139" spans="1:5">
      <c r="A4139" s="174">
        <f t="shared" si="56"/>
        <v>4138</v>
      </c>
      <c r="B4139" s="163">
        <v>45866</v>
      </c>
      <c r="C4139" s="164">
        <v>0.57121527777777781</v>
      </c>
      <c r="D4139" s="159">
        <v>10</v>
      </c>
      <c r="E4139" s="166" t="s">
        <v>3759</v>
      </c>
    </row>
    <row r="4140" spans="1:5">
      <c r="A4140" s="174">
        <f t="shared" si="56"/>
        <v>4139</v>
      </c>
      <c r="B4140" s="163">
        <v>45866</v>
      </c>
      <c r="C4140" s="164">
        <v>0.55699074074074073</v>
      </c>
      <c r="D4140" s="159">
        <v>10</v>
      </c>
      <c r="E4140" s="166" t="s">
        <v>3760</v>
      </c>
    </row>
    <row r="4141" spans="1:5">
      <c r="A4141" s="174">
        <f t="shared" si="56"/>
        <v>4140</v>
      </c>
      <c r="B4141" s="163">
        <v>45866</v>
      </c>
      <c r="C4141" s="164">
        <v>0.556574074074074</v>
      </c>
      <c r="D4141" s="159">
        <v>10</v>
      </c>
      <c r="E4141" s="166" t="s">
        <v>3761</v>
      </c>
    </row>
    <row r="4142" spans="1:5">
      <c r="A4142" s="174">
        <f t="shared" si="56"/>
        <v>4141</v>
      </c>
      <c r="B4142" s="163">
        <v>45866</v>
      </c>
      <c r="C4142" s="164">
        <v>0.55223379629629632</v>
      </c>
      <c r="D4142" s="159">
        <v>10</v>
      </c>
      <c r="E4142" s="166" t="s">
        <v>3762</v>
      </c>
    </row>
    <row r="4143" spans="1:5" ht="27">
      <c r="A4143" s="174">
        <f t="shared" si="56"/>
        <v>4142</v>
      </c>
      <c r="B4143" s="163">
        <v>45866</v>
      </c>
      <c r="C4143" s="164">
        <v>0.54840277777777779</v>
      </c>
      <c r="D4143" s="159">
        <v>10</v>
      </c>
      <c r="E4143" s="166" t="s">
        <v>3763</v>
      </c>
    </row>
    <row r="4144" spans="1:5">
      <c r="A4144" s="174">
        <f t="shared" si="56"/>
        <v>4143</v>
      </c>
      <c r="B4144" s="163">
        <v>45866</v>
      </c>
      <c r="C4144" s="164">
        <v>0.50184027777777784</v>
      </c>
      <c r="D4144" s="159">
        <v>10</v>
      </c>
      <c r="E4144" s="166" t="s">
        <v>3764</v>
      </c>
    </row>
    <row r="4145" spans="1:5">
      <c r="A4145" s="174">
        <f t="shared" si="56"/>
        <v>4144</v>
      </c>
      <c r="B4145" s="163">
        <v>45866</v>
      </c>
      <c r="C4145" s="164">
        <v>0.4839236111111111</v>
      </c>
      <c r="D4145" s="159">
        <v>10</v>
      </c>
      <c r="E4145" s="166" t="s">
        <v>3778</v>
      </c>
    </row>
    <row r="4146" spans="1:5">
      <c r="A4146" s="174">
        <f t="shared" si="56"/>
        <v>4145</v>
      </c>
      <c r="B4146" s="163">
        <v>45866</v>
      </c>
      <c r="C4146" s="164">
        <v>0.47723379629629631</v>
      </c>
      <c r="D4146" s="159">
        <v>10</v>
      </c>
      <c r="E4146" s="166" t="s">
        <v>3765</v>
      </c>
    </row>
    <row r="4147" spans="1:5">
      <c r="A4147" s="174">
        <f t="shared" si="56"/>
        <v>4146</v>
      </c>
      <c r="B4147" s="163">
        <v>45866</v>
      </c>
      <c r="C4147" s="164">
        <v>0.47465277777777781</v>
      </c>
      <c r="D4147" s="159">
        <v>10</v>
      </c>
      <c r="E4147" s="166" t="s">
        <v>3766</v>
      </c>
    </row>
    <row r="4148" spans="1:5">
      <c r="A4148" s="174">
        <f t="shared" si="56"/>
        <v>4147</v>
      </c>
      <c r="B4148" s="163">
        <v>45866</v>
      </c>
      <c r="C4148" s="164">
        <v>0.46982638888888889</v>
      </c>
      <c r="D4148" s="159">
        <v>10</v>
      </c>
      <c r="E4148" s="166" t="s">
        <v>3767</v>
      </c>
    </row>
    <row r="4149" spans="1:5">
      <c r="A4149" s="174">
        <f t="shared" ref="A4149:A4212" si="57">ROW()-1</f>
        <v>4148</v>
      </c>
      <c r="B4149" s="163">
        <v>45866</v>
      </c>
      <c r="C4149" s="164">
        <v>0.45068287037037041</v>
      </c>
      <c r="D4149" s="159">
        <v>10</v>
      </c>
      <c r="E4149" s="166" t="s">
        <v>3768</v>
      </c>
    </row>
    <row r="4150" spans="1:5">
      <c r="A4150" s="174">
        <f t="shared" si="57"/>
        <v>4149</v>
      </c>
      <c r="B4150" s="163">
        <v>45866</v>
      </c>
      <c r="C4150" s="164">
        <v>0.44418981481481484</v>
      </c>
      <c r="D4150" s="159">
        <v>10</v>
      </c>
      <c r="E4150" s="166" t="s">
        <v>3769</v>
      </c>
    </row>
    <row r="4151" spans="1:5">
      <c r="A4151" s="174">
        <f t="shared" si="57"/>
        <v>4150</v>
      </c>
      <c r="B4151" s="163">
        <v>45866</v>
      </c>
      <c r="C4151" s="164">
        <v>0.44187500000000002</v>
      </c>
      <c r="D4151" s="159">
        <v>10</v>
      </c>
      <c r="E4151" s="166" t="s">
        <v>3770</v>
      </c>
    </row>
    <row r="4152" spans="1:5">
      <c r="A4152" s="174">
        <f t="shared" si="57"/>
        <v>4151</v>
      </c>
      <c r="B4152" s="163">
        <v>45866</v>
      </c>
      <c r="C4152" s="164">
        <v>0.43925925925925924</v>
      </c>
      <c r="D4152" s="159">
        <v>10</v>
      </c>
      <c r="E4152" s="166" t="s">
        <v>3771</v>
      </c>
    </row>
    <row r="4153" spans="1:5">
      <c r="A4153" s="174">
        <f t="shared" si="57"/>
        <v>4152</v>
      </c>
      <c r="B4153" s="163">
        <v>45866</v>
      </c>
      <c r="C4153" s="164">
        <v>0.41226851851851848</v>
      </c>
      <c r="D4153" s="159">
        <v>10</v>
      </c>
      <c r="E4153" s="166" t="s">
        <v>3772</v>
      </c>
    </row>
    <row r="4154" spans="1:5">
      <c r="A4154" s="174">
        <f t="shared" si="57"/>
        <v>4153</v>
      </c>
      <c r="B4154" s="163">
        <v>45866</v>
      </c>
      <c r="C4154" s="164">
        <v>0.41141203703703705</v>
      </c>
      <c r="D4154" s="159">
        <v>10</v>
      </c>
      <c r="E4154" s="166" t="s">
        <v>3773</v>
      </c>
    </row>
    <row r="4155" spans="1:5">
      <c r="A4155" s="174">
        <f t="shared" si="57"/>
        <v>4154</v>
      </c>
      <c r="B4155" s="163">
        <v>45866</v>
      </c>
      <c r="C4155" s="164">
        <v>0.40893518518518518</v>
      </c>
      <c r="D4155" s="159">
        <v>10</v>
      </c>
      <c r="E4155" s="166" t="s">
        <v>132</v>
      </c>
    </row>
    <row r="4156" spans="1:5">
      <c r="A4156" s="174">
        <f t="shared" si="57"/>
        <v>4155</v>
      </c>
      <c r="B4156" s="163">
        <v>45866</v>
      </c>
      <c r="C4156" s="164">
        <v>0.4001736111111111</v>
      </c>
      <c r="D4156" s="159">
        <v>10</v>
      </c>
      <c r="E4156" s="166" t="s">
        <v>3774</v>
      </c>
    </row>
    <row r="4157" spans="1:5">
      <c r="A4157" s="174">
        <f t="shared" si="57"/>
        <v>4156</v>
      </c>
      <c r="B4157" s="163">
        <v>45866</v>
      </c>
      <c r="C4157" s="164">
        <v>0.38844907407407409</v>
      </c>
      <c r="D4157" s="159">
        <v>10</v>
      </c>
      <c r="E4157" s="166" t="s">
        <v>3775</v>
      </c>
    </row>
    <row r="4158" spans="1:5">
      <c r="A4158" s="174">
        <f t="shared" si="57"/>
        <v>4157</v>
      </c>
      <c r="B4158" s="163">
        <v>45866</v>
      </c>
      <c r="C4158" s="164">
        <v>0.38546296296296295</v>
      </c>
      <c r="D4158" s="159">
        <v>10</v>
      </c>
      <c r="E4158" s="166" t="s">
        <v>3776</v>
      </c>
    </row>
    <row r="4159" spans="1:5">
      <c r="A4159" s="174">
        <f t="shared" si="57"/>
        <v>4158</v>
      </c>
      <c r="B4159" s="163">
        <v>45866</v>
      </c>
      <c r="C4159" s="164">
        <v>0.38525462962962959</v>
      </c>
      <c r="D4159" s="159">
        <v>10</v>
      </c>
      <c r="E4159" s="166" t="s">
        <v>3777</v>
      </c>
    </row>
    <row r="4160" spans="1:5">
      <c r="A4160" s="174">
        <f t="shared" si="57"/>
        <v>4159</v>
      </c>
      <c r="B4160" s="163">
        <v>45867</v>
      </c>
      <c r="C4160" s="164">
        <v>0.88260416666666675</v>
      </c>
      <c r="D4160" s="159">
        <v>10</v>
      </c>
      <c r="E4160" s="166" t="s">
        <v>3781</v>
      </c>
    </row>
    <row r="4161" spans="1:5" ht="54">
      <c r="A4161" s="174">
        <f t="shared" si="57"/>
        <v>4160</v>
      </c>
      <c r="B4161" s="163">
        <v>45867</v>
      </c>
      <c r="C4161" s="164">
        <v>0.88168981481481479</v>
      </c>
      <c r="D4161" s="159">
        <v>10</v>
      </c>
      <c r="E4161" s="166" t="s">
        <v>3817</v>
      </c>
    </row>
    <row r="4162" spans="1:5">
      <c r="A4162" s="174">
        <f t="shared" si="57"/>
        <v>4161</v>
      </c>
      <c r="B4162" s="163">
        <v>45867</v>
      </c>
      <c r="C4162" s="164">
        <v>0.8539930555555556</v>
      </c>
      <c r="D4162" s="159">
        <v>10</v>
      </c>
      <c r="E4162" s="166" t="s">
        <v>3782</v>
      </c>
    </row>
    <row r="4163" spans="1:5" ht="27">
      <c r="A4163" s="174">
        <f t="shared" si="57"/>
        <v>4162</v>
      </c>
      <c r="B4163" s="163">
        <v>45867</v>
      </c>
      <c r="C4163" s="164">
        <v>0.73171296296296295</v>
      </c>
      <c r="D4163" s="159">
        <v>10</v>
      </c>
      <c r="E4163" s="166" t="s">
        <v>3783</v>
      </c>
    </row>
    <row r="4164" spans="1:5">
      <c r="A4164" s="174">
        <f t="shared" si="57"/>
        <v>4163</v>
      </c>
      <c r="B4164" s="163">
        <v>45867</v>
      </c>
      <c r="C4164" s="164">
        <v>0.7084259259259259</v>
      </c>
      <c r="D4164" s="159">
        <v>10</v>
      </c>
      <c r="E4164" s="166" t="s">
        <v>3784</v>
      </c>
    </row>
    <row r="4165" spans="1:5">
      <c r="A4165" s="174">
        <f t="shared" si="57"/>
        <v>4164</v>
      </c>
      <c r="B4165" s="163">
        <v>45867</v>
      </c>
      <c r="C4165" s="164">
        <v>0.70745370370370375</v>
      </c>
      <c r="D4165" s="159">
        <v>10</v>
      </c>
      <c r="E4165" s="166" t="s">
        <v>3785</v>
      </c>
    </row>
    <row r="4166" spans="1:5">
      <c r="A4166" s="174">
        <f t="shared" si="57"/>
        <v>4165</v>
      </c>
      <c r="B4166" s="163">
        <v>45867</v>
      </c>
      <c r="C4166" s="164">
        <v>0.69156249999999997</v>
      </c>
      <c r="D4166" s="159">
        <v>10</v>
      </c>
      <c r="E4166" s="166" t="s">
        <v>3786</v>
      </c>
    </row>
    <row r="4167" spans="1:5">
      <c r="A4167" s="174">
        <f t="shared" si="57"/>
        <v>4166</v>
      </c>
      <c r="B4167" s="163">
        <v>45867</v>
      </c>
      <c r="C4167" s="164">
        <v>0.69138888888888894</v>
      </c>
      <c r="D4167" s="159">
        <v>10</v>
      </c>
      <c r="E4167" s="166" t="s">
        <v>3787</v>
      </c>
    </row>
    <row r="4168" spans="1:5">
      <c r="A4168" s="174">
        <f t="shared" si="57"/>
        <v>4167</v>
      </c>
      <c r="B4168" s="163">
        <v>45867</v>
      </c>
      <c r="C4168" s="164">
        <v>0.67843749999999992</v>
      </c>
      <c r="D4168" s="159">
        <v>8</v>
      </c>
      <c r="E4168" s="166" t="s">
        <v>3788</v>
      </c>
    </row>
    <row r="4169" spans="1:5">
      <c r="A4169" s="174">
        <f t="shared" si="57"/>
        <v>4168</v>
      </c>
      <c r="B4169" s="163">
        <v>45867</v>
      </c>
      <c r="C4169" s="164">
        <v>0.66569444444444448</v>
      </c>
      <c r="D4169" s="159">
        <v>1</v>
      </c>
      <c r="E4169" s="166" t="s">
        <v>3789</v>
      </c>
    </row>
    <row r="4170" spans="1:5">
      <c r="A4170" s="174">
        <f t="shared" si="57"/>
        <v>4169</v>
      </c>
      <c r="B4170" s="163">
        <v>45867</v>
      </c>
      <c r="C4170" s="164">
        <v>0.65733796296296299</v>
      </c>
      <c r="D4170" s="159">
        <v>10</v>
      </c>
      <c r="E4170" s="166" t="s">
        <v>3790</v>
      </c>
    </row>
    <row r="4171" spans="1:5">
      <c r="A4171" s="174">
        <f t="shared" si="57"/>
        <v>4170</v>
      </c>
      <c r="B4171" s="163">
        <v>45867</v>
      </c>
      <c r="C4171" s="164">
        <v>0.65627314814814819</v>
      </c>
      <c r="D4171" s="159">
        <v>10</v>
      </c>
      <c r="E4171" s="166" t="s">
        <v>3791</v>
      </c>
    </row>
    <row r="4172" spans="1:5">
      <c r="A4172" s="174">
        <f t="shared" si="57"/>
        <v>4171</v>
      </c>
      <c r="B4172" s="163">
        <v>45867</v>
      </c>
      <c r="C4172" s="164">
        <v>0.64002314814814809</v>
      </c>
      <c r="D4172" s="159">
        <v>10</v>
      </c>
      <c r="E4172" s="166" t="s">
        <v>3792</v>
      </c>
    </row>
    <row r="4173" spans="1:5">
      <c r="A4173" s="174">
        <f t="shared" si="57"/>
        <v>4172</v>
      </c>
      <c r="B4173" s="163">
        <v>45867</v>
      </c>
      <c r="C4173" s="164">
        <v>0.63369212962962962</v>
      </c>
      <c r="D4173" s="159">
        <v>10</v>
      </c>
      <c r="E4173" s="166" t="s">
        <v>3793</v>
      </c>
    </row>
    <row r="4174" spans="1:5" ht="27">
      <c r="A4174" s="174">
        <f t="shared" si="57"/>
        <v>4173</v>
      </c>
      <c r="B4174" s="163">
        <v>45867</v>
      </c>
      <c r="C4174" s="164">
        <v>0.6206828703703704</v>
      </c>
      <c r="D4174" s="159">
        <v>10</v>
      </c>
      <c r="E4174" s="166" t="s">
        <v>3816</v>
      </c>
    </row>
    <row r="4175" spans="1:5">
      <c r="A4175" s="174">
        <f t="shared" si="57"/>
        <v>4174</v>
      </c>
      <c r="B4175" s="163">
        <v>45867</v>
      </c>
      <c r="C4175" s="164">
        <v>0.61658564814814809</v>
      </c>
      <c r="D4175" s="159">
        <v>10</v>
      </c>
      <c r="E4175" s="166" t="s">
        <v>448</v>
      </c>
    </row>
    <row r="4176" spans="1:5">
      <c r="A4176" s="174">
        <f t="shared" si="57"/>
        <v>4175</v>
      </c>
      <c r="B4176" s="163">
        <v>45867</v>
      </c>
      <c r="C4176" s="164">
        <v>0.60375000000000001</v>
      </c>
      <c r="D4176" s="159">
        <v>10</v>
      </c>
      <c r="E4176" s="166" t="s">
        <v>3794</v>
      </c>
    </row>
    <row r="4177" spans="1:5">
      <c r="A4177" s="174">
        <f t="shared" si="57"/>
        <v>4176</v>
      </c>
      <c r="B4177" s="163">
        <v>45867</v>
      </c>
      <c r="C4177" s="164">
        <v>0.60011574074074081</v>
      </c>
      <c r="D4177" s="159">
        <v>10</v>
      </c>
      <c r="E4177" s="166" t="s">
        <v>132</v>
      </c>
    </row>
    <row r="4178" spans="1:5">
      <c r="A4178" s="174">
        <f t="shared" si="57"/>
        <v>4177</v>
      </c>
      <c r="B4178" s="163">
        <v>45867</v>
      </c>
      <c r="C4178" s="164">
        <v>0.59008101851851846</v>
      </c>
      <c r="D4178" s="159">
        <v>10</v>
      </c>
      <c r="E4178" s="166" t="s">
        <v>3795</v>
      </c>
    </row>
    <row r="4179" spans="1:5">
      <c r="A4179" s="174">
        <f t="shared" si="57"/>
        <v>4178</v>
      </c>
      <c r="B4179" s="163">
        <v>45867</v>
      </c>
      <c r="C4179" s="164">
        <v>0.57042824074074072</v>
      </c>
      <c r="D4179" s="159">
        <v>10</v>
      </c>
      <c r="E4179" s="166" t="s">
        <v>3796</v>
      </c>
    </row>
    <row r="4180" spans="1:5">
      <c r="A4180" s="174">
        <f t="shared" si="57"/>
        <v>4179</v>
      </c>
      <c r="B4180" s="163">
        <v>45867</v>
      </c>
      <c r="C4180" s="164">
        <v>0.56268518518518518</v>
      </c>
      <c r="D4180" s="159">
        <v>10</v>
      </c>
      <c r="E4180" s="166" t="s">
        <v>3797</v>
      </c>
    </row>
    <row r="4181" spans="1:5">
      <c r="A4181" s="174">
        <f t="shared" si="57"/>
        <v>4180</v>
      </c>
      <c r="B4181" s="163">
        <v>45867</v>
      </c>
      <c r="C4181" s="164">
        <v>0.56063657407407408</v>
      </c>
      <c r="D4181" s="159">
        <v>10</v>
      </c>
      <c r="E4181" s="166" t="s">
        <v>3798</v>
      </c>
    </row>
    <row r="4182" spans="1:5">
      <c r="A4182" s="174">
        <f t="shared" si="57"/>
        <v>4181</v>
      </c>
      <c r="B4182" s="163">
        <v>45867</v>
      </c>
      <c r="C4182" s="164">
        <v>0.5479398148148148</v>
      </c>
      <c r="D4182" s="159">
        <v>10</v>
      </c>
      <c r="E4182" s="166" t="s">
        <v>3799</v>
      </c>
    </row>
    <row r="4183" spans="1:5">
      <c r="A4183" s="174">
        <f t="shared" si="57"/>
        <v>4182</v>
      </c>
      <c r="B4183" s="163">
        <v>45867</v>
      </c>
      <c r="C4183" s="164">
        <v>0.50357638888888889</v>
      </c>
      <c r="D4183" s="159">
        <v>10</v>
      </c>
      <c r="E4183" s="166" t="s">
        <v>2500</v>
      </c>
    </row>
    <row r="4184" spans="1:5">
      <c r="A4184" s="174">
        <f t="shared" si="57"/>
        <v>4183</v>
      </c>
      <c r="B4184" s="163">
        <v>45867</v>
      </c>
      <c r="C4184" s="164">
        <v>0.49015046296296294</v>
      </c>
      <c r="D4184" s="159">
        <v>10</v>
      </c>
      <c r="E4184" s="166" t="s">
        <v>3800</v>
      </c>
    </row>
    <row r="4185" spans="1:5">
      <c r="A4185" s="174">
        <f t="shared" si="57"/>
        <v>4184</v>
      </c>
      <c r="B4185" s="163">
        <v>45867</v>
      </c>
      <c r="C4185" s="164">
        <v>0.48324074074074069</v>
      </c>
      <c r="D4185" s="159">
        <v>10</v>
      </c>
      <c r="E4185" s="166" t="s">
        <v>3801</v>
      </c>
    </row>
    <row r="4186" spans="1:5">
      <c r="A4186" s="174">
        <f t="shared" si="57"/>
        <v>4185</v>
      </c>
      <c r="B4186" s="163">
        <v>45867</v>
      </c>
      <c r="C4186" s="164">
        <v>0.48234953703703703</v>
      </c>
      <c r="D4186" s="159">
        <v>10</v>
      </c>
      <c r="E4186" s="166" t="s">
        <v>3802</v>
      </c>
    </row>
    <row r="4187" spans="1:5">
      <c r="A4187" s="174">
        <f t="shared" si="57"/>
        <v>4186</v>
      </c>
      <c r="B4187" s="163">
        <v>45867</v>
      </c>
      <c r="C4187" s="164">
        <v>0.48136574074074073</v>
      </c>
      <c r="D4187" s="159">
        <v>10</v>
      </c>
      <c r="E4187" s="166" t="s">
        <v>313</v>
      </c>
    </row>
    <row r="4188" spans="1:5">
      <c r="A4188" s="174">
        <f t="shared" si="57"/>
        <v>4187</v>
      </c>
      <c r="B4188" s="163">
        <v>45867</v>
      </c>
      <c r="C4188" s="164">
        <v>0.46990740740740744</v>
      </c>
      <c r="D4188" s="159">
        <v>10</v>
      </c>
      <c r="E4188" s="166" t="s">
        <v>3803</v>
      </c>
    </row>
    <row r="4189" spans="1:5" ht="27">
      <c r="A4189" s="174">
        <f t="shared" si="57"/>
        <v>4188</v>
      </c>
      <c r="B4189" s="163">
        <v>45867</v>
      </c>
      <c r="C4189" s="164">
        <v>0.45901620370370372</v>
      </c>
      <c r="D4189" s="159">
        <v>10</v>
      </c>
      <c r="E4189" s="166" t="s">
        <v>3815</v>
      </c>
    </row>
    <row r="4190" spans="1:5">
      <c r="A4190" s="174">
        <f t="shared" si="57"/>
        <v>4189</v>
      </c>
      <c r="B4190" s="163">
        <v>45867</v>
      </c>
      <c r="C4190" s="164">
        <v>0.45432870370370365</v>
      </c>
      <c r="D4190" s="159">
        <v>10</v>
      </c>
      <c r="E4190" s="166" t="s">
        <v>3804</v>
      </c>
    </row>
    <row r="4191" spans="1:5">
      <c r="A4191" s="174">
        <f t="shared" si="57"/>
        <v>4190</v>
      </c>
      <c r="B4191" s="163">
        <v>45867</v>
      </c>
      <c r="C4191" s="164">
        <v>0.44634259259259257</v>
      </c>
      <c r="D4191" s="159">
        <v>10</v>
      </c>
      <c r="E4191" s="166" t="s">
        <v>3805</v>
      </c>
    </row>
    <row r="4192" spans="1:5">
      <c r="A4192" s="174">
        <f t="shared" si="57"/>
        <v>4191</v>
      </c>
      <c r="B4192" s="163">
        <v>45867</v>
      </c>
      <c r="C4192" s="164">
        <v>0.44226851851851851</v>
      </c>
      <c r="D4192" s="159">
        <v>10</v>
      </c>
      <c r="E4192" s="166" t="s">
        <v>3806</v>
      </c>
    </row>
    <row r="4193" spans="1:5">
      <c r="A4193" s="174">
        <f t="shared" si="57"/>
        <v>4192</v>
      </c>
      <c r="B4193" s="163">
        <v>45867</v>
      </c>
      <c r="C4193" s="164">
        <v>0.43929398148148152</v>
      </c>
      <c r="D4193" s="159">
        <v>10</v>
      </c>
      <c r="E4193" s="166" t="s">
        <v>288</v>
      </c>
    </row>
    <row r="4194" spans="1:5">
      <c r="A4194" s="174">
        <f t="shared" si="57"/>
        <v>4193</v>
      </c>
      <c r="B4194" s="163">
        <v>45867</v>
      </c>
      <c r="C4194" s="164">
        <v>0.42564814814814816</v>
      </c>
      <c r="D4194" s="159">
        <v>10</v>
      </c>
      <c r="E4194" s="166" t="s">
        <v>3807</v>
      </c>
    </row>
    <row r="4195" spans="1:5">
      <c r="A4195" s="174">
        <f t="shared" si="57"/>
        <v>4194</v>
      </c>
      <c r="B4195" s="163">
        <v>45867</v>
      </c>
      <c r="C4195" s="164">
        <v>0.42487268518518517</v>
      </c>
      <c r="D4195" s="159">
        <v>10</v>
      </c>
      <c r="E4195" s="166" t="s">
        <v>3808</v>
      </c>
    </row>
    <row r="4196" spans="1:5">
      <c r="A4196" s="174">
        <f t="shared" si="57"/>
        <v>4195</v>
      </c>
      <c r="B4196" s="163">
        <v>45867</v>
      </c>
      <c r="C4196" s="164">
        <v>0.42234953703703698</v>
      </c>
      <c r="D4196" s="159">
        <v>10</v>
      </c>
      <c r="E4196" s="166" t="s">
        <v>3809</v>
      </c>
    </row>
    <row r="4197" spans="1:5">
      <c r="A4197" s="174">
        <f t="shared" si="57"/>
        <v>4196</v>
      </c>
      <c r="B4197" s="163">
        <v>45867</v>
      </c>
      <c r="C4197" s="164">
        <v>0.4211226851851852</v>
      </c>
      <c r="D4197" s="159">
        <v>10</v>
      </c>
      <c r="E4197" s="166" t="s">
        <v>3810</v>
      </c>
    </row>
    <row r="4198" spans="1:5">
      <c r="A4198" s="174">
        <f t="shared" si="57"/>
        <v>4197</v>
      </c>
      <c r="B4198" s="163">
        <v>45867</v>
      </c>
      <c r="C4198" s="164">
        <v>0.40687500000000004</v>
      </c>
      <c r="D4198" s="159">
        <v>10</v>
      </c>
      <c r="E4198" s="166" t="s">
        <v>3814</v>
      </c>
    </row>
    <row r="4199" spans="1:5">
      <c r="A4199" s="174">
        <f t="shared" si="57"/>
        <v>4198</v>
      </c>
      <c r="B4199" s="163">
        <v>45867</v>
      </c>
      <c r="C4199" s="164">
        <v>0.38969907407407406</v>
      </c>
      <c r="D4199" s="159">
        <v>10</v>
      </c>
      <c r="E4199" s="166" t="s">
        <v>3811</v>
      </c>
    </row>
    <row r="4200" spans="1:5">
      <c r="A4200" s="174">
        <f t="shared" si="57"/>
        <v>4199</v>
      </c>
      <c r="B4200" s="163">
        <v>45867</v>
      </c>
      <c r="C4200" s="164">
        <v>0.3815972222222222</v>
      </c>
      <c r="D4200" s="159">
        <v>10</v>
      </c>
      <c r="E4200" s="166" t="s">
        <v>3812</v>
      </c>
    </row>
    <row r="4201" spans="1:5">
      <c r="A4201" s="174">
        <f t="shared" si="57"/>
        <v>4200</v>
      </c>
      <c r="B4201" s="163">
        <v>45867</v>
      </c>
      <c r="C4201" s="164">
        <v>0.37844907407407408</v>
      </c>
      <c r="D4201" s="159">
        <v>10</v>
      </c>
      <c r="E4201" s="166" t="s">
        <v>3813</v>
      </c>
    </row>
    <row r="4202" spans="1:5">
      <c r="A4202" s="174">
        <f t="shared" si="57"/>
        <v>4201</v>
      </c>
      <c r="B4202" s="163">
        <v>45868</v>
      </c>
      <c r="C4202" s="164">
        <v>0.9080787037037038</v>
      </c>
      <c r="D4202" s="159">
        <v>10</v>
      </c>
      <c r="E4202" s="166" t="s">
        <v>3818</v>
      </c>
    </row>
    <row r="4203" spans="1:5">
      <c r="A4203" s="174">
        <f t="shared" si="57"/>
        <v>4202</v>
      </c>
      <c r="B4203" s="163">
        <v>45868</v>
      </c>
      <c r="C4203" s="164">
        <v>0.78887731481481482</v>
      </c>
      <c r="D4203" s="159">
        <v>10</v>
      </c>
      <c r="E4203" s="166" t="s">
        <v>3819</v>
      </c>
    </row>
    <row r="4204" spans="1:5">
      <c r="A4204" s="174">
        <f t="shared" si="57"/>
        <v>4203</v>
      </c>
      <c r="B4204" s="163">
        <v>45868</v>
      </c>
      <c r="C4204" s="164">
        <v>0.77200231481481485</v>
      </c>
      <c r="D4204" s="159">
        <v>10</v>
      </c>
      <c r="E4204" s="166" t="s">
        <v>3820</v>
      </c>
    </row>
    <row r="4205" spans="1:5">
      <c r="A4205" s="174">
        <f t="shared" si="57"/>
        <v>4204</v>
      </c>
      <c r="B4205" s="163">
        <v>45868</v>
      </c>
      <c r="C4205" s="164">
        <v>0.76795138888888881</v>
      </c>
      <c r="D4205" s="159">
        <v>10</v>
      </c>
      <c r="E4205" s="166" t="s">
        <v>3821</v>
      </c>
    </row>
    <row r="4206" spans="1:5">
      <c r="A4206" s="174">
        <f t="shared" si="57"/>
        <v>4205</v>
      </c>
      <c r="B4206" s="163">
        <v>45868</v>
      </c>
      <c r="C4206" s="164">
        <v>0.74464120370370368</v>
      </c>
      <c r="D4206" s="159">
        <v>10</v>
      </c>
      <c r="E4206" s="166" t="s">
        <v>3822</v>
      </c>
    </row>
    <row r="4207" spans="1:5">
      <c r="A4207" s="174">
        <f t="shared" si="57"/>
        <v>4206</v>
      </c>
      <c r="B4207" s="163">
        <v>45868</v>
      </c>
      <c r="C4207" s="164">
        <v>0.73465277777777782</v>
      </c>
      <c r="D4207" s="159">
        <v>10</v>
      </c>
      <c r="E4207" s="166" t="s">
        <v>3823</v>
      </c>
    </row>
    <row r="4208" spans="1:5">
      <c r="A4208" s="174">
        <f t="shared" si="57"/>
        <v>4207</v>
      </c>
      <c r="B4208" s="163">
        <v>45868</v>
      </c>
      <c r="C4208" s="164">
        <v>0.726099537037037</v>
      </c>
      <c r="D4208" s="159">
        <v>10</v>
      </c>
      <c r="E4208" s="166" t="s">
        <v>3824</v>
      </c>
    </row>
    <row r="4209" spans="1:5">
      <c r="A4209" s="174">
        <f t="shared" si="57"/>
        <v>4208</v>
      </c>
      <c r="B4209" s="163">
        <v>45868</v>
      </c>
      <c r="C4209" s="164">
        <v>0.72359953703703705</v>
      </c>
      <c r="D4209" s="159">
        <v>10</v>
      </c>
      <c r="E4209" s="166" t="s">
        <v>179</v>
      </c>
    </row>
    <row r="4210" spans="1:5">
      <c r="A4210" s="174">
        <f t="shared" si="57"/>
        <v>4209</v>
      </c>
      <c r="B4210" s="163">
        <v>45868</v>
      </c>
      <c r="C4210" s="164">
        <v>0.70421296296296287</v>
      </c>
      <c r="D4210" s="159">
        <v>10</v>
      </c>
      <c r="E4210" s="166" t="s">
        <v>3825</v>
      </c>
    </row>
    <row r="4211" spans="1:5">
      <c r="A4211" s="174">
        <f t="shared" si="57"/>
        <v>4210</v>
      </c>
      <c r="B4211" s="163">
        <v>45868</v>
      </c>
      <c r="C4211" s="164">
        <v>0.70000000000000007</v>
      </c>
      <c r="D4211" s="159">
        <v>10</v>
      </c>
      <c r="E4211" s="166" t="s">
        <v>3826</v>
      </c>
    </row>
    <row r="4212" spans="1:5">
      <c r="A4212" s="174">
        <f t="shared" si="57"/>
        <v>4211</v>
      </c>
      <c r="B4212" s="163">
        <v>45868</v>
      </c>
      <c r="C4212" s="164">
        <v>0.66309027777777774</v>
      </c>
      <c r="D4212" s="159">
        <v>10</v>
      </c>
      <c r="E4212" s="166" t="s">
        <v>3827</v>
      </c>
    </row>
    <row r="4213" spans="1:5">
      <c r="A4213" s="174">
        <f t="shared" ref="A4213:A4276" si="58">ROW()-1</f>
        <v>4212</v>
      </c>
      <c r="B4213" s="163">
        <v>45868</v>
      </c>
      <c r="C4213" s="164">
        <v>0.65924768518518517</v>
      </c>
      <c r="D4213" s="159">
        <v>10</v>
      </c>
      <c r="E4213" s="166" t="s">
        <v>1405</v>
      </c>
    </row>
    <row r="4214" spans="1:5">
      <c r="A4214" s="174">
        <f t="shared" si="58"/>
        <v>4213</v>
      </c>
      <c r="B4214" s="163">
        <v>45868</v>
      </c>
      <c r="C4214" s="164">
        <v>0.65591435185185187</v>
      </c>
      <c r="D4214" s="159">
        <v>10</v>
      </c>
      <c r="E4214" s="166" t="s">
        <v>3828</v>
      </c>
    </row>
    <row r="4215" spans="1:5">
      <c r="A4215" s="174">
        <f t="shared" si="58"/>
        <v>4214</v>
      </c>
      <c r="B4215" s="163">
        <v>45868</v>
      </c>
      <c r="C4215" s="164">
        <v>0.65111111111111108</v>
      </c>
      <c r="D4215" s="159">
        <v>10</v>
      </c>
      <c r="E4215" s="166" t="s">
        <v>288</v>
      </c>
    </row>
    <row r="4216" spans="1:5">
      <c r="A4216" s="174">
        <f t="shared" si="58"/>
        <v>4215</v>
      </c>
      <c r="B4216" s="163">
        <v>45868</v>
      </c>
      <c r="C4216" s="164">
        <v>0.64973379629629624</v>
      </c>
      <c r="D4216" s="159">
        <v>10</v>
      </c>
      <c r="E4216" s="166" t="s">
        <v>1434</v>
      </c>
    </row>
    <row r="4217" spans="1:5">
      <c r="A4217" s="174">
        <f t="shared" si="58"/>
        <v>4216</v>
      </c>
      <c r="B4217" s="163">
        <v>45868</v>
      </c>
      <c r="C4217" s="164">
        <v>0.63162037037037033</v>
      </c>
      <c r="D4217" s="159">
        <v>10</v>
      </c>
      <c r="E4217" s="166" t="s">
        <v>3829</v>
      </c>
    </row>
    <row r="4218" spans="1:5">
      <c r="A4218" s="174">
        <f t="shared" si="58"/>
        <v>4217</v>
      </c>
      <c r="B4218" s="163">
        <v>45868</v>
      </c>
      <c r="C4218" s="164">
        <v>0.63041666666666674</v>
      </c>
      <c r="D4218" s="159">
        <v>10</v>
      </c>
      <c r="E4218" s="166" t="s">
        <v>246</v>
      </c>
    </row>
    <row r="4219" spans="1:5">
      <c r="A4219" s="174">
        <f t="shared" si="58"/>
        <v>4218</v>
      </c>
      <c r="B4219" s="163">
        <v>45868</v>
      </c>
      <c r="C4219" s="164">
        <v>0.62819444444444439</v>
      </c>
      <c r="D4219" s="159">
        <v>10</v>
      </c>
      <c r="E4219" s="166" t="s">
        <v>3830</v>
      </c>
    </row>
    <row r="4220" spans="1:5">
      <c r="A4220" s="174">
        <f t="shared" si="58"/>
        <v>4219</v>
      </c>
      <c r="B4220" s="163">
        <v>45868</v>
      </c>
      <c r="C4220" s="164">
        <v>0.62660879629629629</v>
      </c>
      <c r="D4220" s="159">
        <v>10</v>
      </c>
      <c r="E4220" s="166" t="s">
        <v>3831</v>
      </c>
    </row>
    <row r="4221" spans="1:5" ht="27">
      <c r="A4221" s="174">
        <f t="shared" si="58"/>
        <v>4220</v>
      </c>
      <c r="B4221" s="163">
        <v>45868</v>
      </c>
      <c r="C4221" s="164">
        <v>0.62255787037037036</v>
      </c>
      <c r="D4221" s="159">
        <v>10</v>
      </c>
      <c r="E4221" s="166" t="s">
        <v>3832</v>
      </c>
    </row>
    <row r="4222" spans="1:5">
      <c r="A4222" s="174">
        <f t="shared" si="58"/>
        <v>4221</v>
      </c>
      <c r="B4222" s="163">
        <v>45868</v>
      </c>
      <c r="C4222" s="164">
        <v>0.6215046296296296</v>
      </c>
      <c r="D4222" s="159">
        <v>10</v>
      </c>
      <c r="E4222" s="166" t="s">
        <v>3833</v>
      </c>
    </row>
    <row r="4223" spans="1:5">
      <c r="A4223" s="174">
        <f t="shared" si="58"/>
        <v>4222</v>
      </c>
      <c r="B4223" s="163">
        <v>45868</v>
      </c>
      <c r="C4223" s="164">
        <v>0.61459490740740741</v>
      </c>
      <c r="D4223" s="159">
        <v>10</v>
      </c>
      <c r="E4223" s="166" t="s">
        <v>244</v>
      </c>
    </row>
    <row r="4224" spans="1:5">
      <c r="A4224" s="174">
        <f t="shared" si="58"/>
        <v>4223</v>
      </c>
      <c r="B4224" s="163">
        <v>45868</v>
      </c>
      <c r="C4224" s="164">
        <v>0.61170138888888892</v>
      </c>
      <c r="D4224" s="159">
        <v>10</v>
      </c>
      <c r="E4224" s="166" t="s">
        <v>406</v>
      </c>
    </row>
    <row r="4225" spans="1:5">
      <c r="A4225" s="174">
        <f t="shared" si="58"/>
        <v>4224</v>
      </c>
      <c r="B4225" s="163">
        <v>45868</v>
      </c>
      <c r="C4225" s="164">
        <v>0.60403935185185187</v>
      </c>
      <c r="D4225" s="159">
        <v>10</v>
      </c>
      <c r="E4225" s="166" t="s">
        <v>3834</v>
      </c>
    </row>
    <row r="4226" spans="1:5">
      <c r="A4226" s="174">
        <f t="shared" si="58"/>
        <v>4225</v>
      </c>
      <c r="B4226" s="163">
        <v>45868</v>
      </c>
      <c r="C4226" s="164">
        <v>0.59996527777777775</v>
      </c>
      <c r="D4226" s="159">
        <v>10</v>
      </c>
      <c r="E4226" s="166" t="s">
        <v>3835</v>
      </c>
    </row>
    <row r="4227" spans="1:5">
      <c r="A4227" s="174">
        <f t="shared" si="58"/>
        <v>4226</v>
      </c>
      <c r="B4227" s="163">
        <v>45868</v>
      </c>
      <c r="C4227" s="164">
        <v>0.5945138888888889</v>
      </c>
      <c r="D4227" s="159">
        <v>10</v>
      </c>
      <c r="E4227" s="166" t="s">
        <v>3836</v>
      </c>
    </row>
    <row r="4228" spans="1:5">
      <c r="A4228" s="174">
        <f t="shared" si="58"/>
        <v>4227</v>
      </c>
      <c r="B4228" s="163">
        <v>45868</v>
      </c>
      <c r="C4228" s="164">
        <v>0.57600694444444445</v>
      </c>
      <c r="D4228" s="159">
        <v>10</v>
      </c>
      <c r="E4228" s="166" t="s">
        <v>3837</v>
      </c>
    </row>
    <row r="4229" spans="1:5">
      <c r="A4229" s="174">
        <f t="shared" si="58"/>
        <v>4228</v>
      </c>
      <c r="B4229" s="163">
        <v>45868</v>
      </c>
      <c r="C4229" s="164">
        <v>0.57025462962962969</v>
      </c>
      <c r="D4229" s="159">
        <v>8</v>
      </c>
      <c r="E4229" s="166" t="s">
        <v>3838</v>
      </c>
    </row>
    <row r="4230" spans="1:5">
      <c r="A4230" s="174">
        <f t="shared" si="58"/>
        <v>4229</v>
      </c>
      <c r="B4230" s="163">
        <v>45868</v>
      </c>
      <c r="C4230" s="164">
        <v>0.55707175925925922</v>
      </c>
      <c r="D4230" s="159">
        <v>10</v>
      </c>
      <c r="E4230" s="166" t="s">
        <v>3839</v>
      </c>
    </row>
    <row r="4231" spans="1:5">
      <c r="A4231" s="174">
        <f t="shared" si="58"/>
        <v>4230</v>
      </c>
      <c r="B4231" s="163">
        <v>45868</v>
      </c>
      <c r="C4231" s="164">
        <v>0.54700231481481476</v>
      </c>
      <c r="D4231" s="159">
        <v>10</v>
      </c>
      <c r="E4231" s="166" t="s">
        <v>3840</v>
      </c>
    </row>
    <row r="4232" spans="1:5">
      <c r="A4232" s="174">
        <f t="shared" si="58"/>
        <v>4231</v>
      </c>
      <c r="B4232" s="163">
        <v>45868</v>
      </c>
      <c r="C4232" s="164">
        <v>0.54504629629629631</v>
      </c>
      <c r="D4232" s="159">
        <v>10</v>
      </c>
      <c r="E4232" s="166" t="s">
        <v>3841</v>
      </c>
    </row>
    <row r="4233" spans="1:5">
      <c r="A4233" s="174">
        <f t="shared" si="58"/>
        <v>4232</v>
      </c>
      <c r="B4233" s="163">
        <v>45868</v>
      </c>
      <c r="C4233" s="164">
        <v>0.49964120370370368</v>
      </c>
      <c r="D4233" s="159">
        <v>10</v>
      </c>
      <c r="E4233" s="166" t="s">
        <v>3842</v>
      </c>
    </row>
    <row r="4234" spans="1:5">
      <c r="A4234" s="174">
        <f t="shared" si="58"/>
        <v>4233</v>
      </c>
      <c r="B4234" s="163">
        <v>45868</v>
      </c>
      <c r="C4234" s="164">
        <v>0.48872685185185188</v>
      </c>
      <c r="D4234" s="159">
        <v>10</v>
      </c>
      <c r="E4234" s="166" t="s">
        <v>3843</v>
      </c>
    </row>
    <row r="4235" spans="1:5">
      <c r="A4235" s="174">
        <f t="shared" si="58"/>
        <v>4234</v>
      </c>
      <c r="B4235" s="163">
        <v>45868</v>
      </c>
      <c r="C4235" s="164">
        <v>0.48956018518518518</v>
      </c>
      <c r="D4235" s="159">
        <v>10</v>
      </c>
      <c r="E4235" s="166" t="s">
        <v>3844</v>
      </c>
    </row>
    <row r="4236" spans="1:5">
      <c r="A4236" s="174">
        <f t="shared" si="58"/>
        <v>4235</v>
      </c>
      <c r="B4236" s="163">
        <v>45868</v>
      </c>
      <c r="C4236" s="164">
        <v>0.48445601851851849</v>
      </c>
      <c r="D4236" s="159">
        <v>10</v>
      </c>
      <c r="E4236" s="166" t="s">
        <v>3845</v>
      </c>
    </row>
    <row r="4237" spans="1:5">
      <c r="A4237" s="174">
        <f t="shared" si="58"/>
        <v>4236</v>
      </c>
      <c r="B4237" s="163">
        <v>45868</v>
      </c>
      <c r="C4237" s="164">
        <v>0.48351851851851851</v>
      </c>
      <c r="D4237" s="159">
        <v>10</v>
      </c>
      <c r="E4237" s="166" t="s">
        <v>3846</v>
      </c>
    </row>
    <row r="4238" spans="1:5">
      <c r="A4238" s="174">
        <f t="shared" si="58"/>
        <v>4237</v>
      </c>
      <c r="B4238" s="163">
        <v>45868</v>
      </c>
      <c r="C4238" s="164">
        <v>0.47497685185185184</v>
      </c>
      <c r="D4238" s="159">
        <v>10</v>
      </c>
      <c r="E4238" s="166" t="s">
        <v>3847</v>
      </c>
    </row>
    <row r="4239" spans="1:5">
      <c r="A4239" s="174">
        <f t="shared" si="58"/>
        <v>4238</v>
      </c>
      <c r="B4239" s="163">
        <v>45868</v>
      </c>
      <c r="C4239" s="164">
        <v>0.46814814814814815</v>
      </c>
      <c r="D4239" s="159">
        <v>10</v>
      </c>
      <c r="E4239" s="166" t="s">
        <v>3848</v>
      </c>
    </row>
    <row r="4240" spans="1:5">
      <c r="A4240" s="174">
        <f t="shared" si="58"/>
        <v>4239</v>
      </c>
      <c r="B4240" s="163">
        <v>45868</v>
      </c>
      <c r="C4240" s="164">
        <v>0.4599421296296296</v>
      </c>
      <c r="D4240" s="159">
        <v>10</v>
      </c>
      <c r="E4240" s="166" t="s">
        <v>3849</v>
      </c>
    </row>
    <row r="4241" spans="1:5">
      <c r="A4241" s="174">
        <f t="shared" si="58"/>
        <v>4240</v>
      </c>
      <c r="B4241" s="163">
        <v>45868</v>
      </c>
      <c r="C4241" s="164">
        <v>0.45234953703703701</v>
      </c>
      <c r="D4241" s="159">
        <v>10</v>
      </c>
      <c r="E4241" s="166" t="s">
        <v>3850</v>
      </c>
    </row>
    <row r="4242" spans="1:5">
      <c r="A4242" s="174">
        <f t="shared" si="58"/>
        <v>4241</v>
      </c>
      <c r="B4242" s="163">
        <v>45868</v>
      </c>
      <c r="C4242" s="164">
        <v>0.44790509259259265</v>
      </c>
      <c r="D4242" s="159">
        <v>10</v>
      </c>
      <c r="E4242" s="166" t="s">
        <v>3851</v>
      </c>
    </row>
    <row r="4243" spans="1:5">
      <c r="A4243" s="174">
        <f t="shared" si="58"/>
        <v>4242</v>
      </c>
      <c r="B4243" s="163">
        <v>45868</v>
      </c>
      <c r="C4243" s="164">
        <v>0.44612268518518516</v>
      </c>
      <c r="D4243" s="159">
        <v>10</v>
      </c>
      <c r="E4243" s="166" t="s">
        <v>3852</v>
      </c>
    </row>
    <row r="4244" spans="1:5">
      <c r="A4244" s="174">
        <f t="shared" si="58"/>
        <v>4243</v>
      </c>
      <c r="B4244" s="163">
        <v>45868</v>
      </c>
      <c r="C4244" s="164">
        <v>0.44362268518518522</v>
      </c>
      <c r="D4244" s="159">
        <v>10</v>
      </c>
      <c r="E4244" s="166" t="s">
        <v>3853</v>
      </c>
    </row>
    <row r="4245" spans="1:5">
      <c r="A4245" s="174">
        <f t="shared" si="58"/>
        <v>4244</v>
      </c>
      <c r="B4245" s="163">
        <v>45868</v>
      </c>
      <c r="C4245" s="164">
        <v>0.44103009259259257</v>
      </c>
      <c r="D4245" s="159">
        <v>10</v>
      </c>
      <c r="E4245" s="166" t="s">
        <v>1668</v>
      </c>
    </row>
    <row r="4246" spans="1:5">
      <c r="A4246" s="174">
        <f t="shared" si="58"/>
        <v>4245</v>
      </c>
      <c r="B4246" s="163">
        <v>45868</v>
      </c>
      <c r="C4246" s="164">
        <v>0.43793981481481481</v>
      </c>
      <c r="D4246" s="159">
        <v>10</v>
      </c>
      <c r="E4246" s="166" t="s">
        <v>3854</v>
      </c>
    </row>
    <row r="4247" spans="1:5">
      <c r="A4247" s="174">
        <f t="shared" si="58"/>
        <v>4246</v>
      </c>
      <c r="B4247" s="163">
        <v>45868</v>
      </c>
      <c r="C4247" s="164">
        <v>0.4090509259259259</v>
      </c>
      <c r="D4247" s="159">
        <v>10</v>
      </c>
      <c r="E4247" s="166" t="s">
        <v>3855</v>
      </c>
    </row>
    <row r="4248" spans="1:5">
      <c r="A4248" s="174">
        <f t="shared" si="58"/>
        <v>4247</v>
      </c>
      <c r="B4248" s="163">
        <v>45868</v>
      </c>
      <c r="C4248" s="164">
        <v>0.39634259259259258</v>
      </c>
      <c r="D4248" s="159">
        <v>10</v>
      </c>
      <c r="E4248" s="166" t="s">
        <v>3856</v>
      </c>
    </row>
    <row r="4249" spans="1:5">
      <c r="A4249" s="174">
        <f t="shared" si="58"/>
        <v>4248</v>
      </c>
      <c r="B4249" s="163">
        <v>45868</v>
      </c>
      <c r="C4249" s="164">
        <v>0.38164351851851852</v>
      </c>
      <c r="D4249" s="159">
        <v>10</v>
      </c>
      <c r="E4249" s="166" t="s">
        <v>3857</v>
      </c>
    </row>
    <row r="4250" spans="1:5">
      <c r="A4250" s="174">
        <f t="shared" si="58"/>
        <v>4249</v>
      </c>
      <c r="B4250" s="163">
        <v>45868</v>
      </c>
      <c r="C4250" s="164">
        <v>0.38041666666666668</v>
      </c>
      <c r="D4250" s="159">
        <v>10</v>
      </c>
      <c r="E4250" s="166" t="s">
        <v>479</v>
      </c>
    </row>
    <row r="4251" spans="1:5">
      <c r="A4251" s="174">
        <f t="shared" si="58"/>
        <v>4250</v>
      </c>
      <c r="B4251" s="163">
        <v>45869</v>
      </c>
      <c r="C4251" s="164">
        <v>0.90741898148148137</v>
      </c>
      <c r="D4251" s="159">
        <v>10</v>
      </c>
      <c r="E4251" s="166" t="s">
        <v>3858</v>
      </c>
    </row>
    <row r="4252" spans="1:5">
      <c r="A4252" s="174">
        <f t="shared" si="58"/>
        <v>4251</v>
      </c>
      <c r="B4252" s="163">
        <v>45869</v>
      </c>
      <c r="C4252" s="164">
        <v>0.8895601851851852</v>
      </c>
      <c r="D4252" s="159">
        <v>10</v>
      </c>
      <c r="E4252" s="166" t="s">
        <v>3859</v>
      </c>
    </row>
    <row r="4253" spans="1:5">
      <c r="A4253" s="174">
        <f t="shared" si="58"/>
        <v>4252</v>
      </c>
      <c r="B4253" s="163">
        <v>45869</v>
      </c>
      <c r="C4253" s="164">
        <v>0.82802083333333332</v>
      </c>
      <c r="D4253" s="159">
        <v>10</v>
      </c>
      <c r="E4253" s="166" t="s">
        <v>3902</v>
      </c>
    </row>
    <row r="4254" spans="1:5">
      <c r="A4254" s="174">
        <f t="shared" si="58"/>
        <v>4253</v>
      </c>
      <c r="B4254" s="163">
        <v>45869</v>
      </c>
      <c r="C4254" s="164">
        <v>0.76770833333333333</v>
      </c>
      <c r="D4254" s="159">
        <v>10</v>
      </c>
      <c r="E4254" s="166" t="s">
        <v>3860</v>
      </c>
    </row>
    <row r="4255" spans="1:5">
      <c r="A4255" s="174">
        <f t="shared" si="58"/>
        <v>4254</v>
      </c>
      <c r="B4255" s="163">
        <v>45869</v>
      </c>
      <c r="C4255" s="164">
        <v>0.76074074074074083</v>
      </c>
      <c r="D4255" s="159">
        <v>10</v>
      </c>
      <c r="E4255" s="166" t="s">
        <v>3861</v>
      </c>
    </row>
    <row r="4256" spans="1:5">
      <c r="A4256" s="174">
        <f t="shared" si="58"/>
        <v>4255</v>
      </c>
      <c r="B4256" s="163">
        <v>45869</v>
      </c>
      <c r="C4256" s="164">
        <v>0.75317129629629631</v>
      </c>
      <c r="D4256" s="159">
        <v>10</v>
      </c>
      <c r="E4256" s="166" t="s">
        <v>3862</v>
      </c>
    </row>
    <row r="4257" spans="1:5">
      <c r="A4257" s="174">
        <f t="shared" si="58"/>
        <v>4256</v>
      </c>
      <c r="B4257" s="163">
        <v>45869</v>
      </c>
      <c r="C4257" s="164">
        <v>0.74130787037037038</v>
      </c>
      <c r="D4257" s="159">
        <v>10</v>
      </c>
      <c r="E4257" s="166" t="s">
        <v>3863</v>
      </c>
    </row>
    <row r="4258" spans="1:5">
      <c r="A4258" s="174">
        <f t="shared" si="58"/>
        <v>4257</v>
      </c>
      <c r="B4258" s="163">
        <v>45869</v>
      </c>
      <c r="C4258" s="164">
        <v>0.73769675925925926</v>
      </c>
      <c r="D4258" s="159">
        <v>10</v>
      </c>
      <c r="E4258" s="166" t="s">
        <v>3864</v>
      </c>
    </row>
    <row r="4259" spans="1:5">
      <c r="A4259" s="174">
        <f t="shared" si="58"/>
        <v>4258</v>
      </c>
      <c r="B4259" s="163">
        <v>45869</v>
      </c>
      <c r="C4259" s="164">
        <v>0.73293981481481474</v>
      </c>
      <c r="D4259" s="159">
        <v>10</v>
      </c>
      <c r="E4259" s="166" t="s">
        <v>3865</v>
      </c>
    </row>
    <row r="4260" spans="1:5">
      <c r="A4260" s="174">
        <f t="shared" si="58"/>
        <v>4259</v>
      </c>
      <c r="B4260" s="163">
        <v>45869</v>
      </c>
      <c r="C4260" s="164">
        <v>0.69843749999999993</v>
      </c>
      <c r="D4260" s="159">
        <v>10</v>
      </c>
      <c r="E4260" s="166" t="s">
        <v>3866</v>
      </c>
    </row>
    <row r="4261" spans="1:5">
      <c r="A4261" s="174">
        <f t="shared" si="58"/>
        <v>4260</v>
      </c>
      <c r="B4261" s="163">
        <v>45869</v>
      </c>
      <c r="C4261" s="164">
        <v>0.69054398148148144</v>
      </c>
      <c r="D4261" s="159">
        <v>10</v>
      </c>
      <c r="E4261" s="166" t="s">
        <v>3867</v>
      </c>
    </row>
    <row r="4262" spans="1:5">
      <c r="A4262" s="174">
        <f t="shared" si="58"/>
        <v>4261</v>
      </c>
      <c r="B4262" s="163">
        <v>45869</v>
      </c>
      <c r="C4262" s="164">
        <v>0.68451388888888898</v>
      </c>
      <c r="D4262" s="159">
        <v>10</v>
      </c>
      <c r="E4262" s="166" t="s">
        <v>3868</v>
      </c>
    </row>
    <row r="4263" spans="1:5">
      <c r="A4263" s="174">
        <f t="shared" si="58"/>
        <v>4262</v>
      </c>
      <c r="B4263" s="163">
        <v>45869</v>
      </c>
      <c r="C4263" s="164">
        <v>0.67651620370370369</v>
      </c>
      <c r="D4263" s="159">
        <v>10</v>
      </c>
      <c r="E4263" s="166" t="s">
        <v>3869</v>
      </c>
    </row>
    <row r="4264" spans="1:5">
      <c r="A4264" s="174">
        <f t="shared" si="58"/>
        <v>4263</v>
      </c>
      <c r="B4264" s="163">
        <v>45869</v>
      </c>
      <c r="C4264" s="164">
        <v>0.66378472222222229</v>
      </c>
      <c r="D4264" s="159">
        <v>10</v>
      </c>
      <c r="E4264" s="166" t="s">
        <v>3870</v>
      </c>
    </row>
    <row r="4265" spans="1:5">
      <c r="A4265" s="174">
        <f t="shared" si="58"/>
        <v>4264</v>
      </c>
      <c r="B4265" s="163">
        <v>45869</v>
      </c>
      <c r="C4265" s="164">
        <v>0.6619328703703703</v>
      </c>
      <c r="D4265" s="159">
        <v>10</v>
      </c>
      <c r="E4265" s="166" t="s">
        <v>3871</v>
      </c>
    </row>
    <row r="4266" spans="1:5">
      <c r="A4266" s="174">
        <f t="shared" si="58"/>
        <v>4265</v>
      </c>
      <c r="B4266" s="163">
        <v>45869</v>
      </c>
      <c r="C4266" s="164">
        <v>0.65210648148148154</v>
      </c>
      <c r="D4266" s="159">
        <v>10</v>
      </c>
      <c r="E4266" s="166" t="s">
        <v>537</v>
      </c>
    </row>
    <row r="4267" spans="1:5">
      <c r="A4267" s="174">
        <f t="shared" si="58"/>
        <v>4266</v>
      </c>
      <c r="B4267" s="163">
        <v>45869</v>
      </c>
      <c r="C4267" s="164">
        <v>0.64124999999999999</v>
      </c>
      <c r="D4267" s="159">
        <v>10</v>
      </c>
      <c r="E4267" s="166" t="s">
        <v>3872</v>
      </c>
    </row>
    <row r="4268" spans="1:5">
      <c r="A4268" s="174">
        <f t="shared" si="58"/>
        <v>4267</v>
      </c>
      <c r="B4268" s="163">
        <v>45869</v>
      </c>
      <c r="C4268" s="164">
        <v>0.63446759259259256</v>
      </c>
      <c r="D4268" s="159">
        <v>9</v>
      </c>
      <c r="E4268" s="166" t="s">
        <v>3873</v>
      </c>
    </row>
    <row r="4269" spans="1:5">
      <c r="A4269" s="174">
        <f t="shared" si="58"/>
        <v>4268</v>
      </c>
      <c r="B4269" s="163">
        <v>45869</v>
      </c>
      <c r="C4269" s="164">
        <v>0.62821759259259258</v>
      </c>
      <c r="D4269" s="159">
        <v>10</v>
      </c>
      <c r="E4269" s="166" t="s">
        <v>3874</v>
      </c>
    </row>
    <row r="4270" spans="1:5">
      <c r="A4270" s="174">
        <f t="shared" si="58"/>
        <v>4269</v>
      </c>
      <c r="B4270" s="163">
        <v>45869</v>
      </c>
      <c r="C4270" s="164">
        <v>0.62</v>
      </c>
      <c r="D4270" s="159">
        <v>10</v>
      </c>
      <c r="E4270" s="166" t="s">
        <v>3875</v>
      </c>
    </row>
    <row r="4271" spans="1:5">
      <c r="A4271" s="174">
        <f t="shared" si="58"/>
        <v>4270</v>
      </c>
      <c r="B4271" s="163">
        <v>45869</v>
      </c>
      <c r="C4271" s="164">
        <v>0.60855324074074069</v>
      </c>
      <c r="D4271" s="159">
        <v>10</v>
      </c>
      <c r="E4271" s="166" t="s">
        <v>3876</v>
      </c>
    </row>
    <row r="4272" spans="1:5">
      <c r="A4272" s="174">
        <f t="shared" si="58"/>
        <v>4271</v>
      </c>
      <c r="B4272" s="163">
        <v>45869</v>
      </c>
      <c r="C4272" s="164">
        <v>0.60434027777777777</v>
      </c>
      <c r="D4272" s="159">
        <v>10</v>
      </c>
      <c r="E4272" s="166" t="s">
        <v>3877</v>
      </c>
    </row>
    <row r="4273" spans="1:5">
      <c r="A4273" s="174">
        <f t="shared" si="58"/>
        <v>4272</v>
      </c>
      <c r="B4273" s="163">
        <v>45869</v>
      </c>
      <c r="C4273" s="164">
        <v>0.6002777777777778</v>
      </c>
      <c r="D4273" s="159">
        <v>10</v>
      </c>
      <c r="E4273" s="166" t="s">
        <v>3878</v>
      </c>
    </row>
    <row r="4274" spans="1:5">
      <c r="A4274" s="174">
        <f t="shared" si="58"/>
        <v>4273</v>
      </c>
      <c r="B4274" s="163">
        <v>45869</v>
      </c>
      <c r="C4274" s="164">
        <v>0.59581018518518525</v>
      </c>
      <c r="D4274" s="159">
        <v>10</v>
      </c>
      <c r="E4274" s="166" t="s">
        <v>3879</v>
      </c>
    </row>
    <row r="4275" spans="1:5">
      <c r="A4275" s="174">
        <f t="shared" si="58"/>
        <v>4274</v>
      </c>
      <c r="B4275" s="163">
        <v>45869</v>
      </c>
      <c r="C4275" s="164">
        <v>0.59550925925925924</v>
      </c>
      <c r="D4275" s="159">
        <v>10</v>
      </c>
      <c r="E4275" s="166" t="s">
        <v>284</v>
      </c>
    </row>
    <row r="4276" spans="1:5">
      <c r="A4276" s="174">
        <f t="shared" si="58"/>
        <v>4275</v>
      </c>
      <c r="B4276" s="163">
        <v>45869</v>
      </c>
      <c r="C4276" s="164">
        <v>0.58646990740740745</v>
      </c>
      <c r="D4276" s="159">
        <v>10</v>
      </c>
      <c r="E4276" s="166" t="s">
        <v>3880</v>
      </c>
    </row>
    <row r="4277" spans="1:5">
      <c r="A4277" s="174">
        <f t="shared" ref="A4277:A4340" si="59">ROW()-1</f>
        <v>4276</v>
      </c>
      <c r="B4277" s="163">
        <v>45869</v>
      </c>
      <c r="C4277" s="164">
        <v>0.5857754629629629</v>
      </c>
      <c r="D4277" s="159">
        <v>10</v>
      </c>
      <c r="E4277" s="166" t="s">
        <v>3881</v>
      </c>
    </row>
    <row r="4278" spans="1:5">
      <c r="A4278" s="174">
        <f t="shared" si="59"/>
        <v>4277</v>
      </c>
      <c r="B4278" s="163">
        <v>45869</v>
      </c>
      <c r="C4278" s="164">
        <v>0.56541666666666668</v>
      </c>
      <c r="D4278" s="159">
        <v>10</v>
      </c>
      <c r="E4278" s="166" t="s">
        <v>3882</v>
      </c>
    </row>
    <row r="4279" spans="1:5">
      <c r="A4279" s="174">
        <f t="shared" si="59"/>
        <v>4278</v>
      </c>
      <c r="B4279" s="163">
        <v>45869</v>
      </c>
      <c r="C4279" s="164">
        <v>0.55729166666666663</v>
      </c>
      <c r="D4279" s="159">
        <v>10</v>
      </c>
      <c r="E4279" s="166" t="s">
        <v>3883</v>
      </c>
    </row>
    <row r="4280" spans="1:5">
      <c r="A4280" s="174">
        <f t="shared" si="59"/>
        <v>4279</v>
      </c>
      <c r="B4280" s="163">
        <v>45869</v>
      </c>
      <c r="C4280" s="164">
        <v>0.54986111111111113</v>
      </c>
      <c r="D4280" s="159">
        <v>10</v>
      </c>
      <c r="E4280" s="166" t="s">
        <v>3884</v>
      </c>
    </row>
    <row r="4281" spans="1:5" ht="27">
      <c r="A4281" s="174">
        <f t="shared" si="59"/>
        <v>4280</v>
      </c>
      <c r="B4281" s="163">
        <v>45869</v>
      </c>
      <c r="C4281" s="164">
        <v>0.54699074074074072</v>
      </c>
      <c r="D4281" s="159">
        <v>10</v>
      </c>
      <c r="E4281" s="166" t="s">
        <v>3901</v>
      </c>
    </row>
    <row r="4282" spans="1:5">
      <c r="A4282" s="174">
        <f t="shared" si="59"/>
        <v>4281</v>
      </c>
      <c r="B4282" s="163">
        <v>45869</v>
      </c>
      <c r="C4282" s="164">
        <v>0.49571759259259257</v>
      </c>
      <c r="D4282" s="159">
        <v>10</v>
      </c>
      <c r="E4282" s="166" t="s">
        <v>3885</v>
      </c>
    </row>
    <row r="4283" spans="1:5">
      <c r="A4283" s="174">
        <f t="shared" si="59"/>
        <v>4282</v>
      </c>
      <c r="B4283" s="163">
        <v>45869</v>
      </c>
      <c r="C4283" s="164">
        <v>0.4893865740740741</v>
      </c>
      <c r="D4283" s="159">
        <v>10</v>
      </c>
      <c r="E4283" s="166" t="s">
        <v>1042</v>
      </c>
    </row>
    <row r="4284" spans="1:5">
      <c r="A4284" s="174">
        <f t="shared" si="59"/>
        <v>4283</v>
      </c>
      <c r="B4284" s="163">
        <v>45869</v>
      </c>
      <c r="C4284" s="164">
        <v>0.47804398148148147</v>
      </c>
      <c r="D4284" s="159">
        <v>10</v>
      </c>
      <c r="E4284" s="166" t="s">
        <v>3886</v>
      </c>
    </row>
    <row r="4285" spans="1:5">
      <c r="A4285" s="174">
        <f t="shared" si="59"/>
        <v>4284</v>
      </c>
      <c r="B4285" s="163">
        <v>45869</v>
      </c>
      <c r="C4285" s="164">
        <v>0.47159722222222222</v>
      </c>
      <c r="D4285" s="159">
        <v>10</v>
      </c>
      <c r="E4285" s="166" t="s">
        <v>3887</v>
      </c>
    </row>
    <row r="4286" spans="1:5">
      <c r="A4286" s="174">
        <f t="shared" si="59"/>
        <v>4285</v>
      </c>
      <c r="B4286" s="163">
        <v>45869</v>
      </c>
      <c r="C4286" s="164">
        <v>0.4682291666666667</v>
      </c>
      <c r="D4286" s="159">
        <v>10</v>
      </c>
      <c r="E4286" s="166" t="s">
        <v>3888</v>
      </c>
    </row>
    <row r="4287" spans="1:5" ht="27">
      <c r="A4287" s="174">
        <f t="shared" si="59"/>
        <v>4286</v>
      </c>
      <c r="B4287" s="163">
        <v>45869</v>
      </c>
      <c r="C4287" s="164">
        <v>0.4679976851851852</v>
      </c>
      <c r="D4287" s="159">
        <v>10</v>
      </c>
      <c r="E4287" s="166" t="s">
        <v>3900</v>
      </c>
    </row>
    <row r="4288" spans="1:5">
      <c r="A4288" s="174">
        <f t="shared" si="59"/>
        <v>4287</v>
      </c>
      <c r="B4288" s="163">
        <v>45869</v>
      </c>
      <c r="C4288" s="164">
        <v>0.45431712962962961</v>
      </c>
      <c r="D4288" s="159">
        <v>10</v>
      </c>
      <c r="E4288" s="166" t="s">
        <v>3889</v>
      </c>
    </row>
    <row r="4289" spans="1:5">
      <c r="A4289" s="174">
        <f t="shared" si="59"/>
        <v>4288</v>
      </c>
      <c r="B4289" s="163">
        <v>45869</v>
      </c>
      <c r="C4289" s="164">
        <v>0.45280092592592597</v>
      </c>
      <c r="D4289" s="159">
        <v>10</v>
      </c>
      <c r="E4289" s="166" t="s">
        <v>3890</v>
      </c>
    </row>
    <row r="4290" spans="1:5">
      <c r="A4290" s="174">
        <f t="shared" si="59"/>
        <v>4289</v>
      </c>
      <c r="B4290" s="163">
        <v>45869</v>
      </c>
      <c r="C4290" s="164">
        <v>0.45148148148148143</v>
      </c>
      <c r="D4290" s="159">
        <v>10</v>
      </c>
      <c r="E4290" s="166" t="s">
        <v>313</v>
      </c>
    </row>
    <row r="4291" spans="1:5">
      <c r="A4291" s="174">
        <f t="shared" si="59"/>
        <v>4290</v>
      </c>
      <c r="B4291" s="163">
        <v>45869</v>
      </c>
      <c r="C4291" s="164">
        <v>0.4378009259259259</v>
      </c>
      <c r="D4291" s="159">
        <v>10</v>
      </c>
      <c r="E4291" s="166" t="s">
        <v>3891</v>
      </c>
    </row>
    <row r="4292" spans="1:5">
      <c r="A4292" s="174">
        <f t="shared" si="59"/>
        <v>4291</v>
      </c>
      <c r="B4292" s="163">
        <v>45869</v>
      </c>
      <c r="C4292" s="164">
        <v>0.43464120370370374</v>
      </c>
      <c r="D4292" s="159">
        <v>10</v>
      </c>
      <c r="E4292" s="166" t="s">
        <v>3892</v>
      </c>
    </row>
    <row r="4293" spans="1:5">
      <c r="A4293" s="174">
        <f t="shared" si="59"/>
        <v>4292</v>
      </c>
      <c r="B4293" s="163">
        <v>45869</v>
      </c>
      <c r="C4293" s="164">
        <v>0.43412037037037038</v>
      </c>
      <c r="D4293" s="159">
        <v>10</v>
      </c>
      <c r="E4293" s="166" t="s">
        <v>3893</v>
      </c>
    </row>
    <row r="4294" spans="1:5">
      <c r="A4294" s="174">
        <f t="shared" si="59"/>
        <v>4293</v>
      </c>
      <c r="B4294" s="163">
        <v>45869</v>
      </c>
      <c r="C4294" s="164">
        <v>0.43245370370370373</v>
      </c>
      <c r="D4294" s="159">
        <v>10</v>
      </c>
      <c r="E4294" s="166" t="s">
        <v>179</v>
      </c>
    </row>
    <row r="4295" spans="1:5">
      <c r="A4295" s="174">
        <f t="shared" si="59"/>
        <v>4294</v>
      </c>
      <c r="B4295" s="163">
        <v>45869</v>
      </c>
      <c r="C4295" s="164">
        <v>0.43134259259259261</v>
      </c>
      <c r="D4295" s="159">
        <v>10</v>
      </c>
      <c r="E4295" s="166" t="s">
        <v>2398</v>
      </c>
    </row>
    <row r="4296" spans="1:5">
      <c r="A4296" s="174">
        <f t="shared" si="59"/>
        <v>4295</v>
      </c>
      <c r="B4296" s="163">
        <v>45869</v>
      </c>
      <c r="C4296" s="164">
        <v>0.42982638888888891</v>
      </c>
      <c r="D4296" s="159">
        <v>10</v>
      </c>
      <c r="E4296" s="166" t="s">
        <v>3894</v>
      </c>
    </row>
    <row r="4297" spans="1:5">
      <c r="A4297" s="174">
        <f t="shared" si="59"/>
        <v>4296</v>
      </c>
      <c r="B4297" s="163">
        <v>45869</v>
      </c>
      <c r="C4297" s="164">
        <v>0.42831018518518515</v>
      </c>
      <c r="D4297" s="159">
        <v>10</v>
      </c>
      <c r="E4297" s="166" t="s">
        <v>3895</v>
      </c>
    </row>
    <row r="4298" spans="1:5">
      <c r="A4298" s="174">
        <f t="shared" si="59"/>
        <v>4297</v>
      </c>
      <c r="B4298" s="163">
        <v>45869</v>
      </c>
      <c r="C4298" s="164">
        <v>0.42711805555555554</v>
      </c>
      <c r="D4298" s="159">
        <v>10</v>
      </c>
      <c r="E4298" s="166" t="s">
        <v>3896</v>
      </c>
    </row>
    <row r="4299" spans="1:5">
      <c r="A4299" s="174">
        <f t="shared" si="59"/>
        <v>4298</v>
      </c>
      <c r="B4299" s="163">
        <v>45869</v>
      </c>
      <c r="C4299" s="164">
        <v>0.41539351851851852</v>
      </c>
      <c r="D4299" s="159">
        <v>10</v>
      </c>
      <c r="E4299" s="166" t="s">
        <v>3897</v>
      </c>
    </row>
    <row r="4300" spans="1:5">
      <c r="A4300" s="174">
        <f t="shared" si="59"/>
        <v>4299</v>
      </c>
      <c r="B4300" s="163">
        <v>45869</v>
      </c>
      <c r="C4300" s="164">
        <v>0.39601851851851855</v>
      </c>
      <c r="D4300" s="159">
        <v>10</v>
      </c>
      <c r="E4300" s="166" t="s">
        <v>2398</v>
      </c>
    </row>
    <row r="4301" spans="1:5">
      <c r="A4301" s="174">
        <f t="shared" si="59"/>
        <v>4300</v>
      </c>
      <c r="B4301" s="163">
        <v>45869</v>
      </c>
      <c r="C4301" s="164">
        <v>0.39407407407407408</v>
      </c>
      <c r="D4301" s="159">
        <v>10</v>
      </c>
      <c r="E4301" s="166" t="s">
        <v>179</v>
      </c>
    </row>
    <row r="4302" spans="1:5">
      <c r="A4302" s="174">
        <f t="shared" si="59"/>
        <v>4301</v>
      </c>
      <c r="B4302" s="163">
        <v>45869</v>
      </c>
      <c r="C4302" s="164">
        <v>0.39075231481481482</v>
      </c>
      <c r="D4302" s="159">
        <v>10</v>
      </c>
      <c r="E4302" s="166" t="s">
        <v>3898</v>
      </c>
    </row>
    <row r="4303" spans="1:5">
      <c r="A4303" s="174">
        <f t="shared" si="59"/>
        <v>4302</v>
      </c>
      <c r="B4303" s="163">
        <v>45869</v>
      </c>
      <c r="C4303" s="164">
        <v>0.38956018518518515</v>
      </c>
      <c r="D4303" s="159">
        <v>10</v>
      </c>
      <c r="E4303" s="166" t="s">
        <v>3899</v>
      </c>
    </row>
    <row r="4304" spans="1:5">
      <c r="A4304" s="174">
        <f t="shared" si="59"/>
        <v>4303</v>
      </c>
      <c r="B4304" s="163">
        <v>45869</v>
      </c>
      <c r="C4304" s="164">
        <v>0.38442129629629629</v>
      </c>
      <c r="D4304" s="159">
        <v>10</v>
      </c>
      <c r="E4304" s="166" t="s">
        <v>244</v>
      </c>
    </row>
    <row r="4305" spans="1:5">
      <c r="A4305" s="174">
        <f t="shared" si="59"/>
        <v>4304</v>
      </c>
      <c r="B4305" s="163">
        <v>45870</v>
      </c>
      <c r="C4305" s="164">
        <v>0.83253472222222225</v>
      </c>
      <c r="D4305" s="159">
        <v>10</v>
      </c>
      <c r="E4305" s="166" t="s">
        <v>3918</v>
      </c>
    </row>
    <row r="4306" spans="1:5">
      <c r="A4306" s="174">
        <f t="shared" si="59"/>
        <v>4305</v>
      </c>
      <c r="B4306" s="163">
        <v>45870</v>
      </c>
      <c r="C4306" s="164">
        <v>0.83204861111111106</v>
      </c>
      <c r="D4306" s="159">
        <v>10</v>
      </c>
      <c r="E4306" s="166" t="s">
        <v>132</v>
      </c>
    </row>
    <row r="4307" spans="1:5">
      <c r="A4307" s="174">
        <f t="shared" si="59"/>
        <v>4306</v>
      </c>
      <c r="B4307" s="163">
        <v>45870</v>
      </c>
      <c r="C4307" s="164">
        <v>0.74578703703703697</v>
      </c>
      <c r="D4307" s="159">
        <v>10</v>
      </c>
      <c r="E4307" s="166" t="s">
        <v>3919</v>
      </c>
    </row>
    <row r="4308" spans="1:5">
      <c r="A4308" s="174">
        <f t="shared" si="59"/>
        <v>4307</v>
      </c>
      <c r="B4308" s="163">
        <v>45870</v>
      </c>
      <c r="C4308" s="164">
        <v>0.73430555555555566</v>
      </c>
      <c r="D4308" s="159">
        <v>10</v>
      </c>
      <c r="E4308" s="166" t="s">
        <v>3920</v>
      </c>
    </row>
    <row r="4309" spans="1:5">
      <c r="A4309" s="174">
        <f t="shared" si="59"/>
        <v>4308</v>
      </c>
      <c r="B4309" s="163">
        <v>45870</v>
      </c>
      <c r="C4309" s="164">
        <v>0.7311805555555555</v>
      </c>
      <c r="D4309" s="159">
        <v>10</v>
      </c>
      <c r="E4309" s="166" t="s">
        <v>3921</v>
      </c>
    </row>
    <row r="4310" spans="1:5" ht="27">
      <c r="A4310" s="174">
        <f t="shared" si="59"/>
        <v>4309</v>
      </c>
      <c r="B4310" s="163">
        <v>45870</v>
      </c>
      <c r="C4310" s="164">
        <v>0.72181712962962974</v>
      </c>
      <c r="D4310" s="159">
        <v>10</v>
      </c>
      <c r="E4310" s="166" t="s">
        <v>4189</v>
      </c>
    </row>
    <row r="4311" spans="1:5" ht="27">
      <c r="A4311" s="174">
        <f t="shared" si="59"/>
        <v>4310</v>
      </c>
      <c r="B4311" s="163">
        <v>45870</v>
      </c>
      <c r="C4311" s="164">
        <v>0.72030092592592598</v>
      </c>
      <c r="D4311" s="159">
        <v>10</v>
      </c>
      <c r="E4311" s="166" t="s">
        <v>3922</v>
      </c>
    </row>
    <row r="4312" spans="1:5">
      <c r="A4312" s="174">
        <f t="shared" si="59"/>
        <v>4311</v>
      </c>
      <c r="B4312" s="163">
        <v>45870</v>
      </c>
      <c r="C4312" s="164">
        <v>0.70725694444444442</v>
      </c>
      <c r="D4312" s="159">
        <v>10</v>
      </c>
      <c r="E4312" s="166" t="s">
        <v>3923</v>
      </c>
    </row>
    <row r="4313" spans="1:5">
      <c r="A4313" s="174">
        <f t="shared" si="59"/>
        <v>4312</v>
      </c>
      <c r="B4313" s="163">
        <v>45870</v>
      </c>
      <c r="C4313" s="164">
        <v>0.70606481481481476</v>
      </c>
      <c r="D4313" s="159">
        <v>10</v>
      </c>
      <c r="E4313" s="166" t="s">
        <v>3924</v>
      </c>
    </row>
    <row r="4314" spans="1:5">
      <c r="A4314" s="174">
        <f t="shared" si="59"/>
        <v>4313</v>
      </c>
      <c r="B4314" s="163">
        <v>45870</v>
      </c>
      <c r="C4314" s="164">
        <v>0.69170138888888888</v>
      </c>
      <c r="D4314" s="159">
        <v>10</v>
      </c>
      <c r="E4314" s="166" t="s">
        <v>3925</v>
      </c>
    </row>
    <row r="4315" spans="1:5">
      <c r="A4315" s="174">
        <f t="shared" si="59"/>
        <v>4314</v>
      </c>
      <c r="B4315" s="163">
        <v>45870</v>
      </c>
      <c r="C4315" s="164">
        <v>0.67697916666666658</v>
      </c>
      <c r="D4315" s="159">
        <v>10</v>
      </c>
      <c r="E4315" s="166" t="s">
        <v>3926</v>
      </c>
    </row>
    <row r="4316" spans="1:5">
      <c r="A4316" s="174">
        <f t="shared" si="59"/>
        <v>4315</v>
      </c>
      <c r="B4316" s="163">
        <v>45870</v>
      </c>
      <c r="C4316" s="164">
        <v>0.67578703703703702</v>
      </c>
      <c r="D4316" s="159">
        <v>10</v>
      </c>
      <c r="E4316" s="166" t="s">
        <v>3927</v>
      </c>
    </row>
    <row r="4317" spans="1:5">
      <c r="A4317" s="174">
        <f t="shared" si="59"/>
        <v>4316</v>
      </c>
      <c r="B4317" s="163">
        <v>45870</v>
      </c>
      <c r="C4317" s="164">
        <v>0.67273148148148154</v>
      </c>
      <c r="D4317" s="159">
        <v>10</v>
      </c>
      <c r="E4317" s="166" t="s">
        <v>3928</v>
      </c>
    </row>
    <row r="4318" spans="1:5">
      <c r="A4318" s="174">
        <f t="shared" si="59"/>
        <v>4317</v>
      </c>
      <c r="B4318" s="163">
        <v>45870</v>
      </c>
      <c r="C4318" s="164">
        <v>0.67195601851851849</v>
      </c>
      <c r="D4318" s="159">
        <v>10</v>
      </c>
      <c r="E4318" s="166" t="s">
        <v>3929</v>
      </c>
    </row>
    <row r="4319" spans="1:5">
      <c r="A4319" s="174">
        <f t="shared" si="59"/>
        <v>4318</v>
      </c>
      <c r="B4319" s="163">
        <v>45870</v>
      </c>
      <c r="C4319" s="164">
        <v>0.65500000000000003</v>
      </c>
      <c r="D4319" s="159">
        <v>10</v>
      </c>
      <c r="E4319" s="166" t="s">
        <v>3930</v>
      </c>
    </row>
    <row r="4320" spans="1:5">
      <c r="A4320" s="174">
        <f t="shared" si="59"/>
        <v>4319</v>
      </c>
      <c r="B4320" s="163">
        <v>45870</v>
      </c>
      <c r="C4320" s="164">
        <v>0.65151620370370367</v>
      </c>
      <c r="D4320" s="159">
        <v>10</v>
      </c>
      <c r="E4320" s="166" t="s">
        <v>3931</v>
      </c>
    </row>
    <row r="4321" spans="1:5">
      <c r="A4321" s="174">
        <f t="shared" si="59"/>
        <v>4320</v>
      </c>
      <c r="B4321" s="163">
        <v>45870</v>
      </c>
      <c r="C4321" s="164">
        <v>0.65111111111111108</v>
      </c>
      <c r="D4321" s="159">
        <v>10</v>
      </c>
      <c r="E4321" s="166" t="s">
        <v>3932</v>
      </c>
    </row>
    <row r="4322" spans="1:5">
      <c r="A4322" s="174">
        <f t="shared" si="59"/>
        <v>4321</v>
      </c>
      <c r="B4322" s="163">
        <v>45870</v>
      </c>
      <c r="C4322" s="164">
        <v>0.64443287037037034</v>
      </c>
      <c r="D4322" s="159">
        <v>10</v>
      </c>
      <c r="E4322" s="166" t="s">
        <v>1281</v>
      </c>
    </row>
    <row r="4323" spans="1:5">
      <c r="A4323" s="174">
        <f t="shared" si="59"/>
        <v>4322</v>
      </c>
      <c r="B4323" s="163">
        <v>45870</v>
      </c>
      <c r="C4323" s="164">
        <v>0.63339120370370372</v>
      </c>
      <c r="D4323" s="159">
        <v>10</v>
      </c>
      <c r="E4323" s="166" t="s">
        <v>3933</v>
      </c>
    </row>
    <row r="4324" spans="1:5">
      <c r="A4324" s="174">
        <f t="shared" si="59"/>
        <v>4323</v>
      </c>
      <c r="B4324" s="163">
        <v>45870</v>
      </c>
      <c r="C4324" s="164">
        <v>0.6184722222222222</v>
      </c>
      <c r="D4324" s="159">
        <v>8</v>
      </c>
      <c r="E4324" s="166" t="s">
        <v>3934</v>
      </c>
    </row>
    <row r="4325" spans="1:5">
      <c r="A4325" s="174">
        <f t="shared" si="59"/>
        <v>4324</v>
      </c>
      <c r="B4325" s="163">
        <v>45870</v>
      </c>
      <c r="C4325" s="164">
        <v>0.61349537037037039</v>
      </c>
      <c r="D4325" s="159">
        <v>9</v>
      </c>
      <c r="E4325" s="166" t="s">
        <v>3935</v>
      </c>
    </row>
    <row r="4326" spans="1:5">
      <c r="A4326" s="174">
        <f t="shared" si="59"/>
        <v>4325</v>
      </c>
      <c r="B4326" s="163">
        <v>45870</v>
      </c>
      <c r="C4326" s="164">
        <v>0.58974537037037034</v>
      </c>
      <c r="D4326" s="159">
        <v>10</v>
      </c>
      <c r="E4326" s="166" t="s">
        <v>3936</v>
      </c>
    </row>
    <row r="4327" spans="1:5">
      <c r="A4327" s="174">
        <f t="shared" si="59"/>
        <v>4326</v>
      </c>
      <c r="B4327" s="163">
        <v>45870</v>
      </c>
      <c r="C4327" s="164">
        <v>0.58671296296296294</v>
      </c>
      <c r="D4327" s="159">
        <v>10</v>
      </c>
      <c r="E4327" s="166" t="s">
        <v>3937</v>
      </c>
    </row>
    <row r="4328" spans="1:5">
      <c r="A4328" s="174">
        <f t="shared" si="59"/>
        <v>4327</v>
      </c>
      <c r="B4328" s="163">
        <v>45870</v>
      </c>
      <c r="C4328" s="164">
        <v>0.58548611111111104</v>
      </c>
      <c r="D4328" s="159">
        <v>10</v>
      </c>
      <c r="E4328" s="166" t="s">
        <v>3938</v>
      </c>
    </row>
    <row r="4329" spans="1:5">
      <c r="A4329" s="174">
        <f t="shared" si="59"/>
        <v>4328</v>
      </c>
      <c r="B4329" s="163">
        <v>45870</v>
      </c>
      <c r="C4329" s="164">
        <v>0.58508101851851857</v>
      </c>
      <c r="D4329" s="159">
        <v>10</v>
      </c>
      <c r="E4329" s="166" t="s">
        <v>3939</v>
      </c>
    </row>
    <row r="4330" spans="1:5">
      <c r="A4330" s="174">
        <f t="shared" si="59"/>
        <v>4329</v>
      </c>
      <c r="B4330" s="163">
        <v>45870</v>
      </c>
      <c r="C4330" s="164">
        <v>0.57223379629629634</v>
      </c>
      <c r="D4330" s="159">
        <v>10</v>
      </c>
      <c r="E4330" s="166" t="s">
        <v>3940</v>
      </c>
    </row>
    <row r="4331" spans="1:5">
      <c r="A4331" s="174">
        <f t="shared" si="59"/>
        <v>4330</v>
      </c>
      <c r="B4331" s="163">
        <v>45870</v>
      </c>
      <c r="C4331" s="164">
        <v>0.54204861111111113</v>
      </c>
      <c r="D4331" s="159">
        <v>10</v>
      </c>
      <c r="E4331" s="166" t="s">
        <v>3941</v>
      </c>
    </row>
    <row r="4332" spans="1:5">
      <c r="A4332" s="174">
        <f t="shared" si="59"/>
        <v>4331</v>
      </c>
      <c r="B4332" s="163">
        <v>45870</v>
      </c>
      <c r="C4332" s="164">
        <v>0.5376967592592593</v>
      </c>
      <c r="D4332" s="159">
        <v>10</v>
      </c>
      <c r="E4332" s="166" t="s">
        <v>4190</v>
      </c>
    </row>
    <row r="4333" spans="1:5">
      <c r="A4333" s="174">
        <f t="shared" si="59"/>
        <v>4332</v>
      </c>
      <c r="B4333" s="163">
        <v>45870</v>
      </c>
      <c r="C4333" s="164">
        <v>0.52434027777777781</v>
      </c>
      <c r="D4333" s="159">
        <v>10</v>
      </c>
      <c r="E4333" s="166" t="s">
        <v>2252</v>
      </c>
    </row>
    <row r="4334" spans="1:5">
      <c r="A4334" s="174">
        <f t="shared" si="59"/>
        <v>4333</v>
      </c>
      <c r="B4334" s="163">
        <v>45870</v>
      </c>
      <c r="C4334" s="164">
        <v>0.48255787037037035</v>
      </c>
      <c r="D4334" s="159">
        <v>10</v>
      </c>
      <c r="E4334" s="166" t="s">
        <v>3942</v>
      </c>
    </row>
    <row r="4335" spans="1:5">
      <c r="A4335" s="174">
        <f t="shared" si="59"/>
        <v>4334</v>
      </c>
      <c r="B4335" s="163">
        <v>45870</v>
      </c>
      <c r="C4335" s="164">
        <v>0.48107638888888887</v>
      </c>
      <c r="D4335" s="159">
        <v>10</v>
      </c>
      <c r="E4335" s="166" t="s">
        <v>3943</v>
      </c>
    </row>
    <row r="4336" spans="1:5">
      <c r="A4336" s="174">
        <f t="shared" si="59"/>
        <v>4335</v>
      </c>
      <c r="B4336" s="163">
        <v>45870</v>
      </c>
      <c r="C4336" s="164">
        <v>0.47460648148148149</v>
      </c>
      <c r="D4336" s="159">
        <v>10</v>
      </c>
      <c r="E4336" s="166" t="s">
        <v>3944</v>
      </c>
    </row>
    <row r="4337" spans="1:5">
      <c r="A4337" s="174">
        <f t="shared" si="59"/>
        <v>4336</v>
      </c>
      <c r="B4337" s="163">
        <v>45870</v>
      </c>
      <c r="C4337" s="164">
        <v>0.46582175925925928</v>
      </c>
      <c r="D4337" s="159">
        <v>10</v>
      </c>
      <c r="E4337" s="166" t="s">
        <v>3945</v>
      </c>
    </row>
    <row r="4338" spans="1:5">
      <c r="A4338" s="174">
        <f t="shared" si="59"/>
        <v>4337</v>
      </c>
      <c r="B4338" s="163">
        <v>45870</v>
      </c>
      <c r="C4338" s="164">
        <v>0.46089120370370368</v>
      </c>
      <c r="D4338" s="159">
        <v>10</v>
      </c>
      <c r="E4338" s="166" t="s">
        <v>3946</v>
      </c>
    </row>
    <row r="4339" spans="1:5">
      <c r="A4339" s="174">
        <f t="shared" si="59"/>
        <v>4338</v>
      </c>
      <c r="B4339" s="163">
        <v>45870</v>
      </c>
      <c r="C4339" s="164">
        <v>0.45879629629629631</v>
      </c>
      <c r="D4339" s="159">
        <v>10</v>
      </c>
      <c r="E4339" s="166" t="s">
        <v>4191</v>
      </c>
    </row>
    <row r="4340" spans="1:5">
      <c r="A4340" s="174">
        <f t="shared" si="59"/>
        <v>4339</v>
      </c>
      <c r="B4340" s="163">
        <v>45870</v>
      </c>
      <c r="C4340" s="164">
        <v>0.45346064814814818</v>
      </c>
      <c r="D4340" s="159">
        <v>10</v>
      </c>
      <c r="E4340" s="166" t="s">
        <v>132</v>
      </c>
    </row>
    <row r="4341" spans="1:5">
      <c r="A4341" s="174">
        <f t="shared" ref="A4341:A4404" si="60">ROW()-1</f>
        <v>4340</v>
      </c>
      <c r="B4341" s="163">
        <v>45870</v>
      </c>
      <c r="C4341" s="164">
        <v>0.44194444444444447</v>
      </c>
      <c r="D4341" s="159">
        <v>10</v>
      </c>
      <c r="E4341" s="166" t="s">
        <v>3947</v>
      </c>
    </row>
    <row r="4342" spans="1:5">
      <c r="A4342" s="174">
        <f t="shared" si="60"/>
        <v>4341</v>
      </c>
      <c r="B4342" s="163">
        <v>45870</v>
      </c>
      <c r="C4342" s="164">
        <v>0.44104166666666672</v>
      </c>
      <c r="D4342" s="159">
        <v>10</v>
      </c>
      <c r="E4342" s="166" t="s">
        <v>1564</v>
      </c>
    </row>
    <row r="4343" spans="1:5">
      <c r="A4343" s="174">
        <f t="shared" si="60"/>
        <v>4342</v>
      </c>
      <c r="B4343" s="163">
        <v>45870</v>
      </c>
      <c r="C4343" s="164">
        <v>0.43826388888888884</v>
      </c>
      <c r="D4343" s="159">
        <v>10</v>
      </c>
      <c r="E4343" s="166" t="s">
        <v>244</v>
      </c>
    </row>
    <row r="4344" spans="1:5">
      <c r="A4344" s="174">
        <f t="shared" si="60"/>
        <v>4343</v>
      </c>
      <c r="B4344" s="163">
        <v>45870</v>
      </c>
      <c r="C4344" s="164">
        <v>0.39391203703703703</v>
      </c>
      <c r="D4344" s="159">
        <v>10</v>
      </c>
      <c r="E4344" s="166" t="s">
        <v>3948</v>
      </c>
    </row>
    <row r="4345" spans="1:5">
      <c r="A4345" s="174">
        <f t="shared" si="60"/>
        <v>4344</v>
      </c>
      <c r="B4345" s="163">
        <v>45870</v>
      </c>
      <c r="C4345" s="164">
        <v>0.38870370370370372</v>
      </c>
      <c r="D4345" s="159">
        <v>10</v>
      </c>
      <c r="E4345" s="166" t="s">
        <v>3949</v>
      </c>
    </row>
    <row r="4346" spans="1:5">
      <c r="A4346" s="174">
        <f t="shared" si="60"/>
        <v>4345</v>
      </c>
      <c r="B4346" s="163">
        <v>45870</v>
      </c>
      <c r="C4346" s="164">
        <v>0.37940972222222219</v>
      </c>
      <c r="D4346" s="159">
        <v>9</v>
      </c>
      <c r="E4346" s="166" t="s">
        <v>3950</v>
      </c>
    </row>
    <row r="4347" spans="1:5">
      <c r="A4347" s="174">
        <f t="shared" si="60"/>
        <v>4346</v>
      </c>
      <c r="B4347" s="163">
        <v>45871</v>
      </c>
      <c r="C4347" s="164">
        <v>0.74546296296296299</v>
      </c>
      <c r="D4347" s="159">
        <v>10</v>
      </c>
      <c r="E4347" s="166" t="s">
        <v>3903</v>
      </c>
    </row>
    <row r="4348" spans="1:5">
      <c r="A4348" s="174">
        <f t="shared" si="60"/>
        <v>4347</v>
      </c>
      <c r="B4348" s="163">
        <v>45871</v>
      </c>
      <c r="C4348" s="164">
        <v>0.71187500000000004</v>
      </c>
      <c r="D4348" s="159">
        <v>10</v>
      </c>
      <c r="E4348" s="166" t="s">
        <v>3904</v>
      </c>
    </row>
    <row r="4349" spans="1:5">
      <c r="A4349" s="174">
        <f t="shared" si="60"/>
        <v>4348</v>
      </c>
      <c r="B4349" s="163">
        <v>45871</v>
      </c>
      <c r="C4349" s="164">
        <v>0.71012731481481473</v>
      </c>
      <c r="D4349" s="159">
        <v>10</v>
      </c>
      <c r="E4349" s="166" t="s">
        <v>3905</v>
      </c>
    </row>
    <row r="4350" spans="1:5">
      <c r="A4350" s="174">
        <f t="shared" si="60"/>
        <v>4349</v>
      </c>
      <c r="B4350" s="163">
        <v>45871</v>
      </c>
      <c r="C4350" s="164">
        <v>0.69219907407407411</v>
      </c>
      <c r="D4350" s="159">
        <v>10</v>
      </c>
      <c r="E4350" s="166" t="s">
        <v>3906</v>
      </c>
    </row>
    <row r="4351" spans="1:5">
      <c r="A4351" s="174">
        <f t="shared" si="60"/>
        <v>4350</v>
      </c>
      <c r="B4351" s="163">
        <v>45871</v>
      </c>
      <c r="C4351" s="164">
        <v>0.67197916666666668</v>
      </c>
      <c r="D4351" s="159">
        <v>10</v>
      </c>
      <c r="E4351" s="166" t="s">
        <v>433</v>
      </c>
    </row>
    <row r="4352" spans="1:5">
      <c r="A4352" s="174">
        <f t="shared" si="60"/>
        <v>4351</v>
      </c>
      <c r="B4352" s="163">
        <v>45871</v>
      </c>
      <c r="C4352" s="164">
        <v>0.65818287037037038</v>
      </c>
      <c r="D4352" s="159">
        <v>10</v>
      </c>
      <c r="E4352" s="166" t="s">
        <v>1519</v>
      </c>
    </row>
    <row r="4353" spans="1:5">
      <c r="A4353" s="174">
        <f t="shared" si="60"/>
        <v>4352</v>
      </c>
      <c r="B4353" s="163">
        <v>45871</v>
      </c>
      <c r="C4353" s="164">
        <v>0.63458333333333339</v>
      </c>
      <c r="D4353" s="159">
        <v>10</v>
      </c>
      <c r="E4353" s="166" t="s">
        <v>495</v>
      </c>
    </row>
    <row r="4354" spans="1:5">
      <c r="A4354" s="174">
        <f t="shared" si="60"/>
        <v>4353</v>
      </c>
      <c r="B4354" s="163">
        <v>45871</v>
      </c>
      <c r="C4354" s="164">
        <v>0.61851851851851858</v>
      </c>
      <c r="D4354" s="159">
        <v>10</v>
      </c>
      <c r="E4354" s="166" t="s">
        <v>3907</v>
      </c>
    </row>
    <row r="4355" spans="1:5">
      <c r="A4355" s="174">
        <f t="shared" si="60"/>
        <v>4354</v>
      </c>
      <c r="B4355" s="163">
        <v>45871</v>
      </c>
      <c r="C4355" s="164">
        <v>0.60862268518518514</v>
      </c>
      <c r="D4355" s="159">
        <v>10</v>
      </c>
      <c r="E4355" s="166" t="s">
        <v>3908</v>
      </c>
    </row>
    <row r="4356" spans="1:5">
      <c r="A4356" s="174">
        <f t="shared" si="60"/>
        <v>4355</v>
      </c>
      <c r="B4356" s="163">
        <v>45871</v>
      </c>
      <c r="C4356" s="164">
        <v>0.60031250000000003</v>
      </c>
      <c r="D4356" s="159">
        <v>10</v>
      </c>
      <c r="E4356" s="166" t="s">
        <v>3909</v>
      </c>
    </row>
    <row r="4357" spans="1:5">
      <c r="A4357" s="174">
        <f t="shared" si="60"/>
        <v>4356</v>
      </c>
      <c r="B4357" s="163">
        <v>45871</v>
      </c>
      <c r="C4357" s="164">
        <v>0.5832060185185185</v>
      </c>
      <c r="D4357" s="159">
        <v>10</v>
      </c>
      <c r="E4357" s="166" t="s">
        <v>3910</v>
      </c>
    </row>
    <row r="4358" spans="1:5">
      <c r="A4358" s="174">
        <f t="shared" si="60"/>
        <v>4357</v>
      </c>
      <c r="B4358" s="163">
        <v>45871</v>
      </c>
      <c r="C4358" s="164">
        <v>0.54290509259259256</v>
      </c>
      <c r="D4358" s="159">
        <v>10</v>
      </c>
      <c r="E4358" s="166" t="s">
        <v>3911</v>
      </c>
    </row>
    <row r="4359" spans="1:5">
      <c r="A4359" s="174">
        <f t="shared" si="60"/>
        <v>4358</v>
      </c>
      <c r="B4359" s="163">
        <v>45871</v>
      </c>
      <c r="C4359" s="164">
        <v>0.48320601851851852</v>
      </c>
      <c r="D4359" s="159">
        <v>10</v>
      </c>
      <c r="E4359" s="166" t="s">
        <v>3912</v>
      </c>
    </row>
    <row r="4360" spans="1:5">
      <c r="A4360" s="174">
        <f t="shared" si="60"/>
        <v>4359</v>
      </c>
      <c r="B4360" s="163">
        <v>45871</v>
      </c>
      <c r="C4360" s="164">
        <v>0.45384259259259258</v>
      </c>
      <c r="D4360" s="159">
        <v>10</v>
      </c>
      <c r="E4360" s="166" t="s">
        <v>3913</v>
      </c>
    </row>
    <row r="4361" spans="1:5" ht="27">
      <c r="A4361" s="174">
        <f t="shared" si="60"/>
        <v>4360</v>
      </c>
      <c r="B4361" s="163">
        <v>45871</v>
      </c>
      <c r="C4361" s="164">
        <v>0.4397685185185185</v>
      </c>
      <c r="D4361" s="159">
        <v>10</v>
      </c>
      <c r="E4361" s="166" t="s">
        <v>3914</v>
      </c>
    </row>
    <row r="4362" spans="1:5">
      <c r="A4362" s="174">
        <f t="shared" si="60"/>
        <v>4361</v>
      </c>
      <c r="B4362" s="163">
        <v>45871</v>
      </c>
      <c r="C4362" s="164">
        <v>0.42976851851851849</v>
      </c>
      <c r="D4362" s="159">
        <v>10</v>
      </c>
      <c r="E4362" s="166" t="s">
        <v>3915</v>
      </c>
    </row>
    <row r="4363" spans="1:5">
      <c r="A4363" s="174">
        <f t="shared" si="60"/>
        <v>4362</v>
      </c>
      <c r="B4363" s="163">
        <v>45871</v>
      </c>
      <c r="C4363" s="164">
        <v>0.42439814814814819</v>
      </c>
      <c r="D4363" s="159">
        <v>10</v>
      </c>
      <c r="E4363" s="166" t="s">
        <v>3916</v>
      </c>
    </row>
    <row r="4364" spans="1:5">
      <c r="A4364" s="174">
        <f t="shared" si="60"/>
        <v>4363</v>
      </c>
      <c r="B4364" s="163">
        <v>45871</v>
      </c>
      <c r="C4364" s="164">
        <v>0.39549768518518519</v>
      </c>
      <c r="D4364" s="159">
        <v>10</v>
      </c>
      <c r="E4364" s="166" t="s">
        <v>3917</v>
      </c>
    </row>
    <row r="4365" spans="1:5">
      <c r="A4365" s="174">
        <f t="shared" si="60"/>
        <v>4364</v>
      </c>
      <c r="B4365" s="163">
        <v>45873</v>
      </c>
      <c r="C4365" s="164">
        <v>0.90157407407407408</v>
      </c>
      <c r="D4365" s="159">
        <v>10</v>
      </c>
      <c r="E4365" s="166" t="s">
        <v>3951</v>
      </c>
    </row>
    <row r="4366" spans="1:5">
      <c r="A4366" s="174">
        <f t="shared" si="60"/>
        <v>4365</v>
      </c>
      <c r="B4366" s="163">
        <v>45873</v>
      </c>
      <c r="C4366" s="164">
        <v>0.83950231481481474</v>
      </c>
      <c r="D4366" s="159">
        <v>10</v>
      </c>
      <c r="E4366" s="166" t="s">
        <v>1201</v>
      </c>
    </row>
    <row r="4367" spans="1:5">
      <c r="A4367" s="174">
        <f t="shared" si="60"/>
        <v>4366</v>
      </c>
      <c r="B4367" s="163">
        <v>45873</v>
      </c>
      <c r="C4367" s="164">
        <v>0.82741898148148152</v>
      </c>
      <c r="D4367" s="159">
        <v>10</v>
      </c>
      <c r="E4367" s="166" t="s">
        <v>3952</v>
      </c>
    </row>
    <row r="4368" spans="1:5">
      <c r="A4368" s="174">
        <f t="shared" si="60"/>
        <v>4367</v>
      </c>
      <c r="B4368" s="163">
        <v>45873</v>
      </c>
      <c r="C4368" s="164">
        <v>0.81320601851851848</v>
      </c>
      <c r="D4368" s="159">
        <v>10</v>
      </c>
      <c r="E4368" s="166" t="s">
        <v>3953</v>
      </c>
    </row>
    <row r="4369" spans="1:5">
      <c r="A4369" s="174">
        <f t="shared" si="60"/>
        <v>4368</v>
      </c>
      <c r="B4369" s="163">
        <v>45873</v>
      </c>
      <c r="C4369" s="164">
        <v>0.81141203703703713</v>
      </c>
      <c r="D4369" s="159">
        <v>10</v>
      </c>
      <c r="E4369" s="166" t="s">
        <v>3954</v>
      </c>
    </row>
    <row r="4370" spans="1:5">
      <c r="A4370" s="174">
        <f t="shared" si="60"/>
        <v>4369</v>
      </c>
      <c r="B4370" s="163">
        <v>45873</v>
      </c>
      <c r="C4370" s="164">
        <v>0.80548611111111112</v>
      </c>
      <c r="D4370" s="159">
        <v>10</v>
      </c>
      <c r="E4370" s="166" t="s">
        <v>3955</v>
      </c>
    </row>
    <row r="4371" spans="1:5" ht="27">
      <c r="A4371" s="174">
        <f t="shared" si="60"/>
        <v>4370</v>
      </c>
      <c r="B4371" s="163">
        <v>45873</v>
      </c>
      <c r="C4371" s="164">
        <v>0.78739583333333341</v>
      </c>
      <c r="D4371" s="159">
        <v>10</v>
      </c>
      <c r="E4371" s="166" t="s">
        <v>3956</v>
      </c>
    </row>
    <row r="4372" spans="1:5">
      <c r="A4372" s="174">
        <f t="shared" si="60"/>
        <v>4371</v>
      </c>
      <c r="B4372" s="163">
        <v>45873</v>
      </c>
      <c r="C4372" s="164">
        <v>0.78608796296296291</v>
      </c>
      <c r="D4372" s="159">
        <v>10</v>
      </c>
      <c r="E4372" s="166" t="s">
        <v>3957</v>
      </c>
    </row>
    <row r="4373" spans="1:5">
      <c r="A4373" s="174">
        <f t="shared" si="60"/>
        <v>4372</v>
      </c>
      <c r="B4373" s="163">
        <v>45873</v>
      </c>
      <c r="C4373" s="164">
        <v>0.75357638888888889</v>
      </c>
      <c r="D4373" s="159">
        <v>10</v>
      </c>
      <c r="E4373" s="166" t="s">
        <v>3958</v>
      </c>
    </row>
    <row r="4374" spans="1:5">
      <c r="A4374" s="174">
        <f t="shared" si="60"/>
        <v>4373</v>
      </c>
      <c r="B4374" s="163">
        <v>45873</v>
      </c>
      <c r="C4374" s="164">
        <v>0.75084490740740739</v>
      </c>
      <c r="D4374" s="159">
        <v>10</v>
      </c>
      <c r="E4374" s="166" t="s">
        <v>3959</v>
      </c>
    </row>
    <row r="4375" spans="1:5">
      <c r="A4375" s="174">
        <f t="shared" si="60"/>
        <v>4374</v>
      </c>
      <c r="B4375" s="163">
        <v>45873</v>
      </c>
      <c r="C4375" s="164">
        <v>0.748113425925926</v>
      </c>
      <c r="D4375" s="159">
        <v>10</v>
      </c>
      <c r="E4375" s="166" t="s">
        <v>3960</v>
      </c>
    </row>
    <row r="4376" spans="1:5">
      <c r="A4376" s="174">
        <f t="shared" si="60"/>
        <v>4375</v>
      </c>
      <c r="B4376" s="163">
        <v>45873</v>
      </c>
      <c r="C4376" s="164">
        <v>0.74688657407407411</v>
      </c>
      <c r="D4376" s="159">
        <v>10</v>
      </c>
      <c r="E4376" s="166" t="s">
        <v>3961</v>
      </c>
    </row>
    <row r="4377" spans="1:5">
      <c r="A4377" s="174">
        <f t="shared" si="60"/>
        <v>4376</v>
      </c>
      <c r="B4377" s="163">
        <v>45873</v>
      </c>
      <c r="C4377" s="164">
        <v>0.74498842592592596</v>
      </c>
      <c r="D4377" s="159">
        <v>10</v>
      </c>
      <c r="E4377" s="166" t="s">
        <v>3962</v>
      </c>
    </row>
    <row r="4378" spans="1:5">
      <c r="A4378" s="174">
        <f t="shared" si="60"/>
        <v>4377</v>
      </c>
      <c r="B4378" s="163">
        <v>45873</v>
      </c>
      <c r="C4378" s="164">
        <v>0.73655092592592597</v>
      </c>
      <c r="D4378" s="159">
        <v>10</v>
      </c>
      <c r="E4378" s="166" t="s">
        <v>3963</v>
      </c>
    </row>
    <row r="4379" spans="1:5">
      <c r="A4379" s="174">
        <f t="shared" si="60"/>
        <v>4378</v>
      </c>
      <c r="B4379" s="163">
        <v>45873</v>
      </c>
      <c r="C4379" s="164">
        <v>0.71172453703703698</v>
      </c>
      <c r="D4379" s="159">
        <v>10</v>
      </c>
      <c r="E4379" s="166" t="s">
        <v>2584</v>
      </c>
    </row>
    <row r="4380" spans="1:5">
      <c r="A4380" s="174">
        <f t="shared" si="60"/>
        <v>4379</v>
      </c>
      <c r="B4380" s="163">
        <v>45873</v>
      </c>
      <c r="C4380" s="164">
        <v>0.70251157407407405</v>
      </c>
      <c r="D4380" s="159">
        <v>10</v>
      </c>
      <c r="E4380" s="166" t="s">
        <v>3964</v>
      </c>
    </row>
    <row r="4381" spans="1:5">
      <c r="A4381" s="174">
        <f t="shared" si="60"/>
        <v>4380</v>
      </c>
      <c r="B4381" s="163">
        <v>45873</v>
      </c>
      <c r="C4381" s="164">
        <v>0.6950115740740741</v>
      </c>
      <c r="D4381" s="159">
        <v>10</v>
      </c>
      <c r="E4381" s="166" t="s">
        <v>3965</v>
      </c>
    </row>
    <row r="4382" spans="1:5">
      <c r="A4382" s="174">
        <f t="shared" si="60"/>
        <v>4381</v>
      </c>
      <c r="B4382" s="163">
        <v>45873</v>
      </c>
      <c r="C4382" s="164">
        <v>0.69386574074074081</v>
      </c>
      <c r="D4382" s="159">
        <v>10</v>
      </c>
      <c r="E4382" s="166" t="s">
        <v>3966</v>
      </c>
    </row>
    <row r="4383" spans="1:5" ht="27">
      <c r="A4383" s="174">
        <f t="shared" si="60"/>
        <v>4382</v>
      </c>
      <c r="B4383" s="163">
        <v>45873</v>
      </c>
      <c r="C4383" s="164">
        <v>0.68628472222222225</v>
      </c>
      <c r="D4383" s="159">
        <v>10</v>
      </c>
      <c r="E4383" s="166" t="s">
        <v>3967</v>
      </c>
    </row>
    <row r="4384" spans="1:5">
      <c r="A4384" s="174">
        <f t="shared" si="60"/>
        <v>4383</v>
      </c>
      <c r="B4384" s="163">
        <v>45873</v>
      </c>
      <c r="C4384" s="164">
        <v>0.67883101851851846</v>
      </c>
      <c r="D4384" s="159">
        <v>10</v>
      </c>
      <c r="E4384" s="166" t="s">
        <v>3968</v>
      </c>
    </row>
    <row r="4385" spans="1:5">
      <c r="A4385" s="174">
        <f t="shared" si="60"/>
        <v>4384</v>
      </c>
      <c r="B4385" s="163">
        <v>45873</v>
      </c>
      <c r="C4385" s="164">
        <v>0.67495370370370367</v>
      </c>
      <c r="D4385" s="159">
        <v>10</v>
      </c>
      <c r="E4385" s="166" t="s">
        <v>3969</v>
      </c>
    </row>
    <row r="4386" spans="1:5">
      <c r="A4386" s="174">
        <f t="shared" si="60"/>
        <v>4385</v>
      </c>
      <c r="B4386" s="163">
        <v>45873</v>
      </c>
      <c r="C4386" s="164">
        <v>0.66615740740740736</v>
      </c>
      <c r="D4386" s="159">
        <v>10</v>
      </c>
      <c r="E4386" s="166" t="s">
        <v>3327</v>
      </c>
    </row>
    <row r="4387" spans="1:5">
      <c r="A4387" s="174">
        <f t="shared" si="60"/>
        <v>4386</v>
      </c>
      <c r="B4387" s="163">
        <v>45873</v>
      </c>
      <c r="C4387" s="164">
        <v>0.66431712962962963</v>
      </c>
      <c r="D4387" s="159">
        <v>10</v>
      </c>
      <c r="E4387" s="166" t="s">
        <v>3970</v>
      </c>
    </row>
    <row r="4388" spans="1:5">
      <c r="A4388" s="174">
        <f t="shared" si="60"/>
        <v>4387</v>
      </c>
      <c r="B4388" s="163">
        <v>45873</v>
      </c>
      <c r="C4388" s="164">
        <v>0.66371527777777783</v>
      </c>
      <c r="D4388" s="159">
        <v>10</v>
      </c>
      <c r="E4388" s="166" t="s">
        <v>3971</v>
      </c>
    </row>
    <row r="4389" spans="1:5">
      <c r="A4389" s="174">
        <f t="shared" si="60"/>
        <v>4388</v>
      </c>
      <c r="B4389" s="163">
        <v>45873</v>
      </c>
      <c r="C4389" s="164">
        <v>0.66248842592592594</v>
      </c>
      <c r="D4389" s="159">
        <v>10</v>
      </c>
      <c r="E4389" s="166" t="s">
        <v>3972</v>
      </c>
    </row>
    <row r="4390" spans="1:5" ht="27">
      <c r="A4390" s="174">
        <f t="shared" si="60"/>
        <v>4389</v>
      </c>
      <c r="B4390" s="163">
        <v>45873</v>
      </c>
      <c r="C4390" s="164">
        <v>0.66218750000000004</v>
      </c>
      <c r="D4390" s="159">
        <v>10</v>
      </c>
      <c r="E4390" s="166" t="s">
        <v>3973</v>
      </c>
    </row>
    <row r="4391" spans="1:5">
      <c r="A4391" s="174">
        <f t="shared" si="60"/>
        <v>4390</v>
      </c>
      <c r="B4391" s="163">
        <v>45873</v>
      </c>
      <c r="C4391" s="164">
        <v>0.65695601851851848</v>
      </c>
      <c r="D4391" s="159">
        <v>10</v>
      </c>
      <c r="E4391" s="166" t="s">
        <v>173</v>
      </c>
    </row>
    <row r="4392" spans="1:5">
      <c r="A4392" s="174">
        <f t="shared" si="60"/>
        <v>4391</v>
      </c>
      <c r="B4392" s="163">
        <v>45873</v>
      </c>
      <c r="C4392" s="164">
        <v>0.65380787037037036</v>
      </c>
      <c r="D4392" s="159">
        <v>10</v>
      </c>
      <c r="E4392" s="166" t="s">
        <v>3974</v>
      </c>
    </row>
    <row r="4393" spans="1:5">
      <c r="A4393" s="174">
        <f t="shared" si="60"/>
        <v>4392</v>
      </c>
      <c r="B4393" s="163">
        <v>45873</v>
      </c>
      <c r="C4393" s="164">
        <v>0.65334490740740747</v>
      </c>
      <c r="D4393" s="159">
        <v>10</v>
      </c>
      <c r="E4393" s="166" t="s">
        <v>3975</v>
      </c>
    </row>
    <row r="4394" spans="1:5">
      <c r="A4394" s="174">
        <f t="shared" si="60"/>
        <v>4393</v>
      </c>
      <c r="B4394" s="163">
        <v>45873</v>
      </c>
      <c r="C4394" s="164">
        <v>0.64756944444444442</v>
      </c>
      <c r="D4394" s="159">
        <v>10</v>
      </c>
      <c r="E4394" s="166" t="s">
        <v>3976</v>
      </c>
    </row>
    <row r="4395" spans="1:5" ht="40.5">
      <c r="A4395" s="174">
        <f t="shared" si="60"/>
        <v>4394</v>
      </c>
      <c r="B4395" s="163">
        <v>45873</v>
      </c>
      <c r="C4395" s="164">
        <v>0.63186342592592593</v>
      </c>
      <c r="D4395" s="159">
        <v>10</v>
      </c>
      <c r="E4395" s="166" t="s">
        <v>4186</v>
      </c>
    </row>
    <row r="4396" spans="1:5">
      <c r="A4396" s="174">
        <f t="shared" si="60"/>
        <v>4395</v>
      </c>
      <c r="B4396" s="163">
        <v>45873</v>
      </c>
      <c r="C4396" s="164">
        <v>0.63208333333333333</v>
      </c>
      <c r="D4396" s="159">
        <v>10</v>
      </c>
      <c r="E4396" s="166" t="s">
        <v>3977</v>
      </c>
    </row>
    <row r="4397" spans="1:5">
      <c r="A4397" s="174">
        <f t="shared" si="60"/>
        <v>4396</v>
      </c>
      <c r="B4397" s="163">
        <v>45873</v>
      </c>
      <c r="C4397" s="164">
        <v>0.63222222222222224</v>
      </c>
      <c r="D4397" s="159">
        <v>10</v>
      </c>
      <c r="E4397" s="166" t="s">
        <v>3978</v>
      </c>
    </row>
    <row r="4398" spans="1:5">
      <c r="A4398" s="174">
        <f t="shared" si="60"/>
        <v>4397</v>
      </c>
      <c r="B4398" s="163">
        <v>45873</v>
      </c>
      <c r="C4398" s="164">
        <v>0.61891203703703701</v>
      </c>
      <c r="D4398" s="159">
        <v>10</v>
      </c>
      <c r="E4398" s="166" t="s">
        <v>3979</v>
      </c>
    </row>
    <row r="4399" spans="1:5">
      <c r="A4399" s="174">
        <f t="shared" si="60"/>
        <v>4398</v>
      </c>
      <c r="B4399" s="163">
        <v>45873</v>
      </c>
      <c r="C4399" s="164">
        <v>0.61839120370370371</v>
      </c>
      <c r="D4399" s="159">
        <v>10</v>
      </c>
      <c r="E4399" s="166" t="s">
        <v>3980</v>
      </c>
    </row>
    <row r="4400" spans="1:5">
      <c r="A4400" s="174">
        <f t="shared" si="60"/>
        <v>4399</v>
      </c>
      <c r="B4400" s="163">
        <v>45873</v>
      </c>
      <c r="C4400" s="164">
        <v>0.61723379629629627</v>
      </c>
      <c r="D4400" s="159">
        <v>10</v>
      </c>
      <c r="E4400" s="166" t="s">
        <v>3981</v>
      </c>
    </row>
    <row r="4401" spans="1:5">
      <c r="A4401" s="174">
        <f t="shared" si="60"/>
        <v>4400</v>
      </c>
      <c r="B4401" s="163">
        <v>45873</v>
      </c>
      <c r="C4401" s="164">
        <v>0.6156018518518519</v>
      </c>
      <c r="D4401" s="159">
        <v>10</v>
      </c>
      <c r="E4401" s="166" t="s">
        <v>3982</v>
      </c>
    </row>
    <row r="4402" spans="1:5">
      <c r="A4402" s="174">
        <f t="shared" si="60"/>
        <v>4401</v>
      </c>
      <c r="B4402" s="163">
        <v>45873</v>
      </c>
      <c r="C4402" s="164">
        <v>0.61039351851851853</v>
      </c>
      <c r="D4402" s="159">
        <v>10</v>
      </c>
      <c r="E4402" s="166" t="s">
        <v>3983</v>
      </c>
    </row>
    <row r="4403" spans="1:5">
      <c r="A4403" s="174">
        <f t="shared" si="60"/>
        <v>4402</v>
      </c>
      <c r="B4403" s="163">
        <v>45873</v>
      </c>
      <c r="C4403" s="164">
        <v>0.60938657407407404</v>
      </c>
      <c r="D4403" s="159">
        <v>10</v>
      </c>
      <c r="E4403" s="166" t="s">
        <v>3984</v>
      </c>
    </row>
    <row r="4404" spans="1:5">
      <c r="A4404" s="174">
        <f t="shared" si="60"/>
        <v>4403</v>
      </c>
      <c r="B4404" s="163">
        <v>45873</v>
      </c>
      <c r="C4404" s="164">
        <v>0.60771990740740744</v>
      </c>
      <c r="D4404" s="159">
        <v>10</v>
      </c>
      <c r="E4404" s="166" t="s">
        <v>3985</v>
      </c>
    </row>
    <row r="4405" spans="1:5">
      <c r="A4405" s="174">
        <f t="shared" ref="A4405:A4468" si="61">ROW()-1</f>
        <v>4404</v>
      </c>
      <c r="B4405" s="163">
        <v>45873</v>
      </c>
      <c r="C4405" s="164">
        <v>0.60553240740740744</v>
      </c>
      <c r="D4405" s="159">
        <v>10</v>
      </c>
      <c r="E4405" s="166" t="s">
        <v>3986</v>
      </c>
    </row>
    <row r="4406" spans="1:5">
      <c r="A4406" s="174">
        <f t="shared" si="61"/>
        <v>4405</v>
      </c>
      <c r="B4406" s="163">
        <v>45873</v>
      </c>
      <c r="C4406" s="164">
        <v>0.60467592592592589</v>
      </c>
      <c r="D4406" s="159">
        <v>10</v>
      </c>
      <c r="E4406" s="166" t="s">
        <v>3987</v>
      </c>
    </row>
    <row r="4407" spans="1:5">
      <c r="A4407" s="174">
        <f t="shared" si="61"/>
        <v>4406</v>
      </c>
      <c r="B4407" s="163">
        <v>45873</v>
      </c>
      <c r="C4407" s="164">
        <v>0.59685185185185186</v>
      </c>
      <c r="D4407" s="159">
        <v>10</v>
      </c>
      <c r="E4407" s="166" t="s">
        <v>3988</v>
      </c>
    </row>
    <row r="4408" spans="1:5">
      <c r="A4408" s="174">
        <f t="shared" si="61"/>
        <v>4407</v>
      </c>
      <c r="B4408" s="163">
        <v>45873</v>
      </c>
      <c r="C4408" s="164">
        <v>0.59124999999999994</v>
      </c>
      <c r="D4408" s="159">
        <v>10</v>
      </c>
      <c r="E4408" s="166" t="s">
        <v>3989</v>
      </c>
    </row>
    <row r="4409" spans="1:5">
      <c r="A4409" s="174">
        <f t="shared" si="61"/>
        <v>4408</v>
      </c>
      <c r="B4409" s="163">
        <v>45873</v>
      </c>
      <c r="C4409" s="164">
        <v>0.5913194444444444</v>
      </c>
      <c r="D4409" s="159">
        <v>10</v>
      </c>
      <c r="E4409" s="166" t="s">
        <v>3990</v>
      </c>
    </row>
    <row r="4410" spans="1:5">
      <c r="A4410" s="174">
        <f t="shared" si="61"/>
        <v>4409</v>
      </c>
      <c r="B4410" s="163">
        <v>45873</v>
      </c>
      <c r="C4410" s="164">
        <v>0.58819444444444446</v>
      </c>
      <c r="D4410" s="159">
        <v>10</v>
      </c>
      <c r="E4410" s="166" t="s">
        <v>4187</v>
      </c>
    </row>
    <row r="4411" spans="1:5">
      <c r="A4411" s="174">
        <f t="shared" si="61"/>
        <v>4410</v>
      </c>
      <c r="B4411" s="163">
        <v>45873</v>
      </c>
      <c r="C4411" s="164">
        <v>0.58263888888888882</v>
      </c>
      <c r="D4411" s="159">
        <v>10</v>
      </c>
      <c r="E4411" s="166" t="s">
        <v>1531</v>
      </c>
    </row>
    <row r="4412" spans="1:5">
      <c r="A4412" s="174">
        <f t="shared" si="61"/>
        <v>4411</v>
      </c>
      <c r="B4412" s="163">
        <v>45873</v>
      </c>
      <c r="C4412" s="164">
        <v>0.57710648148148147</v>
      </c>
      <c r="D4412" s="159">
        <v>10</v>
      </c>
      <c r="E4412" s="166" t="s">
        <v>479</v>
      </c>
    </row>
    <row r="4413" spans="1:5">
      <c r="A4413" s="174">
        <f t="shared" si="61"/>
        <v>4412</v>
      </c>
      <c r="B4413" s="163">
        <v>45873</v>
      </c>
      <c r="C4413" s="164">
        <v>0.57351851851851854</v>
      </c>
      <c r="D4413" s="159">
        <v>10</v>
      </c>
      <c r="E4413" s="166" t="s">
        <v>3983</v>
      </c>
    </row>
    <row r="4414" spans="1:5">
      <c r="A4414" s="174">
        <f t="shared" si="61"/>
        <v>4413</v>
      </c>
      <c r="B4414" s="163">
        <v>45873</v>
      </c>
      <c r="C4414" s="164">
        <v>0.5668171296296296</v>
      </c>
      <c r="D4414" s="159">
        <v>10</v>
      </c>
      <c r="E4414" s="166" t="s">
        <v>3991</v>
      </c>
    </row>
    <row r="4415" spans="1:5">
      <c r="A4415" s="174">
        <f t="shared" si="61"/>
        <v>4414</v>
      </c>
      <c r="B4415" s="163">
        <v>45873</v>
      </c>
      <c r="C4415" s="164">
        <v>0.56528935185185192</v>
      </c>
      <c r="D4415" s="159">
        <v>10</v>
      </c>
      <c r="E4415" s="166" t="s">
        <v>3992</v>
      </c>
    </row>
    <row r="4416" spans="1:5">
      <c r="A4416" s="174">
        <f t="shared" si="61"/>
        <v>4415</v>
      </c>
      <c r="B4416" s="163">
        <v>45873</v>
      </c>
      <c r="C4416" s="164">
        <v>0.55167824074074068</v>
      </c>
      <c r="D4416" s="159">
        <v>10</v>
      </c>
      <c r="E4416" s="166" t="s">
        <v>3993</v>
      </c>
    </row>
    <row r="4417" spans="1:5">
      <c r="A4417" s="174">
        <f t="shared" si="61"/>
        <v>4416</v>
      </c>
      <c r="B4417" s="163">
        <v>45873</v>
      </c>
      <c r="C4417" s="164">
        <v>0.54885416666666664</v>
      </c>
      <c r="D4417" s="159">
        <v>10</v>
      </c>
      <c r="E4417" s="166" t="s">
        <v>3994</v>
      </c>
    </row>
    <row r="4418" spans="1:5">
      <c r="A4418" s="174">
        <f t="shared" si="61"/>
        <v>4417</v>
      </c>
      <c r="B4418" s="163">
        <v>45873</v>
      </c>
      <c r="C4418" s="164">
        <v>0.54792824074074076</v>
      </c>
      <c r="D4418" s="159">
        <v>10</v>
      </c>
      <c r="E4418" s="166" t="s">
        <v>179</v>
      </c>
    </row>
    <row r="4419" spans="1:5">
      <c r="A4419" s="174">
        <f t="shared" si="61"/>
        <v>4418</v>
      </c>
      <c r="B4419" s="163">
        <v>45873</v>
      </c>
      <c r="C4419" s="164">
        <v>0.49804398148148149</v>
      </c>
      <c r="D4419" s="159">
        <v>10</v>
      </c>
      <c r="E4419" s="166" t="s">
        <v>3995</v>
      </c>
    </row>
    <row r="4420" spans="1:5">
      <c r="A4420" s="174">
        <f t="shared" si="61"/>
        <v>4419</v>
      </c>
      <c r="B4420" s="163">
        <v>45873</v>
      </c>
      <c r="C4420" s="164">
        <v>0.49702546296296296</v>
      </c>
      <c r="D4420" s="159">
        <v>10</v>
      </c>
      <c r="E4420" s="166" t="s">
        <v>3996</v>
      </c>
    </row>
    <row r="4421" spans="1:5">
      <c r="A4421" s="174">
        <f t="shared" si="61"/>
        <v>4420</v>
      </c>
      <c r="B4421" s="163">
        <v>45873</v>
      </c>
      <c r="C4421" s="164">
        <v>0.49156249999999996</v>
      </c>
      <c r="D4421" s="159">
        <v>10</v>
      </c>
      <c r="E4421" s="166" t="s">
        <v>2087</v>
      </c>
    </row>
    <row r="4422" spans="1:5">
      <c r="A4422" s="174">
        <f t="shared" si="61"/>
        <v>4421</v>
      </c>
      <c r="B4422" s="163">
        <v>45873</v>
      </c>
      <c r="C4422" s="164">
        <v>0.48222222222222227</v>
      </c>
      <c r="D4422" s="159">
        <v>10</v>
      </c>
      <c r="E4422" s="166" t="s">
        <v>3997</v>
      </c>
    </row>
    <row r="4423" spans="1:5">
      <c r="A4423" s="174">
        <f t="shared" si="61"/>
        <v>4422</v>
      </c>
      <c r="B4423" s="163">
        <v>45873</v>
      </c>
      <c r="C4423" s="164">
        <v>0.48063657407407406</v>
      </c>
      <c r="D4423" s="159">
        <v>10</v>
      </c>
      <c r="E4423" s="166" t="s">
        <v>3998</v>
      </c>
    </row>
    <row r="4424" spans="1:5" ht="27">
      <c r="A4424" s="174">
        <f t="shared" si="61"/>
        <v>4423</v>
      </c>
      <c r="B4424" s="163">
        <v>45873</v>
      </c>
      <c r="C4424" s="164">
        <v>0.47660879629629632</v>
      </c>
      <c r="D4424" s="159">
        <v>10</v>
      </c>
      <c r="E4424" s="166" t="s">
        <v>4188</v>
      </c>
    </row>
    <row r="4425" spans="1:5">
      <c r="A4425" s="174">
        <f t="shared" si="61"/>
        <v>4424</v>
      </c>
      <c r="B4425" s="163">
        <v>45873</v>
      </c>
      <c r="C4425" s="164">
        <v>0.47322916666666665</v>
      </c>
      <c r="D4425" s="159">
        <v>10</v>
      </c>
      <c r="E4425" s="166" t="s">
        <v>3999</v>
      </c>
    </row>
    <row r="4426" spans="1:5">
      <c r="A4426" s="174">
        <f t="shared" si="61"/>
        <v>4425</v>
      </c>
      <c r="B4426" s="163">
        <v>45873</v>
      </c>
      <c r="C4426" s="164">
        <v>0.46398148148148149</v>
      </c>
      <c r="D4426" s="159">
        <v>10</v>
      </c>
      <c r="E4426" s="166" t="s">
        <v>1519</v>
      </c>
    </row>
    <row r="4427" spans="1:5">
      <c r="A4427" s="174">
        <f t="shared" si="61"/>
        <v>4426</v>
      </c>
      <c r="B4427" s="163">
        <v>45873</v>
      </c>
      <c r="C4427" s="164">
        <v>0.46329861111111109</v>
      </c>
      <c r="D4427" s="159">
        <v>10</v>
      </c>
      <c r="E4427" s="166" t="s">
        <v>2248</v>
      </c>
    </row>
    <row r="4428" spans="1:5">
      <c r="A4428" s="174">
        <f t="shared" si="61"/>
        <v>4427</v>
      </c>
      <c r="B4428" s="163">
        <v>45873</v>
      </c>
      <c r="C4428" s="164">
        <v>0.45307870370370368</v>
      </c>
      <c r="D4428" s="159">
        <v>10</v>
      </c>
      <c r="E4428" s="166" t="s">
        <v>4000</v>
      </c>
    </row>
    <row r="4429" spans="1:5">
      <c r="A4429" s="174">
        <f t="shared" si="61"/>
        <v>4428</v>
      </c>
      <c r="B4429" s="163">
        <v>45873</v>
      </c>
      <c r="C4429" s="164">
        <v>0.44246527777777778</v>
      </c>
      <c r="D4429" s="159">
        <v>10</v>
      </c>
      <c r="E4429" s="166" t="s">
        <v>4001</v>
      </c>
    </row>
    <row r="4430" spans="1:5">
      <c r="A4430" s="174">
        <f t="shared" si="61"/>
        <v>4429</v>
      </c>
      <c r="B4430" s="163">
        <v>45873</v>
      </c>
      <c r="C4430" s="164">
        <v>0.44033564814814818</v>
      </c>
      <c r="D4430" s="159">
        <v>10</v>
      </c>
      <c r="E4430" s="166" t="s">
        <v>4002</v>
      </c>
    </row>
    <row r="4431" spans="1:5">
      <c r="A4431" s="174">
        <f t="shared" si="61"/>
        <v>4430</v>
      </c>
      <c r="B4431" s="163">
        <v>45873</v>
      </c>
      <c r="C4431" s="164">
        <v>0.44017361111111114</v>
      </c>
      <c r="D4431" s="159">
        <v>10</v>
      </c>
      <c r="E4431" s="166" t="s">
        <v>4003</v>
      </c>
    </row>
    <row r="4432" spans="1:5">
      <c r="A4432" s="174">
        <f t="shared" si="61"/>
        <v>4431</v>
      </c>
      <c r="B4432" s="163">
        <v>45873</v>
      </c>
      <c r="C4432" s="164">
        <v>0.43311342592592594</v>
      </c>
      <c r="D4432" s="159">
        <v>10</v>
      </c>
      <c r="E4432" s="166" t="s">
        <v>4004</v>
      </c>
    </row>
    <row r="4433" spans="1:5">
      <c r="A4433" s="174">
        <f t="shared" si="61"/>
        <v>4432</v>
      </c>
      <c r="B4433" s="163">
        <v>45873</v>
      </c>
      <c r="C4433" s="164">
        <v>0.43239583333333331</v>
      </c>
      <c r="D4433" s="159">
        <v>10</v>
      </c>
      <c r="E4433" s="166" t="s">
        <v>4005</v>
      </c>
    </row>
    <row r="4434" spans="1:5">
      <c r="A4434" s="174">
        <f t="shared" si="61"/>
        <v>4433</v>
      </c>
      <c r="B4434" s="163">
        <v>45873</v>
      </c>
      <c r="C4434" s="164">
        <v>0.42399305555555555</v>
      </c>
      <c r="D4434" s="159">
        <v>10</v>
      </c>
      <c r="E4434" s="166" t="s">
        <v>4006</v>
      </c>
    </row>
    <row r="4435" spans="1:5">
      <c r="A4435" s="174">
        <f t="shared" si="61"/>
        <v>4434</v>
      </c>
      <c r="B4435" s="163">
        <v>45873</v>
      </c>
      <c r="C4435" s="164">
        <v>0.42393518518518519</v>
      </c>
      <c r="D4435" s="159">
        <v>10</v>
      </c>
      <c r="E4435" s="166" t="s">
        <v>4007</v>
      </c>
    </row>
    <row r="4436" spans="1:5">
      <c r="A4436" s="174">
        <f t="shared" si="61"/>
        <v>4435</v>
      </c>
      <c r="B4436" s="163">
        <v>45873</v>
      </c>
      <c r="C4436" s="164">
        <v>0.42311342592592593</v>
      </c>
      <c r="D4436" s="159">
        <v>10</v>
      </c>
      <c r="E4436" s="166" t="s">
        <v>1747</v>
      </c>
    </row>
    <row r="4437" spans="1:5">
      <c r="A4437" s="174">
        <f t="shared" si="61"/>
        <v>4436</v>
      </c>
      <c r="B4437" s="163">
        <v>45873</v>
      </c>
      <c r="C4437" s="164">
        <v>0.42054398148148148</v>
      </c>
      <c r="D4437" s="159">
        <v>10</v>
      </c>
      <c r="E4437" s="166" t="s">
        <v>3983</v>
      </c>
    </row>
    <row r="4438" spans="1:5">
      <c r="A4438" s="174">
        <f t="shared" si="61"/>
        <v>4437</v>
      </c>
      <c r="B4438" s="163">
        <v>45873</v>
      </c>
      <c r="C4438" s="164">
        <v>0.39700231481481479</v>
      </c>
      <c r="D4438" s="159">
        <v>10</v>
      </c>
      <c r="E4438" s="166" t="s">
        <v>4008</v>
      </c>
    </row>
    <row r="4439" spans="1:5">
      <c r="A4439" s="174">
        <f t="shared" si="61"/>
        <v>4438</v>
      </c>
      <c r="B4439" s="163">
        <v>45873</v>
      </c>
      <c r="C4439" s="164">
        <v>0.3815162037037037</v>
      </c>
      <c r="D4439" s="159">
        <v>10</v>
      </c>
      <c r="E4439" s="166" t="s">
        <v>4009</v>
      </c>
    </row>
    <row r="4440" spans="1:5" ht="27">
      <c r="A4440" s="174">
        <f t="shared" si="61"/>
        <v>4439</v>
      </c>
      <c r="B4440" s="163">
        <v>45874</v>
      </c>
      <c r="C4440" s="164">
        <v>0.88268518518518524</v>
      </c>
      <c r="D4440" s="159">
        <v>10</v>
      </c>
      <c r="E4440" s="166" t="s">
        <v>4143</v>
      </c>
    </row>
    <row r="4441" spans="1:5">
      <c r="A4441" s="174">
        <f t="shared" si="61"/>
        <v>4440</v>
      </c>
      <c r="B4441" s="163">
        <v>45874</v>
      </c>
      <c r="C4441" s="164">
        <v>0.82434027777777785</v>
      </c>
      <c r="D4441" s="159">
        <v>10</v>
      </c>
      <c r="E4441" s="166" t="s">
        <v>4144</v>
      </c>
    </row>
    <row r="4442" spans="1:5">
      <c r="A4442" s="174">
        <f t="shared" si="61"/>
        <v>4441</v>
      </c>
      <c r="B4442" s="163">
        <v>45874</v>
      </c>
      <c r="C4442" s="164">
        <v>0.80268518518518517</v>
      </c>
      <c r="D4442" s="159">
        <v>10</v>
      </c>
      <c r="E4442" s="166" t="s">
        <v>4145</v>
      </c>
    </row>
    <row r="4443" spans="1:5">
      <c r="A4443" s="174">
        <f t="shared" si="61"/>
        <v>4442</v>
      </c>
      <c r="B4443" s="163">
        <v>45874</v>
      </c>
      <c r="C4443" s="164">
        <v>0.79273148148148154</v>
      </c>
      <c r="D4443" s="159">
        <v>10</v>
      </c>
      <c r="E4443" s="166" t="s">
        <v>246</v>
      </c>
    </row>
    <row r="4444" spans="1:5">
      <c r="A4444" s="174">
        <f t="shared" si="61"/>
        <v>4443</v>
      </c>
      <c r="B4444" s="163">
        <v>45874</v>
      </c>
      <c r="C4444" s="164">
        <v>0.74501157407407403</v>
      </c>
      <c r="D4444" s="159">
        <v>10</v>
      </c>
      <c r="E4444" s="166" t="s">
        <v>4146</v>
      </c>
    </row>
    <row r="4445" spans="1:5">
      <c r="A4445" s="174">
        <f t="shared" si="61"/>
        <v>4444</v>
      </c>
      <c r="B4445" s="163">
        <v>45874</v>
      </c>
      <c r="C4445" s="164">
        <v>0.73531250000000004</v>
      </c>
      <c r="D4445" s="159">
        <v>10</v>
      </c>
      <c r="E4445" s="166" t="s">
        <v>4147</v>
      </c>
    </row>
    <row r="4446" spans="1:5">
      <c r="A4446" s="174">
        <f t="shared" si="61"/>
        <v>4445</v>
      </c>
      <c r="B4446" s="163">
        <v>45874</v>
      </c>
      <c r="C4446" s="164">
        <v>0.72466435185185185</v>
      </c>
      <c r="D4446" s="159">
        <v>10</v>
      </c>
      <c r="E4446" s="166" t="s">
        <v>346</v>
      </c>
    </row>
    <row r="4447" spans="1:5">
      <c r="A4447" s="174">
        <f t="shared" si="61"/>
        <v>4446</v>
      </c>
      <c r="B4447" s="163">
        <v>45874</v>
      </c>
      <c r="C4447" s="164">
        <v>0.7013194444444445</v>
      </c>
      <c r="D4447" s="159">
        <v>10</v>
      </c>
      <c r="E4447" s="166" t="s">
        <v>4148</v>
      </c>
    </row>
    <row r="4448" spans="1:5">
      <c r="A4448" s="174">
        <f t="shared" si="61"/>
        <v>4447</v>
      </c>
      <c r="B4448" s="163">
        <v>45874</v>
      </c>
      <c r="C4448" s="164">
        <v>0.68677083333333344</v>
      </c>
      <c r="D4448" s="159">
        <v>10</v>
      </c>
      <c r="E4448" s="166" t="s">
        <v>4149</v>
      </c>
    </row>
    <row r="4449" spans="1:5">
      <c r="A4449" s="174">
        <f t="shared" si="61"/>
        <v>4448</v>
      </c>
      <c r="B4449" s="163">
        <v>45874</v>
      </c>
      <c r="C4449" s="164">
        <v>0.68334490740740739</v>
      </c>
      <c r="D4449" s="159">
        <v>10</v>
      </c>
      <c r="E4449" s="166" t="s">
        <v>4150</v>
      </c>
    </row>
    <row r="4450" spans="1:5">
      <c r="A4450" s="174">
        <f t="shared" si="61"/>
        <v>4449</v>
      </c>
      <c r="B4450" s="163">
        <v>45874</v>
      </c>
      <c r="C4450" s="164">
        <v>0.68204861111111104</v>
      </c>
      <c r="D4450" s="159">
        <v>10</v>
      </c>
      <c r="E4450" s="166" t="s">
        <v>179</v>
      </c>
    </row>
    <row r="4451" spans="1:5">
      <c r="A4451" s="174">
        <f t="shared" si="61"/>
        <v>4450</v>
      </c>
      <c r="B4451" s="163">
        <v>45874</v>
      </c>
      <c r="C4451" s="164">
        <v>0.68137731481481489</v>
      </c>
      <c r="D4451" s="159">
        <v>10</v>
      </c>
      <c r="E4451" s="166" t="s">
        <v>4151</v>
      </c>
    </row>
    <row r="4452" spans="1:5">
      <c r="A4452" s="174">
        <f t="shared" si="61"/>
        <v>4451</v>
      </c>
      <c r="B4452" s="163">
        <v>45874</v>
      </c>
      <c r="C4452" s="164">
        <v>0.67648148148148157</v>
      </c>
      <c r="D4452" s="159">
        <v>10</v>
      </c>
      <c r="E4452" s="166" t="s">
        <v>4152</v>
      </c>
    </row>
    <row r="4453" spans="1:5">
      <c r="A4453" s="174">
        <f t="shared" si="61"/>
        <v>4452</v>
      </c>
      <c r="B4453" s="163">
        <v>45874</v>
      </c>
      <c r="C4453" s="164">
        <v>0.6708101851851852</v>
      </c>
      <c r="D4453" s="159">
        <v>10</v>
      </c>
      <c r="E4453" s="166" t="s">
        <v>4144</v>
      </c>
    </row>
    <row r="4454" spans="1:5">
      <c r="A4454" s="174">
        <f t="shared" si="61"/>
        <v>4453</v>
      </c>
      <c r="B4454" s="163">
        <v>45874</v>
      </c>
      <c r="C4454" s="164">
        <v>0.66304398148148147</v>
      </c>
      <c r="D4454" s="159">
        <v>10</v>
      </c>
      <c r="E4454" s="166" t="s">
        <v>4153</v>
      </c>
    </row>
    <row r="4455" spans="1:5">
      <c r="A4455" s="174">
        <f t="shared" si="61"/>
        <v>4454</v>
      </c>
      <c r="B4455" s="163">
        <v>45874</v>
      </c>
      <c r="C4455" s="164">
        <v>0.65909722222222222</v>
      </c>
      <c r="D4455" s="159">
        <v>10</v>
      </c>
      <c r="E4455" s="166" t="s">
        <v>4154</v>
      </c>
    </row>
    <row r="4456" spans="1:5">
      <c r="A4456" s="174">
        <f t="shared" si="61"/>
        <v>4455</v>
      </c>
      <c r="B4456" s="163">
        <v>45874</v>
      </c>
      <c r="C4456" s="164">
        <v>0.65966435185185179</v>
      </c>
      <c r="D4456" s="159">
        <v>10</v>
      </c>
      <c r="E4456" s="166" t="s">
        <v>4155</v>
      </c>
    </row>
    <row r="4457" spans="1:5">
      <c r="A4457" s="174">
        <f t="shared" si="61"/>
        <v>4456</v>
      </c>
      <c r="B4457" s="163">
        <v>45874</v>
      </c>
      <c r="C4457" s="164">
        <v>0.65628472222222223</v>
      </c>
      <c r="D4457" s="159">
        <v>10</v>
      </c>
      <c r="E4457" s="166" t="s">
        <v>4156</v>
      </c>
    </row>
    <row r="4458" spans="1:5">
      <c r="A4458" s="174">
        <f t="shared" si="61"/>
        <v>4457</v>
      </c>
      <c r="B4458" s="163">
        <v>45874</v>
      </c>
      <c r="C4458" s="164">
        <v>0.65283564814814821</v>
      </c>
      <c r="D4458" s="159">
        <v>10</v>
      </c>
      <c r="E4458" s="166" t="s">
        <v>4157</v>
      </c>
    </row>
    <row r="4459" spans="1:5">
      <c r="A4459" s="174">
        <f t="shared" si="61"/>
        <v>4458</v>
      </c>
      <c r="B4459" s="163">
        <v>45874</v>
      </c>
      <c r="C4459" s="164">
        <v>0.6463078703703703</v>
      </c>
      <c r="D4459" s="159">
        <v>10</v>
      </c>
      <c r="E4459" s="166" t="s">
        <v>4158</v>
      </c>
    </row>
    <row r="4460" spans="1:5">
      <c r="A4460" s="174">
        <f t="shared" si="61"/>
        <v>4459</v>
      </c>
      <c r="B4460" s="163">
        <v>45874</v>
      </c>
      <c r="C4460" s="164">
        <v>0.63641203703703708</v>
      </c>
      <c r="D4460" s="159">
        <v>10</v>
      </c>
      <c r="E4460" s="166" t="s">
        <v>4159</v>
      </c>
    </row>
    <row r="4461" spans="1:5">
      <c r="A4461" s="174">
        <f t="shared" si="61"/>
        <v>4460</v>
      </c>
      <c r="B4461" s="163">
        <v>45874</v>
      </c>
      <c r="C4461" s="164">
        <v>0.63465277777777784</v>
      </c>
      <c r="D4461" s="159">
        <v>10</v>
      </c>
      <c r="E4461" s="166" t="s">
        <v>179</v>
      </c>
    </row>
    <row r="4462" spans="1:5">
      <c r="A4462" s="174">
        <f t="shared" si="61"/>
        <v>4461</v>
      </c>
      <c r="B4462" s="163">
        <v>45874</v>
      </c>
      <c r="C4462" s="164">
        <v>0.61413194444444441</v>
      </c>
      <c r="D4462" s="159">
        <v>10</v>
      </c>
      <c r="E4462" s="166" t="s">
        <v>4160</v>
      </c>
    </row>
    <row r="4463" spans="1:5">
      <c r="A4463" s="174">
        <f t="shared" si="61"/>
        <v>4462</v>
      </c>
      <c r="B4463" s="163">
        <v>45874</v>
      </c>
      <c r="C4463" s="164">
        <v>0.60663194444444446</v>
      </c>
      <c r="D4463" s="159">
        <v>10</v>
      </c>
      <c r="E4463" s="166" t="s">
        <v>4161</v>
      </c>
    </row>
    <row r="4464" spans="1:5" ht="27">
      <c r="A4464" s="174">
        <f t="shared" si="61"/>
        <v>4463</v>
      </c>
      <c r="B4464" s="163">
        <v>45874</v>
      </c>
      <c r="C4464" s="164">
        <v>0.60420138888888886</v>
      </c>
      <c r="D4464" s="159">
        <v>10</v>
      </c>
      <c r="E4464" s="166" t="s">
        <v>4162</v>
      </c>
    </row>
    <row r="4465" spans="1:5">
      <c r="A4465" s="174">
        <f t="shared" si="61"/>
        <v>4464</v>
      </c>
      <c r="B4465" s="163">
        <v>45874</v>
      </c>
      <c r="C4465" s="164">
        <v>0.60277777777777775</v>
      </c>
      <c r="D4465" s="159">
        <v>10</v>
      </c>
      <c r="E4465" s="166" t="s">
        <v>4163</v>
      </c>
    </row>
    <row r="4466" spans="1:5">
      <c r="A4466" s="174">
        <f t="shared" si="61"/>
        <v>4465</v>
      </c>
      <c r="B4466" s="163">
        <v>45874</v>
      </c>
      <c r="C4466" s="164">
        <v>0.60065972222222219</v>
      </c>
      <c r="D4466" s="159">
        <v>10</v>
      </c>
      <c r="E4466" s="166" t="s">
        <v>4164</v>
      </c>
    </row>
    <row r="4467" spans="1:5">
      <c r="A4467" s="174">
        <f t="shared" si="61"/>
        <v>4466</v>
      </c>
      <c r="B4467" s="163">
        <v>45874</v>
      </c>
      <c r="C4467" s="164">
        <v>0.59</v>
      </c>
      <c r="D4467" s="159">
        <v>10</v>
      </c>
      <c r="E4467" s="166" t="s">
        <v>4165</v>
      </c>
    </row>
    <row r="4468" spans="1:5">
      <c r="A4468" s="174">
        <f t="shared" si="61"/>
        <v>4467</v>
      </c>
      <c r="B4468" s="163">
        <v>45874</v>
      </c>
      <c r="C4468" s="164">
        <v>0.58918981481481481</v>
      </c>
      <c r="D4468" s="159">
        <v>10</v>
      </c>
      <c r="E4468" s="166" t="s">
        <v>4166</v>
      </c>
    </row>
    <row r="4469" spans="1:5">
      <c r="A4469" s="174">
        <f t="shared" ref="A4469:A4532" si="62">ROW()-1</f>
        <v>4468</v>
      </c>
      <c r="B4469" s="163">
        <v>45874</v>
      </c>
      <c r="C4469" s="164">
        <v>0.58606481481481476</v>
      </c>
      <c r="D4469" s="159">
        <v>10</v>
      </c>
      <c r="E4469" s="166" t="s">
        <v>4167</v>
      </c>
    </row>
    <row r="4470" spans="1:5">
      <c r="A4470" s="174">
        <f t="shared" si="62"/>
        <v>4469</v>
      </c>
      <c r="B4470" s="163">
        <v>45874</v>
      </c>
      <c r="C4470" s="164">
        <v>0.58607638888888891</v>
      </c>
      <c r="D4470" s="159">
        <v>10</v>
      </c>
      <c r="E4470" s="166" t="s">
        <v>4168</v>
      </c>
    </row>
    <row r="4471" spans="1:5">
      <c r="A4471" s="174">
        <f t="shared" si="62"/>
        <v>4470</v>
      </c>
      <c r="B4471" s="163">
        <v>45874</v>
      </c>
      <c r="C4471" s="164">
        <v>0.58127314814814812</v>
      </c>
      <c r="D4471" s="159">
        <v>10</v>
      </c>
      <c r="E4471" s="166" t="s">
        <v>291</v>
      </c>
    </row>
    <row r="4472" spans="1:5">
      <c r="A4472" s="174">
        <f t="shared" si="62"/>
        <v>4471</v>
      </c>
      <c r="B4472" s="163">
        <v>45874</v>
      </c>
      <c r="C4472" s="164">
        <v>0.5759953703703703</v>
      </c>
      <c r="D4472" s="159">
        <v>7</v>
      </c>
      <c r="E4472" s="166" t="s">
        <v>4169</v>
      </c>
    </row>
    <row r="4473" spans="1:5">
      <c r="A4473" s="174">
        <f t="shared" si="62"/>
        <v>4472</v>
      </c>
      <c r="B4473" s="163">
        <v>45874</v>
      </c>
      <c r="C4473" s="164">
        <v>0.56891203703703697</v>
      </c>
      <c r="D4473" s="159">
        <v>10</v>
      </c>
      <c r="E4473" s="166" t="s">
        <v>4170</v>
      </c>
    </row>
    <row r="4474" spans="1:5">
      <c r="A4474" s="174">
        <f t="shared" si="62"/>
        <v>4473</v>
      </c>
      <c r="B4474" s="163">
        <v>45874</v>
      </c>
      <c r="C4474" s="164">
        <v>0.56802083333333331</v>
      </c>
      <c r="D4474" s="159">
        <v>10</v>
      </c>
      <c r="E4474" s="166" t="s">
        <v>4171</v>
      </c>
    </row>
    <row r="4475" spans="1:5">
      <c r="A4475" s="174">
        <f t="shared" si="62"/>
        <v>4474</v>
      </c>
      <c r="B4475" s="163">
        <v>45874</v>
      </c>
      <c r="C4475" s="164">
        <v>0.56684027777777779</v>
      </c>
      <c r="D4475" s="159">
        <v>8</v>
      </c>
      <c r="E4475" s="166" t="s">
        <v>4172</v>
      </c>
    </row>
    <row r="4476" spans="1:5">
      <c r="A4476" s="174">
        <f t="shared" si="62"/>
        <v>4475</v>
      </c>
      <c r="B4476" s="163">
        <v>45874</v>
      </c>
      <c r="C4476" s="164">
        <v>0.55388888888888888</v>
      </c>
      <c r="D4476" s="159">
        <v>10</v>
      </c>
      <c r="E4476" s="166" t="s">
        <v>4173</v>
      </c>
    </row>
    <row r="4477" spans="1:5">
      <c r="A4477" s="174">
        <f t="shared" si="62"/>
        <v>4476</v>
      </c>
      <c r="B4477" s="163">
        <v>45874</v>
      </c>
      <c r="C4477" s="164">
        <v>0.55408564814814809</v>
      </c>
      <c r="D4477" s="159">
        <v>10</v>
      </c>
      <c r="E4477" s="166" t="s">
        <v>4174</v>
      </c>
    </row>
    <row r="4478" spans="1:5">
      <c r="A4478" s="174">
        <f t="shared" si="62"/>
        <v>4477</v>
      </c>
      <c r="B4478" s="163">
        <v>45874</v>
      </c>
      <c r="C4478" s="164">
        <v>0.54050925925925919</v>
      </c>
      <c r="D4478" s="159">
        <v>10</v>
      </c>
      <c r="E4478" s="166" t="s">
        <v>4175</v>
      </c>
    </row>
    <row r="4479" spans="1:5">
      <c r="A4479" s="174">
        <f t="shared" si="62"/>
        <v>4478</v>
      </c>
      <c r="B4479" s="163">
        <v>45874</v>
      </c>
      <c r="C4479" s="164">
        <v>0.52695601851851859</v>
      </c>
      <c r="D4479" s="159">
        <v>10</v>
      </c>
      <c r="E4479" s="166" t="s">
        <v>4176</v>
      </c>
    </row>
    <row r="4480" spans="1:5">
      <c r="A4480" s="174">
        <f t="shared" si="62"/>
        <v>4479</v>
      </c>
      <c r="B4480" s="163">
        <v>45874</v>
      </c>
      <c r="C4480" s="164">
        <v>0.49055555555555558</v>
      </c>
      <c r="D4480" s="159">
        <v>10</v>
      </c>
      <c r="E4480" s="166" t="s">
        <v>4177</v>
      </c>
    </row>
    <row r="4481" spans="1:5">
      <c r="A4481" s="174">
        <f t="shared" si="62"/>
        <v>4480</v>
      </c>
      <c r="B4481" s="163">
        <v>45874</v>
      </c>
      <c r="C4481" s="164">
        <v>0.48206018518518517</v>
      </c>
      <c r="D4481" s="159">
        <v>10</v>
      </c>
      <c r="E4481" s="166" t="s">
        <v>4178</v>
      </c>
    </row>
    <row r="4482" spans="1:5">
      <c r="A4482" s="174">
        <f t="shared" si="62"/>
        <v>4481</v>
      </c>
      <c r="B4482" s="163">
        <v>45874</v>
      </c>
      <c r="C4482" s="164">
        <v>0.47589120370370369</v>
      </c>
      <c r="D4482" s="159">
        <v>10</v>
      </c>
      <c r="E4482" s="166" t="s">
        <v>4179</v>
      </c>
    </row>
    <row r="4483" spans="1:5">
      <c r="A4483" s="174">
        <f t="shared" si="62"/>
        <v>4482</v>
      </c>
      <c r="B4483" s="163">
        <v>45874</v>
      </c>
      <c r="C4483" s="164">
        <v>0.46107638888888891</v>
      </c>
      <c r="D4483" s="159">
        <v>10</v>
      </c>
      <c r="E4483" s="166" t="s">
        <v>4180</v>
      </c>
    </row>
    <row r="4484" spans="1:5">
      <c r="A4484" s="174">
        <f t="shared" si="62"/>
        <v>4483</v>
      </c>
      <c r="B4484" s="163">
        <v>45874</v>
      </c>
      <c r="C4484" s="164">
        <v>0.45969907407407407</v>
      </c>
      <c r="D4484" s="159">
        <v>10</v>
      </c>
      <c r="E4484" s="166" t="s">
        <v>4181</v>
      </c>
    </row>
    <row r="4485" spans="1:5">
      <c r="A4485" s="174">
        <f t="shared" si="62"/>
        <v>4484</v>
      </c>
      <c r="B4485" s="163">
        <v>45874</v>
      </c>
      <c r="C4485" s="164">
        <v>0.44671296296296298</v>
      </c>
      <c r="D4485" s="159">
        <v>10</v>
      </c>
      <c r="E4485" s="166" t="s">
        <v>4182</v>
      </c>
    </row>
    <row r="4486" spans="1:5">
      <c r="A4486" s="174">
        <f t="shared" si="62"/>
        <v>4485</v>
      </c>
      <c r="B4486" s="163">
        <v>45874</v>
      </c>
      <c r="C4486" s="164">
        <v>0.40608796296296296</v>
      </c>
      <c r="D4486" s="159">
        <v>9</v>
      </c>
      <c r="E4486" s="166" t="s">
        <v>3675</v>
      </c>
    </row>
    <row r="4487" spans="1:5">
      <c r="A4487" s="174">
        <f t="shared" si="62"/>
        <v>4486</v>
      </c>
      <c r="B4487" s="163">
        <v>45874</v>
      </c>
      <c r="C4487" s="164">
        <v>0.40491898148148148</v>
      </c>
      <c r="D4487" s="159">
        <v>10</v>
      </c>
      <c r="E4487" s="166" t="s">
        <v>4183</v>
      </c>
    </row>
    <row r="4488" spans="1:5">
      <c r="A4488" s="174">
        <f t="shared" si="62"/>
        <v>4487</v>
      </c>
      <c r="B4488" s="163">
        <v>45874</v>
      </c>
      <c r="C4488" s="164">
        <v>0.38576388888888885</v>
      </c>
      <c r="D4488" s="159">
        <v>10</v>
      </c>
      <c r="E4488" s="166" t="s">
        <v>4184</v>
      </c>
    </row>
    <row r="4489" spans="1:5">
      <c r="A4489" s="174">
        <f t="shared" si="62"/>
        <v>4488</v>
      </c>
      <c r="B4489" s="163">
        <v>45874</v>
      </c>
      <c r="C4489" s="164">
        <v>0.38581018518518517</v>
      </c>
      <c r="D4489" s="159">
        <v>10</v>
      </c>
      <c r="E4489" s="166" t="s">
        <v>4185</v>
      </c>
    </row>
    <row r="4490" spans="1:5">
      <c r="A4490" s="174">
        <f t="shared" si="62"/>
        <v>4489</v>
      </c>
      <c r="B4490" s="163">
        <v>45875</v>
      </c>
      <c r="C4490" s="164">
        <v>0.90638888888888891</v>
      </c>
      <c r="D4490" s="159">
        <v>10</v>
      </c>
      <c r="E4490" s="166" t="s">
        <v>4108</v>
      </c>
    </row>
    <row r="4491" spans="1:5">
      <c r="A4491" s="174">
        <f t="shared" si="62"/>
        <v>4490</v>
      </c>
      <c r="B4491" s="163">
        <v>45875</v>
      </c>
      <c r="C4491" s="164">
        <v>0.90331018518518524</v>
      </c>
      <c r="D4491" s="159">
        <v>10</v>
      </c>
      <c r="E4491" s="166" t="s">
        <v>4109</v>
      </c>
    </row>
    <row r="4492" spans="1:5">
      <c r="A4492" s="174">
        <f t="shared" si="62"/>
        <v>4491</v>
      </c>
      <c r="B4492" s="163">
        <v>45875</v>
      </c>
      <c r="C4492" s="164">
        <v>0.89159722222222226</v>
      </c>
      <c r="D4492" s="159">
        <v>10</v>
      </c>
      <c r="E4492" s="166" t="s">
        <v>4110</v>
      </c>
    </row>
    <row r="4493" spans="1:5">
      <c r="A4493" s="174">
        <f t="shared" si="62"/>
        <v>4492</v>
      </c>
      <c r="B4493" s="163">
        <v>45875</v>
      </c>
      <c r="C4493" s="164">
        <v>0.84232638888888889</v>
      </c>
      <c r="D4493" s="159">
        <v>10</v>
      </c>
      <c r="E4493" s="166" t="s">
        <v>418</v>
      </c>
    </row>
    <row r="4494" spans="1:5">
      <c r="A4494" s="174">
        <f t="shared" si="62"/>
        <v>4493</v>
      </c>
      <c r="B4494" s="163">
        <v>45875</v>
      </c>
      <c r="C4494" s="164">
        <v>0.81723379629629633</v>
      </c>
      <c r="D4494" s="159">
        <v>10</v>
      </c>
      <c r="E4494" s="166" t="s">
        <v>4111</v>
      </c>
    </row>
    <row r="4495" spans="1:5" ht="27">
      <c r="A4495" s="174">
        <f t="shared" si="62"/>
        <v>4494</v>
      </c>
      <c r="B4495" s="163">
        <v>45875</v>
      </c>
      <c r="C4495" s="164">
        <v>0.81706018518518519</v>
      </c>
      <c r="D4495" s="159">
        <v>10</v>
      </c>
      <c r="E4495" s="166" t="s">
        <v>4112</v>
      </c>
    </row>
    <row r="4496" spans="1:5">
      <c r="A4496" s="174">
        <f t="shared" si="62"/>
        <v>4495</v>
      </c>
      <c r="B4496" s="163">
        <v>45875</v>
      </c>
      <c r="C4496" s="164">
        <v>0.79554398148148142</v>
      </c>
      <c r="D4496" s="159">
        <v>10</v>
      </c>
      <c r="E4496" s="166" t="s">
        <v>4113</v>
      </c>
    </row>
    <row r="4497" spans="1:5">
      <c r="A4497" s="174">
        <f t="shared" si="62"/>
        <v>4496</v>
      </c>
      <c r="B4497" s="163">
        <v>45875</v>
      </c>
      <c r="C4497" s="164">
        <v>0.75386574074074064</v>
      </c>
      <c r="D4497" s="159">
        <v>10</v>
      </c>
      <c r="E4497" s="166" t="s">
        <v>4114</v>
      </c>
    </row>
    <row r="4498" spans="1:5">
      <c r="A4498" s="174">
        <f t="shared" si="62"/>
        <v>4497</v>
      </c>
      <c r="B4498" s="163">
        <v>45875</v>
      </c>
      <c r="C4498" s="164">
        <v>0.74034722222222227</v>
      </c>
      <c r="D4498" s="159">
        <v>10</v>
      </c>
      <c r="E4498" s="166" t="s">
        <v>4115</v>
      </c>
    </row>
    <row r="4499" spans="1:5">
      <c r="A4499" s="174">
        <f t="shared" si="62"/>
        <v>4498</v>
      </c>
      <c r="B4499" s="163">
        <v>45875</v>
      </c>
      <c r="C4499" s="164">
        <v>0.73662037037037031</v>
      </c>
      <c r="D4499" s="159">
        <v>10</v>
      </c>
      <c r="E4499" s="166" t="s">
        <v>4116</v>
      </c>
    </row>
    <row r="4500" spans="1:5">
      <c r="A4500" s="174">
        <f t="shared" si="62"/>
        <v>4499</v>
      </c>
      <c r="B4500" s="163">
        <v>45875</v>
      </c>
      <c r="C4500" s="164">
        <v>0.72881944444444446</v>
      </c>
      <c r="D4500" s="159">
        <v>10</v>
      </c>
      <c r="E4500" s="166" t="s">
        <v>3227</v>
      </c>
    </row>
    <row r="4501" spans="1:5">
      <c r="A4501" s="174">
        <f t="shared" si="62"/>
        <v>4500</v>
      </c>
      <c r="B4501" s="163">
        <v>45875</v>
      </c>
      <c r="C4501" s="164">
        <v>0.71784722222222219</v>
      </c>
      <c r="D4501" s="159">
        <v>10</v>
      </c>
      <c r="E4501" s="166" t="s">
        <v>313</v>
      </c>
    </row>
    <row r="4502" spans="1:5">
      <c r="A4502" s="174">
        <f t="shared" si="62"/>
        <v>4501</v>
      </c>
      <c r="B4502" s="163">
        <v>45875</v>
      </c>
      <c r="C4502" s="164">
        <v>0.70694444444444438</v>
      </c>
      <c r="D4502" s="159">
        <v>10</v>
      </c>
      <c r="E4502" s="166" t="s">
        <v>4117</v>
      </c>
    </row>
    <row r="4503" spans="1:5">
      <c r="A4503" s="174">
        <f t="shared" si="62"/>
        <v>4502</v>
      </c>
      <c r="B4503" s="163">
        <v>45875</v>
      </c>
      <c r="C4503" s="164">
        <v>0.70663194444444455</v>
      </c>
      <c r="D4503" s="159">
        <v>10</v>
      </c>
      <c r="E4503" s="166" t="s">
        <v>4118</v>
      </c>
    </row>
    <row r="4504" spans="1:5">
      <c r="A4504" s="174">
        <f t="shared" si="62"/>
        <v>4503</v>
      </c>
      <c r="B4504" s="163">
        <v>45875</v>
      </c>
      <c r="C4504" s="164">
        <v>0.68556712962962962</v>
      </c>
      <c r="D4504" s="159">
        <v>10</v>
      </c>
      <c r="E4504" s="166" t="s">
        <v>4119</v>
      </c>
    </row>
    <row r="4505" spans="1:5">
      <c r="A4505" s="174">
        <f t="shared" si="62"/>
        <v>4504</v>
      </c>
      <c r="B4505" s="163">
        <v>45875</v>
      </c>
      <c r="C4505" s="164">
        <v>0.68262731481481476</v>
      </c>
      <c r="D4505" s="159">
        <v>10</v>
      </c>
      <c r="E4505" s="166" t="s">
        <v>4120</v>
      </c>
    </row>
    <row r="4506" spans="1:5">
      <c r="A4506" s="174">
        <f t="shared" si="62"/>
        <v>4505</v>
      </c>
      <c r="B4506" s="163">
        <v>45875</v>
      </c>
      <c r="C4506" s="164">
        <v>0.67216435185185175</v>
      </c>
      <c r="D4506" s="159">
        <v>10</v>
      </c>
      <c r="E4506" s="166" t="s">
        <v>4121</v>
      </c>
    </row>
    <row r="4507" spans="1:5">
      <c r="A4507" s="174">
        <f t="shared" si="62"/>
        <v>4506</v>
      </c>
      <c r="B4507" s="163">
        <v>45875</v>
      </c>
      <c r="C4507" s="164">
        <v>0.66956018518518512</v>
      </c>
      <c r="D4507" s="159">
        <v>10</v>
      </c>
      <c r="E4507" s="166" t="s">
        <v>4122</v>
      </c>
    </row>
    <row r="4508" spans="1:5">
      <c r="A4508" s="174">
        <f t="shared" si="62"/>
        <v>4507</v>
      </c>
      <c r="B4508" s="163">
        <v>45875</v>
      </c>
      <c r="C4508" s="164">
        <v>0.65460648148148148</v>
      </c>
      <c r="D4508" s="159">
        <v>10</v>
      </c>
      <c r="E4508" s="166" t="s">
        <v>4123</v>
      </c>
    </row>
    <row r="4509" spans="1:5">
      <c r="A4509" s="174">
        <f t="shared" si="62"/>
        <v>4508</v>
      </c>
      <c r="B4509" s="163">
        <v>45875</v>
      </c>
      <c r="C4509" s="164">
        <v>0.63975694444444442</v>
      </c>
      <c r="D4509" s="159">
        <v>10</v>
      </c>
      <c r="E4509" s="166" t="s">
        <v>4124</v>
      </c>
    </row>
    <row r="4510" spans="1:5">
      <c r="A4510" s="174">
        <f t="shared" si="62"/>
        <v>4509</v>
      </c>
      <c r="B4510" s="163">
        <v>45875</v>
      </c>
      <c r="C4510" s="164">
        <v>0.62883101851851853</v>
      </c>
      <c r="D4510" s="159">
        <v>10</v>
      </c>
      <c r="E4510" s="166" t="s">
        <v>406</v>
      </c>
    </row>
    <row r="4511" spans="1:5">
      <c r="A4511" s="174">
        <f t="shared" si="62"/>
        <v>4510</v>
      </c>
      <c r="B4511" s="163">
        <v>45875</v>
      </c>
      <c r="C4511" s="164">
        <v>0.61406250000000007</v>
      </c>
      <c r="D4511" s="159">
        <v>10</v>
      </c>
      <c r="E4511" s="166" t="s">
        <v>4125</v>
      </c>
    </row>
    <row r="4512" spans="1:5">
      <c r="A4512" s="174">
        <f t="shared" si="62"/>
        <v>4511</v>
      </c>
      <c r="B4512" s="163">
        <v>45875</v>
      </c>
      <c r="C4512" s="164">
        <v>0.61145833333333333</v>
      </c>
      <c r="D4512" s="159">
        <v>10</v>
      </c>
      <c r="E4512" s="166" t="s">
        <v>4126</v>
      </c>
    </row>
    <row r="4513" spans="1:5" ht="27">
      <c r="A4513" s="174">
        <f t="shared" si="62"/>
        <v>4512</v>
      </c>
      <c r="B4513" s="163">
        <v>45875</v>
      </c>
      <c r="C4513" s="164">
        <v>0.60629629629629633</v>
      </c>
      <c r="D4513" s="159">
        <v>10</v>
      </c>
      <c r="E4513" s="166" t="s">
        <v>4127</v>
      </c>
    </row>
    <row r="4514" spans="1:5">
      <c r="A4514" s="174">
        <f t="shared" si="62"/>
        <v>4513</v>
      </c>
      <c r="B4514" s="163">
        <v>45875</v>
      </c>
      <c r="C4514" s="164">
        <v>0.60177083333333337</v>
      </c>
      <c r="D4514" s="159">
        <v>10</v>
      </c>
      <c r="E4514" s="166" t="s">
        <v>2535</v>
      </c>
    </row>
    <row r="4515" spans="1:5">
      <c r="A4515" s="174">
        <f t="shared" si="62"/>
        <v>4514</v>
      </c>
      <c r="B4515" s="163">
        <v>45875</v>
      </c>
      <c r="C4515" s="164">
        <v>0.59834490740740742</v>
      </c>
      <c r="D4515" s="159">
        <v>10</v>
      </c>
      <c r="E4515" s="166" t="s">
        <v>4128</v>
      </c>
    </row>
    <row r="4516" spans="1:5">
      <c r="A4516" s="174">
        <f t="shared" si="62"/>
        <v>4515</v>
      </c>
      <c r="B4516" s="163">
        <v>45875</v>
      </c>
      <c r="C4516" s="164">
        <v>0.57497685185185188</v>
      </c>
      <c r="D4516" s="159">
        <v>10</v>
      </c>
      <c r="E4516" s="166" t="s">
        <v>4129</v>
      </c>
    </row>
    <row r="4517" spans="1:5" ht="27">
      <c r="A4517" s="174">
        <f t="shared" si="62"/>
        <v>4516</v>
      </c>
      <c r="B4517" s="163">
        <v>45875</v>
      </c>
      <c r="C4517" s="164">
        <v>0.5607523148148148</v>
      </c>
      <c r="D4517" s="159">
        <v>10</v>
      </c>
      <c r="E4517" s="166" t="s">
        <v>4130</v>
      </c>
    </row>
    <row r="4518" spans="1:5">
      <c r="A4518" s="174">
        <f t="shared" si="62"/>
        <v>4517</v>
      </c>
      <c r="B4518" s="163">
        <v>45875</v>
      </c>
      <c r="C4518" s="164">
        <v>0.55559027777777781</v>
      </c>
      <c r="D4518" s="159">
        <v>10</v>
      </c>
      <c r="E4518" s="166" t="s">
        <v>4131</v>
      </c>
    </row>
    <row r="4519" spans="1:5">
      <c r="A4519" s="174">
        <f t="shared" si="62"/>
        <v>4518</v>
      </c>
      <c r="B4519" s="163">
        <v>45875</v>
      </c>
      <c r="C4519" s="164">
        <v>0.5545254629629629</v>
      </c>
      <c r="D4519" s="159">
        <v>10</v>
      </c>
      <c r="E4519" s="166" t="s">
        <v>4132</v>
      </c>
    </row>
    <row r="4520" spans="1:5">
      <c r="A4520" s="174">
        <f t="shared" si="62"/>
        <v>4519</v>
      </c>
      <c r="B4520" s="163">
        <v>45875</v>
      </c>
      <c r="C4520" s="164">
        <v>0.54863425925925924</v>
      </c>
      <c r="D4520" s="159">
        <v>10</v>
      </c>
      <c r="E4520" s="166" t="s">
        <v>4133</v>
      </c>
    </row>
    <row r="4521" spans="1:5">
      <c r="A4521" s="174">
        <f t="shared" si="62"/>
        <v>4520</v>
      </c>
      <c r="B4521" s="163">
        <v>45875</v>
      </c>
      <c r="C4521" s="164">
        <v>0.47547453703703701</v>
      </c>
      <c r="D4521" s="159">
        <v>10</v>
      </c>
      <c r="E4521" s="166" t="s">
        <v>4134</v>
      </c>
    </row>
    <row r="4522" spans="1:5">
      <c r="A4522" s="174">
        <f t="shared" si="62"/>
        <v>4521</v>
      </c>
      <c r="B4522" s="163">
        <v>45875</v>
      </c>
      <c r="C4522" s="164">
        <v>0.47465277777777781</v>
      </c>
      <c r="D4522" s="159">
        <v>10</v>
      </c>
      <c r="E4522" s="166" t="s">
        <v>4135</v>
      </c>
    </row>
    <row r="4523" spans="1:5">
      <c r="A4523" s="174">
        <f t="shared" si="62"/>
        <v>4522</v>
      </c>
      <c r="B4523" s="163">
        <v>45875</v>
      </c>
      <c r="C4523" s="164">
        <v>0.46982638888888889</v>
      </c>
      <c r="D4523" s="159">
        <v>10</v>
      </c>
      <c r="E4523" s="166" t="s">
        <v>4136</v>
      </c>
    </row>
    <row r="4524" spans="1:5">
      <c r="A4524" s="174">
        <f t="shared" si="62"/>
        <v>4523</v>
      </c>
      <c r="B4524" s="163">
        <v>45875</v>
      </c>
      <c r="C4524" s="164">
        <v>0.4568402777777778</v>
      </c>
      <c r="D4524" s="159">
        <v>10</v>
      </c>
      <c r="E4524" s="166" t="s">
        <v>4137</v>
      </c>
    </row>
    <row r="4525" spans="1:5">
      <c r="A4525" s="174">
        <f t="shared" si="62"/>
        <v>4524</v>
      </c>
      <c r="B4525" s="163">
        <v>45875</v>
      </c>
      <c r="C4525" s="164">
        <v>0.45383101851851854</v>
      </c>
      <c r="D4525" s="159">
        <v>10</v>
      </c>
      <c r="E4525" s="166" t="s">
        <v>4138</v>
      </c>
    </row>
    <row r="4526" spans="1:5" ht="27">
      <c r="A4526" s="174">
        <f t="shared" si="62"/>
        <v>4525</v>
      </c>
      <c r="B4526" s="163">
        <v>45875</v>
      </c>
      <c r="C4526" s="164">
        <v>0.44446759259259255</v>
      </c>
      <c r="D4526" s="159">
        <v>10</v>
      </c>
      <c r="E4526" s="166" t="s">
        <v>4139</v>
      </c>
    </row>
    <row r="4527" spans="1:5">
      <c r="A4527" s="174">
        <f t="shared" si="62"/>
        <v>4526</v>
      </c>
      <c r="B4527" s="163">
        <v>45875</v>
      </c>
      <c r="C4527" s="164">
        <v>0.43947916666666664</v>
      </c>
      <c r="D4527" s="159">
        <v>10</v>
      </c>
      <c r="E4527" s="166" t="s">
        <v>4140</v>
      </c>
    </row>
    <row r="4528" spans="1:5">
      <c r="A4528" s="174">
        <f t="shared" si="62"/>
        <v>4527</v>
      </c>
      <c r="B4528" s="163">
        <v>45875</v>
      </c>
      <c r="C4528" s="164">
        <v>0.41988425925925926</v>
      </c>
      <c r="D4528" s="159">
        <v>10</v>
      </c>
      <c r="E4528" s="166" t="s">
        <v>4141</v>
      </c>
    </row>
    <row r="4529" spans="1:5">
      <c r="A4529" s="174">
        <f t="shared" si="62"/>
        <v>4528</v>
      </c>
      <c r="B4529" s="163">
        <v>45875</v>
      </c>
      <c r="C4529" s="164">
        <v>0.41070601851851851</v>
      </c>
      <c r="D4529" s="159">
        <v>10</v>
      </c>
      <c r="E4529" s="166" t="s">
        <v>4142</v>
      </c>
    </row>
    <row r="4530" spans="1:5">
      <c r="A4530" s="174">
        <f t="shared" si="62"/>
        <v>4529</v>
      </c>
      <c r="B4530" s="163">
        <v>45876</v>
      </c>
      <c r="C4530" s="164">
        <v>0.91033564814814805</v>
      </c>
      <c r="D4530" s="159">
        <v>1</v>
      </c>
      <c r="E4530" s="166" t="s">
        <v>4060</v>
      </c>
    </row>
    <row r="4531" spans="1:5">
      <c r="A4531" s="174">
        <f t="shared" si="62"/>
        <v>4530</v>
      </c>
      <c r="B4531" s="163">
        <v>45876</v>
      </c>
      <c r="C4531" s="164">
        <v>0.9098032407407407</v>
      </c>
      <c r="D4531" s="159">
        <v>10</v>
      </c>
      <c r="E4531" s="166" t="s">
        <v>4061</v>
      </c>
    </row>
    <row r="4532" spans="1:5">
      <c r="A4532" s="174">
        <f t="shared" si="62"/>
        <v>4531</v>
      </c>
      <c r="B4532" s="163">
        <v>45876</v>
      </c>
      <c r="C4532" s="164">
        <v>0.90586805555555561</v>
      </c>
      <c r="D4532" s="159">
        <v>10</v>
      </c>
      <c r="E4532" s="166" t="s">
        <v>4062</v>
      </c>
    </row>
    <row r="4533" spans="1:5">
      <c r="A4533" s="174">
        <f t="shared" ref="A4533:A4596" si="63">ROW()-1</f>
        <v>4532</v>
      </c>
      <c r="B4533" s="163">
        <v>45876</v>
      </c>
      <c r="C4533" s="164">
        <v>0.86350694444444442</v>
      </c>
      <c r="D4533" s="159">
        <v>10</v>
      </c>
      <c r="E4533" s="166" t="s">
        <v>4063</v>
      </c>
    </row>
    <row r="4534" spans="1:5">
      <c r="A4534" s="174">
        <f t="shared" si="63"/>
        <v>4533</v>
      </c>
      <c r="B4534" s="163">
        <v>45876</v>
      </c>
      <c r="C4534" s="164">
        <v>0.86142361111111121</v>
      </c>
      <c r="D4534" s="159">
        <v>10</v>
      </c>
      <c r="E4534" s="166" t="s">
        <v>4064</v>
      </c>
    </row>
    <row r="4535" spans="1:5">
      <c r="A4535" s="174">
        <f t="shared" si="63"/>
        <v>4534</v>
      </c>
      <c r="B4535" s="163">
        <v>45876</v>
      </c>
      <c r="C4535" s="164">
        <v>0.85333333333333339</v>
      </c>
      <c r="D4535" s="159">
        <v>10</v>
      </c>
      <c r="E4535" s="166" t="s">
        <v>4065</v>
      </c>
    </row>
    <row r="4536" spans="1:5">
      <c r="A4536" s="174">
        <f t="shared" si="63"/>
        <v>4535</v>
      </c>
      <c r="B4536" s="163">
        <v>45876</v>
      </c>
      <c r="C4536" s="164">
        <v>0.85203703703703704</v>
      </c>
      <c r="D4536" s="159">
        <v>10</v>
      </c>
      <c r="E4536" s="166" t="s">
        <v>4066</v>
      </c>
    </row>
    <row r="4537" spans="1:5">
      <c r="A4537" s="174">
        <f t="shared" si="63"/>
        <v>4536</v>
      </c>
      <c r="B4537" s="163">
        <v>45876</v>
      </c>
      <c r="C4537" s="164">
        <v>0.82708333333333339</v>
      </c>
      <c r="D4537" s="159">
        <v>10</v>
      </c>
      <c r="E4537" s="166" t="s">
        <v>4067</v>
      </c>
    </row>
    <row r="4538" spans="1:5">
      <c r="A4538" s="174">
        <f t="shared" si="63"/>
        <v>4537</v>
      </c>
      <c r="B4538" s="163">
        <v>45876</v>
      </c>
      <c r="C4538" s="164">
        <v>0.79030092592592593</v>
      </c>
      <c r="D4538" s="159">
        <v>10</v>
      </c>
      <c r="E4538" s="166" t="s">
        <v>4068</v>
      </c>
    </row>
    <row r="4539" spans="1:5">
      <c r="A4539" s="174">
        <f t="shared" si="63"/>
        <v>4538</v>
      </c>
      <c r="B4539" s="163">
        <v>45876</v>
      </c>
      <c r="C4539" s="164">
        <v>0.74729166666666658</v>
      </c>
      <c r="D4539" s="159">
        <v>10</v>
      </c>
      <c r="E4539" s="166" t="s">
        <v>4069</v>
      </c>
    </row>
    <row r="4540" spans="1:5">
      <c r="A4540" s="174">
        <f t="shared" si="63"/>
        <v>4539</v>
      </c>
      <c r="B4540" s="163">
        <v>45876</v>
      </c>
      <c r="C4540" s="164">
        <v>0.74277777777777787</v>
      </c>
      <c r="D4540" s="159">
        <v>10</v>
      </c>
      <c r="E4540" s="166" t="s">
        <v>4070</v>
      </c>
    </row>
    <row r="4541" spans="1:5">
      <c r="A4541" s="174">
        <f t="shared" si="63"/>
        <v>4540</v>
      </c>
      <c r="B4541" s="163">
        <v>45876</v>
      </c>
      <c r="C4541" s="164">
        <v>0.73968750000000005</v>
      </c>
      <c r="D4541" s="159">
        <v>10</v>
      </c>
      <c r="E4541" s="166" t="s">
        <v>4071</v>
      </c>
    </row>
    <row r="4542" spans="1:5">
      <c r="A4542" s="174">
        <f t="shared" si="63"/>
        <v>4541</v>
      </c>
      <c r="B4542" s="163">
        <v>45876</v>
      </c>
      <c r="C4542" s="164">
        <v>0.72546296296296298</v>
      </c>
      <c r="D4542" s="159">
        <v>10</v>
      </c>
      <c r="E4542" s="166" t="s">
        <v>4072</v>
      </c>
    </row>
    <row r="4543" spans="1:5">
      <c r="A4543" s="174">
        <f t="shared" si="63"/>
        <v>4542</v>
      </c>
      <c r="B4543" s="163">
        <v>45876</v>
      </c>
      <c r="C4543" s="164">
        <v>0.72446759259259252</v>
      </c>
      <c r="D4543" s="159">
        <v>10</v>
      </c>
      <c r="E4543" s="166" t="s">
        <v>4073</v>
      </c>
    </row>
    <row r="4544" spans="1:5">
      <c r="A4544" s="174">
        <f t="shared" si="63"/>
        <v>4543</v>
      </c>
      <c r="B4544" s="163">
        <v>45876</v>
      </c>
      <c r="C4544" s="164">
        <v>0.71879629629629627</v>
      </c>
      <c r="D4544" s="159">
        <v>10</v>
      </c>
      <c r="E4544" s="166" t="s">
        <v>4074</v>
      </c>
    </row>
    <row r="4545" spans="1:5">
      <c r="A4545" s="174">
        <f t="shared" si="63"/>
        <v>4544</v>
      </c>
      <c r="B4545" s="163">
        <v>45876</v>
      </c>
      <c r="C4545" s="164">
        <v>0.71483796296296298</v>
      </c>
      <c r="D4545" s="159">
        <v>10</v>
      </c>
      <c r="E4545" s="166" t="s">
        <v>4075</v>
      </c>
    </row>
    <row r="4546" spans="1:5">
      <c r="A4546" s="174">
        <f t="shared" si="63"/>
        <v>4545</v>
      </c>
      <c r="B4546" s="163">
        <v>45876</v>
      </c>
      <c r="C4546" s="164">
        <v>0.70954861111111101</v>
      </c>
      <c r="D4546" s="159">
        <v>10</v>
      </c>
      <c r="E4546" s="166" t="s">
        <v>4076</v>
      </c>
    </row>
    <row r="4547" spans="1:5">
      <c r="A4547" s="174">
        <f t="shared" si="63"/>
        <v>4546</v>
      </c>
      <c r="B4547" s="163">
        <v>45876</v>
      </c>
      <c r="C4547" s="164">
        <v>0.70903935185185185</v>
      </c>
      <c r="D4547" s="159">
        <v>10</v>
      </c>
      <c r="E4547" s="166" t="s">
        <v>4077</v>
      </c>
    </row>
    <row r="4548" spans="1:5" ht="40.5">
      <c r="A4548" s="174">
        <f t="shared" si="63"/>
        <v>4547</v>
      </c>
      <c r="B4548" s="163">
        <v>45876</v>
      </c>
      <c r="C4548" s="164">
        <v>0.69081018518518522</v>
      </c>
      <c r="D4548" s="159">
        <v>10</v>
      </c>
      <c r="E4548" s="166" t="s">
        <v>4078</v>
      </c>
    </row>
    <row r="4549" spans="1:5">
      <c r="A4549" s="174">
        <f t="shared" si="63"/>
        <v>4548</v>
      </c>
      <c r="B4549" s="163">
        <v>45876</v>
      </c>
      <c r="C4549" s="164">
        <v>0.68687500000000001</v>
      </c>
      <c r="D4549" s="159">
        <v>10</v>
      </c>
      <c r="E4549" s="166" t="s">
        <v>4079</v>
      </c>
    </row>
    <row r="4550" spans="1:5">
      <c r="A4550" s="174">
        <f t="shared" si="63"/>
        <v>4549</v>
      </c>
      <c r="B4550" s="163">
        <v>45876</v>
      </c>
      <c r="C4550" s="164">
        <v>0.68060185185185185</v>
      </c>
      <c r="D4550" s="159">
        <v>10</v>
      </c>
      <c r="E4550" s="166" t="s">
        <v>4080</v>
      </c>
    </row>
    <row r="4551" spans="1:5">
      <c r="A4551" s="174">
        <f t="shared" si="63"/>
        <v>4550</v>
      </c>
      <c r="B4551" s="163">
        <v>45876</v>
      </c>
      <c r="C4551" s="164">
        <v>0.66776620370370365</v>
      </c>
      <c r="D4551" s="159">
        <v>10</v>
      </c>
      <c r="E4551" s="166" t="s">
        <v>4081</v>
      </c>
    </row>
    <row r="4552" spans="1:5">
      <c r="A4552" s="174">
        <f t="shared" si="63"/>
        <v>4551</v>
      </c>
      <c r="B4552" s="163">
        <v>45876</v>
      </c>
      <c r="C4552" s="164">
        <v>0.66769675925925931</v>
      </c>
      <c r="D4552" s="159">
        <v>10</v>
      </c>
      <c r="E4552" s="166" t="s">
        <v>4082</v>
      </c>
    </row>
    <row r="4553" spans="1:5">
      <c r="A4553" s="174">
        <f t="shared" si="63"/>
        <v>4552</v>
      </c>
      <c r="B4553" s="163">
        <v>45876</v>
      </c>
      <c r="C4553" s="164">
        <v>0.66300925925925924</v>
      </c>
      <c r="D4553" s="159">
        <v>10</v>
      </c>
      <c r="E4553" s="166" t="s">
        <v>4083</v>
      </c>
    </row>
    <row r="4554" spans="1:5">
      <c r="A4554" s="174">
        <f t="shared" si="63"/>
        <v>4553</v>
      </c>
      <c r="B4554" s="163">
        <v>45876</v>
      </c>
      <c r="C4554" s="164">
        <v>0.64681712962962956</v>
      </c>
      <c r="D4554" s="159">
        <v>10</v>
      </c>
      <c r="E4554" s="166" t="s">
        <v>4084</v>
      </c>
    </row>
    <row r="4555" spans="1:5">
      <c r="A4555" s="174">
        <f t="shared" si="63"/>
        <v>4554</v>
      </c>
      <c r="B4555" s="163">
        <v>45876</v>
      </c>
      <c r="C4555" s="164">
        <v>0.6447222222222222</v>
      </c>
      <c r="D4555" s="159">
        <v>10</v>
      </c>
      <c r="E4555" s="166" t="s">
        <v>4085</v>
      </c>
    </row>
    <row r="4556" spans="1:5">
      <c r="A4556" s="174">
        <f t="shared" si="63"/>
        <v>4555</v>
      </c>
      <c r="B4556" s="163">
        <v>45876</v>
      </c>
      <c r="C4556" s="164">
        <v>0.64072916666666668</v>
      </c>
      <c r="D4556" s="159">
        <v>10</v>
      </c>
      <c r="E4556" s="166" t="s">
        <v>4086</v>
      </c>
    </row>
    <row r="4557" spans="1:5">
      <c r="A4557" s="174">
        <f t="shared" si="63"/>
        <v>4556</v>
      </c>
      <c r="B4557" s="163">
        <v>45876</v>
      </c>
      <c r="C4557" s="164">
        <v>0.62630787037037039</v>
      </c>
      <c r="D4557" s="159">
        <v>10</v>
      </c>
      <c r="E4557" s="166" t="s">
        <v>4087</v>
      </c>
    </row>
    <row r="4558" spans="1:5">
      <c r="A4558" s="174">
        <f t="shared" si="63"/>
        <v>4557</v>
      </c>
      <c r="B4558" s="163">
        <v>45876</v>
      </c>
      <c r="C4558" s="164">
        <v>0.62253472222222228</v>
      </c>
      <c r="D4558" s="159">
        <v>10</v>
      </c>
      <c r="E4558" s="166" t="s">
        <v>4088</v>
      </c>
    </row>
    <row r="4559" spans="1:5">
      <c r="A4559" s="174">
        <f t="shared" si="63"/>
        <v>4558</v>
      </c>
      <c r="B4559" s="163">
        <v>45876</v>
      </c>
      <c r="C4559" s="164">
        <v>0.61318287037037034</v>
      </c>
      <c r="D4559" s="159">
        <v>10</v>
      </c>
      <c r="E4559" s="166" t="s">
        <v>4089</v>
      </c>
    </row>
    <row r="4560" spans="1:5">
      <c r="A4560" s="174">
        <f t="shared" si="63"/>
        <v>4559</v>
      </c>
      <c r="B4560" s="163">
        <v>45876</v>
      </c>
      <c r="C4560" s="164">
        <v>0.60994212962962957</v>
      </c>
      <c r="D4560" s="159">
        <v>10</v>
      </c>
      <c r="E4560" s="166" t="s">
        <v>273</v>
      </c>
    </row>
    <row r="4561" spans="1:5">
      <c r="A4561" s="174">
        <f t="shared" si="63"/>
        <v>4560</v>
      </c>
      <c r="B4561" s="163">
        <v>45876</v>
      </c>
      <c r="C4561" s="164">
        <v>0.60912037037037037</v>
      </c>
      <c r="D4561" s="159">
        <v>10</v>
      </c>
      <c r="E4561" s="166" t="s">
        <v>4090</v>
      </c>
    </row>
    <row r="4562" spans="1:5">
      <c r="A4562" s="174">
        <f t="shared" si="63"/>
        <v>4561</v>
      </c>
      <c r="B4562" s="163">
        <v>45876</v>
      </c>
      <c r="C4562" s="164">
        <v>0.60040509259259256</v>
      </c>
      <c r="D4562" s="159">
        <v>10</v>
      </c>
      <c r="E4562" s="166" t="s">
        <v>4091</v>
      </c>
    </row>
    <row r="4563" spans="1:5">
      <c r="A4563" s="174">
        <f t="shared" si="63"/>
        <v>4562</v>
      </c>
      <c r="B4563" s="163">
        <v>45876</v>
      </c>
      <c r="C4563" s="164">
        <v>0.59949074074074071</v>
      </c>
      <c r="D4563" s="159">
        <v>10</v>
      </c>
      <c r="E4563" s="166" t="s">
        <v>4092</v>
      </c>
    </row>
    <row r="4564" spans="1:5">
      <c r="A4564" s="174">
        <f t="shared" si="63"/>
        <v>4563</v>
      </c>
      <c r="B4564" s="163">
        <v>45876</v>
      </c>
      <c r="C4564" s="164">
        <v>0.59613425925925922</v>
      </c>
      <c r="D4564" s="159">
        <v>10</v>
      </c>
      <c r="E4564" s="166" t="s">
        <v>4093</v>
      </c>
    </row>
    <row r="4565" spans="1:5">
      <c r="A4565" s="174">
        <f t="shared" si="63"/>
        <v>4564</v>
      </c>
      <c r="B4565" s="163">
        <v>45876</v>
      </c>
      <c r="C4565" s="164">
        <v>0.59304398148148152</v>
      </c>
      <c r="D4565" s="159">
        <v>10</v>
      </c>
      <c r="E4565" s="166" t="s">
        <v>4094</v>
      </c>
    </row>
    <row r="4566" spans="1:5">
      <c r="A4566" s="174">
        <f t="shared" si="63"/>
        <v>4565</v>
      </c>
      <c r="B4566" s="163">
        <v>45876</v>
      </c>
      <c r="C4566" s="164">
        <v>0.58892361111111113</v>
      </c>
      <c r="D4566" s="159">
        <v>10</v>
      </c>
      <c r="E4566" s="166" t="s">
        <v>273</v>
      </c>
    </row>
    <row r="4567" spans="1:5">
      <c r="A4567" s="174">
        <f t="shared" si="63"/>
        <v>4566</v>
      </c>
      <c r="B4567" s="163">
        <v>45876</v>
      </c>
      <c r="C4567" s="164">
        <v>0.58728009259259262</v>
      </c>
      <c r="D4567" s="159">
        <v>10</v>
      </c>
      <c r="E4567" s="166" t="s">
        <v>4095</v>
      </c>
    </row>
    <row r="4568" spans="1:5">
      <c r="A4568" s="174">
        <f t="shared" si="63"/>
        <v>4567</v>
      </c>
      <c r="B4568" s="163">
        <v>45876</v>
      </c>
      <c r="C4568" s="164">
        <v>0.58756944444444448</v>
      </c>
      <c r="D4568" s="159">
        <v>10</v>
      </c>
      <c r="E4568" s="166" t="s">
        <v>4096</v>
      </c>
    </row>
    <row r="4569" spans="1:5">
      <c r="A4569" s="174">
        <f t="shared" si="63"/>
        <v>4568</v>
      </c>
      <c r="B4569" s="163">
        <v>45876</v>
      </c>
      <c r="C4569" s="164">
        <v>0.58048611111111115</v>
      </c>
      <c r="D4569" s="159">
        <v>10</v>
      </c>
      <c r="E4569" s="166" t="s">
        <v>2584</v>
      </c>
    </row>
    <row r="4570" spans="1:5">
      <c r="A4570" s="174">
        <f t="shared" si="63"/>
        <v>4569</v>
      </c>
      <c r="B4570" s="163">
        <v>45876</v>
      </c>
      <c r="C4570" s="164">
        <v>0.57100694444444444</v>
      </c>
      <c r="D4570" s="159">
        <v>10</v>
      </c>
      <c r="E4570" s="166" t="s">
        <v>4097</v>
      </c>
    </row>
    <row r="4571" spans="1:5" ht="27">
      <c r="A4571" s="174">
        <f t="shared" si="63"/>
        <v>4570</v>
      </c>
      <c r="B4571" s="163">
        <v>45876</v>
      </c>
      <c r="C4571" s="164">
        <v>0.57081018518518511</v>
      </c>
      <c r="D4571" s="159">
        <v>10</v>
      </c>
      <c r="E4571" s="166" t="s">
        <v>4098</v>
      </c>
    </row>
    <row r="4572" spans="1:5">
      <c r="A4572" s="174">
        <f t="shared" si="63"/>
        <v>4571</v>
      </c>
      <c r="B4572" s="163">
        <v>45876</v>
      </c>
      <c r="C4572" s="164">
        <v>0.55829861111111112</v>
      </c>
      <c r="D4572" s="159">
        <v>10</v>
      </c>
      <c r="E4572" s="166" t="s">
        <v>749</v>
      </c>
    </row>
    <row r="4573" spans="1:5">
      <c r="A4573" s="174">
        <f t="shared" si="63"/>
        <v>4572</v>
      </c>
      <c r="B4573" s="163">
        <v>45876</v>
      </c>
      <c r="C4573" s="164">
        <v>0.5546875</v>
      </c>
      <c r="D4573" s="159">
        <v>10</v>
      </c>
      <c r="E4573" s="166" t="s">
        <v>4099</v>
      </c>
    </row>
    <row r="4574" spans="1:5">
      <c r="A4574" s="174">
        <f t="shared" si="63"/>
        <v>4573</v>
      </c>
      <c r="B4574" s="163">
        <v>45876</v>
      </c>
      <c r="C4574" s="164">
        <v>0.48753472222222222</v>
      </c>
      <c r="D4574" s="159">
        <v>10</v>
      </c>
      <c r="E4574" s="166" t="s">
        <v>4100</v>
      </c>
    </row>
    <row r="4575" spans="1:5">
      <c r="A4575" s="174">
        <f t="shared" si="63"/>
        <v>4574</v>
      </c>
      <c r="B4575" s="163">
        <v>45876</v>
      </c>
      <c r="C4575" s="164">
        <v>0.48208333333333336</v>
      </c>
      <c r="D4575" s="159">
        <v>10</v>
      </c>
      <c r="E4575" s="166" t="s">
        <v>785</v>
      </c>
    </row>
    <row r="4576" spans="1:5">
      <c r="A4576" s="174">
        <f t="shared" si="63"/>
        <v>4575</v>
      </c>
      <c r="B4576" s="163">
        <v>45876</v>
      </c>
      <c r="C4576" s="164">
        <v>0.47200231481481486</v>
      </c>
      <c r="D4576" s="159">
        <v>10</v>
      </c>
      <c r="E4576" s="166" t="s">
        <v>4101</v>
      </c>
    </row>
    <row r="4577" spans="1:5">
      <c r="A4577" s="174">
        <f t="shared" si="63"/>
        <v>4576</v>
      </c>
      <c r="B4577" s="163">
        <v>45876</v>
      </c>
      <c r="C4577" s="164">
        <v>0.44776620370370374</v>
      </c>
      <c r="D4577" s="159">
        <v>10</v>
      </c>
      <c r="E4577" s="166" t="s">
        <v>749</v>
      </c>
    </row>
    <row r="4578" spans="1:5">
      <c r="A4578" s="174">
        <f t="shared" si="63"/>
        <v>4577</v>
      </c>
      <c r="B4578" s="163">
        <v>45876</v>
      </c>
      <c r="C4578" s="164">
        <v>0.43084490740740744</v>
      </c>
      <c r="D4578" s="159">
        <v>10</v>
      </c>
      <c r="E4578" s="166" t="s">
        <v>4102</v>
      </c>
    </row>
    <row r="4579" spans="1:5">
      <c r="A4579" s="174">
        <f t="shared" si="63"/>
        <v>4578</v>
      </c>
      <c r="B4579" s="163">
        <v>45876</v>
      </c>
      <c r="C4579" s="164">
        <v>0.42277777777777775</v>
      </c>
      <c r="D4579" s="159">
        <v>10</v>
      </c>
      <c r="E4579" s="166" t="s">
        <v>4103</v>
      </c>
    </row>
    <row r="4580" spans="1:5">
      <c r="A4580" s="174">
        <f t="shared" si="63"/>
        <v>4579</v>
      </c>
      <c r="B4580" s="163">
        <v>45876</v>
      </c>
      <c r="C4580" s="164">
        <v>0.41689814814814818</v>
      </c>
      <c r="D4580" s="159">
        <v>10</v>
      </c>
      <c r="E4580" s="166" t="s">
        <v>4104</v>
      </c>
    </row>
    <row r="4581" spans="1:5">
      <c r="A4581" s="174">
        <f t="shared" si="63"/>
        <v>4580</v>
      </c>
      <c r="B4581" s="163">
        <v>45876</v>
      </c>
      <c r="C4581" s="164">
        <v>0.41598379629629628</v>
      </c>
      <c r="D4581" s="159">
        <v>10</v>
      </c>
      <c r="E4581" s="166" t="s">
        <v>4105</v>
      </c>
    </row>
    <row r="4582" spans="1:5">
      <c r="A4582" s="174">
        <f t="shared" si="63"/>
        <v>4581</v>
      </c>
      <c r="B4582" s="163">
        <v>45876</v>
      </c>
      <c r="C4582" s="164">
        <v>0.4093518518518518</v>
      </c>
      <c r="D4582" s="159">
        <v>10</v>
      </c>
      <c r="E4582" s="166" t="s">
        <v>653</v>
      </c>
    </row>
    <row r="4583" spans="1:5">
      <c r="A4583" s="174">
        <f t="shared" si="63"/>
        <v>4582</v>
      </c>
      <c r="B4583" s="163">
        <v>45876</v>
      </c>
      <c r="C4583" s="164">
        <v>0.40928240740740746</v>
      </c>
      <c r="D4583" s="159">
        <v>10</v>
      </c>
      <c r="E4583" s="166" t="s">
        <v>4106</v>
      </c>
    </row>
    <row r="4584" spans="1:5">
      <c r="A4584" s="174">
        <f t="shared" si="63"/>
        <v>4583</v>
      </c>
      <c r="B4584" s="163">
        <v>45876</v>
      </c>
      <c r="C4584" s="164">
        <v>0.40641203703703704</v>
      </c>
      <c r="D4584" s="159">
        <v>10</v>
      </c>
      <c r="E4584" s="166" t="s">
        <v>4107</v>
      </c>
    </row>
    <row r="4585" spans="1:5">
      <c r="A4585" s="174">
        <f t="shared" si="63"/>
        <v>4584</v>
      </c>
      <c r="B4585" s="163">
        <v>45876</v>
      </c>
      <c r="C4585" s="164">
        <v>0.40112268518518518</v>
      </c>
      <c r="D4585" s="159">
        <v>10</v>
      </c>
      <c r="E4585" s="166" t="s">
        <v>246</v>
      </c>
    </row>
    <row r="4586" spans="1:5">
      <c r="A4586" s="174">
        <f t="shared" si="63"/>
        <v>4585</v>
      </c>
      <c r="B4586" s="163">
        <v>45877</v>
      </c>
      <c r="C4586" s="164">
        <v>0.80322916666666666</v>
      </c>
      <c r="D4586" s="159">
        <v>10</v>
      </c>
      <c r="E4586" s="166" t="s">
        <v>4020</v>
      </c>
    </row>
    <row r="4587" spans="1:5">
      <c r="A4587" s="174">
        <f t="shared" si="63"/>
        <v>4586</v>
      </c>
      <c r="B4587" s="163">
        <v>45877</v>
      </c>
      <c r="C4587" s="164">
        <v>0.79934027777777772</v>
      </c>
      <c r="D4587" s="159">
        <v>10</v>
      </c>
      <c r="E4587" s="166" t="s">
        <v>732</v>
      </c>
    </row>
    <row r="4588" spans="1:5">
      <c r="A4588" s="174">
        <f t="shared" si="63"/>
        <v>4587</v>
      </c>
      <c r="B4588" s="163">
        <v>45877</v>
      </c>
      <c r="C4588" s="164">
        <v>0.77305555555555561</v>
      </c>
      <c r="D4588" s="159">
        <v>10</v>
      </c>
      <c r="E4588" s="166" t="s">
        <v>4021</v>
      </c>
    </row>
    <row r="4589" spans="1:5">
      <c r="A4589" s="174">
        <f t="shared" si="63"/>
        <v>4588</v>
      </c>
      <c r="B4589" s="163">
        <v>45877</v>
      </c>
      <c r="C4589" s="164">
        <v>0.76898148148148149</v>
      </c>
      <c r="D4589" s="159">
        <v>10</v>
      </c>
      <c r="E4589" s="166" t="s">
        <v>4022</v>
      </c>
    </row>
    <row r="4590" spans="1:5">
      <c r="A4590" s="174">
        <f t="shared" si="63"/>
        <v>4589</v>
      </c>
      <c r="B4590" s="163">
        <v>45877</v>
      </c>
      <c r="C4590" s="164">
        <v>0.74386574074074074</v>
      </c>
      <c r="D4590" s="159">
        <v>10</v>
      </c>
      <c r="E4590" s="166" t="s">
        <v>4023</v>
      </c>
    </row>
    <row r="4591" spans="1:5" ht="27">
      <c r="A4591" s="174">
        <f t="shared" si="63"/>
        <v>4590</v>
      </c>
      <c r="B4591" s="163">
        <v>45877</v>
      </c>
      <c r="C4591" s="164">
        <v>0.74133101851851846</v>
      </c>
      <c r="D4591" s="159">
        <v>10</v>
      </c>
      <c r="E4591" s="166" t="s">
        <v>4024</v>
      </c>
    </row>
    <row r="4592" spans="1:5">
      <c r="A4592" s="174">
        <f t="shared" si="63"/>
        <v>4591</v>
      </c>
      <c r="B4592" s="163">
        <v>45877</v>
      </c>
      <c r="C4592" s="164">
        <v>0.74119212962962966</v>
      </c>
      <c r="D4592" s="159">
        <v>10</v>
      </c>
      <c r="E4592" s="166" t="s">
        <v>364</v>
      </c>
    </row>
    <row r="4593" spans="1:5" ht="27">
      <c r="A4593" s="174">
        <f t="shared" si="63"/>
        <v>4592</v>
      </c>
      <c r="B4593" s="163">
        <v>45877</v>
      </c>
      <c r="C4593" s="164">
        <v>0.73920138888888898</v>
      </c>
      <c r="D4593" s="159">
        <v>10</v>
      </c>
      <c r="E4593" s="166" t="s">
        <v>4025</v>
      </c>
    </row>
    <row r="4594" spans="1:5">
      <c r="A4594" s="174">
        <f t="shared" si="63"/>
        <v>4593</v>
      </c>
      <c r="B4594" s="163">
        <v>45877</v>
      </c>
      <c r="C4594" s="164">
        <v>0.73177083333333337</v>
      </c>
      <c r="D4594" s="159">
        <v>10</v>
      </c>
      <c r="E4594" s="166" t="s">
        <v>4026</v>
      </c>
    </row>
    <row r="4595" spans="1:5">
      <c r="A4595" s="174">
        <f t="shared" si="63"/>
        <v>4594</v>
      </c>
      <c r="B4595" s="163">
        <v>45877</v>
      </c>
      <c r="C4595" s="164">
        <v>0.72496527777777775</v>
      </c>
      <c r="D4595" s="159">
        <v>10</v>
      </c>
      <c r="E4595" s="166" t="s">
        <v>4027</v>
      </c>
    </row>
    <row r="4596" spans="1:5">
      <c r="A4596" s="174">
        <f t="shared" si="63"/>
        <v>4595</v>
      </c>
      <c r="B4596" s="163">
        <v>45877</v>
      </c>
      <c r="C4596" s="164">
        <v>0.72019675925925919</v>
      </c>
      <c r="D4596" s="159">
        <v>10</v>
      </c>
      <c r="E4596" s="166" t="s">
        <v>4028</v>
      </c>
    </row>
    <row r="4597" spans="1:5">
      <c r="A4597" s="174">
        <f t="shared" ref="A4597:A4660" si="64">ROW()-1</f>
        <v>4596</v>
      </c>
      <c r="B4597" s="163">
        <v>45877</v>
      </c>
      <c r="C4597" s="164">
        <v>0.70821759259259265</v>
      </c>
      <c r="D4597" s="159">
        <v>10</v>
      </c>
      <c r="E4597" s="166" t="s">
        <v>4029</v>
      </c>
    </row>
    <row r="4598" spans="1:5">
      <c r="A4598" s="174">
        <f t="shared" si="64"/>
        <v>4597</v>
      </c>
      <c r="B4598" s="163">
        <v>45877</v>
      </c>
      <c r="C4598" s="164">
        <v>0.69620370370370377</v>
      </c>
      <c r="D4598" s="159">
        <v>10</v>
      </c>
      <c r="E4598" s="166" t="s">
        <v>4030</v>
      </c>
    </row>
    <row r="4599" spans="1:5">
      <c r="A4599" s="174">
        <f t="shared" si="64"/>
        <v>4598</v>
      </c>
      <c r="B4599" s="163">
        <v>45877</v>
      </c>
      <c r="C4599" s="164">
        <v>0.68949074074074079</v>
      </c>
      <c r="D4599" s="159">
        <v>10</v>
      </c>
      <c r="E4599" s="166" t="s">
        <v>4031</v>
      </c>
    </row>
    <row r="4600" spans="1:5">
      <c r="A4600" s="174">
        <f t="shared" si="64"/>
        <v>4599</v>
      </c>
      <c r="B4600" s="163">
        <v>45877</v>
      </c>
      <c r="C4600" s="164">
        <v>0.6762731481481481</v>
      </c>
      <c r="D4600" s="159">
        <v>10</v>
      </c>
      <c r="E4600" s="166" t="s">
        <v>4032</v>
      </c>
    </row>
    <row r="4601" spans="1:5">
      <c r="A4601" s="174">
        <f t="shared" si="64"/>
        <v>4600</v>
      </c>
      <c r="B4601" s="163">
        <v>45877</v>
      </c>
      <c r="C4601" s="164">
        <v>0.67501157407407408</v>
      </c>
      <c r="D4601" s="159">
        <v>10</v>
      </c>
      <c r="E4601" s="166" t="s">
        <v>3844</v>
      </c>
    </row>
    <row r="4602" spans="1:5">
      <c r="A4602" s="174">
        <f t="shared" si="64"/>
        <v>4601</v>
      </c>
      <c r="B4602" s="163">
        <v>45877</v>
      </c>
      <c r="C4602" s="164">
        <v>0.67358796296296297</v>
      </c>
      <c r="D4602" s="159">
        <v>10</v>
      </c>
      <c r="E4602" s="166" t="s">
        <v>2233</v>
      </c>
    </row>
    <row r="4603" spans="1:5">
      <c r="A4603" s="174">
        <f t="shared" si="64"/>
        <v>4602</v>
      </c>
      <c r="B4603" s="163">
        <v>45877</v>
      </c>
      <c r="C4603" s="164">
        <v>0.66609953703703706</v>
      </c>
      <c r="D4603" s="159">
        <v>10</v>
      </c>
      <c r="E4603" s="166" t="s">
        <v>4033</v>
      </c>
    </row>
    <row r="4604" spans="1:5">
      <c r="A4604" s="174">
        <f t="shared" si="64"/>
        <v>4603</v>
      </c>
      <c r="B4604" s="163">
        <v>45877</v>
      </c>
      <c r="C4604" s="164">
        <v>0.66473379629629636</v>
      </c>
      <c r="D4604" s="159">
        <v>10</v>
      </c>
      <c r="E4604" s="166" t="s">
        <v>4034</v>
      </c>
    </row>
    <row r="4605" spans="1:5" ht="27">
      <c r="A4605" s="174">
        <f t="shared" si="64"/>
        <v>4604</v>
      </c>
      <c r="B4605" s="163">
        <v>45877</v>
      </c>
      <c r="C4605" s="164">
        <v>0.66173611111111108</v>
      </c>
      <c r="D4605" s="159">
        <v>10</v>
      </c>
      <c r="E4605" s="166" t="s">
        <v>4035</v>
      </c>
    </row>
    <row r="4606" spans="1:5">
      <c r="A4606" s="174">
        <f t="shared" si="64"/>
        <v>4605</v>
      </c>
      <c r="B4606" s="163">
        <v>45877</v>
      </c>
      <c r="C4606" s="164">
        <v>0.65894675925925927</v>
      </c>
      <c r="D4606" s="159">
        <v>10</v>
      </c>
      <c r="E4606" s="166" t="s">
        <v>132</v>
      </c>
    </row>
    <row r="4607" spans="1:5">
      <c r="A4607" s="174">
        <f t="shared" si="64"/>
        <v>4606</v>
      </c>
      <c r="B4607" s="163">
        <v>45877</v>
      </c>
      <c r="C4607" s="164">
        <v>0.63619212962962968</v>
      </c>
      <c r="D4607" s="159">
        <v>10</v>
      </c>
      <c r="E4607" s="166" t="s">
        <v>4036</v>
      </c>
    </row>
    <row r="4608" spans="1:5">
      <c r="A4608" s="174">
        <f t="shared" si="64"/>
        <v>4607</v>
      </c>
      <c r="B4608" s="163">
        <v>45877</v>
      </c>
      <c r="C4608" s="164">
        <v>0.6325115740740741</v>
      </c>
      <c r="D4608" s="159">
        <v>10</v>
      </c>
      <c r="E4608" s="166" t="s">
        <v>4037</v>
      </c>
    </row>
    <row r="4609" spans="1:5">
      <c r="A4609" s="174">
        <f t="shared" si="64"/>
        <v>4608</v>
      </c>
      <c r="B4609" s="163">
        <v>45877</v>
      </c>
      <c r="C4609" s="164">
        <v>0.62910879629629635</v>
      </c>
      <c r="D4609" s="159">
        <v>10</v>
      </c>
      <c r="E4609" s="166" t="s">
        <v>244</v>
      </c>
    </row>
    <row r="4610" spans="1:5">
      <c r="A4610" s="174">
        <f t="shared" si="64"/>
        <v>4609</v>
      </c>
      <c r="B4610" s="163">
        <v>45877</v>
      </c>
      <c r="C4610" s="164">
        <v>0.62755787037037036</v>
      </c>
      <c r="D4610" s="159">
        <v>10</v>
      </c>
      <c r="E4610" s="166" t="s">
        <v>132</v>
      </c>
    </row>
    <row r="4611" spans="1:5">
      <c r="A4611" s="174">
        <f t="shared" si="64"/>
        <v>4610</v>
      </c>
      <c r="B4611" s="163">
        <v>45877</v>
      </c>
      <c r="C4611" s="164">
        <v>0.61535879629629631</v>
      </c>
      <c r="D4611" s="159">
        <v>10</v>
      </c>
      <c r="E4611" s="166" t="s">
        <v>4038</v>
      </c>
    </row>
    <row r="4612" spans="1:5">
      <c r="A4612" s="174">
        <f t="shared" si="64"/>
        <v>4611</v>
      </c>
      <c r="B4612" s="163">
        <v>45877</v>
      </c>
      <c r="C4612" s="164">
        <v>0.6083101851851852</v>
      </c>
      <c r="D4612" s="159">
        <v>10</v>
      </c>
      <c r="E4612" s="166" t="s">
        <v>4039</v>
      </c>
    </row>
    <row r="4613" spans="1:5">
      <c r="A4613" s="174">
        <f t="shared" si="64"/>
        <v>4612</v>
      </c>
      <c r="B4613" s="163">
        <v>45877</v>
      </c>
      <c r="C4613" s="164">
        <v>0.60797453703703697</v>
      </c>
      <c r="D4613" s="159">
        <v>10</v>
      </c>
      <c r="E4613" s="166" t="s">
        <v>132</v>
      </c>
    </row>
    <row r="4614" spans="1:5">
      <c r="A4614" s="174">
        <f t="shared" si="64"/>
        <v>4613</v>
      </c>
      <c r="B4614" s="163">
        <v>45877</v>
      </c>
      <c r="C4614" s="164">
        <v>0.59831018518518519</v>
      </c>
      <c r="D4614" s="159">
        <v>10</v>
      </c>
      <c r="E4614" s="166" t="s">
        <v>132</v>
      </c>
    </row>
    <row r="4615" spans="1:5">
      <c r="A4615" s="174">
        <f t="shared" si="64"/>
        <v>4614</v>
      </c>
      <c r="B4615" s="163">
        <v>45877</v>
      </c>
      <c r="C4615" s="164">
        <v>0.59745370370370365</v>
      </c>
      <c r="D4615" s="159">
        <v>10</v>
      </c>
      <c r="E4615" s="166" t="s">
        <v>1042</v>
      </c>
    </row>
    <row r="4616" spans="1:5" ht="40.5">
      <c r="A4616" s="174">
        <f t="shared" si="64"/>
        <v>4615</v>
      </c>
      <c r="B4616" s="163">
        <v>45877</v>
      </c>
      <c r="C4616" s="164">
        <v>0.59685185185185186</v>
      </c>
      <c r="D4616" s="159">
        <v>10</v>
      </c>
      <c r="E4616" s="166" t="s">
        <v>4194</v>
      </c>
    </row>
    <row r="4617" spans="1:5">
      <c r="A4617" s="174">
        <f t="shared" si="64"/>
        <v>4616</v>
      </c>
      <c r="B4617" s="163">
        <v>45877</v>
      </c>
      <c r="C4617" s="164">
        <v>0.59335648148148146</v>
      </c>
      <c r="D4617" s="159">
        <v>10</v>
      </c>
      <c r="E4617" s="166" t="s">
        <v>4040</v>
      </c>
    </row>
    <row r="4618" spans="1:5">
      <c r="A4618" s="174">
        <f t="shared" si="64"/>
        <v>4617</v>
      </c>
      <c r="B4618" s="163">
        <v>45877</v>
      </c>
      <c r="C4618" s="164">
        <v>0.59366898148148151</v>
      </c>
      <c r="D4618" s="159">
        <v>10</v>
      </c>
      <c r="E4618" s="166" t="s">
        <v>4041</v>
      </c>
    </row>
    <row r="4619" spans="1:5">
      <c r="A4619" s="174">
        <f t="shared" si="64"/>
        <v>4618</v>
      </c>
      <c r="B4619" s="163">
        <v>45877</v>
      </c>
      <c r="C4619" s="164">
        <v>0.59251157407407407</v>
      </c>
      <c r="D4619" s="159">
        <v>10</v>
      </c>
      <c r="E4619" s="166" t="s">
        <v>4042</v>
      </c>
    </row>
    <row r="4620" spans="1:5">
      <c r="A4620" s="174">
        <f t="shared" si="64"/>
        <v>4619</v>
      </c>
      <c r="B4620" s="163">
        <v>45877</v>
      </c>
      <c r="C4620" s="164">
        <v>0.59090277777777778</v>
      </c>
      <c r="D4620" s="159">
        <v>10</v>
      </c>
      <c r="E4620" s="166" t="s">
        <v>288</v>
      </c>
    </row>
    <row r="4621" spans="1:5">
      <c r="A4621" s="174">
        <f t="shared" si="64"/>
        <v>4620</v>
      </c>
      <c r="B4621" s="163">
        <v>45877</v>
      </c>
      <c r="C4621" s="164">
        <v>0.57122685185185185</v>
      </c>
      <c r="D4621" s="159">
        <v>10</v>
      </c>
      <c r="E4621" s="166" t="s">
        <v>4043</v>
      </c>
    </row>
    <row r="4622" spans="1:5">
      <c r="A4622" s="174">
        <f t="shared" si="64"/>
        <v>4621</v>
      </c>
      <c r="B4622" s="163">
        <v>45877</v>
      </c>
      <c r="C4622" s="164">
        <v>0.55174768518518513</v>
      </c>
      <c r="D4622" s="159">
        <v>10</v>
      </c>
      <c r="E4622" s="166" t="s">
        <v>4044</v>
      </c>
    </row>
    <row r="4623" spans="1:5">
      <c r="A4623" s="174">
        <f t="shared" si="64"/>
        <v>4622</v>
      </c>
      <c r="B4623" s="163">
        <v>45877</v>
      </c>
      <c r="C4623" s="164">
        <v>0.53451388888888884</v>
      </c>
      <c r="D4623" s="159">
        <v>10</v>
      </c>
      <c r="E4623" s="166" t="s">
        <v>4045</v>
      </c>
    </row>
    <row r="4624" spans="1:5">
      <c r="A4624" s="174">
        <f t="shared" si="64"/>
        <v>4623</v>
      </c>
      <c r="B4624" s="163">
        <v>45877</v>
      </c>
      <c r="C4624" s="164">
        <v>0.50135416666666666</v>
      </c>
      <c r="D4624" s="159">
        <v>10</v>
      </c>
      <c r="E4624" s="166" t="s">
        <v>4046</v>
      </c>
    </row>
    <row r="4625" spans="1:5">
      <c r="A4625" s="174">
        <f t="shared" si="64"/>
        <v>4624</v>
      </c>
      <c r="B4625" s="163">
        <v>45877</v>
      </c>
      <c r="C4625" s="164">
        <v>0.47859953703703706</v>
      </c>
      <c r="D4625" s="159">
        <v>10</v>
      </c>
      <c r="E4625" s="166" t="s">
        <v>4047</v>
      </c>
    </row>
    <row r="4626" spans="1:5">
      <c r="A4626" s="174">
        <f t="shared" si="64"/>
        <v>4625</v>
      </c>
      <c r="B4626" s="163">
        <v>45877</v>
      </c>
      <c r="C4626" s="164">
        <v>0.47385416666666669</v>
      </c>
      <c r="D4626" s="159">
        <v>10</v>
      </c>
      <c r="E4626" s="166" t="s">
        <v>4048</v>
      </c>
    </row>
    <row r="4627" spans="1:5">
      <c r="A4627" s="174">
        <f t="shared" si="64"/>
        <v>4626</v>
      </c>
      <c r="B4627" s="163">
        <v>45877</v>
      </c>
      <c r="C4627" s="164">
        <v>0.47165509259259258</v>
      </c>
      <c r="D4627" s="159">
        <v>10</v>
      </c>
      <c r="E4627" s="166" t="s">
        <v>4049</v>
      </c>
    </row>
    <row r="4628" spans="1:5" ht="27">
      <c r="A4628" s="174">
        <f t="shared" si="64"/>
        <v>4627</v>
      </c>
      <c r="B4628" s="163">
        <v>45877</v>
      </c>
      <c r="C4628" s="164">
        <v>0.45655092592592594</v>
      </c>
      <c r="D4628" s="159">
        <v>10</v>
      </c>
      <c r="E4628" s="166" t="s">
        <v>4193</v>
      </c>
    </row>
    <row r="4629" spans="1:5">
      <c r="A4629" s="174">
        <f t="shared" si="64"/>
        <v>4628</v>
      </c>
      <c r="B4629" s="163">
        <v>45877</v>
      </c>
      <c r="C4629" s="164">
        <v>0.45400462962962962</v>
      </c>
      <c r="D4629" s="159">
        <v>10</v>
      </c>
      <c r="E4629" s="166" t="s">
        <v>2233</v>
      </c>
    </row>
    <row r="4630" spans="1:5">
      <c r="A4630" s="174">
        <f t="shared" si="64"/>
        <v>4629</v>
      </c>
      <c r="B4630" s="163">
        <v>45877</v>
      </c>
      <c r="C4630" s="164">
        <v>0.42890046296296297</v>
      </c>
      <c r="D4630" s="159">
        <v>1</v>
      </c>
      <c r="E4630" s="166" t="s">
        <v>4050</v>
      </c>
    </row>
    <row r="4631" spans="1:5">
      <c r="A4631" s="174">
        <f t="shared" si="64"/>
        <v>4630</v>
      </c>
      <c r="B4631" s="163">
        <v>45877</v>
      </c>
      <c r="C4631" s="164">
        <v>0.41981481481481481</v>
      </c>
      <c r="D4631" s="159">
        <v>10</v>
      </c>
      <c r="E4631" s="166" t="s">
        <v>4051</v>
      </c>
    </row>
    <row r="4632" spans="1:5">
      <c r="A4632" s="174">
        <f t="shared" si="64"/>
        <v>4631</v>
      </c>
      <c r="B4632" s="163">
        <v>45877</v>
      </c>
      <c r="C4632" s="164">
        <v>0.41565972222222225</v>
      </c>
      <c r="D4632" s="159">
        <v>10</v>
      </c>
      <c r="E4632" s="166" t="s">
        <v>4052</v>
      </c>
    </row>
    <row r="4633" spans="1:5">
      <c r="A4633" s="174">
        <f t="shared" si="64"/>
        <v>4632</v>
      </c>
      <c r="B4633" s="163">
        <v>45877</v>
      </c>
      <c r="C4633" s="164">
        <v>0.41395833333333337</v>
      </c>
      <c r="D4633" s="159">
        <v>10</v>
      </c>
      <c r="E4633" s="166" t="s">
        <v>4053</v>
      </c>
    </row>
    <row r="4634" spans="1:5">
      <c r="A4634" s="174">
        <f t="shared" si="64"/>
        <v>4633</v>
      </c>
      <c r="B4634" s="163">
        <v>45877</v>
      </c>
      <c r="C4634" s="164">
        <v>0.4123263888888889</v>
      </c>
      <c r="D4634" s="159">
        <v>10</v>
      </c>
      <c r="E4634" s="166" t="s">
        <v>4054</v>
      </c>
    </row>
    <row r="4635" spans="1:5">
      <c r="A4635" s="174">
        <f t="shared" si="64"/>
        <v>4634</v>
      </c>
      <c r="B4635" s="163">
        <v>45877</v>
      </c>
      <c r="C4635" s="164">
        <v>0.41059027777777773</v>
      </c>
      <c r="D4635" s="159">
        <v>10</v>
      </c>
      <c r="E4635" s="166" t="s">
        <v>4055</v>
      </c>
    </row>
    <row r="4636" spans="1:5">
      <c r="A4636" s="174">
        <f t="shared" si="64"/>
        <v>4635</v>
      </c>
      <c r="B4636" s="163">
        <v>45877</v>
      </c>
      <c r="C4636" s="164">
        <v>0.40679398148148144</v>
      </c>
      <c r="D4636" s="159">
        <v>10</v>
      </c>
      <c r="E4636" s="166" t="s">
        <v>4056</v>
      </c>
    </row>
    <row r="4637" spans="1:5">
      <c r="A4637" s="174">
        <f t="shared" si="64"/>
        <v>4636</v>
      </c>
      <c r="B4637" s="163">
        <v>45877</v>
      </c>
      <c r="C4637" s="164">
        <v>0.40568287037037037</v>
      </c>
      <c r="D4637" s="159">
        <v>10</v>
      </c>
      <c r="E4637" s="166" t="s">
        <v>4057</v>
      </c>
    </row>
    <row r="4638" spans="1:5">
      <c r="A4638" s="174">
        <f t="shared" si="64"/>
        <v>4637</v>
      </c>
      <c r="B4638" s="163">
        <v>45877</v>
      </c>
      <c r="C4638" s="164">
        <v>0.40373842592592596</v>
      </c>
      <c r="D4638" s="159">
        <v>10</v>
      </c>
      <c r="E4638" s="166" t="s">
        <v>4058</v>
      </c>
    </row>
    <row r="4639" spans="1:5">
      <c r="A4639" s="174">
        <f t="shared" si="64"/>
        <v>4638</v>
      </c>
      <c r="B4639" s="163">
        <v>45877</v>
      </c>
      <c r="C4639" s="164">
        <v>0.38500000000000001</v>
      </c>
      <c r="D4639" s="159">
        <v>10</v>
      </c>
      <c r="E4639" s="166" t="s">
        <v>244</v>
      </c>
    </row>
    <row r="4640" spans="1:5" ht="27">
      <c r="A4640" s="174">
        <f t="shared" si="64"/>
        <v>4639</v>
      </c>
      <c r="B4640" s="163">
        <v>45877</v>
      </c>
      <c r="C4640" s="164">
        <v>0.38396990740740744</v>
      </c>
      <c r="D4640" s="159">
        <v>10</v>
      </c>
      <c r="E4640" s="166" t="s">
        <v>4192</v>
      </c>
    </row>
    <row r="4641" spans="1:5">
      <c r="A4641" s="174">
        <f t="shared" si="64"/>
        <v>4640</v>
      </c>
      <c r="B4641" s="163">
        <v>45877</v>
      </c>
      <c r="C4641" s="164">
        <v>0.38092592592592589</v>
      </c>
      <c r="D4641" s="159">
        <v>10</v>
      </c>
      <c r="E4641" s="166" t="s">
        <v>4059</v>
      </c>
    </row>
    <row r="4642" spans="1:5">
      <c r="A4642" s="174">
        <f t="shared" si="64"/>
        <v>4641</v>
      </c>
      <c r="B4642" s="163">
        <v>45878</v>
      </c>
      <c r="C4642" s="164">
        <v>0.68079861111111117</v>
      </c>
      <c r="D4642" s="159">
        <v>10</v>
      </c>
      <c r="E4642" s="166" t="s">
        <v>4010</v>
      </c>
    </row>
    <row r="4643" spans="1:5">
      <c r="A4643" s="174">
        <f t="shared" si="64"/>
        <v>4642</v>
      </c>
      <c r="B4643" s="163">
        <v>45878</v>
      </c>
      <c r="C4643" s="164">
        <v>0.62421296296296302</v>
      </c>
      <c r="D4643" s="159">
        <v>10</v>
      </c>
      <c r="E4643" s="166" t="s">
        <v>4011</v>
      </c>
    </row>
    <row r="4644" spans="1:5">
      <c r="A4644" s="174">
        <f t="shared" si="64"/>
        <v>4643</v>
      </c>
      <c r="B4644" s="163">
        <v>45878</v>
      </c>
      <c r="C4644" s="164">
        <v>0.62119212962962966</v>
      </c>
      <c r="D4644" s="159">
        <v>10</v>
      </c>
      <c r="E4644" s="166" t="s">
        <v>4012</v>
      </c>
    </row>
    <row r="4645" spans="1:5">
      <c r="A4645" s="174">
        <f t="shared" si="64"/>
        <v>4644</v>
      </c>
      <c r="B4645" s="163">
        <v>45878</v>
      </c>
      <c r="C4645" s="164">
        <v>0.60854166666666665</v>
      </c>
      <c r="D4645" s="159">
        <v>10</v>
      </c>
      <c r="E4645" s="166" t="s">
        <v>4013</v>
      </c>
    </row>
    <row r="4646" spans="1:5">
      <c r="A4646" s="174">
        <f t="shared" si="64"/>
        <v>4645</v>
      </c>
      <c r="B4646" s="163">
        <v>45878</v>
      </c>
      <c r="C4646" s="164">
        <v>0.57643518518518522</v>
      </c>
      <c r="D4646" s="159">
        <v>10</v>
      </c>
      <c r="E4646" s="166" t="s">
        <v>4014</v>
      </c>
    </row>
    <row r="4647" spans="1:5">
      <c r="A4647" s="174">
        <f t="shared" si="64"/>
        <v>4646</v>
      </c>
      <c r="B4647" s="163">
        <v>45878</v>
      </c>
      <c r="C4647" s="164">
        <v>0.53424768518518517</v>
      </c>
      <c r="D4647" s="159">
        <v>10</v>
      </c>
      <c r="E4647" s="166" t="s">
        <v>4015</v>
      </c>
    </row>
    <row r="4648" spans="1:5">
      <c r="A4648" s="174">
        <f t="shared" si="64"/>
        <v>4647</v>
      </c>
      <c r="B4648" s="163">
        <v>45878</v>
      </c>
      <c r="C4648" s="164">
        <v>0.50842592592592595</v>
      </c>
      <c r="D4648" s="159">
        <v>10</v>
      </c>
      <c r="E4648" s="166" t="s">
        <v>4016</v>
      </c>
    </row>
    <row r="4649" spans="1:5">
      <c r="A4649" s="174">
        <f t="shared" si="64"/>
        <v>4648</v>
      </c>
      <c r="B4649" s="163">
        <v>45878</v>
      </c>
      <c r="C4649" s="164">
        <v>0.49586805555555552</v>
      </c>
      <c r="D4649" s="159">
        <v>10</v>
      </c>
      <c r="E4649" s="166" t="s">
        <v>785</v>
      </c>
    </row>
    <row r="4650" spans="1:5">
      <c r="A4650" s="174">
        <f t="shared" si="64"/>
        <v>4649</v>
      </c>
      <c r="B4650" s="163">
        <v>45878</v>
      </c>
      <c r="C4650" s="164">
        <v>0.49087962962962961</v>
      </c>
      <c r="D4650" s="159">
        <v>10</v>
      </c>
      <c r="E4650" s="166" t="s">
        <v>4017</v>
      </c>
    </row>
    <row r="4651" spans="1:5">
      <c r="A4651" s="174">
        <f t="shared" si="64"/>
        <v>4650</v>
      </c>
      <c r="B4651" s="163">
        <v>45878</v>
      </c>
      <c r="C4651" s="164">
        <v>0.48706018518518518</v>
      </c>
      <c r="D4651" s="159">
        <v>10</v>
      </c>
      <c r="E4651" s="166" t="s">
        <v>4018</v>
      </c>
    </row>
    <row r="4652" spans="1:5">
      <c r="A4652" s="174">
        <f t="shared" si="64"/>
        <v>4651</v>
      </c>
      <c r="B4652" s="163">
        <v>45878</v>
      </c>
      <c r="C4652" s="164">
        <v>0.47718750000000004</v>
      </c>
      <c r="D4652" s="159">
        <v>10</v>
      </c>
      <c r="E4652" s="166" t="s">
        <v>1340</v>
      </c>
    </row>
    <row r="4653" spans="1:5">
      <c r="A4653" s="174">
        <f t="shared" si="64"/>
        <v>4652</v>
      </c>
      <c r="B4653" s="163">
        <v>45878</v>
      </c>
      <c r="C4653" s="164">
        <v>0.47446759259259258</v>
      </c>
      <c r="D4653" s="159">
        <v>10</v>
      </c>
      <c r="E4653" s="166" t="s">
        <v>4019</v>
      </c>
    </row>
    <row r="4654" spans="1:5">
      <c r="A4654" s="174">
        <f t="shared" si="64"/>
        <v>4653</v>
      </c>
      <c r="B4654" s="163">
        <v>45880</v>
      </c>
      <c r="C4654" s="164">
        <v>0.90851851851851861</v>
      </c>
      <c r="D4654" s="159">
        <v>10</v>
      </c>
      <c r="E4654" s="166" t="s">
        <v>244</v>
      </c>
    </row>
    <row r="4655" spans="1:5">
      <c r="A4655" s="174">
        <f t="shared" si="64"/>
        <v>4654</v>
      </c>
      <c r="B4655" s="163">
        <v>45880</v>
      </c>
      <c r="C4655" s="164">
        <v>0.86189814814814814</v>
      </c>
      <c r="D4655" s="159">
        <v>10</v>
      </c>
      <c r="E4655" s="166" t="s">
        <v>4195</v>
      </c>
    </row>
    <row r="4656" spans="1:5">
      <c r="A4656" s="174">
        <f t="shared" si="64"/>
        <v>4655</v>
      </c>
      <c r="B4656" s="163">
        <v>45880</v>
      </c>
      <c r="C4656" s="164">
        <v>0.86034722222222226</v>
      </c>
      <c r="D4656" s="159">
        <v>10</v>
      </c>
      <c r="E4656" s="166" t="s">
        <v>4196</v>
      </c>
    </row>
    <row r="4657" spans="1:5">
      <c r="A4657" s="174">
        <f t="shared" si="64"/>
        <v>4656</v>
      </c>
      <c r="B4657" s="163">
        <v>45880</v>
      </c>
      <c r="C4657" s="164">
        <v>0.85822916666666671</v>
      </c>
      <c r="D4657" s="159">
        <v>10</v>
      </c>
      <c r="E4657" s="166" t="s">
        <v>4197</v>
      </c>
    </row>
    <row r="4658" spans="1:5">
      <c r="A4658" s="174">
        <f t="shared" si="64"/>
        <v>4657</v>
      </c>
      <c r="B4658" s="163">
        <v>45880</v>
      </c>
      <c r="C4658" s="164">
        <v>0.85681712962962964</v>
      </c>
      <c r="D4658" s="159">
        <v>10</v>
      </c>
      <c r="E4658" s="166" t="s">
        <v>4198</v>
      </c>
    </row>
    <row r="4659" spans="1:5">
      <c r="A4659" s="174">
        <f t="shared" si="64"/>
        <v>4658</v>
      </c>
      <c r="B4659" s="163">
        <v>45880</v>
      </c>
      <c r="C4659" s="164">
        <v>0.81092592592592594</v>
      </c>
      <c r="D4659" s="159">
        <v>10</v>
      </c>
      <c r="E4659" s="166" t="s">
        <v>4199</v>
      </c>
    </row>
    <row r="4660" spans="1:5">
      <c r="A4660" s="174">
        <f t="shared" si="64"/>
        <v>4659</v>
      </c>
      <c r="B4660" s="163">
        <v>45880</v>
      </c>
      <c r="C4660" s="164">
        <v>0.78565972222222225</v>
      </c>
      <c r="D4660" s="159">
        <v>10</v>
      </c>
      <c r="E4660" s="166" t="s">
        <v>4200</v>
      </c>
    </row>
    <row r="4661" spans="1:5">
      <c r="A4661" s="174">
        <f t="shared" ref="A4661:A4724" si="65">ROW()-1</f>
        <v>4660</v>
      </c>
      <c r="B4661" s="163">
        <v>45880</v>
      </c>
      <c r="C4661" s="164">
        <v>0.78209490740740739</v>
      </c>
      <c r="D4661" s="159">
        <v>10</v>
      </c>
      <c r="E4661" s="166" t="s">
        <v>132</v>
      </c>
    </row>
    <row r="4662" spans="1:5">
      <c r="A4662" s="174">
        <f t="shared" si="65"/>
        <v>4661</v>
      </c>
      <c r="B4662" s="163">
        <v>45880</v>
      </c>
      <c r="C4662" s="164">
        <v>0.75310185185185186</v>
      </c>
      <c r="D4662" s="159">
        <v>10</v>
      </c>
      <c r="E4662" s="166" t="s">
        <v>4201</v>
      </c>
    </row>
    <row r="4663" spans="1:5">
      <c r="A4663" s="174">
        <f t="shared" si="65"/>
        <v>4662</v>
      </c>
      <c r="B4663" s="163">
        <v>45880</v>
      </c>
      <c r="C4663" s="164">
        <v>0.75282407407407403</v>
      </c>
      <c r="D4663" s="159">
        <v>10</v>
      </c>
      <c r="E4663" s="166" t="s">
        <v>4202</v>
      </c>
    </row>
    <row r="4664" spans="1:5" ht="40.5">
      <c r="A4664" s="174">
        <f t="shared" si="65"/>
        <v>4663</v>
      </c>
      <c r="B4664" s="163">
        <v>45880</v>
      </c>
      <c r="C4664" s="164">
        <v>0.74946759259259255</v>
      </c>
      <c r="D4664" s="159">
        <v>10</v>
      </c>
      <c r="E4664" s="166" t="s">
        <v>4203</v>
      </c>
    </row>
    <row r="4665" spans="1:5" ht="27">
      <c r="A4665" s="174">
        <f t="shared" si="65"/>
        <v>4664</v>
      </c>
      <c r="B4665" s="163">
        <v>45880</v>
      </c>
      <c r="C4665" s="164">
        <v>0.74665509259259266</v>
      </c>
      <c r="D4665" s="159">
        <v>10</v>
      </c>
      <c r="E4665" s="166" t="s">
        <v>4204</v>
      </c>
    </row>
    <row r="4666" spans="1:5">
      <c r="A4666" s="174">
        <f t="shared" si="65"/>
        <v>4665</v>
      </c>
      <c r="B4666" s="163">
        <v>45880</v>
      </c>
      <c r="C4666" s="164">
        <v>0.74314814814814811</v>
      </c>
      <c r="D4666" s="159">
        <v>10</v>
      </c>
      <c r="E4666" s="166" t="s">
        <v>4205</v>
      </c>
    </row>
    <row r="4667" spans="1:5">
      <c r="A4667" s="174">
        <f t="shared" si="65"/>
        <v>4666</v>
      </c>
      <c r="B4667" s="163">
        <v>45880</v>
      </c>
      <c r="C4667" s="164">
        <v>0.72597222222222213</v>
      </c>
      <c r="D4667" s="159">
        <v>10</v>
      </c>
      <c r="E4667" s="166" t="s">
        <v>4206</v>
      </c>
    </row>
    <row r="4668" spans="1:5">
      <c r="A4668" s="174">
        <f t="shared" si="65"/>
        <v>4667</v>
      </c>
      <c r="B4668" s="163">
        <v>45880</v>
      </c>
      <c r="C4668" s="164">
        <v>0.71461805555555558</v>
      </c>
      <c r="D4668" s="159">
        <v>10</v>
      </c>
      <c r="E4668" s="166" t="s">
        <v>4207</v>
      </c>
    </row>
    <row r="4669" spans="1:5">
      <c r="A4669" s="174">
        <f t="shared" si="65"/>
        <v>4668</v>
      </c>
      <c r="B4669" s="163">
        <v>45880</v>
      </c>
      <c r="C4669" s="164">
        <v>0.7131481481481482</v>
      </c>
      <c r="D4669" s="159">
        <v>10</v>
      </c>
      <c r="E4669" s="166" t="s">
        <v>4208</v>
      </c>
    </row>
    <row r="4670" spans="1:5">
      <c r="A4670" s="174">
        <f t="shared" si="65"/>
        <v>4669</v>
      </c>
      <c r="B4670" s="163">
        <v>45880</v>
      </c>
      <c r="C4670" s="164">
        <v>0.71190972222222226</v>
      </c>
      <c r="D4670" s="159">
        <v>10</v>
      </c>
      <c r="E4670" s="166" t="s">
        <v>4209</v>
      </c>
    </row>
    <row r="4671" spans="1:5">
      <c r="A4671" s="174">
        <f t="shared" si="65"/>
        <v>4670</v>
      </c>
      <c r="B4671" s="163">
        <v>45880</v>
      </c>
      <c r="C4671" s="164">
        <v>0.7120023148148148</v>
      </c>
      <c r="D4671" s="159">
        <v>10</v>
      </c>
      <c r="E4671" s="166" t="s">
        <v>4210</v>
      </c>
    </row>
    <row r="4672" spans="1:5">
      <c r="A4672" s="174">
        <f t="shared" si="65"/>
        <v>4671</v>
      </c>
      <c r="B4672" s="163">
        <v>45880</v>
      </c>
      <c r="C4672" s="164">
        <v>0.71018518518518514</v>
      </c>
      <c r="D4672" s="159">
        <v>10</v>
      </c>
      <c r="E4672" s="166" t="s">
        <v>4211</v>
      </c>
    </row>
    <row r="4673" spans="1:5">
      <c r="A4673" s="174">
        <f t="shared" si="65"/>
        <v>4672</v>
      </c>
      <c r="B4673" s="163">
        <v>45880</v>
      </c>
      <c r="C4673" s="164">
        <v>0.70672453703703697</v>
      </c>
      <c r="D4673" s="159">
        <v>10</v>
      </c>
      <c r="E4673" s="166" t="s">
        <v>4212</v>
      </c>
    </row>
    <row r="4674" spans="1:5">
      <c r="A4674" s="174">
        <f t="shared" si="65"/>
        <v>4673</v>
      </c>
      <c r="B4674" s="163">
        <v>45880</v>
      </c>
      <c r="C4674" s="164">
        <v>0.70538194444444446</v>
      </c>
      <c r="D4674" s="159">
        <v>10</v>
      </c>
      <c r="E4674" s="166" t="s">
        <v>4213</v>
      </c>
    </row>
    <row r="4675" spans="1:5">
      <c r="A4675" s="174">
        <f t="shared" si="65"/>
        <v>4674</v>
      </c>
      <c r="B4675" s="163">
        <v>45880</v>
      </c>
      <c r="C4675" s="164">
        <v>0.70387731481481486</v>
      </c>
      <c r="D4675" s="159">
        <v>10</v>
      </c>
      <c r="E4675" s="166" t="s">
        <v>4214</v>
      </c>
    </row>
    <row r="4676" spans="1:5">
      <c r="A4676" s="174">
        <f t="shared" si="65"/>
        <v>4675</v>
      </c>
      <c r="B4676" s="163">
        <v>45880</v>
      </c>
      <c r="C4676" s="164">
        <v>0.70138888888888884</v>
      </c>
      <c r="D4676" s="159">
        <v>10</v>
      </c>
      <c r="E4676" s="166" t="s">
        <v>244</v>
      </c>
    </row>
    <row r="4677" spans="1:5">
      <c r="A4677" s="174">
        <f t="shared" si="65"/>
        <v>4676</v>
      </c>
      <c r="B4677" s="163">
        <v>45880</v>
      </c>
      <c r="C4677" s="164">
        <v>0.69773148148148145</v>
      </c>
      <c r="D4677" s="159">
        <v>10</v>
      </c>
      <c r="E4677" s="166" t="s">
        <v>4215</v>
      </c>
    </row>
    <row r="4678" spans="1:5">
      <c r="A4678" s="174">
        <f t="shared" si="65"/>
        <v>4677</v>
      </c>
      <c r="B4678" s="163">
        <v>45880</v>
      </c>
      <c r="C4678" s="164">
        <v>0.69606481481481486</v>
      </c>
      <c r="D4678" s="159">
        <v>10</v>
      </c>
      <c r="E4678" s="166" t="s">
        <v>4216</v>
      </c>
    </row>
    <row r="4679" spans="1:5">
      <c r="A4679" s="174">
        <f t="shared" si="65"/>
        <v>4678</v>
      </c>
      <c r="B4679" s="163">
        <v>45880</v>
      </c>
      <c r="C4679" s="164">
        <v>0.69210648148148157</v>
      </c>
      <c r="D4679" s="159">
        <v>10</v>
      </c>
      <c r="E4679" s="166" t="s">
        <v>4217</v>
      </c>
    </row>
    <row r="4680" spans="1:5">
      <c r="A4680" s="174">
        <f t="shared" si="65"/>
        <v>4679</v>
      </c>
      <c r="B4680" s="163">
        <v>45880</v>
      </c>
      <c r="C4680" s="164">
        <v>0.68846064814814811</v>
      </c>
      <c r="D4680" s="159">
        <v>10</v>
      </c>
      <c r="E4680" s="166" t="s">
        <v>4218</v>
      </c>
    </row>
    <row r="4681" spans="1:5">
      <c r="A4681" s="174">
        <f t="shared" si="65"/>
        <v>4680</v>
      </c>
      <c r="B4681" s="163">
        <v>45880</v>
      </c>
      <c r="C4681" s="164">
        <v>0.68652777777777774</v>
      </c>
      <c r="D4681" s="159">
        <v>10</v>
      </c>
      <c r="E4681" s="166" t="s">
        <v>3859</v>
      </c>
    </row>
    <row r="4682" spans="1:5">
      <c r="A4682" s="174">
        <f t="shared" si="65"/>
        <v>4681</v>
      </c>
      <c r="B4682" s="163">
        <v>45880</v>
      </c>
      <c r="C4682" s="164">
        <v>0.68577546296296299</v>
      </c>
      <c r="D4682" s="159">
        <v>10</v>
      </c>
      <c r="E4682" s="166" t="s">
        <v>4219</v>
      </c>
    </row>
    <row r="4683" spans="1:5">
      <c r="A4683" s="174">
        <f t="shared" si="65"/>
        <v>4682</v>
      </c>
      <c r="B4683" s="163">
        <v>45880</v>
      </c>
      <c r="C4683" s="164">
        <v>0.68195601851851861</v>
      </c>
      <c r="D4683" s="159">
        <v>10</v>
      </c>
      <c r="E4683" s="166" t="s">
        <v>4220</v>
      </c>
    </row>
    <row r="4684" spans="1:5">
      <c r="A4684" s="174">
        <f t="shared" si="65"/>
        <v>4683</v>
      </c>
      <c r="B4684" s="163">
        <v>45880</v>
      </c>
      <c r="C4684" s="164">
        <v>0.67702546296296295</v>
      </c>
      <c r="D4684" s="159">
        <v>10</v>
      </c>
      <c r="E4684" s="166" t="s">
        <v>4221</v>
      </c>
    </row>
    <row r="4685" spans="1:5">
      <c r="A4685" s="174">
        <f t="shared" si="65"/>
        <v>4684</v>
      </c>
      <c r="B4685" s="163">
        <v>45880</v>
      </c>
      <c r="C4685" s="164">
        <v>0.67576388888888894</v>
      </c>
      <c r="D4685" s="159">
        <v>10</v>
      </c>
      <c r="E4685" s="166" t="s">
        <v>4222</v>
      </c>
    </row>
    <row r="4686" spans="1:5" ht="27">
      <c r="A4686" s="174">
        <f t="shared" si="65"/>
        <v>4685</v>
      </c>
      <c r="B4686" s="163">
        <v>45880</v>
      </c>
      <c r="C4686" s="164">
        <v>0.6586805555555556</v>
      </c>
      <c r="D4686" s="159">
        <v>10</v>
      </c>
      <c r="E4686" s="166" t="s">
        <v>4257</v>
      </c>
    </row>
    <row r="4687" spans="1:5">
      <c r="A4687" s="174">
        <f t="shared" si="65"/>
        <v>4686</v>
      </c>
      <c r="B4687" s="163">
        <v>45880</v>
      </c>
      <c r="C4687" s="164">
        <v>0.65767361111111111</v>
      </c>
      <c r="D4687" s="159">
        <v>10</v>
      </c>
      <c r="E4687" s="166" t="s">
        <v>4223</v>
      </c>
    </row>
    <row r="4688" spans="1:5">
      <c r="A4688" s="174">
        <f t="shared" si="65"/>
        <v>4687</v>
      </c>
      <c r="B4688" s="163">
        <v>45880</v>
      </c>
      <c r="C4688" s="164">
        <v>0.65474537037037039</v>
      </c>
      <c r="D4688" s="159">
        <v>10</v>
      </c>
      <c r="E4688" s="166" t="s">
        <v>1110</v>
      </c>
    </row>
    <row r="4689" spans="1:5">
      <c r="A4689" s="174">
        <f t="shared" si="65"/>
        <v>4688</v>
      </c>
      <c r="B4689" s="163">
        <v>45880</v>
      </c>
      <c r="C4689" s="164">
        <v>0.64048611111111109</v>
      </c>
      <c r="D4689" s="159">
        <v>10</v>
      </c>
      <c r="E4689" s="166" t="s">
        <v>4224</v>
      </c>
    </row>
    <row r="4690" spans="1:5">
      <c r="A4690" s="174">
        <f t="shared" si="65"/>
        <v>4689</v>
      </c>
      <c r="B4690" s="163">
        <v>45880</v>
      </c>
      <c r="C4690" s="164">
        <v>0.64021990740740742</v>
      </c>
      <c r="D4690" s="159">
        <v>10</v>
      </c>
      <c r="E4690" s="166" t="s">
        <v>4225</v>
      </c>
    </row>
    <row r="4691" spans="1:5">
      <c r="A4691" s="174">
        <f t="shared" si="65"/>
        <v>4690</v>
      </c>
      <c r="B4691" s="163">
        <v>45880</v>
      </c>
      <c r="C4691" s="164">
        <v>0.6331134259259259</v>
      </c>
      <c r="D4691" s="159">
        <v>10</v>
      </c>
      <c r="E4691" s="166" t="s">
        <v>4226</v>
      </c>
    </row>
    <row r="4692" spans="1:5">
      <c r="A4692" s="174">
        <f t="shared" si="65"/>
        <v>4691</v>
      </c>
      <c r="B4692" s="163">
        <v>45880</v>
      </c>
      <c r="C4692" s="164">
        <v>0.6297800925925926</v>
      </c>
      <c r="D4692" s="159">
        <v>10</v>
      </c>
      <c r="E4692" s="166" t="s">
        <v>4227</v>
      </c>
    </row>
    <row r="4693" spans="1:5">
      <c r="A4693" s="174">
        <f t="shared" si="65"/>
        <v>4692</v>
      </c>
      <c r="B4693" s="163">
        <v>45880</v>
      </c>
      <c r="C4693" s="164">
        <v>0.61616898148148147</v>
      </c>
      <c r="D4693" s="159">
        <v>10</v>
      </c>
      <c r="E4693" s="166" t="s">
        <v>132</v>
      </c>
    </row>
    <row r="4694" spans="1:5">
      <c r="A4694" s="174">
        <f t="shared" si="65"/>
        <v>4693</v>
      </c>
      <c r="B4694" s="163">
        <v>45880</v>
      </c>
      <c r="C4694" s="164">
        <v>0.60950231481481476</v>
      </c>
      <c r="D4694" s="159">
        <v>10</v>
      </c>
      <c r="E4694" s="166" t="s">
        <v>4228</v>
      </c>
    </row>
    <row r="4695" spans="1:5">
      <c r="A4695" s="174">
        <f t="shared" si="65"/>
        <v>4694</v>
      </c>
      <c r="B4695" s="163">
        <v>45880</v>
      </c>
      <c r="C4695" s="164">
        <v>0.60849537037037038</v>
      </c>
      <c r="D4695" s="159">
        <v>10</v>
      </c>
      <c r="E4695" s="166" t="s">
        <v>4229</v>
      </c>
    </row>
    <row r="4696" spans="1:5">
      <c r="A4696" s="174">
        <f t="shared" si="65"/>
        <v>4695</v>
      </c>
      <c r="B4696" s="163">
        <v>45880</v>
      </c>
      <c r="C4696" s="164">
        <v>0.60303240740740738</v>
      </c>
      <c r="D4696" s="159">
        <v>10</v>
      </c>
      <c r="E4696" s="166" t="s">
        <v>4230</v>
      </c>
    </row>
    <row r="4697" spans="1:5">
      <c r="A4697" s="174">
        <f t="shared" si="65"/>
        <v>4696</v>
      </c>
      <c r="B4697" s="163">
        <v>45880</v>
      </c>
      <c r="C4697" s="164">
        <v>0.60210648148148149</v>
      </c>
      <c r="D4697" s="159">
        <v>10</v>
      </c>
      <c r="E4697" s="166" t="s">
        <v>4231</v>
      </c>
    </row>
    <row r="4698" spans="1:5">
      <c r="A4698" s="174">
        <f t="shared" si="65"/>
        <v>4697</v>
      </c>
      <c r="B4698" s="163">
        <v>45880</v>
      </c>
      <c r="C4698" s="164">
        <v>0.59173611111111113</v>
      </c>
      <c r="D4698" s="159">
        <v>10</v>
      </c>
      <c r="E4698" s="166" t="s">
        <v>4232</v>
      </c>
    </row>
    <row r="4699" spans="1:5">
      <c r="A4699" s="174">
        <f t="shared" si="65"/>
        <v>4698</v>
      </c>
      <c r="B4699" s="163">
        <v>45880</v>
      </c>
      <c r="C4699" s="164">
        <v>0.57732638888888888</v>
      </c>
      <c r="D4699" s="159">
        <v>10</v>
      </c>
      <c r="E4699" s="166" t="s">
        <v>4233</v>
      </c>
    </row>
    <row r="4700" spans="1:5">
      <c r="A4700" s="174">
        <f t="shared" si="65"/>
        <v>4699</v>
      </c>
      <c r="B4700" s="163">
        <v>45880</v>
      </c>
      <c r="C4700" s="164">
        <v>0.57091435185185191</v>
      </c>
      <c r="D4700" s="159">
        <v>10</v>
      </c>
      <c r="E4700" s="166" t="s">
        <v>4234</v>
      </c>
    </row>
    <row r="4701" spans="1:5">
      <c r="A4701" s="174">
        <f t="shared" si="65"/>
        <v>4700</v>
      </c>
      <c r="B4701" s="163">
        <v>45880</v>
      </c>
      <c r="C4701" s="164">
        <v>0.55722222222222217</v>
      </c>
      <c r="D4701" s="159">
        <v>10</v>
      </c>
      <c r="E4701" s="166" t="s">
        <v>4235</v>
      </c>
    </row>
    <row r="4702" spans="1:5">
      <c r="A4702" s="174">
        <f t="shared" si="65"/>
        <v>4701</v>
      </c>
      <c r="B4702" s="163">
        <v>45880</v>
      </c>
      <c r="C4702" s="164">
        <v>0.54574074074074075</v>
      </c>
      <c r="D4702" s="159">
        <v>10</v>
      </c>
      <c r="E4702" s="166" t="s">
        <v>4236</v>
      </c>
    </row>
    <row r="4703" spans="1:5">
      <c r="A4703" s="174">
        <f t="shared" si="65"/>
        <v>4702</v>
      </c>
      <c r="B4703" s="163">
        <v>45880</v>
      </c>
      <c r="C4703" s="164">
        <v>0.53966435185185191</v>
      </c>
      <c r="D4703" s="159">
        <v>10</v>
      </c>
      <c r="E4703" s="166" t="s">
        <v>448</v>
      </c>
    </row>
    <row r="4704" spans="1:5">
      <c r="A4704" s="174">
        <f t="shared" si="65"/>
        <v>4703</v>
      </c>
      <c r="B4704" s="163">
        <v>45880</v>
      </c>
      <c r="C4704" s="164">
        <v>0.5316319444444445</v>
      </c>
      <c r="D4704" s="159">
        <v>10</v>
      </c>
      <c r="E4704" s="166" t="s">
        <v>4237</v>
      </c>
    </row>
    <row r="4705" spans="1:5">
      <c r="A4705" s="174">
        <f t="shared" si="65"/>
        <v>4704</v>
      </c>
      <c r="B4705" s="163">
        <v>45880</v>
      </c>
      <c r="C4705" s="164">
        <v>0.51129629629629625</v>
      </c>
      <c r="D4705" s="159">
        <v>10</v>
      </c>
      <c r="E4705" s="166" t="s">
        <v>4238</v>
      </c>
    </row>
    <row r="4706" spans="1:5">
      <c r="A4706" s="174">
        <f t="shared" si="65"/>
        <v>4705</v>
      </c>
      <c r="B4706" s="163">
        <v>45880</v>
      </c>
      <c r="C4706" s="164">
        <v>0.50185185185185188</v>
      </c>
      <c r="D4706" s="159">
        <v>10</v>
      </c>
      <c r="E4706" s="166" t="s">
        <v>288</v>
      </c>
    </row>
    <row r="4707" spans="1:5">
      <c r="A4707" s="174">
        <f t="shared" si="65"/>
        <v>4706</v>
      </c>
      <c r="B4707" s="163">
        <v>45880</v>
      </c>
      <c r="C4707" s="164">
        <v>0.50172453703703701</v>
      </c>
      <c r="D4707" s="159">
        <v>10</v>
      </c>
      <c r="E4707" s="166" t="s">
        <v>4239</v>
      </c>
    </row>
    <row r="4708" spans="1:5">
      <c r="A4708" s="174">
        <f t="shared" si="65"/>
        <v>4707</v>
      </c>
      <c r="B4708" s="163">
        <v>45880</v>
      </c>
      <c r="C4708" s="164">
        <v>0.48979166666666668</v>
      </c>
      <c r="D4708" s="159">
        <v>10</v>
      </c>
      <c r="E4708" s="166" t="s">
        <v>4240</v>
      </c>
    </row>
    <row r="4709" spans="1:5">
      <c r="A4709" s="174">
        <f t="shared" si="65"/>
        <v>4708</v>
      </c>
      <c r="B4709" s="163">
        <v>45880</v>
      </c>
      <c r="C4709" s="164">
        <v>0.48640046296296297</v>
      </c>
      <c r="D4709" s="159">
        <v>10</v>
      </c>
      <c r="E4709" s="166" t="s">
        <v>4241</v>
      </c>
    </row>
    <row r="4710" spans="1:5">
      <c r="A4710" s="174">
        <f t="shared" si="65"/>
        <v>4709</v>
      </c>
      <c r="B4710" s="163">
        <v>45880</v>
      </c>
      <c r="C4710" s="164">
        <v>0.47181712962962963</v>
      </c>
      <c r="D4710" s="159">
        <v>10</v>
      </c>
      <c r="E4710" s="166" t="s">
        <v>4242</v>
      </c>
    </row>
    <row r="4711" spans="1:5">
      <c r="A4711" s="174">
        <f t="shared" si="65"/>
        <v>4710</v>
      </c>
      <c r="B4711" s="163">
        <v>45880</v>
      </c>
      <c r="C4711" s="164">
        <v>0.46438657407407408</v>
      </c>
      <c r="D4711" s="159">
        <v>10</v>
      </c>
      <c r="E4711" s="166" t="s">
        <v>536</v>
      </c>
    </row>
    <row r="4712" spans="1:5">
      <c r="A4712" s="174">
        <f t="shared" si="65"/>
        <v>4711</v>
      </c>
      <c r="B4712" s="163">
        <v>45880</v>
      </c>
      <c r="C4712" s="164">
        <v>0.4617708333333333</v>
      </c>
      <c r="D4712" s="159">
        <v>10</v>
      </c>
      <c r="E4712" s="166" t="s">
        <v>4243</v>
      </c>
    </row>
    <row r="4713" spans="1:5">
      <c r="A4713" s="174">
        <f t="shared" si="65"/>
        <v>4712</v>
      </c>
      <c r="B4713" s="163">
        <v>45880</v>
      </c>
      <c r="C4713" s="164">
        <v>0.45858796296296295</v>
      </c>
      <c r="D4713" s="159">
        <v>10</v>
      </c>
      <c r="E4713" s="166" t="s">
        <v>4244</v>
      </c>
    </row>
    <row r="4714" spans="1:5">
      <c r="A4714" s="174">
        <f t="shared" si="65"/>
        <v>4713</v>
      </c>
      <c r="B4714" s="163">
        <v>45880</v>
      </c>
      <c r="C4714" s="164">
        <v>0.4496412037037037</v>
      </c>
      <c r="D4714" s="159">
        <v>10</v>
      </c>
      <c r="E4714" s="166" t="s">
        <v>4245</v>
      </c>
    </row>
    <row r="4715" spans="1:5">
      <c r="A4715" s="174">
        <f t="shared" si="65"/>
        <v>4714</v>
      </c>
      <c r="B4715" s="163">
        <v>45880</v>
      </c>
      <c r="C4715" s="164">
        <v>0.44731481481481478</v>
      </c>
      <c r="D4715" s="159">
        <v>10</v>
      </c>
      <c r="E4715" s="166" t="s">
        <v>4256</v>
      </c>
    </row>
    <row r="4716" spans="1:5">
      <c r="A4716" s="174">
        <f t="shared" si="65"/>
        <v>4715</v>
      </c>
      <c r="B4716" s="163">
        <v>45880</v>
      </c>
      <c r="C4716" s="164">
        <v>0.43391203703703707</v>
      </c>
      <c r="D4716" s="159">
        <v>10</v>
      </c>
      <c r="E4716" s="166" t="s">
        <v>4246</v>
      </c>
    </row>
    <row r="4717" spans="1:5">
      <c r="A4717" s="174">
        <f t="shared" si="65"/>
        <v>4716</v>
      </c>
      <c r="B4717" s="163">
        <v>45880</v>
      </c>
      <c r="C4717" s="164">
        <v>0.417025462962963</v>
      </c>
      <c r="D4717" s="159">
        <v>10</v>
      </c>
      <c r="E4717" s="166" t="s">
        <v>4247</v>
      </c>
    </row>
    <row r="4718" spans="1:5">
      <c r="A4718" s="174">
        <f t="shared" si="65"/>
        <v>4717</v>
      </c>
      <c r="B4718" s="163">
        <v>45880</v>
      </c>
      <c r="C4718" s="164">
        <v>0.41375000000000001</v>
      </c>
      <c r="D4718" s="159">
        <v>10</v>
      </c>
      <c r="E4718" s="166" t="s">
        <v>4248</v>
      </c>
    </row>
    <row r="4719" spans="1:5">
      <c r="A4719" s="174">
        <f t="shared" si="65"/>
        <v>4718</v>
      </c>
      <c r="B4719" s="163">
        <v>45880</v>
      </c>
      <c r="C4719" s="164">
        <v>0.41267361111111112</v>
      </c>
      <c r="D4719" s="159">
        <v>10</v>
      </c>
      <c r="E4719" s="166" t="s">
        <v>4249</v>
      </c>
    </row>
    <row r="4720" spans="1:5">
      <c r="A4720" s="174">
        <f t="shared" si="65"/>
        <v>4719</v>
      </c>
      <c r="B4720" s="163">
        <v>45880</v>
      </c>
      <c r="C4720" s="164">
        <v>0.40464120370370371</v>
      </c>
      <c r="D4720" s="159">
        <v>10</v>
      </c>
      <c r="E4720" s="166" t="s">
        <v>4250</v>
      </c>
    </row>
    <row r="4721" spans="1:5">
      <c r="A4721" s="174">
        <f t="shared" si="65"/>
        <v>4720</v>
      </c>
      <c r="B4721" s="163">
        <v>45880</v>
      </c>
      <c r="C4721" s="164">
        <v>0.38840277777777782</v>
      </c>
      <c r="D4721" s="159">
        <v>10</v>
      </c>
      <c r="E4721" s="166" t="s">
        <v>4251</v>
      </c>
    </row>
    <row r="4722" spans="1:5">
      <c r="A4722" s="174">
        <f t="shared" si="65"/>
        <v>4721</v>
      </c>
      <c r="B4722" s="163">
        <v>45880</v>
      </c>
      <c r="C4722" s="164">
        <v>0.38780092592592591</v>
      </c>
      <c r="D4722" s="159">
        <v>10</v>
      </c>
      <c r="E4722" s="166" t="s">
        <v>4255</v>
      </c>
    </row>
    <row r="4723" spans="1:5">
      <c r="A4723" s="174">
        <f t="shared" si="65"/>
        <v>4722</v>
      </c>
      <c r="B4723" s="163">
        <v>45880</v>
      </c>
      <c r="C4723" s="164">
        <v>0.38673611111111111</v>
      </c>
      <c r="D4723" s="159">
        <v>10</v>
      </c>
      <c r="E4723" s="166" t="s">
        <v>4252</v>
      </c>
    </row>
    <row r="4724" spans="1:5">
      <c r="A4724" s="174">
        <f t="shared" si="65"/>
        <v>4723</v>
      </c>
      <c r="B4724" s="163">
        <v>45880</v>
      </c>
      <c r="C4724" s="164">
        <v>0.3812962962962963</v>
      </c>
      <c r="D4724" s="159">
        <v>10</v>
      </c>
      <c r="E4724" s="166" t="s">
        <v>4253</v>
      </c>
    </row>
    <row r="4725" spans="1:5">
      <c r="A4725" s="174">
        <f t="shared" ref="A4725:A4788" si="66">ROW()-1</f>
        <v>4724</v>
      </c>
      <c r="B4725" s="163">
        <v>45880</v>
      </c>
      <c r="C4725" s="164">
        <v>0.37834490740740739</v>
      </c>
      <c r="D4725" s="159">
        <v>10</v>
      </c>
      <c r="E4725" s="166" t="s">
        <v>4254</v>
      </c>
    </row>
    <row r="4726" spans="1:5">
      <c r="A4726" s="174">
        <f t="shared" si="66"/>
        <v>4725</v>
      </c>
      <c r="B4726" s="163">
        <v>45881</v>
      </c>
      <c r="C4726" s="164">
        <v>0.9122337962962962</v>
      </c>
      <c r="D4726" s="159">
        <v>10</v>
      </c>
      <c r="E4726" s="166" t="s">
        <v>4258</v>
      </c>
    </row>
    <row r="4727" spans="1:5">
      <c r="A4727" s="174">
        <f t="shared" si="66"/>
        <v>4726</v>
      </c>
      <c r="B4727" s="163">
        <v>45881</v>
      </c>
      <c r="C4727" s="164">
        <v>0.90016203703703701</v>
      </c>
      <c r="D4727" s="159">
        <v>10</v>
      </c>
      <c r="E4727" s="166" t="s">
        <v>4259</v>
      </c>
    </row>
    <row r="4728" spans="1:5">
      <c r="A4728" s="174">
        <f t="shared" si="66"/>
        <v>4727</v>
      </c>
      <c r="B4728" s="163">
        <v>45881</v>
      </c>
      <c r="C4728" s="164">
        <v>0.89961805555555552</v>
      </c>
      <c r="D4728" s="159">
        <v>10</v>
      </c>
      <c r="E4728" s="166" t="s">
        <v>4260</v>
      </c>
    </row>
    <row r="4729" spans="1:5">
      <c r="A4729" s="174">
        <f t="shared" si="66"/>
        <v>4728</v>
      </c>
      <c r="B4729" s="163">
        <v>45881</v>
      </c>
      <c r="C4729" s="164">
        <v>0.87836805555555564</v>
      </c>
      <c r="D4729" s="159">
        <v>10</v>
      </c>
      <c r="E4729" s="166" t="s">
        <v>4261</v>
      </c>
    </row>
    <row r="4730" spans="1:5">
      <c r="A4730" s="174">
        <f t="shared" si="66"/>
        <v>4729</v>
      </c>
      <c r="B4730" s="163">
        <v>45881</v>
      </c>
      <c r="C4730" s="164">
        <v>0.81090277777777775</v>
      </c>
      <c r="D4730" s="159">
        <v>10</v>
      </c>
      <c r="E4730" s="166" t="s">
        <v>132</v>
      </c>
    </row>
    <row r="4731" spans="1:5">
      <c r="A4731" s="174">
        <f t="shared" si="66"/>
        <v>4730</v>
      </c>
      <c r="B4731" s="163">
        <v>45881</v>
      </c>
      <c r="C4731" s="164">
        <v>0.75170138888888882</v>
      </c>
      <c r="D4731" s="159">
        <v>10</v>
      </c>
      <c r="E4731" s="166" t="s">
        <v>4262</v>
      </c>
    </row>
    <row r="4732" spans="1:5">
      <c r="A4732" s="174">
        <f t="shared" si="66"/>
        <v>4731</v>
      </c>
      <c r="B4732" s="163">
        <v>45881</v>
      </c>
      <c r="C4732" s="164">
        <v>0.74545138888888884</v>
      </c>
      <c r="D4732" s="159">
        <v>10</v>
      </c>
      <c r="E4732" s="166" t="s">
        <v>4304</v>
      </c>
    </row>
    <row r="4733" spans="1:5">
      <c r="A4733" s="174">
        <f t="shared" si="66"/>
        <v>4732</v>
      </c>
      <c r="B4733" s="163">
        <v>45881</v>
      </c>
      <c r="C4733" s="164">
        <v>0.74200231481481482</v>
      </c>
      <c r="D4733" s="159">
        <v>10</v>
      </c>
      <c r="E4733" s="166" t="s">
        <v>4263</v>
      </c>
    </row>
    <row r="4734" spans="1:5">
      <c r="A4734" s="174">
        <f t="shared" si="66"/>
        <v>4733</v>
      </c>
      <c r="B4734" s="163">
        <v>45881</v>
      </c>
      <c r="C4734" s="164">
        <v>0.73315972222222225</v>
      </c>
      <c r="D4734" s="159">
        <v>10</v>
      </c>
      <c r="E4734" s="166" t="s">
        <v>4264</v>
      </c>
    </row>
    <row r="4735" spans="1:5">
      <c r="A4735" s="174">
        <f t="shared" si="66"/>
        <v>4734</v>
      </c>
      <c r="B4735" s="163">
        <v>45881</v>
      </c>
      <c r="C4735" s="164">
        <v>0.73275462962962967</v>
      </c>
      <c r="D4735" s="159">
        <v>10</v>
      </c>
      <c r="E4735" s="166" t="s">
        <v>4265</v>
      </c>
    </row>
    <row r="4736" spans="1:5" ht="40.5">
      <c r="A4736" s="174">
        <f t="shared" si="66"/>
        <v>4735</v>
      </c>
      <c r="B4736" s="163">
        <v>45881</v>
      </c>
      <c r="C4736" s="164">
        <v>0.72317129629629628</v>
      </c>
      <c r="D4736" s="159">
        <v>10</v>
      </c>
      <c r="E4736" s="166" t="s">
        <v>4303</v>
      </c>
    </row>
    <row r="4737" spans="1:5">
      <c r="A4737" s="174">
        <f t="shared" si="66"/>
        <v>4736</v>
      </c>
      <c r="B4737" s="163">
        <v>45881</v>
      </c>
      <c r="C4737" s="164">
        <v>0.71733796296296293</v>
      </c>
      <c r="D4737" s="159">
        <v>10</v>
      </c>
      <c r="E4737" s="166" t="s">
        <v>4266</v>
      </c>
    </row>
    <row r="4738" spans="1:5">
      <c r="A4738" s="174">
        <f t="shared" si="66"/>
        <v>4737</v>
      </c>
      <c r="B4738" s="163">
        <v>45881</v>
      </c>
      <c r="C4738" s="164">
        <v>0.71447916666666667</v>
      </c>
      <c r="D4738" s="159">
        <v>10</v>
      </c>
      <c r="E4738" s="166" t="s">
        <v>4267</v>
      </c>
    </row>
    <row r="4739" spans="1:5">
      <c r="A4739" s="174">
        <f t="shared" si="66"/>
        <v>4738</v>
      </c>
      <c r="B4739" s="163">
        <v>45881</v>
      </c>
      <c r="C4739" s="164">
        <v>0.70199074074074075</v>
      </c>
      <c r="D4739" s="159">
        <v>10</v>
      </c>
      <c r="E4739" s="166" t="s">
        <v>4268</v>
      </c>
    </row>
    <row r="4740" spans="1:5">
      <c r="A4740" s="174">
        <f t="shared" si="66"/>
        <v>4739</v>
      </c>
      <c r="B4740" s="163">
        <v>45881</v>
      </c>
      <c r="C4740" s="164">
        <v>0.69909722222222215</v>
      </c>
      <c r="D4740" s="159">
        <v>10</v>
      </c>
      <c r="E4740" s="166" t="s">
        <v>4269</v>
      </c>
    </row>
    <row r="4741" spans="1:5">
      <c r="A4741" s="174">
        <f t="shared" si="66"/>
        <v>4740</v>
      </c>
      <c r="B4741" s="163">
        <v>45881</v>
      </c>
      <c r="C4741" s="164">
        <v>0.69800925925925927</v>
      </c>
      <c r="D4741" s="159">
        <v>10</v>
      </c>
      <c r="E4741" s="166" t="s">
        <v>1579</v>
      </c>
    </row>
    <row r="4742" spans="1:5">
      <c r="A4742" s="174">
        <f t="shared" si="66"/>
        <v>4741</v>
      </c>
      <c r="B4742" s="163">
        <v>45881</v>
      </c>
      <c r="C4742" s="164">
        <v>0.69085648148148149</v>
      </c>
      <c r="D4742" s="159">
        <v>10</v>
      </c>
      <c r="E4742" s="166" t="s">
        <v>4270</v>
      </c>
    </row>
    <row r="4743" spans="1:5">
      <c r="A4743" s="174">
        <f t="shared" si="66"/>
        <v>4742</v>
      </c>
      <c r="B4743" s="163">
        <v>45881</v>
      </c>
      <c r="C4743" s="164">
        <v>0.68800925925925915</v>
      </c>
      <c r="D4743" s="159">
        <v>10</v>
      </c>
      <c r="E4743" s="166" t="s">
        <v>4271</v>
      </c>
    </row>
    <row r="4744" spans="1:5">
      <c r="A4744" s="174">
        <f t="shared" si="66"/>
        <v>4743</v>
      </c>
      <c r="B4744" s="163">
        <v>45881</v>
      </c>
      <c r="C4744" s="164">
        <v>0.68744212962962958</v>
      </c>
      <c r="D4744" s="159">
        <v>10</v>
      </c>
      <c r="E4744" s="166" t="s">
        <v>4272</v>
      </c>
    </row>
    <row r="4745" spans="1:5" ht="27">
      <c r="A4745" s="174">
        <f t="shared" si="66"/>
        <v>4744</v>
      </c>
      <c r="B4745" s="163">
        <v>45881</v>
      </c>
      <c r="C4745" s="164">
        <v>0.67114583333333344</v>
      </c>
      <c r="D4745" s="159">
        <v>10</v>
      </c>
      <c r="E4745" s="166" t="s">
        <v>4273</v>
      </c>
    </row>
    <row r="4746" spans="1:5">
      <c r="A4746" s="174">
        <f t="shared" si="66"/>
        <v>4745</v>
      </c>
      <c r="B4746" s="163">
        <v>45881</v>
      </c>
      <c r="C4746" s="164">
        <v>0.66953703703703704</v>
      </c>
      <c r="D4746" s="159">
        <v>10</v>
      </c>
      <c r="E4746" s="166" t="s">
        <v>4274</v>
      </c>
    </row>
    <row r="4747" spans="1:5">
      <c r="A4747" s="174">
        <f t="shared" si="66"/>
        <v>4746</v>
      </c>
      <c r="B4747" s="163">
        <v>45881</v>
      </c>
      <c r="C4747" s="164">
        <v>0.64956018518518521</v>
      </c>
      <c r="D4747" s="159">
        <v>10</v>
      </c>
      <c r="E4747" s="166" t="s">
        <v>354</v>
      </c>
    </row>
    <row r="4748" spans="1:5">
      <c r="A4748" s="174">
        <f t="shared" si="66"/>
        <v>4747</v>
      </c>
      <c r="B4748" s="163">
        <v>45881</v>
      </c>
      <c r="C4748" s="164">
        <v>0.64468749999999997</v>
      </c>
      <c r="D4748" s="159">
        <v>10</v>
      </c>
      <c r="E4748" s="166" t="s">
        <v>1305</v>
      </c>
    </row>
    <row r="4749" spans="1:5">
      <c r="A4749" s="174">
        <f t="shared" si="66"/>
        <v>4748</v>
      </c>
      <c r="B4749" s="163">
        <v>45881</v>
      </c>
      <c r="C4749" s="164">
        <v>0.64086805555555559</v>
      </c>
      <c r="D4749" s="159">
        <v>10</v>
      </c>
      <c r="E4749" s="166" t="s">
        <v>4275</v>
      </c>
    </row>
    <row r="4750" spans="1:5">
      <c r="A4750" s="174">
        <f t="shared" si="66"/>
        <v>4749</v>
      </c>
      <c r="B4750" s="163">
        <v>45881</v>
      </c>
      <c r="C4750" s="164">
        <v>0.63618055555555553</v>
      </c>
      <c r="D4750" s="159">
        <v>10</v>
      </c>
      <c r="E4750" s="166" t="s">
        <v>4276</v>
      </c>
    </row>
    <row r="4751" spans="1:5">
      <c r="A4751" s="174">
        <f t="shared" si="66"/>
        <v>4750</v>
      </c>
      <c r="B4751" s="163">
        <v>45881</v>
      </c>
      <c r="C4751" s="164">
        <v>0.62151620370370375</v>
      </c>
      <c r="D4751" s="159">
        <v>10</v>
      </c>
      <c r="E4751" s="166" t="s">
        <v>4277</v>
      </c>
    </row>
    <row r="4752" spans="1:5">
      <c r="A4752" s="174">
        <f t="shared" si="66"/>
        <v>4751</v>
      </c>
      <c r="B4752" s="163">
        <v>45881</v>
      </c>
      <c r="C4752" s="164">
        <v>0.59112268518518518</v>
      </c>
      <c r="D4752" s="159">
        <v>10</v>
      </c>
      <c r="E4752" s="166" t="s">
        <v>4278</v>
      </c>
    </row>
    <row r="4753" spans="1:5">
      <c r="A4753" s="174">
        <f t="shared" si="66"/>
        <v>4752</v>
      </c>
      <c r="B4753" s="163">
        <v>45881</v>
      </c>
      <c r="C4753" s="164">
        <v>0.57491898148148146</v>
      </c>
      <c r="D4753" s="159">
        <v>8</v>
      </c>
      <c r="E4753" s="166" t="s">
        <v>4279</v>
      </c>
    </row>
    <row r="4754" spans="1:5">
      <c r="A4754" s="174">
        <f t="shared" si="66"/>
        <v>4753</v>
      </c>
      <c r="B4754" s="163">
        <v>45881</v>
      </c>
      <c r="C4754" s="164">
        <v>0.57516203703703705</v>
      </c>
      <c r="D4754" s="159">
        <v>10</v>
      </c>
      <c r="E4754" s="166" t="s">
        <v>4302</v>
      </c>
    </row>
    <row r="4755" spans="1:5">
      <c r="A4755" s="174">
        <f t="shared" si="66"/>
        <v>4754</v>
      </c>
      <c r="B4755" s="163">
        <v>45881</v>
      </c>
      <c r="C4755" s="164">
        <v>0.56390046296296303</v>
      </c>
      <c r="D4755" s="159">
        <v>10</v>
      </c>
      <c r="E4755" s="166" t="s">
        <v>4280</v>
      </c>
    </row>
    <row r="4756" spans="1:5">
      <c r="A4756" s="174">
        <f t="shared" si="66"/>
        <v>4755</v>
      </c>
      <c r="B4756" s="163">
        <v>45881</v>
      </c>
      <c r="C4756" s="164">
        <v>0.56377314814814816</v>
      </c>
      <c r="D4756" s="159">
        <v>10</v>
      </c>
      <c r="E4756" s="166" t="s">
        <v>4281</v>
      </c>
    </row>
    <row r="4757" spans="1:5">
      <c r="A4757" s="174">
        <f t="shared" si="66"/>
        <v>4756</v>
      </c>
      <c r="B4757" s="163">
        <v>45881</v>
      </c>
      <c r="C4757" s="164">
        <v>0.55109953703703707</v>
      </c>
      <c r="D4757" s="159">
        <v>10</v>
      </c>
      <c r="E4757" s="166" t="s">
        <v>4282</v>
      </c>
    </row>
    <row r="4758" spans="1:5">
      <c r="A4758" s="174">
        <f t="shared" si="66"/>
        <v>4757</v>
      </c>
      <c r="B4758" s="163">
        <v>45881</v>
      </c>
      <c r="C4758" s="164">
        <v>0.54715277777777771</v>
      </c>
      <c r="D4758" s="159">
        <v>10</v>
      </c>
      <c r="E4758" s="166" t="s">
        <v>4283</v>
      </c>
    </row>
    <row r="4759" spans="1:5">
      <c r="A4759" s="174">
        <f t="shared" si="66"/>
        <v>4758</v>
      </c>
      <c r="B4759" s="163">
        <v>45881</v>
      </c>
      <c r="C4759" s="164">
        <v>0.5430787037037037</v>
      </c>
      <c r="D4759" s="159">
        <v>10</v>
      </c>
      <c r="E4759" s="166" t="s">
        <v>4284</v>
      </c>
    </row>
    <row r="4760" spans="1:5">
      <c r="A4760" s="174">
        <f t="shared" si="66"/>
        <v>4759</v>
      </c>
      <c r="B4760" s="163">
        <v>45881</v>
      </c>
      <c r="C4760" s="164">
        <v>0.52662037037037035</v>
      </c>
      <c r="D4760" s="159">
        <v>10</v>
      </c>
      <c r="E4760" s="166" t="s">
        <v>4285</v>
      </c>
    </row>
    <row r="4761" spans="1:5">
      <c r="A4761" s="174">
        <f t="shared" si="66"/>
        <v>4760</v>
      </c>
      <c r="B4761" s="163">
        <v>45881</v>
      </c>
      <c r="C4761" s="164">
        <v>0.50359953703703708</v>
      </c>
      <c r="D4761" s="159">
        <v>10</v>
      </c>
      <c r="E4761" s="166" t="s">
        <v>4286</v>
      </c>
    </row>
    <row r="4762" spans="1:5">
      <c r="A4762" s="174">
        <f t="shared" si="66"/>
        <v>4761</v>
      </c>
      <c r="B4762" s="163">
        <v>45881</v>
      </c>
      <c r="C4762" s="164">
        <v>0.50086805555555558</v>
      </c>
      <c r="D4762" s="159">
        <v>10</v>
      </c>
      <c r="E4762" s="166" t="s">
        <v>4287</v>
      </c>
    </row>
    <row r="4763" spans="1:5">
      <c r="A4763" s="174">
        <f t="shared" si="66"/>
        <v>4762</v>
      </c>
      <c r="B4763" s="163">
        <v>45881</v>
      </c>
      <c r="C4763" s="164">
        <v>0.50015046296296295</v>
      </c>
      <c r="D4763" s="159">
        <v>10</v>
      </c>
      <c r="E4763" s="166" t="s">
        <v>4288</v>
      </c>
    </row>
    <row r="4764" spans="1:5">
      <c r="A4764" s="174">
        <f t="shared" si="66"/>
        <v>4763</v>
      </c>
      <c r="B4764" s="163">
        <v>45881</v>
      </c>
      <c r="C4764" s="164">
        <v>0.49684027777777778</v>
      </c>
      <c r="D4764" s="159">
        <v>10</v>
      </c>
      <c r="E4764" s="166" t="s">
        <v>4289</v>
      </c>
    </row>
    <row r="4765" spans="1:5">
      <c r="A4765" s="174">
        <f t="shared" si="66"/>
        <v>4764</v>
      </c>
      <c r="B4765" s="163">
        <v>45881</v>
      </c>
      <c r="C4765" s="164">
        <v>0.49488425925925927</v>
      </c>
      <c r="D4765" s="159">
        <v>10</v>
      </c>
      <c r="E4765" s="166" t="s">
        <v>4290</v>
      </c>
    </row>
    <row r="4766" spans="1:5">
      <c r="A4766" s="174">
        <f t="shared" si="66"/>
        <v>4765</v>
      </c>
      <c r="B4766" s="163">
        <v>45881</v>
      </c>
      <c r="C4766" s="164">
        <v>0.48495370370370372</v>
      </c>
      <c r="D4766" s="159">
        <v>10</v>
      </c>
      <c r="E4766" s="166" t="s">
        <v>4291</v>
      </c>
    </row>
    <row r="4767" spans="1:5">
      <c r="A4767" s="174">
        <f t="shared" si="66"/>
        <v>4766</v>
      </c>
      <c r="B4767" s="163">
        <v>45881</v>
      </c>
      <c r="C4767" s="164">
        <v>0.48202546296296295</v>
      </c>
      <c r="D4767" s="159">
        <v>10</v>
      </c>
      <c r="E4767" s="166" t="s">
        <v>4292</v>
      </c>
    </row>
    <row r="4768" spans="1:5">
      <c r="A4768" s="174">
        <f t="shared" si="66"/>
        <v>4767</v>
      </c>
      <c r="B4768" s="163">
        <v>45881</v>
      </c>
      <c r="C4768" s="164">
        <v>0.47351851851851851</v>
      </c>
      <c r="D4768" s="159">
        <v>10</v>
      </c>
      <c r="E4768" s="166" t="s">
        <v>4293</v>
      </c>
    </row>
    <row r="4769" spans="1:5">
      <c r="A4769" s="174">
        <f t="shared" si="66"/>
        <v>4768</v>
      </c>
      <c r="B4769" s="163">
        <v>45881</v>
      </c>
      <c r="C4769" s="164">
        <v>0.46615740740740735</v>
      </c>
      <c r="D4769" s="159">
        <v>10</v>
      </c>
      <c r="E4769" s="166" t="s">
        <v>4294</v>
      </c>
    </row>
    <row r="4770" spans="1:5">
      <c r="A4770" s="174">
        <f t="shared" si="66"/>
        <v>4769</v>
      </c>
      <c r="B4770" s="163">
        <v>45881</v>
      </c>
      <c r="C4770" s="164">
        <v>0.4534259259259259</v>
      </c>
      <c r="D4770" s="159">
        <v>10</v>
      </c>
      <c r="E4770" s="166" t="s">
        <v>4080</v>
      </c>
    </row>
    <row r="4771" spans="1:5">
      <c r="A4771" s="174">
        <f t="shared" si="66"/>
        <v>4770</v>
      </c>
      <c r="B4771" s="163">
        <v>45881</v>
      </c>
      <c r="C4771" s="164">
        <v>0.44579861111111113</v>
      </c>
      <c r="D4771" s="159">
        <v>10</v>
      </c>
      <c r="E4771" s="166" t="s">
        <v>4295</v>
      </c>
    </row>
    <row r="4772" spans="1:5">
      <c r="A4772" s="174">
        <f t="shared" si="66"/>
        <v>4771</v>
      </c>
      <c r="B4772" s="163">
        <v>45881</v>
      </c>
      <c r="C4772" s="164">
        <v>0.44166666666666665</v>
      </c>
      <c r="D4772" s="159">
        <v>10</v>
      </c>
      <c r="E4772" s="166" t="s">
        <v>4296</v>
      </c>
    </row>
    <row r="4773" spans="1:5">
      <c r="A4773" s="174">
        <f t="shared" si="66"/>
        <v>4772</v>
      </c>
      <c r="B4773" s="163">
        <v>45881</v>
      </c>
      <c r="C4773" s="164">
        <v>0.43775462962962958</v>
      </c>
      <c r="D4773" s="159">
        <v>10</v>
      </c>
      <c r="E4773" s="166" t="s">
        <v>448</v>
      </c>
    </row>
    <row r="4774" spans="1:5">
      <c r="A4774" s="174">
        <f t="shared" si="66"/>
        <v>4773</v>
      </c>
      <c r="B4774" s="163">
        <v>45881</v>
      </c>
      <c r="C4774" s="164">
        <v>0.43758101851851849</v>
      </c>
      <c r="D4774" s="159">
        <v>9</v>
      </c>
      <c r="E4774" s="166" t="s">
        <v>4297</v>
      </c>
    </row>
    <row r="4775" spans="1:5">
      <c r="A4775" s="174">
        <f t="shared" si="66"/>
        <v>4774</v>
      </c>
      <c r="B4775" s="163">
        <v>45881</v>
      </c>
      <c r="C4775" s="164">
        <v>0.43506944444444445</v>
      </c>
      <c r="D4775" s="159">
        <v>10</v>
      </c>
      <c r="E4775" s="166" t="s">
        <v>4298</v>
      </c>
    </row>
    <row r="4776" spans="1:5">
      <c r="A4776" s="174">
        <f t="shared" si="66"/>
        <v>4775</v>
      </c>
      <c r="B4776" s="163">
        <v>45881</v>
      </c>
      <c r="C4776" s="164">
        <v>0.41380787037037042</v>
      </c>
      <c r="D4776" s="159">
        <v>10</v>
      </c>
      <c r="E4776" s="166" t="s">
        <v>4299</v>
      </c>
    </row>
    <row r="4777" spans="1:5">
      <c r="A4777" s="174">
        <f t="shared" si="66"/>
        <v>4776</v>
      </c>
      <c r="B4777" s="163">
        <v>45881</v>
      </c>
      <c r="C4777" s="164">
        <v>0.39664351851851848</v>
      </c>
      <c r="D4777" s="159">
        <v>10</v>
      </c>
      <c r="E4777" s="166" t="s">
        <v>1488</v>
      </c>
    </row>
    <row r="4778" spans="1:5">
      <c r="A4778" s="174">
        <f t="shared" si="66"/>
        <v>4777</v>
      </c>
      <c r="B4778" s="163">
        <v>45881</v>
      </c>
      <c r="C4778" s="164">
        <v>0.38534722222222223</v>
      </c>
      <c r="D4778" s="159">
        <v>10</v>
      </c>
      <c r="E4778" s="166" t="s">
        <v>4300</v>
      </c>
    </row>
    <row r="4779" spans="1:5">
      <c r="A4779" s="174">
        <f t="shared" si="66"/>
        <v>4778</v>
      </c>
      <c r="B4779" s="163">
        <v>45881</v>
      </c>
      <c r="C4779" s="164">
        <v>0.3838657407407407</v>
      </c>
      <c r="D4779" s="159">
        <v>10</v>
      </c>
      <c r="E4779" s="166" t="s">
        <v>4301</v>
      </c>
    </row>
    <row r="4780" spans="1:5">
      <c r="A4780" s="174">
        <f t="shared" si="66"/>
        <v>4779</v>
      </c>
      <c r="B4780" s="163">
        <v>45882</v>
      </c>
      <c r="C4780" s="164">
        <v>0.88170138888888883</v>
      </c>
      <c r="D4780" s="159">
        <v>10</v>
      </c>
      <c r="E4780" s="166" t="s">
        <v>4305</v>
      </c>
    </row>
    <row r="4781" spans="1:5">
      <c r="A4781" s="174">
        <f t="shared" si="66"/>
        <v>4780</v>
      </c>
      <c r="B4781" s="163">
        <v>45882</v>
      </c>
      <c r="C4781" s="164">
        <v>0.85285879629629635</v>
      </c>
      <c r="D4781" s="159">
        <v>10</v>
      </c>
      <c r="E4781" s="166" t="s">
        <v>4306</v>
      </c>
    </row>
    <row r="4782" spans="1:5">
      <c r="A4782" s="174">
        <f t="shared" si="66"/>
        <v>4781</v>
      </c>
      <c r="B4782" s="163">
        <v>45882</v>
      </c>
      <c r="C4782" s="164">
        <v>0.84612268518518519</v>
      </c>
      <c r="D4782" s="159">
        <v>10</v>
      </c>
      <c r="E4782" s="166" t="s">
        <v>4307</v>
      </c>
    </row>
    <row r="4783" spans="1:5">
      <c r="A4783" s="174">
        <f t="shared" si="66"/>
        <v>4782</v>
      </c>
      <c r="B4783" s="163">
        <v>45882</v>
      </c>
      <c r="C4783" s="164">
        <v>0.83938657407407413</v>
      </c>
      <c r="D4783" s="159">
        <v>10</v>
      </c>
      <c r="E4783" s="166" t="s">
        <v>4308</v>
      </c>
    </row>
    <row r="4784" spans="1:5">
      <c r="A4784" s="174">
        <f t="shared" si="66"/>
        <v>4783</v>
      </c>
      <c r="B4784" s="163">
        <v>45882</v>
      </c>
      <c r="C4784" s="164">
        <v>0.83905092592592589</v>
      </c>
      <c r="D4784" s="159">
        <v>10</v>
      </c>
      <c r="E4784" s="166" t="s">
        <v>4309</v>
      </c>
    </row>
    <row r="4785" spans="1:5" ht="27">
      <c r="A4785" s="174">
        <f t="shared" si="66"/>
        <v>4784</v>
      </c>
      <c r="B4785" s="163">
        <v>45882</v>
      </c>
      <c r="C4785" s="164">
        <v>0.82930555555555552</v>
      </c>
      <c r="D4785" s="159">
        <v>10</v>
      </c>
      <c r="E4785" s="166" t="s">
        <v>4347</v>
      </c>
    </row>
    <row r="4786" spans="1:5">
      <c r="A4786" s="174">
        <f t="shared" si="66"/>
        <v>4785</v>
      </c>
      <c r="B4786" s="163">
        <v>45882</v>
      </c>
      <c r="C4786" s="164">
        <v>0.82648148148148148</v>
      </c>
      <c r="D4786" s="159">
        <v>10</v>
      </c>
      <c r="E4786" s="166" t="s">
        <v>4310</v>
      </c>
    </row>
    <row r="4787" spans="1:5">
      <c r="A4787" s="174">
        <f t="shared" si="66"/>
        <v>4786</v>
      </c>
      <c r="B4787" s="163">
        <v>45882</v>
      </c>
      <c r="C4787" s="164">
        <v>0.80209490740740741</v>
      </c>
      <c r="D4787" s="159">
        <v>10</v>
      </c>
      <c r="E4787" s="166" t="s">
        <v>657</v>
      </c>
    </row>
    <row r="4788" spans="1:5">
      <c r="A4788" s="174">
        <f t="shared" si="66"/>
        <v>4787</v>
      </c>
      <c r="B4788" s="163">
        <v>45882</v>
      </c>
      <c r="C4788" s="164">
        <v>0.78162037037037047</v>
      </c>
      <c r="D4788" s="159">
        <v>10</v>
      </c>
      <c r="E4788" s="166" t="s">
        <v>4311</v>
      </c>
    </row>
    <row r="4789" spans="1:5">
      <c r="A4789" s="174">
        <f t="shared" ref="A4789:A4852" si="67">ROW()-1</f>
        <v>4788</v>
      </c>
      <c r="B4789" s="163">
        <v>45882</v>
      </c>
      <c r="C4789" s="164">
        <v>0.7590972222222222</v>
      </c>
      <c r="D4789" s="159">
        <v>10</v>
      </c>
      <c r="E4789" s="166" t="s">
        <v>4312</v>
      </c>
    </row>
    <row r="4790" spans="1:5">
      <c r="A4790" s="174">
        <f t="shared" si="67"/>
        <v>4789</v>
      </c>
      <c r="B4790" s="163">
        <v>45882</v>
      </c>
      <c r="C4790" s="164">
        <v>0.73642361111111121</v>
      </c>
      <c r="D4790" s="159">
        <v>10</v>
      </c>
      <c r="E4790" s="166" t="s">
        <v>4313</v>
      </c>
    </row>
    <row r="4791" spans="1:5">
      <c r="A4791" s="174">
        <f t="shared" si="67"/>
        <v>4790</v>
      </c>
      <c r="B4791" s="163">
        <v>45882</v>
      </c>
      <c r="C4791" s="164">
        <v>0.72364583333333332</v>
      </c>
      <c r="D4791" s="159">
        <v>10</v>
      </c>
      <c r="E4791" s="166" t="s">
        <v>132</v>
      </c>
    </row>
    <row r="4792" spans="1:5">
      <c r="A4792" s="174">
        <f t="shared" si="67"/>
        <v>4791</v>
      </c>
      <c r="B4792" s="163">
        <v>45882</v>
      </c>
      <c r="C4792" s="164">
        <v>0.71002314814814815</v>
      </c>
      <c r="D4792" s="159">
        <v>10</v>
      </c>
      <c r="E4792" s="166" t="s">
        <v>4314</v>
      </c>
    </row>
    <row r="4793" spans="1:5">
      <c r="A4793" s="174">
        <f t="shared" si="67"/>
        <v>4792</v>
      </c>
      <c r="B4793" s="163">
        <v>45882</v>
      </c>
      <c r="C4793" s="164">
        <v>0.70633101851851843</v>
      </c>
      <c r="D4793" s="159">
        <v>10</v>
      </c>
      <c r="E4793" s="166" t="s">
        <v>4315</v>
      </c>
    </row>
    <row r="4794" spans="1:5">
      <c r="A4794" s="174">
        <f t="shared" si="67"/>
        <v>4793</v>
      </c>
      <c r="B4794" s="163">
        <v>45882</v>
      </c>
      <c r="C4794" s="164">
        <v>0.70182870370370365</v>
      </c>
      <c r="D4794" s="159">
        <v>10</v>
      </c>
      <c r="E4794" s="166" t="s">
        <v>4316</v>
      </c>
    </row>
    <row r="4795" spans="1:5">
      <c r="A4795" s="174">
        <f t="shared" si="67"/>
        <v>4794</v>
      </c>
      <c r="B4795" s="163">
        <v>45882</v>
      </c>
      <c r="C4795" s="164">
        <v>0.69700231481481489</v>
      </c>
      <c r="D4795" s="159">
        <v>10</v>
      </c>
      <c r="E4795" s="166" t="s">
        <v>2535</v>
      </c>
    </row>
    <row r="4796" spans="1:5">
      <c r="A4796" s="174">
        <f t="shared" si="67"/>
        <v>4795</v>
      </c>
      <c r="B4796" s="163">
        <v>45882</v>
      </c>
      <c r="C4796" s="164">
        <v>0.68983796296296296</v>
      </c>
      <c r="D4796" s="159">
        <v>10</v>
      </c>
      <c r="E4796" s="166" t="s">
        <v>4317</v>
      </c>
    </row>
    <row r="4797" spans="1:5">
      <c r="A4797" s="174">
        <f t="shared" si="67"/>
        <v>4796</v>
      </c>
      <c r="B4797" s="163">
        <v>45882</v>
      </c>
      <c r="C4797" s="164">
        <v>0.68351851851851853</v>
      </c>
      <c r="D4797" s="159">
        <v>10</v>
      </c>
      <c r="E4797" s="166" t="s">
        <v>4318</v>
      </c>
    </row>
    <row r="4798" spans="1:5">
      <c r="A4798" s="174">
        <f t="shared" si="67"/>
        <v>4797</v>
      </c>
      <c r="B4798" s="163">
        <v>45882</v>
      </c>
      <c r="C4798" s="164">
        <v>0.6814930555555555</v>
      </c>
      <c r="D4798" s="159">
        <v>10</v>
      </c>
      <c r="E4798" s="166" t="s">
        <v>4319</v>
      </c>
    </row>
    <row r="4799" spans="1:5">
      <c r="A4799" s="174">
        <f t="shared" si="67"/>
        <v>4798</v>
      </c>
      <c r="B4799" s="163">
        <v>45882</v>
      </c>
      <c r="C4799" s="164">
        <v>0.67770833333333336</v>
      </c>
      <c r="D4799" s="159">
        <v>10</v>
      </c>
      <c r="E4799" s="166" t="s">
        <v>4320</v>
      </c>
    </row>
    <row r="4800" spans="1:5">
      <c r="A4800" s="174">
        <f t="shared" si="67"/>
        <v>4799</v>
      </c>
      <c r="B4800" s="163">
        <v>45882</v>
      </c>
      <c r="C4800" s="164">
        <v>0.67061342592592599</v>
      </c>
      <c r="D4800" s="159">
        <v>10</v>
      </c>
      <c r="E4800" s="166" t="s">
        <v>1519</v>
      </c>
    </row>
    <row r="4801" spans="1:5">
      <c r="A4801" s="174">
        <f t="shared" si="67"/>
        <v>4800</v>
      </c>
      <c r="B4801" s="163">
        <v>45882</v>
      </c>
      <c r="C4801" s="164">
        <v>0.65092592592592591</v>
      </c>
      <c r="D4801" s="159">
        <v>10</v>
      </c>
      <c r="E4801" s="166" t="s">
        <v>4321</v>
      </c>
    </row>
    <row r="4802" spans="1:5">
      <c r="A4802" s="174">
        <f t="shared" si="67"/>
        <v>4801</v>
      </c>
      <c r="B4802" s="163">
        <v>45882</v>
      </c>
      <c r="C4802" s="164">
        <v>0.64831018518518524</v>
      </c>
      <c r="D4802" s="159">
        <v>10</v>
      </c>
      <c r="E4802" s="166" t="s">
        <v>4322</v>
      </c>
    </row>
    <row r="4803" spans="1:5">
      <c r="A4803" s="174">
        <f t="shared" si="67"/>
        <v>4802</v>
      </c>
      <c r="B4803" s="163">
        <v>45882</v>
      </c>
      <c r="C4803" s="164">
        <v>0.63853009259259264</v>
      </c>
      <c r="D4803" s="159">
        <v>10</v>
      </c>
      <c r="E4803" s="166" t="s">
        <v>4346</v>
      </c>
    </row>
    <row r="4804" spans="1:5">
      <c r="A4804" s="174">
        <f t="shared" si="67"/>
        <v>4803</v>
      </c>
      <c r="B4804" s="163">
        <v>45882</v>
      </c>
      <c r="C4804" s="164">
        <v>0.62890046296296298</v>
      </c>
      <c r="D4804" s="159">
        <v>10</v>
      </c>
      <c r="E4804" s="166" t="s">
        <v>4323</v>
      </c>
    </row>
    <row r="4805" spans="1:5">
      <c r="A4805" s="174">
        <f t="shared" si="67"/>
        <v>4804</v>
      </c>
      <c r="B4805" s="163">
        <v>45882</v>
      </c>
      <c r="C4805" s="164">
        <v>0.62719907407407405</v>
      </c>
      <c r="D4805" s="159">
        <v>10</v>
      </c>
      <c r="E4805" s="166" t="s">
        <v>2163</v>
      </c>
    </row>
    <row r="4806" spans="1:5">
      <c r="A4806" s="174">
        <f t="shared" si="67"/>
        <v>4805</v>
      </c>
      <c r="B4806" s="163">
        <v>45882</v>
      </c>
      <c r="C4806" s="164">
        <v>0.61916666666666664</v>
      </c>
      <c r="D4806" s="159">
        <v>10</v>
      </c>
      <c r="E4806" s="166" t="s">
        <v>4324</v>
      </c>
    </row>
    <row r="4807" spans="1:5">
      <c r="A4807" s="174">
        <f t="shared" si="67"/>
        <v>4806</v>
      </c>
      <c r="B4807" s="163">
        <v>45882</v>
      </c>
      <c r="C4807" s="164">
        <v>0.61805555555555558</v>
      </c>
      <c r="D4807" s="159">
        <v>10</v>
      </c>
      <c r="E4807" s="166" t="s">
        <v>4325</v>
      </c>
    </row>
    <row r="4808" spans="1:5">
      <c r="A4808" s="174">
        <f t="shared" si="67"/>
        <v>4807</v>
      </c>
      <c r="B4808" s="163">
        <v>45882</v>
      </c>
      <c r="C4808" s="164">
        <v>0.6052777777777778</v>
      </c>
      <c r="D4808" s="159">
        <v>10</v>
      </c>
      <c r="E4808" s="166" t="s">
        <v>4326</v>
      </c>
    </row>
    <row r="4809" spans="1:5">
      <c r="A4809" s="174">
        <f t="shared" si="67"/>
        <v>4808</v>
      </c>
      <c r="B4809" s="163">
        <v>45882</v>
      </c>
      <c r="C4809" s="164">
        <v>0.60101851851851851</v>
      </c>
      <c r="D4809" s="159">
        <v>10</v>
      </c>
      <c r="E4809" s="166" t="s">
        <v>4327</v>
      </c>
    </row>
    <row r="4810" spans="1:5">
      <c r="A4810" s="174">
        <f t="shared" si="67"/>
        <v>4809</v>
      </c>
      <c r="B4810" s="163">
        <v>45882</v>
      </c>
      <c r="C4810" s="164">
        <v>0.59681712962962963</v>
      </c>
      <c r="D4810" s="159">
        <v>10</v>
      </c>
      <c r="E4810" s="166" t="s">
        <v>4328</v>
      </c>
    </row>
    <row r="4811" spans="1:5">
      <c r="A4811" s="174">
        <f t="shared" si="67"/>
        <v>4810</v>
      </c>
      <c r="B4811" s="163">
        <v>45882</v>
      </c>
      <c r="C4811" s="164">
        <v>0.58523148148148152</v>
      </c>
      <c r="D4811" s="159">
        <v>10</v>
      </c>
      <c r="E4811" s="166" t="s">
        <v>4329</v>
      </c>
    </row>
    <row r="4812" spans="1:5">
      <c r="A4812" s="174">
        <f t="shared" si="67"/>
        <v>4811</v>
      </c>
      <c r="B4812" s="163">
        <v>45882</v>
      </c>
      <c r="C4812" s="164">
        <v>0.57685185185185184</v>
      </c>
      <c r="D4812" s="159">
        <v>10</v>
      </c>
      <c r="E4812" s="166" t="s">
        <v>492</v>
      </c>
    </row>
    <row r="4813" spans="1:5" ht="27">
      <c r="A4813" s="174">
        <f t="shared" si="67"/>
        <v>4812</v>
      </c>
      <c r="B4813" s="163">
        <v>45882</v>
      </c>
      <c r="C4813" s="164">
        <v>0.56276620370370367</v>
      </c>
      <c r="D4813" s="159">
        <v>10</v>
      </c>
      <c r="E4813" s="166" t="s">
        <v>4345</v>
      </c>
    </row>
    <row r="4814" spans="1:5">
      <c r="A4814" s="174">
        <f t="shared" si="67"/>
        <v>4813</v>
      </c>
      <c r="B4814" s="163">
        <v>45882</v>
      </c>
      <c r="C4814" s="164">
        <v>0.55888888888888888</v>
      </c>
      <c r="D4814" s="159">
        <v>10</v>
      </c>
      <c r="E4814" s="166" t="s">
        <v>4330</v>
      </c>
    </row>
    <row r="4815" spans="1:5">
      <c r="A4815" s="174">
        <f t="shared" si="67"/>
        <v>4814</v>
      </c>
      <c r="B4815" s="163">
        <v>45882</v>
      </c>
      <c r="C4815" s="164">
        <v>0.52612268518518512</v>
      </c>
      <c r="D4815" s="159">
        <v>10</v>
      </c>
      <c r="E4815" s="166" t="s">
        <v>214</v>
      </c>
    </row>
    <row r="4816" spans="1:5">
      <c r="A4816" s="174">
        <f t="shared" si="67"/>
        <v>4815</v>
      </c>
      <c r="B4816" s="163">
        <v>45882</v>
      </c>
      <c r="C4816" s="164">
        <v>0.50246527777777772</v>
      </c>
      <c r="D4816" s="159">
        <v>10</v>
      </c>
      <c r="E4816" s="166" t="s">
        <v>244</v>
      </c>
    </row>
    <row r="4817" spans="1:5">
      <c r="A4817" s="174">
        <f t="shared" si="67"/>
        <v>4816</v>
      </c>
      <c r="B4817" s="163">
        <v>45882</v>
      </c>
      <c r="C4817" s="164">
        <v>0.49276620370370372</v>
      </c>
      <c r="D4817" s="159">
        <v>10</v>
      </c>
      <c r="E4817" s="166" t="s">
        <v>4331</v>
      </c>
    </row>
    <row r="4818" spans="1:5">
      <c r="A4818" s="174">
        <f t="shared" si="67"/>
        <v>4817</v>
      </c>
      <c r="B4818" s="163">
        <v>45882</v>
      </c>
      <c r="C4818" s="164">
        <v>0.48577546296296298</v>
      </c>
      <c r="D4818" s="159">
        <v>10</v>
      </c>
      <c r="E4818" s="166" t="s">
        <v>4332</v>
      </c>
    </row>
    <row r="4819" spans="1:5">
      <c r="A4819" s="174">
        <f t="shared" si="67"/>
        <v>4818</v>
      </c>
      <c r="B4819" s="163">
        <v>45882</v>
      </c>
      <c r="C4819" s="164">
        <v>0.48540509259259257</v>
      </c>
      <c r="D4819" s="159">
        <v>10</v>
      </c>
      <c r="E4819" s="166" t="s">
        <v>4333</v>
      </c>
    </row>
    <row r="4820" spans="1:5">
      <c r="A4820" s="174">
        <f t="shared" si="67"/>
        <v>4819</v>
      </c>
      <c r="B4820" s="163">
        <v>45882</v>
      </c>
      <c r="C4820" s="164">
        <v>0.48267361111111112</v>
      </c>
      <c r="D4820" s="159">
        <v>10</v>
      </c>
      <c r="E4820" s="166" t="s">
        <v>1364</v>
      </c>
    </row>
    <row r="4821" spans="1:5">
      <c r="A4821" s="174">
        <f t="shared" si="67"/>
        <v>4820</v>
      </c>
      <c r="B4821" s="163">
        <v>45882</v>
      </c>
      <c r="C4821" s="164">
        <v>0.47582175925925929</v>
      </c>
      <c r="D4821" s="159">
        <v>10</v>
      </c>
      <c r="E4821" s="166" t="s">
        <v>132</v>
      </c>
    </row>
    <row r="4822" spans="1:5">
      <c r="A4822" s="174">
        <f t="shared" si="67"/>
        <v>4821</v>
      </c>
      <c r="B4822" s="163">
        <v>45882</v>
      </c>
      <c r="C4822" s="164">
        <v>0.46137731481481481</v>
      </c>
      <c r="D4822" s="159">
        <v>10</v>
      </c>
      <c r="E4822" s="166" t="s">
        <v>4334</v>
      </c>
    </row>
    <row r="4823" spans="1:5">
      <c r="A4823" s="174">
        <f t="shared" si="67"/>
        <v>4822</v>
      </c>
      <c r="B4823" s="163">
        <v>45882</v>
      </c>
      <c r="C4823" s="164">
        <v>0.44390046296296298</v>
      </c>
      <c r="D4823" s="159">
        <v>10</v>
      </c>
      <c r="E4823" s="166" t="s">
        <v>4335</v>
      </c>
    </row>
    <row r="4824" spans="1:5">
      <c r="A4824" s="174">
        <f t="shared" si="67"/>
        <v>4823</v>
      </c>
      <c r="B4824" s="163">
        <v>45882</v>
      </c>
      <c r="C4824" s="164">
        <v>0.43878472222222226</v>
      </c>
      <c r="D4824" s="159">
        <v>10</v>
      </c>
      <c r="E4824" s="166" t="s">
        <v>4336</v>
      </c>
    </row>
    <row r="4825" spans="1:5">
      <c r="A4825" s="174">
        <f t="shared" si="67"/>
        <v>4824</v>
      </c>
      <c r="B4825" s="163">
        <v>45882</v>
      </c>
      <c r="C4825" s="164">
        <v>0.42458333333333331</v>
      </c>
      <c r="D4825" s="159">
        <v>10</v>
      </c>
      <c r="E4825" s="166" t="s">
        <v>4337</v>
      </c>
    </row>
    <row r="4826" spans="1:5">
      <c r="A4826" s="174">
        <f t="shared" si="67"/>
        <v>4825</v>
      </c>
      <c r="B4826" s="163">
        <v>45882</v>
      </c>
      <c r="C4826" s="164">
        <v>0.42143518518518519</v>
      </c>
      <c r="D4826" s="159">
        <v>10</v>
      </c>
      <c r="E4826" s="166" t="s">
        <v>4338</v>
      </c>
    </row>
    <row r="4827" spans="1:5">
      <c r="A4827" s="174">
        <f t="shared" si="67"/>
        <v>4826</v>
      </c>
      <c r="B4827" s="163">
        <v>45882</v>
      </c>
      <c r="C4827" s="164">
        <v>0.41462962962962963</v>
      </c>
      <c r="D4827" s="159">
        <v>10</v>
      </c>
      <c r="E4827" s="166" t="s">
        <v>4339</v>
      </c>
    </row>
    <row r="4828" spans="1:5">
      <c r="A4828" s="174">
        <f t="shared" si="67"/>
        <v>4827</v>
      </c>
      <c r="B4828" s="163">
        <v>45882</v>
      </c>
      <c r="C4828" s="164">
        <v>0.40671296296296294</v>
      </c>
      <c r="D4828" s="159">
        <v>10</v>
      </c>
      <c r="E4828" s="166" t="s">
        <v>4340</v>
      </c>
    </row>
    <row r="4829" spans="1:5">
      <c r="A4829" s="174">
        <f t="shared" si="67"/>
        <v>4828</v>
      </c>
      <c r="B4829" s="163">
        <v>45882</v>
      </c>
      <c r="C4829" s="164">
        <v>0.40614583333333337</v>
      </c>
      <c r="D4829" s="159">
        <v>10</v>
      </c>
      <c r="E4829" s="166" t="s">
        <v>4341</v>
      </c>
    </row>
    <row r="4830" spans="1:5">
      <c r="A4830" s="174">
        <f t="shared" si="67"/>
        <v>4829</v>
      </c>
      <c r="B4830" s="163">
        <v>45882</v>
      </c>
      <c r="C4830" s="164">
        <v>0.40409722222222227</v>
      </c>
      <c r="D4830" s="159">
        <v>10</v>
      </c>
      <c r="E4830" s="166" t="s">
        <v>4342</v>
      </c>
    </row>
    <row r="4831" spans="1:5">
      <c r="A4831" s="174">
        <f t="shared" si="67"/>
        <v>4830</v>
      </c>
      <c r="B4831" s="163">
        <v>45882</v>
      </c>
      <c r="C4831" s="164">
        <v>0.40173611111111113</v>
      </c>
      <c r="D4831" s="159">
        <v>10</v>
      </c>
      <c r="E4831" s="166" t="s">
        <v>4343</v>
      </c>
    </row>
    <row r="4832" spans="1:5">
      <c r="A4832" s="174">
        <f t="shared" si="67"/>
        <v>4831</v>
      </c>
      <c r="B4832" s="163">
        <v>45882</v>
      </c>
      <c r="C4832" s="164">
        <v>0.39239583333333333</v>
      </c>
      <c r="D4832" s="159">
        <v>10</v>
      </c>
      <c r="E4832" s="166" t="s">
        <v>4344</v>
      </c>
    </row>
    <row r="4833" spans="1:5">
      <c r="A4833" s="174">
        <f t="shared" si="67"/>
        <v>4832</v>
      </c>
      <c r="B4833" s="163">
        <v>45883</v>
      </c>
      <c r="C4833" s="164">
        <v>0.78828703703703706</v>
      </c>
      <c r="D4833" s="159">
        <v>10</v>
      </c>
      <c r="E4833" s="166" t="s">
        <v>4370</v>
      </c>
    </row>
    <row r="4834" spans="1:5" ht="27">
      <c r="A4834" s="174">
        <f t="shared" si="67"/>
        <v>4833</v>
      </c>
      <c r="B4834" s="163">
        <v>45883</v>
      </c>
      <c r="C4834" s="164">
        <v>0.78736111111111118</v>
      </c>
      <c r="D4834" s="159">
        <v>10</v>
      </c>
      <c r="E4834" s="166" t="s">
        <v>4371</v>
      </c>
    </row>
    <row r="4835" spans="1:5">
      <c r="A4835" s="174">
        <f t="shared" si="67"/>
        <v>4834</v>
      </c>
      <c r="B4835" s="163">
        <v>45883</v>
      </c>
      <c r="C4835" s="164">
        <v>0.78040509259259261</v>
      </c>
      <c r="D4835" s="159">
        <v>10</v>
      </c>
      <c r="E4835" s="166" t="s">
        <v>4372</v>
      </c>
    </row>
    <row r="4836" spans="1:5">
      <c r="A4836" s="174">
        <f t="shared" si="67"/>
        <v>4835</v>
      </c>
      <c r="B4836" s="163">
        <v>45883</v>
      </c>
      <c r="C4836" s="164">
        <v>0.76037037037037036</v>
      </c>
      <c r="D4836" s="159">
        <v>10</v>
      </c>
      <c r="E4836" s="166" t="s">
        <v>4373</v>
      </c>
    </row>
    <row r="4837" spans="1:5">
      <c r="A4837" s="174">
        <f t="shared" si="67"/>
        <v>4836</v>
      </c>
      <c r="B4837" s="163">
        <v>45883</v>
      </c>
      <c r="C4837" s="164">
        <v>0.75624999999999998</v>
      </c>
      <c r="D4837" s="159">
        <v>10</v>
      </c>
      <c r="E4837" s="166" t="s">
        <v>132</v>
      </c>
    </row>
    <row r="4838" spans="1:5">
      <c r="A4838" s="174">
        <f t="shared" si="67"/>
        <v>4837</v>
      </c>
      <c r="B4838" s="163">
        <v>45883</v>
      </c>
      <c r="C4838" s="164">
        <v>0.74133101851851846</v>
      </c>
      <c r="D4838" s="159">
        <v>10</v>
      </c>
      <c r="E4838" s="166" t="s">
        <v>4374</v>
      </c>
    </row>
    <row r="4839" spans="1:5">
      <c r="A4839" s="174">
        <f t="shared" si="67"/>
        <v>4838</v>
      </c>
      <c r="B4839" s="163">
        <v>45883</v>
      </c>
      <c r="C4839" s="164">
        <v>0.73534722222222226</v>
      </c>
      <c r="D4839" s="159">
        <v>10</v>
      </c>
      <c r="E4839" s="166" t="s">
        <v>4375</v>
      </c>
    </row>
    <row r="4840" spans="1:5">
      <c r="A4840" s="174">
        <f t="shared" si="67"/>
        <v>4839</v>
      </c>
      <c r="B4840" s="163">
        <v>45883</v>
      </c>
      <c r="C4840" s="164">
        <v>0.73304398148148142</v>
      </c>
      <c r="D4840" s="159">
        <v>10</v>
      </c>
      <c r="E4840" s="166" t="s">
        <v>4376</v>
      </c>
    </row>
    <row r="4841" spans="1:5">
      <c r="A4841" s="174">
        <f t="shared" si="67"/>
        <v>4840</v>
      </c>
      <c r="B4841" s="163">
        <v>45883</v>
      </c>
      <c r="C4841" s="164">
        <v>0.73054398148148147</v>
      </c>
      <c r="D4841" s="159">
        <v>10</v>
      </c>
      <c r="E4841" s="166" t="s">
        <v>4377</v>
      </c>
    </row>
    <row r="4842" spans="1:5">
      <c r="A4842" s="174">
        <f t="shared" si="67"/>
        <v>4841</v>
      </c>
      <c r="B4842" s="163">
        <v>45883</v>
      </c>
      <c r="C4842" s="164">
        <v>0.72373842592592597</v>
      </c>
      <c r="D4842" s="159">
        <v>10</v>
      </c>
      <c r="E4842" s="166" t="s">
        <v>4378</v>
      </c>
    </row>
    <row r="4843" spans="1:5">
      <c r="A4843" s="174">
        <f t="shared" si="67"/>
        <v>4842</v>
      </c>
      <c r="B4843" s="163">
        <v>45883</v>
      </c>
      <c r="C4843" s="164">
        <v>0.71512731481481484</v>
      </c>
      <c r="D4843" s="159">
        <v>10</v>
      </c>
      <c r="E4843" s="166" t="s">
        <v>4379</v>
      </c>
    </row>
    <row r="4844" spans="1:5">
      <c r="A4844" s="174">
        <f t="shared" si="67"/>
        <v>4843</v>
      </c>
      <c r="B4844" s="163">
        <v>45883</v>
      </c>
      <c r="C4844" s="164">
        <v>0.70037037037037031</v>
      </c>
      <c r="D4844" s="159">
        <v>10</v>
      </c>
      <c r="E4844" s="166" t="s">
        <v>4380</v>
      </c>
    </row>
    <row r="4845" spans="1:5">
      <c r="A4845" s="174">
        <f t="shared" si="67"/>
        <v>4844</v>
      </c>
      <c r="B4845" s="163">
        <v>45883</v>
      </c>
      <c r="C4845" s="164">
        <v>0.6971180555555555</v>
      </c>
      <c r="D4845" s="159">
        <v>10</v>
      </c>
      <c r="E4845" s="166" t="s">
        <v>4381</v>
      </c>
    </row>
    <row r="4846" spans="1:5">
      <c r="A4846" s="174">
        <f t="shared" si="67"/>
        <v>4845</v>
      </c>
      <c r="B4846" s="163">
        <v>45883</v>
      </c>
      <c r="C4846" s="164">
        <v>0.68604166666666666</v>
      </c>
      <c r="D4846" s="159">
        <v>10</v>
      </c>
      <c r="E4846" s="166" t="s">
        <v>4382</v>
      </c>
    </row>
    <row r="4847" spans="1:5">
      <c r="A4847" s="174">
        <f t="shared" si="67"/>
        <v>4846</v>
      </c>
      <c r="B4847" s="163">
        <v>45883</v>
      </c>
      <c r="C4847" s="164">
        <v>0.6796875</v>
      </c>
      <c r="D4847" s="159">
        <v>10</v>
      </c>
      <c r="E4847" s="166" t="s">
        <v>4383</v>
      </c>
    </row>
    <row r="4848" spans="1:5">
      <c r="A4848" s="174">
        <f t="shared" si="67"/>
        <v>4847</v>
      </c>
      <c r="B4848" s="163">
        <v>45883</v>
      </c>
      <c r="C4848" s="164">
        <v>0.67534722222222221</v>
      </c>
      <c r="D4848" s="159">
        <v>10</v>
      </c>
      <c r="E4848" s="166" t="s">
        <v>4384</v>
      </c>
    </row>
    <row r="4849" spans="1:5">
      <c r="A4849" s="174">
        <f t="shared" si="67"/>
        <v>4848</v>
      </c>
      <c r="B4849" s="163">
        <v>45883</v>
      </c>
      <c r="C4849" s="164">
        <v>0.64377314814814812</v>
      </c>
      <c r="D4849" s="159">
        <v>10</v>
      </c>
      <c r="E4849" s="166" t="s">
        <v>4385</v>
      </c>
    </row>
    <row r="4850" spans="1:5">
      <c r="A4850" s="174">
        <f t="shared" si="67"/>
        <v>4849</v>
      </c>
      <c r="B4850" s="163">
        <v>45883</v>
      </c>
      <c r="C4850" s="164">
        <v>0.63526620370370368</v>
      </c>
      <c r="D4850" s="159">
        <v>10</v>
      </c>
      <c r="E4850" s="166" t="s">
        <v>4386</v>
      </c>
    </row>
    <row r="4851" spans="1:5">
      <c r="A4851" s="174">
        <f t="shared" si="67"/>
        <v>4850</v>
      </c>
      <c r="B4851" s="163">
        <v>45883</v>
      </c>
      <c r="C4851" s="164">
        <v>0.63351851851851848</v>
      </c>
      <c r="D4851" s="159">
        <v>10</v>
      </c>
      <c r="E4851" s="166" t="s">
        <v>495</v>
      </c>
    </row>
    <row r="4852" spans="1:5">
      <c r="A4852" s="174">
        <f t="shared" si="67"/>
        <v>4851</v>
      </c>
      <c r="B4852" s="163">
        <v>45883</v>
      </c>
      <c r="C4852" s="164">
        <v>0.62542824074074077</v>
      </c>
      <c r="D4852" s="159">
        <v>10</v>
      </c>
      <c r="E4852" s="166" t="s">
        <v>4387</v>
      </c>
    </row>
    <row r="4853" spans="1:5" ht="27">
      <c r="A4853" s="174">
        <f t="shared" ref="A4853:A4916" si="68">ROW()-1</f>
        <v>4852</v>
      </c>
      <c r="B4853" s="163">
        <v>45883</v>
      </c>
      <c r="C4853" s="164">
        <v>0.60943287037037031</v>
      </c>
      <c r="D4853" s="159">
        <v>9</v>
      </c>
      <c r="E4853" s="166" t="s">
        <v>4388</v>
      </c>
    </row>
    <row r="4854" spans="1:5" ht="27">
      <c r="A4854" s="174">
        <f t="shared" si="68"/>
        <v>4853</v>
      </c>
      <c r="B4854" s="163">
        <v>45883</v>
      </c>
      <c r="C4854" s="164">
        <v>0.60564814814814816</v>
      </c>
      <c r="D4854" s="159">
        <v>10</v>
      </c>
      <c r="E4854" s="166" t="s">
        <v>4389</v>
      </c>
    </row>
    <row r="4855" spans="1:5">
      <c r="A4855" s="174">
        <f t="shared" si="68"/>
        <v>4854</v>
      </c>
      <c r="B4855" s="163">
        <v>45883</v>
      </c>
      <c r="C4855" s="164">
        <v>0.60413194444444451</v>
      </c>
      <c r="D4855" s="159">
        <v>10</v>
      </c>
      <c r="E4855" s="166" t="s">
        <v>2314</v>
      </c>
    </row>
    <row r="4856" spans="1:5">
      <c r="A4856" s="174">
        <f t="shared" si="68"/>
        <v>4855</v>
      </c>
      <c r="B4856" s="163">
        <v>45883</v>
      </c>
      <c r="C4856" s="164">
        <v>0.59924768518518523</v>
      </c>
      <c r="D4856" s="159">
        <v>10</v>
      </c>
      <c r="E4856" s="166" t="s">
        <v>4390</v>
      </c>
    </row>
    <row r="4857" spans="1:5">
      <c r="A4857" s="174">
        <f t="shared" si="68"/>
        <v>4856</v>
      </c>
      <c r="B4857" s="163">
        <v>45883</v>
      </c>
      <c r="C4857" s="164">
        <v>0.59321759259259255</v>
      </c>
      <c r="D4857" s="159">
        <v>10</v>
      </c>
      <c r="E4857" s="166" t="s">
        <v>4391</v>
      </c>
    </row>
    <row r="4858" spans="1:5">
      <c r="A4858" s="174">
        <f t="shared" si="68"/>
        <v>4857</v>
      </c>
      <c r="B4858" s="163">
        <v>45883</v>
      </c>
      <c r="C4858" s="164">
        <v>0.59163194444444445</v>
      </c>
      <c r="D4858" s="159">
        <v>10</v>
      </c>
      <c r="E4858" s="166" t="s">
        <v>4392</v>
      </c>
    </row>
    <row r="4859" spans="1:5" ht="27">
      <c r="A4859" s="174">
        <f t="shared" si="68"/>
        <v>4858</v>
      </c>
      <c r="B4859" s="163">
        <v>45883</v>
      </c>
      <c r="C4859" s="164">
        <v>0.58112268518518517</v>
      </c>
      <c r="D4859" s="159">
        <v>10</v>
      </c>
      <c r="E4859" s="166" t="s">
        <v>4407</v>
      </c>
    </row>
    <row r="4860" spans="1:5">
      <c r="A4860" s="174">
        <f t="shared" si="68"/>
        <v>4859</v>
      </c>
      <c r="B4860" s="163">
        <v>45883</v>
      </c>
      <c r="C4860" s="164">
        <v>0.56584490740740734</v>
      </c>
      <c r="D4860" s="159">
        <v>10</v>
      </c>
      <c r="E4860" s="166" t="s">
        <v>4393</v>
      </c>
    </row>
    <row r="4861" spans="1:5">
      <c r="A4861" s="174">
        <f t="shared" si="68"/>
        <v>4860</v>
      </c>
      <c r="B4861" s="163">
        <v>45883</v>
      </c>
      <c r="C4861" s="164">
        <v>0.54487268518518517</v>
      </c>
      <c r="D4861" s="159">
        <v>10</v>
      </c>
      <c r="E4861" s="166" t="s">
        <v>4394</v>
      </c>
    </row>
    <row r="4862" spans="1:5">
      <c r="A4862" s="174">
        <f t="shared" si="68"/>
        <v>4861</v>
      </c>
      <c r="B4862" s="163">
        <v>45883</v>
      </c>
      <c r="C4862" s="164">
        <v>0.54421296296296295</v>
      </c>
      <c r="D4862" s="159">
        <v>10</v>
      </c>
      <c r="E4862" s="166" t="s">
        <v>4395</v>
      </c>
    </row>
    <row r="4863" spans="1:5">
      <c r="A4863" s="174">
        <f t="shared" si="68"/>
        <v>4862</v>
      </c>
      <c r="B4863" s="163">
        <v>45883</v>
      </c>
      <c r="C4863" s="164">
        <v>0.50719907407407405</v>
      </c>
      <c r="D4863" s="159">
        <v>10</v>
      </c>
      <c r="E4863" s="166" t="s">
        <v>3545</v>
      </c>
    </row>
    <row r="4864" spans="1:5">
      <c r="A4864" s="174">
        <f t="shared" si="68"/>
        <v>4863</v>
      </c>
      <c r="B4864" s="163">
        <v>45883</v>
      </c>
      <c r="C4864" s="164">
        <v>0.49262731481481481</v>
      </c>
      <c r="D4864" s="159">
        <v>10</v>
      </c>
      <c r="E4864" s="166" t="s">
        <v>4396</v>
      </c>
    </row>
    <row r="4865" spans="1:5">
      <c r="A4865" s="174">
        <f t="shared" si="68"/>
        <v>4864</v>
      </c>
      <c r="B4865" s="163">
        <v>45883</v>
      </c>
      <c r="C4865" s="164">
        <v>0.48525462962962962</v>
      </c>
      <c r="D4865" s="159">
        <v>10</v>
      </c>
      <c r="E4865" s="166" t="s">
        <v>4397</v>
      </c>
    </row>
    <row r="4866" spans="1:5">
      <c r="A4866" s="174">
        <f t="shared" si="68"/>
        <v>4865</v>
      </c>
      <c r="B4866" s="163">
        <v>45883</v>
      </c>
      <c r="C4866" s="164">
        <v>0.47325231481481483</v>
      </c>
      <c r="D4866" s="159">
        <v>10</v>
      </c>
      <c r="E4866" s="166" t="s">
        <v>1076</v>
      </c>
    </row>
    <row r="4867" spans="1:5">
      <c r="A4867" s="174">
        <f t="shared" si="68"/>
        <v>4866</v>
      </c>
      <c r="B4867" s="163">
        <v>45883</v>
      </c>
      <c r="C4867" s="164">
        <v>0.47241898148148148</v>
      </c>
      <c r="D4867" s="159">
        <v>10</v>
      </c>
      <c r="E4867" s="166" t="s">
        <v>4398</v>
      </c>
    </row>
    <row r="4868" spans="1:5">
      <c r="A4868" s="174">
        <f t="shared" si="68"/>
        <v>4867</v>
      </c>
      <c r="B4868" s="163">
        <v>45883</v>
      </c>
      <c r="C4868" s="164">
        <v>0.46416666666666667</v>
      </c>
      <c r="D4868" s="159">
        <v>10</v>
      </c>
      <c r="E4868" s="166" t="s">
        <v>4399</v>
      </c>
    </row>
    <row r="4869" spans="1:5">
      <c r="A4869" s="174">
        <f t="shared" si="68"/>
        <v>4868</v>
      </c>
      <c r="B4869" s="163">
        <v>45883</v>
      </c>
      <c r="C4869" s="164">
        <v>0.46172453703703703</v>
      </c>
      <c r="D4869" s="159">
        <v>10</v>
      </c>
      <c r="E4869" s="166" t="s">
        <v>4400</v>
      </c>
    </row>
    <row r="4870" spans="1:5" ht="27">
      <c r="A4870" s="174">
        <f t="shared" si="68"/>
        <v>4869</v>
      </c>
      <c r="B4870" s="163">
        <v>45883</v>
      </c>
      <c r="C4870" s="164">
        <v>0.46016203703703701</v>
      </c>
      <c r="D4870" s="159">
        <v>10</v>
      </c>
      <c r="E4870" s="166" t="s">
        <v>4406</v>
      </c>
    </row>
    <row r="4871" spans="1:5">
      <c r="A4871" s="174">
        <f t="shared" si="68"/>
        <v>4870</v>
      </c>
      <c r="B4871" s="163">
        <v>45883</v>
      </c>
      <c r="C4871" s="164">
        <v>0.42755787037037035</v>
      </c>
      <c r="D4871" s="159">
        <v>10</v>
      </c>
      <c r="E4871" s="166" t="s">
        <v>4401</v>
      </c>
    </row>
    <row r="4872" spans="1:5" ht="27">
      <c r="A4872" s="174">
        <f t="shared" si="68"/>
        <v>4871</v>
      </c>
      <c r="B4872" s="163">
        <v>45883</v>
      </c>
      <c r="C4872" s="164">
        <v>0.41646990740740741</v>
      </c>
      <c r="D4872" s="159">
        <v>10</v>
      </c>
      <c r="E4872" s="166" t="s">
        <v>4405</v>
      </c>
    </row>
    <row r="4873" spans="1:5">
      <c r="A4873" s="174">
        <f t="shared" si="68"/>
        <v>4872</v>
      </c>
      <c r="B4873" s="163">
        <v>45883</v>
      </c>
      <c r="C4873" s="164">
        <v>0.41657407407407404</v>
      </c>
      <c r="D4873" s="159">
        <v>10</v>
      </c>
      <c r="E4873" s="166" t="s">
        <v>4402</v>
      </c>
    </row>
    <row r="4874" spans="1:5">
      <c r="A4874" s="174">
        <f t="shared" si="68"/>
        <v>4873</v>
      </c>
      <c r="B4874" s="163">
        <v>45883</v>
      </c>
      <c r="C4874" s="164">
        <v>0.40376157407407409</v>
      </c>
      <c r="D4874" s="159">
        <v>10</v>
      </c>
      <c r="E4874" s="166" t="s">
        <v>4403</v>
      </c>
    </row>
    <row r="4875" spans="1:5">
      <c r="A4875" s="174">
        <f t="shared" si="68"/>
        <v>4874</v>
      </c>
      <c r="B4875" s="163">
        <v>45883</v>
      </c>
      <c r="C4875" s="164">
        <v>0.38512731481481483</v>
      </c>
      <c r="D4875" s="159">
        <v>10</v>
      </c>
      <c r="E4875" s="166" t="s">
        <v>4404</v>
      </c>
    </row>
    <row r="4876" spans="1:5">
      <c r="A4876" s="174">
        <f t="shared" si="68"/>
        <v>4875</v>
      </c>
      <c r="B4876" s="163">
        <v>45885</v>
      </c>
      <c r="C4876" s="164">
        <v>0.72729166666666656</v>
      </c>
      <c r="D4876" s="159">
        <v>10</v>
      </c>
      <c r="E4876" s="166" t="s">
        <v>4348</v>
      </c>
    </row>
    <row r="4877" spans="1:5">
      <c r="A4877" s="174">
        <f t="shared" si="68"/>
        <v>4876</v>
      </c>
      <c r="B4877" s="163">
        <v>45885</v>
      </c>
      <c r="C4877" s="164">
        <v>0.72122685185185187</v>
      </c>
      <c r="D4877" s="159">
        <v>10</v>
      </c>
      <c r="E4877" s="166" t="s">
        <v>2398</v>
      </c>
    </row>
    <row r="4878" spans="1:5">
      <c r="A4878" s="174">
        <f t="shared" si="68"/>
        <v>4877</v>
      </c>
      <c r="B4878" s="163">
        <v>45885</v>
      </c>
      <c r="C4878" s="164">
        <v>0.71151620370370372</v>
      </c>
      <c r="D4878" s="159">
        <v>10</v>
      </c>
      <c r="E4878" s="166" t="s">
        <v>132</v>
      </c>
    </row>
    <row r="4879" spans="1:5">
      <c r="A4879" s="174">
        <f t="shared" si="68"/>
        <v>4878</v>
      </c>
      <c r="B4879" s="163">
        <v>45885</v>
      </c>
      <c r="C4879" s="164">
        <v>0.70696759259259256</v>
      </c>
      <c r="D4879" s="159">
        <v>10</v>
      </c>
      <c r="E4879" s="166" t="s">
        <v>448</v>
      </c>
    </row>
    <row r="4880" spans="1:5">
      <c r="A4880" s="174">
        <f t="shared" si="68"/>
        <v>4879</v>
      </c>
      <c r="B4880" s="163">
        <v>45885</v>
      </c>
      <c r="C4880" s="164">
        <v>0.70576388888888886</v>
      </c>
      <c r="D4880" s="159">
        <v>10</v>
      </c>
      <c r="E4880" s="166" t="s">
        <v>4349</v>
      </c>
    </row>
    <row r="4881" spans="1:5">
      <c r="A4881" s="174">
        <f t="shared" si="68"/>
        <v>4880</v>
      </c>
      <c r="B4881" s="163">
        <v>45885</v>
      </c>
      <c r="C4881" s="164">
        <v>0.70505787037037038</v>
      </c>
      <c r="D4881" s="159">
        <v>10</v>
      </c>
      <c r="E4881" s="166" t="s">
        <v>4350</v>
      </c>
    </row>
    <row r="4882" spans="1:5">
      <c r="A4882" s="174">
        <f t="shared" si="68"/>
        <v>4881</v>
      </c>
      <c r="B4882" s="163">
        <v>45885</v>
      </c>
      <c r="C4882" s="164">
        <v>0.70134259259259257</v>
      </c>
      <c r="D4882" s="159">
        <v>10</v>
      </c>
      <c r="E4882" s="166" t="s">
        <v>4351</v>
      </c>
    </row>
    <row r="4883" spans="1:5" ht="27">
      <c r="A4883" s="174">
        <f t="shared" si="68"/>
        <v>4882</v>
      </c>
      <c r="B4883" s="163">
        <v>45885</v>
      </c>
      <c r="C4883" s="164">
        <v>0.69827546296296295</v>
      </c>
      <c r="D4883" s="159">
        <v>10</v>
      </c>
      <c r="E4883" s="166" t="s">
        <v>4352</v>
      </c>
    </row>
    <row r="4884" spans="1:5">
      <c r="A4884" s="174">
        <f t="shared" si="68"/>
        <v>4883</v>
      </c>
      <c r="B4884" s="163">
        <v>45885</v>
      </c>
      <c r="C4884" s="164">
        <v>0.69412037037037033</v>
      </c>
      <c r="D4884" s="159">
        <v>10</v>
      </c>
      <c r="E4884" s="166" t="s">
        <v>4353</v>
      </c>
    </row>
    <row r="4885" spans="1:5">
      <c r="A4885" s="174">
        <f t="shared" si="68"/>
        <v>4884</v>
      </c>
      <c r="B4885" s="163">
        <v>45885</v>
      </c>
      <c r="C4885" s="164">
        <v>0.68942129629629623</v>
      </c>
      <c r="D4885" s="159">
        <v>10</v>
      </c>
      <c r="E4885" s="166" t="s">
        <v>4354</v>
      </c>
    </row>
    <row r="4886" spans="1:5">
      <c r="A4886" s="174">
        <f t="shared" si="68"/>
        <v>4885</v>
      </c>
      <c r="B4886" s="163">
        <v>45885</v>
      </c>
      <c r="C4886" s="164">
        <v>0.68465277777777767</v>
      </c>
      <c r="D4886" s="159">
        <v>10</v>
      </c>
      <c r="E4886" s="166" t="s">
        <v>4355</v>
      </c>
    </row>
    <row r="4887" spans="1:5">
      <c r="A4887" s="174">
        <f t="shared" si="68"/>
        <v>4886</v>
      </c>
      <c r="B4887" s="163">
        <v>45885</v>
      </c>
      <c r="C4887" s="164">
        <v>0.68314814814814817</v>
      </c>
      <c r="D4887" s="159">
        <v>10</v>
      </c>
      <c r="E4887" s="166" t="s">
        <v>4356</v>
      </c>
    </row>
    <row r="4888" spans="1:5">
      <c r="A4888" s="174">
        <f t="shared" si="68"/>
        <v>4887</v>
      </c>
      <c r="B4888" s="163">
        <v>45885</v>
      </c>
      <c r="C4888" s="164">
        <v>0.67787037037037035</v>
      </c>
      <c r="D4888" s="159">
        <v>10</v>
      </c>
      <c r="E4888" s="166" t="s">
        <v>4357</v>
      </c>
    </row>
    <row r="4889" spans="1:5">
      <c r="A4889" s="174">
        <f t="shared" si="68"/>
        <v>4888</v>
      </c>
      <c r="B4889" s="163">
        <v>45885</v>
      </c>
      <c r="C4889" s="164">
        <v>0.635625</v>
      </c>
      <c r="D4889" s="159">
        <v>10</v>
      </c>
      <c r="E4889" s="166" t="s">
        <v>4358</v>
      </c>
    </row>
    <row r="4890" spans="1:5">
      <c r="A4890" s="174">
        <f t="shared" si="68"/>
        <v>4889</v>
      </c>
      <c r="B4890" s="163">
        <v>45885</v>
      </c>
      <c r="C4890" s="164">
        <v>0.62810185185185186</v>
      </c>
      <c r="D4890" s="159">
        <v>10</v>
      </c>
      <c r="E4890" s="166" t="s">
        <v>4359</v>
      </c>
    </row>
    <row r="4891" spans="1:5">
      <c r="A4891" s="174">
        <f t="shared" si="68"/>
        <v>4890</v>
      </c>
      <c r="B4891" s="163">
        <v>45885</v>
      </c>
      <c r="C4891" s="164">
        <v>0.62832175925925926</v>
      </c>
      <c r="D4891" s="159">
        <v>10</v>
      </c>
      <c r="E4891" s="166" t="s">
        <v>4360</v>
      </c>
    </row>
    <row r="4892" spans="1:5">
      <c r="A4892" s="174">
        <f t="shared" si="68"/>
        <v>4891</v>
      </c>
      <c r="B4892" s="163">
        <v>45885</v>
      </c>
      <c r="C4892" s="164">
        <v>0.62556712962962957</v>
      </c>
      <c r="D4892" s="159">
        <v>10</v>
      </c>
      <c r="E4892" s="166" t="s">
        <v>4361</v>
      </c>
    </row>
    <row r="4893" spans="1:5">
      <c r="A4893" s="174">
        <f t="shared" si="68"/>
        <v>4892</v>
      </c>
      <c r="B4893" s="163">
        <v>45885</v>
      </c>
      <c r="C4893" s="164">
        <v>0.62290509259259264</v>
      </c>
      <c r="D4893" s="159">
        <v>10</v>
      </c>
      <c r="E4893" s="166" t="s">
        <v>132</v>
      </c>
    </row>
    <row r="4894" spans="1:5">
      <c r="A4894" s="174">
        <f t="shared" si="68"/>
        <v>4893</v>
      </c>
      <c r="B4894" s="163">
        <v>45885</v>
      </c>
      <c r="C4894" s="164">
        <v>0.60412037037037036</v>
      </c>
      <c r="D4894" s="159">
        <v>8</v>
      </c>
      <c r="E4894" s="166" t="s">
        <v>4362</v>
      </c>
    </row>
    <row r="4895" spans="1:5">
      <c r="A4895" s="174">
        <f t="shared" si="68"/>
        <v>4894</v>
      </c>
      <c r="B4895" s="163">
        <v>45885</v>
      </c>
      <c r="C4895" s="164">
        <v>0.60115740740740742</v>
      </c>
      <c r="D4895" s="159">
        <v>10</v>
      </c>
      <c r="E4895" s="166" t="s">
        <v>1340</v>
      </c>
    </row>
    <row r="4896" spans="1:5">
      <c r="A4896" s="174">
        <f t="shared" si="68"/>
        <v>4895</v>
      </c>
      <c r="B4896" s="163">
        <v>45885</v>
      </c>
      <c r="C4896" s="164">
        <v>0.57519675925925928</v>
      </c>
      <c r="D4896" s="159">
        <v>8</v>
      </c>
      <c r="E4896" s="166" t="s">
        <v>4363</v>
      </c>
    </row>
    <row r="4897" spans="1:5">
      <c r="A4897" s="174">
        <f t="shared" si="68"/>
        <v>4896</v>
      </c>
      <c r="B4897" s="163">
        <v>45885</v>
      </c>
      <c r="C4897" s="164">
        <v>0.56325231481481486</v>
      </c>
      <c r="D4897" s="159">
        <v>10</v>
      </c>
      <c r="E4897" s="166" t="s">
        <v>4364</v>
      </c>
    </row>
    <row r="4898" spans="1:5">
      <c r="A4898" s="174">
        <f t="shared" si="68"/>
        <v>4897</v>
      </c>
      <c r="B4898" s="163">
        <v>45885</v>
      </c>
      <c r="C4898" s="164">
        <v>0.55962962962962959</v>
      </c>
      <c r="D4898" s="159">
        <v>10</v>
      </c>
      <c r="E4898" s="166" t="s">
        <v>132</v>
      </c>
    </row>
    <row r="4899" spans="1:5">
      <c r="A4899" s="174">
        <f t="shared" si="68"/>
        <v>4898</v>
      </c>
      <c r="B4899" s="163">
        <v>45885</v>
      </c>
      <c r="C4899" s="164">
        <v>0.52847222222222223</v>
      </c>
      <c r="D4899" s="159">
        <v>10</v>
      </c>
      <c r="E4899" s="166" t="s">
        <v>1253</v>
      </c>
    </row>
    <row r="4900" spans="1:5">
      <c r="A4900" s="174">
        <f t="shared" si="68"/>
        <v>4899</v>
      </c>
      <c r="B4900" s="163">
        <v>45885</v>
      </c>
      <c r="C4900" s="164">
        <v>0.48936342592592591</v>
      </c>
      <c r="D4900" s="159">
        <v>10</v>
      </c>
      <c r="E4900" s="166" t="s">
        <v>4365</v>
      </c>
    </row>
    <row r="4901" spans="1:5">
      <c r="A4901" s="174">
        <f t="shared" si="68"/>
        <v>4900</v>
      </c>
      <c r="B4901" s="163">
        <v>45885</v>
      </c>
      <c r="C4901" s="164">
        <v>0.48023148148148148</v>
      </c>
      <c r="D4901" s="159">
        <v>10</v>
      </c>
      <c r="E4901" s="166" t="s">
        <v>132</v>
      </c>
    </row>
    <row r="4902" spans="1:5">
      <c r="A4902" s="174">
        <f t="shared" si="68"/>
        <v>4901</v>
      </c>
      <c r="B4902" s="163">
        <v>45885</v>
      </c>
      <c r="C4902" s="164">
        <v>0.47716435185185185</v>
      </c>
      <c r="D4902" s="159">
        <v>10</v>
      </c>
      <c r="E4902" s="166" t="s">
        <v>284</v>
      </c>
    </row>
    <row r="4903" spans="1:5">
      <c r="A4903" s="174">
        <f t="shared" si="68"/>
        <v>4902</v>
      </c>
      <c r="B4903" s="163">
        <v>45885</v>
      </c>
      <c r="C4903" s="164">
        <v>0.45630787037037041</v>
      </c>
      <c r="D4903" s="159">
        <v>10</v>
      </c>
      <c r="E4903" s="166" t="s">
        <v>4366</v>
      </c>
    </row>
    <row r="4904" spans="1:5">
      <c r="A4904" s="174">
        <f t="shared" si="68"/>
        <v>4903</v>
      </c>
      <c r="B4904" s="163">
        <v>45885</v>
      </c>
      <c r="C4904" s="164">
        <v>0.45155092592592588</v>
      </c>
      <c r="D4904" s="159">
        <v>10</v>
      </c>
      <c r="E4904" s="166" t="s">
        <v>4367</v>
      </c>
    </row>
    <row r="4905" spans="1:5">
      <c r="A4905" s="174">
        <f t="shared" si="68"/>
        <v>4904</v>
      </c>
      <c r="B4905" s="163">
        <v>45885</v>
      </c>
      <c r="C4905" s="164">
        <v>0.43827546296296299</v>
      </c>
      <c r="D4905" s="159">
        <v>1</v>
      </c>
      <c r="E4905" s="166" t="s">
        <v>4368</v>
      </c>
    </row>
    <row r="4906" spans="1:5">
      <c r="A4906" s="174">
        <f t="shared" si="68"/>
        <v>4905</v>
      </c>
      <c r="B4906" s="163">
        <v>45885</v>
      </c>
      <c r="C4906" s="164">
        <v>0.40968749999999998</v>
      </c>
      <c r="D4906" s="159">
        <v>10</v>
      </c>
      <c r="E4906" s="166" t="s">
        <v>2555</v>
      </c>
    </row>
    <row r="4907" spans="1:5">
      <c r="A4907" s="174">
        <f t="shared" si="68"/>
        <v>4906</v>
      </c>
      <c r="B4907" s="163">
        <v>45885</v>
      </c>
      <c r="C4907" s="164">
        <v>0.3802314814814815</v>
      </c>
      <c r="D4907" s="159">
        <v>10</v>
      </c>
      <c r="E4907" s="166" t="s">
        <v>4369</v>
      </c>
    </row>
    <row r="4908" spans="1:5">
      <c r="A4908" s="174">
        <f t="shared" si="68"/>
        <v>4907</v>
      </c>
      <c r="B4908" s="163">
        <v>45887</v>
      </c>
      <c r="C4908" s="164">
        <v>0.90181712962962957</v>
      </c>
      <c r="D4908" s="159">
        <v>10</v>
      </c>
      <c r="E4908" s="166" t="s">
        <v>4408</v>
      </c>
    </row>
    <row r="4909" spans="1:5">
      <c r="A4909" s="174">
        <f t="shared" si="68"/>
        <v>4908</v>
      </c>
      <c r="B4909" s="163">
        <v>45887</v>
      </c>
      <c r="C4909" s="164">
        <v>0.89071759259259264</v>
      </c>
      <c r="D4909" s="159">
        <v>10</v>
      </c>
      <c r="E4909" s="166" t="s">
        <v>4409</v>
      </c>
    </row>
    <row r="4910" spans="1:5">
      <c r="A4910" s="174">
        <f t="shared" si="68"/>
        <v>4909</v>
      </c>
      <c r="B4910" s="163">
        <v>45887</v>
      </c>
      <c r="C4910" s="164">
        <v>0.804224537037037</v>
      </c>
      <c r="D4910" s="159">
        <v>10</v>
      </c>
      <c r="E4910" s="166" t="s">
        <v>4410</v>
      </c>
    </row>
    <row r="4911" spans="1:5">
      <c r="A4911" s="174">
        <f t="shared" si="68"/>
        <v>4910</v>
      </c>
      <c r="B4911" s="163">
        <v>45887</v>
      </c>
      <c r="C4911" s="164">
        <v>0.79450231481481481</v>
      </c>
      <c r="D4911" s="159">
        <v>10</v>
      </c>
      <c r="E4911" s="166" t="s">
        <v>4411</v>
      </c>
    </row>
    <row r="4912" spans="1:5">
      <c r="A4912" s="174">
        <f t="shared" si="68"/>
        <v>4911</v>
      </c>
      <c r="B4912" s="163">
        <v>45887</v>
      </c>
      <c r="C4912" s="164">
        <v>0.7631134259259259</v>
      </c>
      <c r="D4912" s="159">
        <v>10</v>
      </c>
      <c r="E4912" s="166" t="s">
        <v>4412</v>
      </c>
    </row>
    <row r="4913" spans="1:5" ht="27">
      <c r="A4913" s="174">
        <f t="shared" si="68"/>
        <v>4912</v>
      </c>
      <c r="B4913" s="163">
        <v>45887</v>
      </c>
      <c r="C4913" s="164">
        <v>0.76064814814814818</v>
      </c>
      <c r="D4913" s="159">
        <v>10</v>
      </c>
      <c r="E4913" s="166" t="s">
        <v>4460</v>
      </c>
    </row>
    <row r="4914" spans="1:5">
      <c r="A4914" s="174">
        <f t="shared" si="68"/>
        <v>4913</v>
      </c>
      <c r="B4914" s="163">
        <v>45887</v>
      </c>
      <c r="C4914" s="164">
        <v>0.74162037037037043</v>
      </c>
      <c r="D4914" s="159">
        <v>10</v>
      </c>
      <c r="E4914" s="166" t="s">
        <v>4413</v>
      </c>
    </row>
    <row r="4915" spans="1:5">
      <c r="A4915" s="174">
        <f t="shared" si="68"/>
        <v>4914</v>
      </c>
      <c r="B4915" s="163">
        <v>45887</v>
      </c>
      <c r="C4915" s="164">
        <v>0.73585648148148142</v>
      </c>
      <c r="D4915" s="159">
        <v>10</v>
      </c>
      <c r="E4915" s="166" t="s">
        <v>4414</v>
      </c>
    </row>
    <row r="4916" spans="1:5">
      <c r="A4916" s="174">
        <f t="shared" si="68"/>
        <v>4915</v>
      </c>
      <c r="B4916" s="163">
        <v>45887</v>
      </c>
      <c r="C4916" s="164">
        <v>0.73457175925925933</v>
      </c>
      <c r="D4916" s="159">
        <v>10</v>
      </c>
      <c r="E4916" s="166" t="s">
        <v>4415</v>
      </c>
    </row>
    <row r="4917" spans="1:5">
      <c r="A4917" s="174">
        <f t="shared" ref="A4917:A4980" si="69">ROW()-1</f>
        <v>4916</v>
      </c>
      <c r="B4917" s="163">
        <v>45887</v>
      </c>
      <c r="C4917" s="164">
        <v>0.72851851851851857</v>
      </c>
      <c r="D4917" s="159">
        <v>10</v>
      </c>
      <c r="E4917" s="166" t="s">
        <v>4416</v>
      </c>
    </row>
    <row r="4918" spans="1:5">
      <c r="A4918" s="174">
        <f t="shared" si="69"/>
        <v>4917</v>
      </c>
      <c r="B4918" s="163">
        <v>45887</v>
      </c>
      <c r="C4918" s="164">
        <v>0.72768518518518521</v>
      </c>
      <c r="D4918" s="159">
        <v>10</v>
      </c>
      <c r="E4918" s="166" t="s">
        <v>4417</v>
      </c>
    </row>
    <row r="4919" spans="1:5">
      <c r="A4919" s="174">
        <f t="shared" si="69"/>
        <v>4918</v>
      </c>
      <c r="B4919" s="163">
        <v>45887</v>
      </c>
      <c r="C4919" s="164">
        <v>0.69811342592592596</v>
      </c>
      <c r="D4919" s="159">
        <v>10</v>
      </c>
      <c r="E4919" s="166" t="s">
        <v>4418</v>
      </c>
    </row>
    <row r="4920" spans="1:5">
      <c r="A4920" s="174">
        <f t="shared" si="69"/>
        <v>4919</v>
      </c>
      <c r="B4920" s="163">
        <v>45887</v>
      </c>
      <c r="C4920" s="164">
        <v>0.69627314814814811</v>
      </c>
      <c r="D4920" s="159">
        <v>10</v>
      </c>
      <c r="E4920" s="166" t="s">
        <v>4419</v>
      </c>
    </row>
    <row r="4921" spans="1:5">
      <c r="A4921" s="174">
        <f t="shared" si="69"/>
        <v>4920</v>
      </c>
      <c r="B4921" s="163">
        <v>45887</v>
      </c>
      <c r="C4921" s="164">
        <v>0.6919791666666667</v>
      </c>
      <c r="D4921" s="159">
        <v>10</v>
      </c>
      <c r="E4921" s="166" t="s">
        <v>4420</v>
      </c>
    </row>
    <row r="4922" spans="1:5">
      <c r="A4922" s="174">
        <f t="shared" si="69"/>
        <v>4921</v>
      </c>
      <c r="B4922" s="163">
        <v>45887</v>
      </c>
      <c r="C4922" s="164">
        <v>0.6908333333333333</v>
      </c>
      <c r="D4922" s="159">
        <v>10</v>
      </c>
      <c r="E4922" s="166" t="s">
        <v>4421</v>
      </c>
    </row>
    <row r="4923" spans="1:5">
      <c r="A4923" s="174">
        <f t="shared" si="69"/>
        <v>4922</v>
      </c>
      <c r="B4923" s="163">
        <v>45887</v>
      </c>
      <c r="C4923" s="164">
        <v>0.69021990740740735</v>
      </c>
      <c r="D4923" s="159">
        <v>10</v>
      </c>
      <c r="E4923" s="166" t="s">
        <v>4422</v>
      </c>
    </row>
    <row r="4924" spans="1:5">
      <c r="A4924" s="174">
        <f t="shared" si="69"/>
        <v>4923</v>
      </c>
      <c r="B4924" s="163">
        <v>45887</v>
      </c>
      <c r="C4924" s="164">
        <v>0.67896990740740737</v>
      </c>
      <c r="D4924" s="159">
        <v>10</v>
      </c>
      <c r="E4924" s="166" t="s">
        <v>4423</v>
      </c>
    </row>
    <row r="4925" spans="1:5">
      <c r="A4925" s="174">
        <f t="shared" si="69"/>
        <v>4924</v>
      </c>
      <c r="B4925" s="163">
        <v>45887</v>
      </c>
      <c r="C4925" s="164">
        <v>0.66909722222222223</v>
      </c>
      <c r="D4925" s="159">
        <v>10</v>
      </c>
      <c r="E4925" s="166" t="s">
        <v>4424</v>
      </c>
    </row>
    <row r="4926" spans="1:5">
      <c r="A4926" s="174">
        <f t="shared" si="69"/>
        <v>4925</v>
      </c>
      <c r="B4926" s="163">
        <v>45887</v>
      </c>
      <c r="C4926" s="164">
        <v>0.65162037037037035</v>
      </c>
      <c r="D4926" s="159">
        <v>10</v>
      </c>
      <c r="E4926" s="166" t="s">
        <v>4425</v>
      </c>
    </row>
    <row r="4927" spans="1:5">
      <c r="A4927" s="174">
        <f t="shared" si="69"/>
        <v>4926</v>
      </c>
      <c r="B4927" s="163">
        <v>45887</v>
      </c>
      <c r="C4927" s="164">
        <v>0.64258101851851845</v>
      </c>
      <c r="D4927" s="159">
        <v>10</v>
      </c>
      <c r="E4927" s="166" t="s">
        <v>4426</v>
      </c>
    </row>
    <row r="4928" spans="1:5">
      <c r="A4928" s="174">
        <f t="shared" si="69"/>
        <v>4927</v>
      </c>
      <c r="B4928" s="163">
        <v>45887</v>
      </c>
      <c r="C4928" s="164">
        <v>0.63621527777777775</v>
      </c>
      <c r="D4928" s="159">
        <v>10</v>
      </c>
      <c r="E4928" s="166" t="s">
        <v>132</v>
      </c>
    </row>
    <row r="4929" spans="1:5">
      <c r="A4929" s="174">
        <f t="shared" si="69"/>
        <v>4928</v>
      </c>
      <c r="B4929" s="163">
        <v>45887</v>
      </c>
      <c r="C4929" s="164">
        <v>0.63517361111111115</v>
      </c>
      <c r="D4929" s="159">
        <v>10</v>
      </c>
      <c r="E4929" s="166" t="s">
        <v>4427</v>
      </c>
    </row>
    <row r="4930" spans="1:5">
      <c r="A4930" s="174">
        <f t="shared" si="69"/>
        <v>4929</v>
      </c>
      <c r="B4930" s="163">
        <v>45887</v>
      </c>
      <c r="C4930" s="164">
        <v>0.62548611111111108</v>
      </c>
      <c r="D4930" s="159">
        <v>10</v>
      </c>
      <c r="E4930" s="166" t="s">
        <v>4428</v>
      </c>
    </row>
    <row r="4931" spans="1:5" ht="27">
      <c r="A4931" s="174">
        <f t="shared" si="69"/>
        <v>4930</v>
      </c>
      <c r="B4931" s="163">
        <v>45887</v>
      </c>
      <c r="C4931" s="164">
        <v>0.62396990740740743</v>
      </c>
      <c r="D4931" s="159">
        <v>10</v>
      </c>
      <c r="E4931" s="166" t="s">
        <v>4459</v>
      </c>
    </row>
    <row r="4932" spans="1:5">
      <c r="A4932" s="174">
        <f t="shared" si="69"/>
        <v>4931</v>
      </c>
      <c r="B4932" s="163">
        <v>45887</v>
      </c>
      <c r="C4932" s="164">
        <v>0.61034722222222226</v>
      </c>
      <c r="D4932" s="159">
        <v>10</v>
      </c>
      <c r="E4932" s="166" t="s">
        <v>4429</v>
      </c>
    </row>
    <row r="4933" spans="1:5">
      <c r="A4933" s="174">
        <f t="shared" si="69"/>
        <v>4932</v>
      </c>
      <c r="B4933" s="163">
        <v>45887</v>
      </c>
      <c r="C4933" s="164">
        <v>0.59350694444444441</v>
      </c>
      <c r="D4933" s="159">
        <v>10</v>
      </c>
      <c r="E4933" s="166" t="s">
        <v>4430</v>
      </c>
    </row>
    <row r="4934" spans="1:5">
      <c r="A4934" s="174">
        <f t="shared" si="69"/>
        <v>4933</v>
      </c>
      <c r="B4934" s="163">
        <v>45887</v>
      </c>
      <c r="C4934" s="164">
        <v>0.59138888888888885</v>
      </c>
      <c r="D4934" s="159">
        <v>10</v>
      </c>
      <c r="E4934" s="166" t="s">
        <v>3675</v>
      </c>
    </row>
    <row r="4935" spans="1:5">
      <c r="A4935" s="174">
        <f t="shared" si="69"/>
        <v>4934</v>
      </c>
      <c r="B4935" s="163">
        <v>45887</v>
      </c>
      <c r="C4935" s="164">
        <v>0.55785879629629631</v>
      </c>
      <c r="D4935" s="159">
        <v>10</v>
      </c>
      <c r="E4935" s="166" t="s">
        <v>4431</v>
      </c>
    </row>
    <row r="4936" spans="1:5">
      <c r="A4936" s="174">
        <f t="shared" si="69"/>
        <v>4935</v>
      </c>
      <c r="B4936" s="163">
        <v>45887</v>
      </c>
      <c r="C4936" s="164">
        <v>0.5564930555555555</v>
      </c>
      <c r="D4936" s="159">
        <v>10</v>
      </c>
      <c r="E4936" s="166" t="s">
        <v>4432</v>
      </c>
    </row>
    <row r="4937" spans="1:5">
      <c r="A4937" s="174">
        <f t="shared" si="69"/>
        <v>4936</v>
      </c>
      <c r="B4937" s="163">
        <v>45887</v>
      </c>
      <c r="C4937" s="164">
        <v>0.55565972222222226</v>
      </c>
      <c r="D4937" s="159">
        <v>10</v>
      </c>
      <c r="E4937" s="166" t="s">
        <v>4433</v>
      </c>
    </row>
    <row r="4938" spans="1:5">
      <c r="A4938" s="174">
        <f t="shared" si="69"/>
        <v>4937</v>
      </c>
      <c r="B4938" s="163">
        <v>45887</v>
      </c>
      <c r="C4938" s="164">
        <v>0.54521990740740744</v>
      </c>
      <c r="D4938" s="159">
        <v>10</v>
      </c>
      <c r="E4938" s="166" t="s">
        <v>4434</v>
      </c>
    </row>
    <row r="4939" spans="1:5">
      <c r="A4939" s="174">
        <f t="shared" si="69"/>
        <v>4938</v>
      </c>
      <c r="B4939" s="163">
        <v>45887</v>
      </c>
      <c r="C4939" s="164">
        <v>0.52663194444444439</v>
      </c>
      <c r="D4939" s="159">
        <v>10</v>
      </c>
      <c r="E4939" s="166" t="s">
        <v>4435</v>
      </c>
    </row>
    <row r="4940" spans="1:5">
      <c r="A4940" s="174">
        <f t="shared" si="69"/>
        <v>4939</v>
      </c>
      <c r="B4940" s="163">
        <v>45887</v>
      </c>
      <c r="C4940" s="164">
        <v>0.52137731481481475</v>
      </c>
      <c r="D4940" s="159">
        <v>10</v>
      </c>
      <c r="E4940" s="166" t="s">
        <v>4436</v>
      </c>
    </row>
    <row r="4941" spans="1:5">
      <c r="A4941" s="174">
        <f t="shared" si="69"/>
        <v>4940</v>
      </c>
      <c r="B4941" s="163">
        <v>45887</v>
      </c>
      <c r="C4941" s="164">
        <v>0.51542824074074078</v>
      </c>
      <c r="D4941" s="159">
        <v>10</v>
      </c>
      <c r="E4941" s="166" t="s">
        <v>4437</v>
      </c>
    </row>
    <row r="4942" spans="1:5">
      <c r="A4942" s="174">
        <f t="shared" si="69"/>
        <v>4941</v>
      </c>
      <c r="B4942" s="163">
        <v>45887</v>
      </c>
      <c r="C4942" s="164">
        <v>0.51006944444444446</v>
      </c>
      <c r="D4942" s="159">
        <v>10</v>
      </c>
      <c r="E4942" s="166" t="s">
        <v>244</v>
      </c>
    </row>
    <row r="4943" spans="1:5">
      <c r="A4943" s="174">
        <f t="shared" si="69"/>
        <v>4942</v>
      </c>
      <c r="B4943" s="163">
        <v>45887</v>
      </c>
      <c r="C4943" s="164">
        <v>0.48189814814814813</v>
      </c>
      <c r="D4943" s="159">
        <v>10</v>
      </c>
      <c r="E4943" s="166" t="s">
        <v>288</v>
      </c>
    </row>
    <row r="4944" spans="1:5">
      <c r="A4944" s="174">
        <f t="shared" si="69"/>
        <v>4943</v>
      </c>
      <c r="B4944" s="163">
        <v>45887</v>
      </c>
      <c r="C4944" s="164">
        <v>0.47628472222222223</v>
      </c>
      <c r="D4944" s="159">
        <v>10</v>
      </c>
      <c r="E4944" s="166" t="s">
        <v>4438</v>
      </c>
    </row>
    <row r="4945" spans="1:5">
      <c r="A4945" s="174">
        <f t="shared" si="69"/>
        <v>4944</v>
      </c>
      <c r="B4945" s="163">
        <v>45887</v>
      </c>
      <c r="C4945" s="164">
        <v>0.47494212962962962</v>
      </c>
      <c r="D4945" s="159">
        <v>10</v>
      </c>
      <c r="E4945" s="166" t="s">
        <v>2843</v>
      </c>
    </row>
    <row r="4946" spans="1:5">
      <c r="A4946" s="174">
        <f t="shared" si="69"/>
        <v>4945</v>
      </c>
      <c r="B4946" s="163">
        <v>45887</v>
      </c>
      <c r="C4946" s="164">
        <v>0.46837962962962965</v>
      </c>
      <c r="D4946" s="159">
        <v>10</v>
      </c>
      <c r="E4946" s="166" t="s">
        <v>4439</v>
      </c>
    </row>
    <row r="4947" spans="1:5">
      <c r="A4947" s="174">
        <f t="shared" si="69"/>
        <v>4946</v>
      </c>
      <c r="B4947" s="163">
        <v>45887</v>
      </c>
      <c r="C4947" s="164">
        <v>0.46287037037037032</v>
      </c>
      <c r="D4947" s="159">
        <v>10</v>
      </c>
      <c r="E4947" s="166" t="s">
        <v>4440</v>
      </c>
    </row>
    <row r="4948" spans="1:5">
      <c r="A4948" s="174">
        <f t="shared" si="69"/>
        <v>4947</v>
      </c>
      <c r="B4948" s="163">
        <v>45887</v>
      </c>
      <c r="C4948" s="164">
        <v>0.45827546296296301</v>
      </c>
      <c r="D4948" s="159">
        <v>10</v>
      </c>
      <c r="E4948" s="166" t="s">
        <v>4441</v>
      </c>
    </row>
    <row r="4949" spans="1:5">
      <c r="A4949" s="174">
        <f t="shared" si="69"/>
        <v>4948</v>
      </c>
      <c r="B4949" s="163">
        <v>45887</v>
      </c>
      <c r="C4949" s="164">
        <v>0.45615740740740746</v>
      </c>
      <c r="D4949" s="159">
        <v>10</v>
      </c>
      <c r="E4949" s="166" t="s">
        <v>4442</v>
      </c>
    </row>
    <row r="4950" spans="1:5">
      <c r="A4950" s="174">
        <f t="shared" si="69"/>
        <v>4949</v>
      </c>
      <c r="B4950" s="163">
        <v>45887</v>
      </c>
      <c r="C4950" s="164">
        <v>0.43528935185185186</v>
      </c>
      <c r="D4950" s="159">
        <v>10</v>
      </c>
      <c r="E4950" s="166" t="s">
        <v>4443</v>
      </c>
    </row>
    <row r="4951" spans="1:5">
      <c r="A4951" s="174">
        <f t="shared" si="69"/>
        <v>4950</v>
      </c>
      <c r="B4951" s="163">
        <v>45887</v>
      </c>
      <c r="C4951" s="164">
        <v>0.43466435185185182</v>
      </c>
      <c r="D4951" s="159">
        <v>10</v>
      </c>
      <c r="E4951" s="166" t="s">
        <v>4444</v>
      </c>
    </row>
    <row r="4952" spans="1:5">
      <c r="A4952" s="174">
        <f t="shared" si="69"/>
        <v>4951</v>
      </c>
      <c r="B4952" s="163">
        <v>45887</v>
      </c>
      <c r="C4952" s="164">
        <v>0.43224537037037036</v>
      </c>
      <c r="D4952" s="159">
        <v>10</v>
      </c>
      <c r="E4952" s="166" t="s">
        <v>4445</v>
      </c>
    </row>
    <row r="4953" spans="1:5">
      <c r="A4953" s="174">
        <f t="shared" si="69"/>
        <v>4952</v>
      </c>
      <c r="B4953" s="163">
        <v>45887</v>
      </c>
      <c r="C4953" s="164">
        <v>0.42827546296296298</v>
      </c>
      <c r="D4953" s="159">
        <v>10</v>
      </c>
      <c r="E4953" s="166" t="s">
        <v>4446</v>
      </c>
    </row>
    <row r="4954" spans="1:5">
      <c r="A4954" s="174">
        <f t="shared" si="69"/>
        <v>4953</v>
      </c>
      <c r="B4954" s="163">
        <v>45887</v>
      </c>
      <c r="C4954" s="164">
        <v>0.42107638888888888</v>
      </c>
      <c r="D4954" s="159">
        <v>10</v>
      </c>
      <c r="E4954" s="166" t="s">
        <v>4447</v>
      </c>
    </row>
    <row r="4955" spans="1:5">
      <c r="A4955" s="174">
        <f t="shared" si="69"/>
        <v>4954</v>
      </c>
      <c r="B4955" s="163">
        <v>45887</v>
      </c>
      <c r="C4955" s="164">
        <v>0.41438657407407403</v>
      </c>
      <c r="D4955" s="159">
        <v>10</v>
      </c>
      <c r="E4955" s="166" t="s">
        <v>4448</v>
      </c>
    </row>
    <row r="4956" spans="1:5">
      <c r="A4956" s="174">
        <f t="shared" si="69"/>
        <v>4955</v>
      </c>
      <c r="B4956" s="163">
        <v>45887</v>
      </c>
      <c r="C4956" s="164">
        <v>0.41326388888888888</v>
      </c>
      <c r="D4956" s="159">
        <v>10</v>
      </c>
      <c r="E4956" s="166" t="s">
        <v>4449</v>
      </c>
    </row>
    <row r="4957" spans="1:5">
      <c r="A4957" s="174">
        <f t="shared" si="69"/>
        <v>4956</v>
      </c>
      <c r="B4957" s="163">
        <v>45887</v>
      </c>
      <c r="C4957" s="164">
        <v>0.40622685185185187</v>
      </c>
      <c r="D4957" s="159">
        <v>10</v>
      </c>
      <c r="E4957" s="166" t="s">
        <v>4450</v>
      </c>
    </row>
    <row r="4958" spans="1:5">
      <c r="A4958" s="174">
        <f t="shared" si="69"/>
        <v>4957</v>
      </c>
      <c r="B4958" s="163">
        <v>45887</v>
      </c>
      <c r="C4958" s="164">
        <v>0.40289351851851851</v>
      </c>
      <c r="D4958" s="159">
        <v>10</v>
      </c>
      <c r="E4958" s="166" t="s">
        <v>4451</v>
      </c>
    </row>
    <row r="4959" spans="1:5">
      <c r="A4959" s="174">
        <f t="shared" si="69"/>
        <v>4958</v>
      </c>
      <c r="B4959" s="163">
        <v>45887</v>
      </c>
      <c r="C4959" s="164">
        <v>0.39994212962962966</v>
      </c>
      <c r="D4959" s="159">
        <v>10</v>
      </c>
      <c r="E4959" s="166" t="s">
        <v>4452</v>
      </c>
    </row>
    <row r="4960" spans="1:5">
      <c r="A4960" s="174">
        <f t="shared" si="69"/>
        <v>4959</v>
      </c>
      <c r="B4960" s="163">
        <v>45887</v>
      </c>
      <c r="C4960" s="164">
        <v>0.40046296296296297</v>
      </c>
      <c r="D4960" s="159">
        <v>10</v>
      </c>
      <c r="E4960" s="166" t="s">
        <v>4453</v>
      </c>
    </row>
    <row r="4961" spans="1:5">
      <c r="A4961" s="174">
        <f t="shared" si="69"/>
        <v>4960</v>
      </c>
      <c r="B4961" s="163">
        <v>45887</v>
      </c>
      <c r="C4961" s="164">
        <v>0.3963888888888889</v>
      </c>
      <c r="D4961" s="159">
        <v>10</v>
      </c>
      <c r="E4961" s="166" t="s">
        <v>4454</v>
      </c>
    </row>
    <row r="4962" spans="1:5">
      <c r="A4962" s="174">
        <f t="shared" si="69"/>
        <v>4961</v>
      </c>
      <c r="B4962" s="163">
        <v>45887</v>
      </c>
      <c r="C4962" s="164">
        <v>0.38780092592592591</v>
      </c>
      <c r="D4962" s="159">
        <v>10</v>
      </c>
      <c r="E4962" s="166" t="s">
        <v>4455</v>
      </c>
    </row>
    <row r="4963" spans="1:5">
      <c r="A4963" s="174">
        <f t="shared" si="69"/>
        <v>4962</v>
      </c>
      <c r="B4963" s="163">
        <v>45887</v>
      </c>
      <c r="C4963" s="164">
        <v>0.38435185185185183</v>
      </c>
      <c r="D4963" s="159">
        <v>10</v>
      </c>
      <c r="E4963" s="166" t="s">
        <v>4458</v>
      </c>
    </row>
    <row r="4964" spans="1:5">
      <c r="A4964" s="174">
        <f t="shared" si="69"/>
        <v>4963</v>
      </c>
      <c r="B4964" s="163">
        <v>45887</v>
      </c>
      <c r="C4964" s="164">
        <v>0.3832638888888889</v>
      </c>
      <c r="D4964" s="159">
        <v>10</v>
      </c>
      <c r="E4964" s="166" t="s">
        <v>4456</v>
      </c>
    </row>
    <row r="4965" spans="1:5">
      <c r="A4965" s="174">
        <f t="shared" si="69"/>
        <v>4964</v>
      </c>
      <c r="B4965" s="163">
        <v>45887</v>
      </c>
      <c r="C4965" s="164">
        <v>0.37995370370370374</v>
      </c>
      <c r="D4965" s="159">
        <v>10</v>
      </c>
      <c r="E4965" s="166" t="s">
        <v>4457</v>
      </c>
    </row>
    <row r="4966" spans="1:5">
      <c r="A4966" s="174">
        <f t="shared" si="69"/>
        <v>4965</v>
      </c>
      <c r="B4966" s="163">
        <v>45888</v>
      </c>
      <c r="C4966" s="164">
        <v>0.90520833333333339</v>
      </c>
      <c r="D4966" s="159">
        <v>10</v>
      </c>
      <c r="E4966" s="166" t="s">
        <v>4461</v>
      </c>
    </row>
    <row r="4967" spans="1:5">
      <c r="A4967" s="174">
        <f t="shared" si="69"/>
        <v>4966</v>
      </c>
      <c r="B4967" s="163">
        <v>45888</v>
      </c>
      <c r="C4967" s="164">
        <v>0.89711805555555557</v>
      </c>
      <c r="D4967" s="159">
        <v>10</v>
      </c>
      <c r="E4967" s="166" t="s">
        <v>4462</v>
      </c>
    </row>
    <row r="4968" spans="1:5">
      <c r="A4968" s="174">
        <f t="shared" si="69"/>
        <v>4967</v>
      </c>
      <c r="B4968" s="163">
        <v>45888</v>
      </c>
      <c r="C4968" s="164">
        <v>0.88487268518518514</v>
      </c>
      <c r="D4968" s="159">
        <v>10</v>
      </c>
      <c r="E4968" s="166" t="s">
        <v>4463</v>
      </c>
    </row>
    <row r="4969" spans="1:5">
      <c r="A4969" s="174">
        <f t="shared" si="69"/>
        <v>4968</v>
      </c>
      <c r="B4969" s="163">
        <v>45888</v>
      </c>
      <c r="C4969" s="164">
        <v>0.87557870370370372</v>
      </c>
      <c r="D4969" s="159">
        <v>10</v>
      </c>
      <c r="E4969" s="166" t="s">
        <v>4464</v>
      </c>
    </row>
    <row r="4970" spans="1:5">
      <c r="A4970" s="174">
        <f t="shared" si="69"/>
        <v>4969</v>
      </c>
      <c r="B4970" s="163">
        <v>45888</v>
      </c>
      <c r="C4970" s="164">
        <v>0.87079861111111112</v>
      </c>
      <c r="D4970" s="159">
        <v>10</v>
      </c>
      <c r="E4970" s="166" t="s">
        <v>4525</v>
      </c>
    </row>
    <row r="4971" spans="1:5">
      <c r="A4971" s="174">
        <f t="shared" si="69"/>
        <v>4970</v>
      </c>
      <c r="B4971" s="163">
        <v>45888</v>
      </c>
      <c r="C4971" s="164">
        <v>0.83609953703703699</v>
      </c>
      <c r="D4971" s="159">
        <v>10</v>
      </c>
      <c r="E4971" s="166" t="s">
        <v>4465</v>
      </c>
    </row>
    <row r="4972" spans="1:5">
      <c r="A4972" s="174">
        <f t="shared" si="69"/>
        <v>4971</v>
      </c>
      <c r="B4972" s="163">
        <v>45888</v>
      </c>
      <c r="C4972" s="164">
        <v>0.81358796296296287</v>
      </c>
      <c r="D4972" s="159">
        <v>10</v>
      </c>
      <c r="E4972" s="166" t="s">
        <v>132</v>
      </c>
    </row>
    <row r="4973" spans="1:5">
      <c r="A4973" s="174">
        <f t="shared" si="69"/>
        <v>4972</v>
      </c>
      <c r="B4973" s="163">
        <v>45888</v>
      </c>
      <c r="C4973" s="164">
        <v>0.78590277777777784</v>
      </c>
      <c r="D4973" s="159">
        <v>10</v>
      </c>
      <c r="E4973" s="166" t="s">
        <v>4466</v>
      </c>
    </row>
    <row r="4974" spans="1:5">
      <c r="A4974" s="174">
        <f t="shared" si="69"/>
        <v>4973</v>
      </c>
      <c r="B4974" s="163">
        <v>45888</v>
      </c>
      <c r="C4974" s="164">
        <v>0.77997685185185184</v>
      </c>
      <c r="D4974" s="159">
        <v>10</v>
      </c>
      <c r="E4974" s="166" t="s">
        <v>4467</v>
      </c>
    </row>
    <row r="4975" spans="1:5">
      <c r="A4975" s="174">
        <f t="shared" si="69"/>
        <v>4974</v>
      </c>
      <c r="B4975" s="163">
        <v>45888</v>
      </c>
      <c r="C4975" s="164">
        <v>0.75731481481481477</v>
      </c>
      <c r="D4975" s="159">
        <v>10</v>
      </c>
      <c r="E4975" s="166" t="s">
        <v>4468</v>
      </c>
    </row>
    <row r="4976" spans="1:5" ht="27">
      <c r="A4976" s="174">
        <f t="shared" si="69"/>
        <v>4975</v>
      </c>
      <c r="B4976" s="163">
        <v>45888</v>
      </c>
      <c r="C4976" s="164">
        <v>0.74918981481481473</v>
      </c>
      <c r="D4976" s="159">
        <v>10</v>
      </c>
      <c r="E4976" s="166" t="s">
        <v>4526</v>
      </c>
    </row>
    <row r="4977" spans="1:5">
      <c r="A4977" s="174">
        <f t="shared" si="69"/>
        <v>4976</v>
      </c>
      <c r="B4977" s="163">
        <v>45888</v>
      </c>
      <c r="C4977" s="164">
        <v>0.74700231481481483</v>
      </c>
      <c r="D4977" s="159">
        <v>10</v>
      </c>
      <c r="E4977" s="166" t="s">
        <v>4469</v>
      </c>
    </row>
    <row r="4978" spans="1:5">
      <c r="A4978" s="174">
        <f t="shared" si="69"/>
        <v>4977</v>
      </c>
      <c r="B4978" s="163">
        <v>45888</v>
      </c>
      <c r="C4978" s="164">
        <v>0.74357638888888899</v>
      </c>
      <c r="D4978" s="159">
        <v>10</v>
      </c>
      <c r="E4978" s="166" t="s">
        <v>4470</v>
      </c>
    </row>
    <row r="4979" spans="1:5">
      <c r="A4979" s="174">
        <f t="shared" si="69"/>
        <v>4978</v>
      </c>
      <c r="B4979" s="163">
        <v>45888</v>
      </c>
      <c r="C4979" s="164">
        <v>0.74083333333333334</v>
      </c>
      <c r="D4979" s="159">
        <v>10</v>
      </c>
      <c r="E4979" s="166" t="s">
        <v>4471</v>
      </c>
    </row>
    <row r="4980" spans="1:5">
      <c r="A4980" s="174">
        <f t="shared" si="69"/>
        <v>4979</v>
      </c>
      <c r="B4980" s="163">
        <v>45888</v>
      </c>
      <c r="C4980" s="164">
        <v>0.73895833333333327</v>
      </c>
      <c r="D4980" s="159">
        <v>10</v>
      </c>
      <c r="E4980" s="166" t="s">
        <v>4472</v>
      </c>
    </row>
    <row r="4981" spans="1:5">
      <c r="A4981" s="174">
        <f t="shared" ref="A4981:A5044" si="70">ROW()-1</f>
        <v>4980</v>
      </c>
      <c r="B4981" s="163">
        <v>45888</v>
      </c>
      <c r="C4981" s="164">
        <v>0.73836805555555562</v>
      </c>
      <c r="D4981" s="159">
        <v>10</v>
      </c>
      <c r="E4981" s="166" t="s">
        <v>4473</v>
      </c>
    </row>
    <row r="4982" spans="1:5">
      <c r="A4982" s="174">
        <f t="shared" si="70"/>
        <v>4981</v>
      </c>
      <c r="B4982" s="163">
        <v>45888</v>
      </c>
      <c r="C4982" s="164">
        <v>0.73378472222222213</v>
      </c>
      <c r="D4982" s="159">
        <v>10</v>
      </c>
      <c r="E4982" s="166" t="s">
        <v>4474</v>
      </c>
    </row>
    <row r="4983" spans="1:5" ht="27">
      <c r="A4983" s="174">
        <f t="shared" si="70"/>
        <v>4982</v>
      </c>
      <c r="B4983" s="163">
        <v>45888</v>
      </c>
      <c r="C4983" s="164">
        <v>0.73283564814814817</v>
      </c>
      <c r="D4983" s="159">
        <v>10</v>
      </c>
      <c r="E4983" s="166" t="s">
        <v>4524</v>
      </c>
    </row>
    <row r="4984" spans="1:5">
      <c r="A4984" s="174">
        <f t="shared" si="70"/>
        <v>4983</v>
      </c>
      <c r="B4984" s="163">
        <v>45888</v>
      </c>
      <c r="C4984" s="164">
        <v>0.72787037037037028</v>
      </c>
      <c r="D4984" s="159">
        <v>10</v>
      </c>
      <c r="E4984" s="166" t="s">
        <v>4475</v>
      </c>
    </row>
    <row r="4985" spans="1:5" ht="27">
      <c r="A4985" s="174">
        <f t="shared" si="70"/>
        <v>4984</v>
      </c>
      <c r="B4985" s="163">
        <v>45888</v>
      </c>
      <c r="C4985" s="164">
        <v>0.716863425925926</v>
      </c>
      <c r="D4985" s="159">
        <v>10</v>
      </c>
      <c r="E4985" s="166" t="s">
        <v>4476</v>
      </c>
    </row>
    <row r="4986" spans="1:5">
      <c r="A4986" s="174">
        <f t="shared" si="70"/>
        <v>4985</v>
      </c>
      <c r="B4986" s="163">
        <v>45888</v>
      </c>
      <c r="C4986" s="164">
        <v>0.71251157407407406</v>
      </c>
      <c r="D4986" s="159">
        <v>10</v>
      </c>
      <c r="E4986" s="166" t="s">
        <v>4477</v>
      </c>
    </row>
    <row r="4987" spans="1:5">
      <c r="A4987" s="174">
        <f t="shared" si="70"/>
        <v>4986</v>
      </c>
      <c r="B4987" s="163">
        <v>45888</v>
      </c>
      <c r="C4987" s="164">
        <v>0.70989583333333339</v>
      </c>
      <c r="D4987" s="159">
        <v>10</v>
      </c>
      <c r="E4987" s="166" t="s">
        <v>246</v>
      </c>
    </row>
    <row r="4988" spans="1:5">
      <c r="A4988" s="174">
        <f t="shared" si="70"/>
        <v>4987</v>
      </c>
      <c r="B4988" s="163">
        <v>45888</v>
      </c>
      <c r="C4988" s="164">
        <v>0.70538194444444446</v>
      </c>
      <c r="D4988" s="159">
        <v>10</v>
      </c>
      <c r="E4988" s="166" t="s">
        <v>246</v>
      </c>
    </row>
    <row r="4989" spans="1:5">
      <c r="A4989" s="174">
        <f t="shared" si="70"/>
        <v>4988</v>
      </c>
      <c r="B4989" s="163">
        <v>45888</v>
      </c>
      <c r="C4989" s="164">
        <v>0.69515046296296301</v>
      </c>
      <c r="D4989" s="159">
        <v>10</v>
      </c>
      <c r="E4989" s="166" t="s">
        <v>1253</v>
      </c>
    </row>
    <row r="4990" spans="1:5">
      <c r="A4990" s="174">
        <f t="shared" si="70"/>
        <v>4989</v>
      </c>
      <c r="B4990" s="163">
        <v>45888</v>
      </c>
      <c r="C4990" s="164">
        <v>0.69381944444444443</v>
      </c>
      <c r="D4990" s="159">
        <v>10</v>
      </c>
      <c r="E4990" s="166" t="s">
        <v>4478</v>
      </c>
    </row>
    <row r="4991" spans="1:5">
      <c r="A4991" s="174">
        <f t="shared" si="70"/>
        <v>4990</v>
      </c>
      <c r="B4991" s="163">
        <v>45888</v>
      </c>
      <c r="C4991" s="164">
        <v>0.68730324074074067</v>
      </c>
      <c r="D4991" s="159">
        <v>10</v>
      </c>
      <c r="E4991" s="166" t="s">
        <v>4479</v>
      </c>
    </row>
    <row r="4992" spans="1:5">
      <c r="A4992" s="174">
        <f t="shared" si="70"/>
        <v>4991</v>
      </c>
      <c r="B4992" s="163">
        <v>45888</v>
      </c>
      <c r="C4992" s="164">
        <v>0.67199074074074072</v>
      </c>
      <c r="D4992" s="159">
        <v>10</v>
      </c>
      <c r="E4992" s="166" t="s">
        <v>4480</v>
      </c>
    </row>
    <row r="4993" spans="1:5">
      <c r="A4993" s="174">
        <f t="shared" si="70"/>
        <v>4992</v>
      </c>
      <c r="B4993" s="163">
        <v>45888</v>
      </c>
      <c r="C4993" s="164">
        <v>0.66873842592592592</v>
      </c>
      <c r="D4993" s="159">
        <v>10</v>
      </c>
      <c r="E4993" s="166" t="s">
        <v>4481</v>
      </c>
    </row>
    <row r="4994" spans="1:5">
      <c r="A4994" s="174">
        <f t="shared" si="70"/>
        <v>4993</v>
      </c>
      <c r="B4994" s="163">
        <v>45888</v>
      </c>
      <c r="C4994" s="164">
        <v>0.66726851851851843</v>
      </c>
      <c r="D4994" s="159">
        <v>10</v>
      </c>
      <c r="E4994" s="166" t="s">
        <v>1488</v>
      </c>
    </row>
    <row r="4995" spans="1:5">
      <c r="A4995" s="174">
        <f t="shared" si="70"/>
        <v>4994</v>
      </c>
      <c r="B4995" s="163">
        <v>45888</v>
      </c>
      <c r="C4995" s="164">
        <v>0.66570601851851852</v>
      </c>
      <c r="D4995" s="159">
        <v>10</v>
      </c>
      <c r="E4995" s="166" t="s">
        <v>4482</v>
      </c>
    </row>
    <row r="4996" spans="1:5">
      <c r="A4996" s="174">
        <f t="shared" si="70"/>
        <v>4995</v>
      </c>
      <c r="B4996" s="163">
        <v>45888</v>
      </c>
      <c r="C4996" s="164">
        <v>0.66318287037037038</v>
      </c>
      <c r="D4996" s="159">
        <v>10</v>
      </c>
      <c r="E4996" s="166" t="s">
        <v>4483</v>
      </c>
    </row>
    <row r="4997" spans="1:5">
      <c r="A4997" s="174">
        <f t="shared" si="70"/>
        <v>4996</v>
      </c>
      <c r="B4997" s="163">
        <v>45888</v>
      </c>
      <c r="C4997" s="164">
        <v>0.66216435185185185</v>
      </c>
      <c r="D4997" s="159">
        <v>10</v>
      </c>
      <c r="E4997" s="166" t="s">
        <v>4484</v>
      </c>
    </row>
    <row r="4998" spans="1:5">
      <c r="A4998" s="174">
        <f t="shared" si="70"/>
        <v>4997</v>
      </c>
      <c r="B4998" s="163">
        <v>45888</v>
      </c>
      <c r="C4998" s="164">
        <v>0.65961805555555553</v>
      </c>
      <c r="D4998" s="159">
        <v>10</v>
      </c>
      <c r="E4998" s="166" t="s">
        <v>4485</v>
      </c>
    </row>
    <row r="4999" spans="1:5">
      <c r="A4999" s="174">
        <f t="shared" si="70"/>
        <v>4998</v>
      </c>
      <c r="B4999" s="163">
        <v>45888</v>
      </c>
      <c r="C4999" s="164">
        <v>0.65798611111111105</v>
      </c>
      <c r="D4999" s="159">
        <v>10</v>
      </c>
      <c r="E4999" s="166" t="s">
        <v>4486</v>
      </c>
    </row>
    <row r="5000" spans="1:5">
      <c r="A5000" s="174">
        <f t="shared" si="70"/>
        <v>4999</v>
      </c>
      <c r="B5000" s="163">
        <v>45888</v>
      </c>
      <c r="C5000" s="164">
        <v>0.64703703703703697</v>
      </c>
      <c r="D5000" s="159">
        <v>10</v>
      </c>
      <c r="E5000" s="166" t="s">
        <v>4487</v>
      </c>
    </row>
    <row r="5001" spans="1:5">
      <c r="A5001" s="174">
        <f t="shared" si="70"/>
        <v>5000</v>
      </c>
      <c r="B5001" s="163">
        <v>45888</v>
      </c>
      <c r="C5001" s="164">
        <v>0.64660879629629631</v>
      </c>
      <c r="D5001" s="159">
        <v>10</v>
      </c>
      <c r="E5001" s="166" t="s">
        <v>4488</v>
      </c>
    </row>
    <row r="5002" spans="1:5">
      <c r="A5002" s="174">
        <f t="shared" si="70"/>
        <v>5001</v>
      </c>
      <c r="B5002" s="163">
        <v>45888</v>
      </c>
      <c r="C5002" s="164">
        <v>0.63577546296296295</v>
      </c>
      <c r="D5002" s="159">
        <v>8</v>
      </c>
      <c r="E5002" s="166" t="s">
        <v>4489</v>
      </c>
    </row>
    <row r="5003" spans="1:5">
      <c r="A5003" s="174">
        <f t="shared" si="70"/>
        <v>5002</v>
      </c>
      <c r="B5003" s="163">
        <v>45888</v>
      </c>
      <c r="C5003" s="164">
        <v>0.63454861111111105</v>
      </c>
      <c r="D5003" s="159">
        <v>10</v>
      </c>
      <c r="E5003" s="166" t="s">
        <v>4490</v>
      </c>
    </row>
    <row r="5004" spans="1:5">
      <c r="A5004" s="174">
        <f t="shared" si="70"/>
        <v>5003</v>
      </c>
      <c r="B5004" s="163">
        <v>45888</v>
      </c>
      <c r="C5004" s="164">
        <v>0.63376157407407407</v>
      </c>
      <c r="D5004" s="159">
        <v>10</v>
      </c>
      <c r="E5004" s="166" t="s">
        <v>4491</v>
      </c>
    </row>
    <row r="5005" spans="1:5">
      <c r="A5005" s="174">
        <f t="shared" si="70"/>
        <v>5004</v>
      </c>
      <c r="B5005" s="163">
        <v>45888</v>
      </c>
      <c r="C5005" s="164">
        <v>0.61784722222222221</v>
      </c>
      <c r="D5005" s="159">
        <v>10</v>
      </c>
      <c r="E5005" s="166" t="s">
        <v>433</v>
      </c>
    </row>
    <row r="5006" spans="1:5">
      <c r="A5006" s="174">
        <f t="shared" si="70"/>
        <v>5005</v>
      </c>
      <c r="B5006" s="163">
        <v>45888</v>
      </c>
      <c r="C5006" s="164">
        <v>0.61109953703703701</v>
      </c>
      <c r="D5006" s="159">
        <v>10</v>
      </c>
      <c r="E5006" s="166" t="s">
        <v>4492</v>
      </c>
    </row>
    <row r="5007" spans="1:5">
      <c r="A5007" s="174">
        <f t="shared" si="70"/>
        <v>5006</v>
      </c>
      <c r="B5007" s="163">
        <v>45888</v>
      </c>
      <c r="C5007" s="164">
        <v>0.61026620370370377</v>
      </c>
      <c r="D5007" s="159">
        <v>7</v>
      </c>
      <c r="E5007" s="166" t="s">
        <v>4493</v>
      </c>
    </row>
    <row r="5008" spans="1:5">
      <c r="A5008" s="174">
        <f t="shared" si="70"/>
        <v>5007</v>
      </c>
      <c r="B5008" s="163">
        <v>45888</v>
      </c>
      <c r="C5008" s="164">
        <v>0.60221064814814818</v>
      </c>
      <c r="D5008" s="159">
        <v>10</v>
      </c>
      <c r="E5008" s="166" t="s">
        <v>4494</v>
      </c>
    </row>
    <row r="5009" spans="1:5">
      <c r="A5009" s="174">
        <f t="shared" si="70"/>
        <v>5008</v>
      </c>
      <c r="B5009" s="163">
        <v>45888</v>
      </c>
      <c r="C5009" s="164">
        <v>0.59673611111111113</v>
      </c>
      <c r="D5009" s="159">
        <v>10</v>
      </c>
      <c r="E5009" s="166" t="s">
        <v>4495</v>
      </c>
    </row>
    <row r="5010" spans="1:5">
      <c r="A5010" s="174">
        <f t="shared" si="70"/>
        <v>5009</v>
      </c>
      <c r="B5010" s="163">
        <v>45888</v>
      </c>
      <c r="C5010" s="164">
        <v>0.5919444444444445</v>
      </c>
      <c r="D5010" s="159">
        <v>10</v>
      </c>
      <c r="E5010" s="166" t="s">
        <v>4496</v>
      </c>
    </row>
    <row r="5011" spans="1:5">
      <c r="A5011" s="174">
        <f t="shared" si="70"/>
        <v>5010</v>
      </c>
      <c r="B5011" s="163">
        <v>45888</v>
      </c>
      <c r="C5011" s="164">
        <v>0.58633101851851854</v>
      </c>
      <c r="D5011" s="159">
        <v>10</v>
      </c>
      <c r="E5011" s="166" t="s">
        <v>4497</v>
      </c>
    </row>
    <row r="5012" spans="1:5">
      <c r="A5012" s="174">
        <f t="shared" si="70"/>
        <v>5011</v>
      </c>
      <c r="B5012" s="163">
        <v>45888</v>
      </c>
      <c r="C5012" s="164">
        <v>0.58106481481481487</v>
      </c>
      <c r="D5012" s="159">
        <v>10</v>
      </c>
      <c r="E5012" s="166" t="s">
        <v>4498</v>
      </c>
    </row>
    <row r="5013" spans="1:5">
      <c r="A5013" s="174">
        <f t="shared" si="70"/>
        <v>5012</v>
      </c>
      <c r="B5013" s="163">
        <v>45888</v>
      </c>
      <c r="C5013" s="164">
        <v>0.57297453703703705</v>
      </c>
      <c r="D5013" s="159">
        <v>10</v>
      </c>
      <c r="E5013" s="166" t="s">
        <v>4499</v>
      </c>
    </row>
    <row r="5014" spans="1:5">
      <c r="A5014" s="174">
        <f t="shared" si="70"/>
        <v>5013</v>
      </c>
      <c r="B5014" s="163">
        <v>45888</v>
      </c>
      <c r="C5014" s="164">
        <v>0.55174768518518513</v>
      </c>
      <c r="D5014" s="159">
        <v>10</v>
      </c>
      <c r="E5014" s="166" t="s">
        <v>4500</v>
      </c>
    </row>
    <row r="5015" spans="1:5">
      <c r="A5015" s="174">
        <f t="shared" si="70"/>
        <v>5014</v>
      </c>
      <c r="B5015" s="163">
        <v>45888</v>
      </c>
      <c r="C5015" s="164">
        <v>0.54079861111111105</v>
      </c>
      <c r="D5015" s="159">
        <v>10</v>
      </c>
      <c r="E5015" s="166" t="s">
        <v>4501</v>
      </c>
    </row>
    <row r="5016" spans="1:5">
      <c r="A5016" s="174">
        <f t="shared" si="70"/>
        <v>5015</v>
      </c>
      <c r="B5016" s="163">
        <v>45888</v>
      </c>
      <c r="C5016" s="164">
        <v>0.53994212962962962</v>
      </c>
      <c r="D5016" s="159">
        <v>10</v>
      </c>
      <c r="E5016" s="166" t="s">
        <v>4502</v>
      </c>
    </row>
    <row r="5017" spans="1:5">
      <c r="A5017" s="174">
        <f t="shared" si="70"/>
        <v>5016</v>
      </c>
      <c r="B5017" s="163">
        <v>45888</v>
      </c>
      <c r="C5017" s="164">
        <v>0.50489583333333332</v>
      </c>
      <c r="D5017" s="159">
        <v>10</v>
      </c>
      <c r="E5017" s="166" t="s">
        <v>4503</v>
      </c>
    </row>
    <row r="5018" spans="1:5">
      <c r="A5018" s="174">
        <f t="shared" si="70"/>
        <v>5017</v>
      </c>
      <c r="B5018" s="163">
        <v>45888</v>
      </c>
      <c r="C5018" s="164">
        <v>0.49763888888888891</v>
      </c>
      <c r="D5018" s="159">
        <v>10</v>
      </c>
      <c r="E5018" s="166" t="s">
        <v>4504</v>
      </c>
    </row>
    <row r="5019" spans="1:5">
      <c r="A5019" s="174">
        <f t="shared" si="70"/>
        <v>5018</v>
      </c>
      <c r="B5019" s="163">
        <v>45888</v>
      </c>
      <c r="C5019" s="164">
        <v>0.48745370370370367</v>
      </c>
      <c r="D5019" s="159">
        <v>10</v>
      </c>
      <c r="E5019" s="166" t="s">
        <v>244</v>
      </c>
    </row>
    <row r="5020" spans="1:5">
      <c r="A5020" s="174">
        <f t="shared" si="70"/>
        <v>5019</v>
      </c>
      <c r="B5020" s="163">
        <v>45888</v>
      </c>
      <c r="C5020" s="164">
        <v>0.48578703703703702</v>
      </c>
      <c r="D5020" s="159">
        <v>10</v>
      </c>
      <c r="E5020" s="166" t="s">
        <v>4505</v>
      </c>
    </row>
    <row r="5021" spans="1:5">
      <c r="A5021" s="174">
        <f t="shared" si="70"/>
        <v>5020</v>
      </c>
      <c r="B5021" s="163">
        <v>45888</v>
      </c>
      <c r="C5021" s="164">
        <v>0.4763310185185185</v>
      </c>
      <c r="D5021" s="159">
        <v>10</v>
      </c>
      <c r="E5021" s="166" t="s">
        <v>4506</v>
      </c>
    </row>
    <row r="5022" spans="1:5">
      <c r="A5022" s="174">
        <f t="shared" si="70"/>
        <v>5021</v>
      </c>
      <c r="B5022" s="163">
        <v>45888</v>
      </c>
      <c r="C5022" s="164">
        <v>0.47289351851851852</v>
      </c>
      <c r="D5022" s="159">
        <v>10</v>
      </c>
      <c r="E5022" s="166" t="s">
        <v>4507</v>
      </c>
    </row>
    <row r="5023" spans="1:5">
      <c r="A5023" s="174">
        <f t="shared" si="70"/>
        <v>5022</v>
      </c>
      <c r="B5023" s="163">
        <v>45888</v>
      </c>
      <c r="C5023" s="164">
        <v>0.47075231481481478</v>
      </c>
      <c r="D5023" s="159">
        <v>10</v>
      </c>
      <c r="E5023" s="166" t="s">
        <v>4508</v>
      </c>
    </row>
    <row r="5024" spans="1:5">
      <c r="A5024" s="174">
        <f t="shared" si="70"/>
        <v>5023</v>
      </c>
      <c r="B5024" s="163">
        <v>45888</v>
      </c>
      <c r="C5024" s="164">
        <v>0.46755787037037039</v>
      </c>
      <c r="D5024" s="159">
        <v>10</v>
      </c>
      <c r="E5024" s="166" t="s">
        <v>4509</v>
      </c>
    </row>
    <row r="5025" spans="1:5">
      <c r="A5025" s="174">
        <f t="shared" si="70"/>
        <v>5024</v>
      </c>
      <c r="B5025" s="163">
        <v>45888</v>
      </c>
      <c r="C5025" s="164">
        <v>0.46511574074074075</v>
      </c>
      <c r="D5025" s="159">
        <v>10</v>
      </c>
      <c r="E5025" s="166" t="s">
        <v>4510</v>
      </c>
    </row>
    <row r="5026" spans="1:5">
      <c r="A5026" s="174">
        <f t="shared" si="70"/>
        <v>5025</v>
      </c>
      <c r="B5026" s="163">
        <v>45888</v>
      </c>
      <c r="C5026" s="164">
        <v>0.45491898148148152</v>
      </c>
      <c r="D5026" s="159">
        <v>10</v>
      </c>
      <c r="E5026" s="166" t="s">
        <v>4511</v>
      </c>
    </row>
    <row r="5027" spans="1:5">
      <c r="A5027" s="174">
        <f t="shared" si="70"/>
        <v>5026</v>
      </c>
      <c r="B5027" s="163">
        <v>45888</v>
      </c>
      <c r="C5027" s="164">
        <v>0.44655092592592593</v>
      </c>
      <c r="D5027" s="159">
        <v>10</v>
      </c>
      <c r="E5027" s="166" t="s">
        <v>4512</v>
      </c>
    </row>
    <row r="5028" spans="1:5">
      <c r="A5028" s="174">
        <f t="shared" si="70"/>
        <v>5027</v>
      </c>
      <c r="B5028" s="163">
        <v>45888</v>
      </c>
      <c r="C5028" s="164">
        <v>0.44628472222222221</v>
      </c>
      <c r="D5028" s="159">
        <v>10</v>
      </c>
      <c r="E5028" s="166" t="s">
        <v>4513</v>
      </c>
    </row>
    <row r="5029" spans="1:5">
      <c r="A5029" s="174">
        <f t="shared" si="70"/>
        <v>5028</v>
      </c>
      <c r="B5029" s="163">
        <v>45888</v>
      </c>
      <c r="C5029" s="164">
        <v>0.44271990740740735</v>
      </c>
      <c r="D5029" s="159">
        <v>10</v>
      </c>
      <c r="E5029" s="166" t="s">
        <v>4514</v>
      </c>
    </row>
    <row r="5030" spans="1:5">
      <c r="A5030" s="174">
        <f t="shared" si="70"/>
        <v>5029</v>
      </c>
      <c r="B5030" s="163">
        <v>45888</v>
      </c>
      <c r="C5030" s="164">
        <v>0.44114583333333335</v>
      </c>
      <c r="D5030" s="159">
        <v>10</v>
      </c>
      <c r="E5030" s="166" t="s">
        <v>4515</v>
      </c>
    </row>
    <row r="5031" spans="1:5">
      <c r="A5031" s="174">
        <f t="shared" si="70"/>
        <v>5030</v>
      </c>
      <c r="B5031" s="163">
        <v>45888</v>
      </c>
      <c r="C5031" s="164">
        <v>0.4362037037037037</v>
      </c>
      <c r="D5031" s="159">
        <v>10</v>
      </c>
      <c r="E5031" s="166" t="s">
        <v>132</v>
      </c>
    </row>
    <row r="5032" spans="1:5">
      <c r="A5032" s="174">
        <f t="shared" si="70"/>
        <v>5031</v>
      </c>
      <c r="B5032" s="163">
        <v>45888</v>
      </c>
      <c r="C5032" s="164">
        <v>0.43018518518518517</v>
      </c>
      <c r="D5032" s="159">
        <v>10</v>
      </c>
      <c r="E5032" s="166" t="s">
        <v>4516</v>
      </c>
    </row>
    <row r="5033" spans="1:5">
      <c r="A5033" s="174">
        <f t="shared" si="70"/>
        <v>5032</v>
      </c>
      <c r="B5033" s="163">
        <v>45888</v>
      </c>
      <c r="C5033" s="164">
        <v>0.42621527777777773</v>
      </c>
      <c r="D5033" s="159">
        <v>10</v>
      </c>
      <c r="E5033" s="166" t="s">
        <v>4517</v>
      </c>
    </row>
    <row r="5034" spans="1:5">
      <c r="A5034" s="174">
        <f t="shared" si="70"/>
        <v>5033</v>
      </c>
      <c r="B5034" s="163">
        <v>45888</v>
      </c>
      <c r="C5034" s="164">
        <v>0.42159722222222223</v>
      </c>
      <c r="D5034" s="159">
        <v>10</v>
      </c>
      <c r="E5034" s="166" t="s">
        <v>4518</v>
      </c>
    </row>
    <row r="5035" spans="1:5" ht="27">
      <c r="A5035" s="174">
        <f t="shared" si="70"/>
        <v>5034</v>
      </c>
      <c r="B5035" s="163">
        <v>45888</v>
      </c>
      <c r="C5035" s="164">
        <v>0.41895833333333332</v>
      </c>
      <c r="D5035" s="159">
        <v>10</v>
      </c>
      <c r="E5035" s="166" t="s">
        <v>4523</v>
      </c>
    </row>
    <row r="5036" spans="1:5">
      <c r="A5036" s="174">
        <f t="shared" si="70"/>
        <v>5035</v>
      </c>
      <c r="B5036" s="163">
        <v>45888</v>
      </c>
      <c r="C5036" s="164">
        <v>0.40686342592592589</v>
      </c>
      <c r="D5036" s="159">
        <v>10</v>
      </c>
      <c r="E5036" s="166" t="s">
        <v>4519</v>
      </c>
    </row>
    <row r="5037" spans="1:5">
      <c r="A5037" s="174">
        <f t="shared" si="70"/>
        <v>5036</v>
      </c>
      <c r="B5037" s="163">
        <v>45888</v>
      </c>
      <c r="C5037" s="164">
        <v>0.40112268518518518</v>
      </c>
      <c r="D5037" s="159">
        <v>10</v>
      </c>
      <c r="E5037" s="166" t="s">
        <v>4520</v>
      </c>
    </row>
    <row r="5038" spans="1:5">
      <c r="A5038" s="174">
        <f t="shared" si="70"/>
        <v>5037</v>
      </c>
      <c r="B5038" s="163">
        <v>45888</v>
      </c>
      <c r="C5038" s="164">
        <v>0.4001736111111111</v>
      </c>
      <c r="D5038" s="159">
        <v>10</v>
      </c>
      <c r="E5038" s="166" t="s">
        <v>4521</v>
      </c>
    </row>
    <row r="5039" spans="1:5">
      <c r="A5039" s="174">
        <f t="shared" si="70"/>
        <v>5038</v>
      </c>
      <c r="B5039" s="163">
        <v>45888</v>
      </c>
      <c r="C5039" s="164">
        <v>0.38868055555555553</v>
      </c>
      <c r="D5039" s="159">
        <v>10</v>
      </c>
      <c r="E5039" s="166" t="s">
        <v>4522</v>
      </c>
    </row>
    <row r="5040" spans="1:5">
      <c r="A5040" s="174">
        <f t="shared" si="70"/>
        <v>5039</v>
      </c>
      <c r="B5040" s="163">
        <v>45889</v>
      </c>
      <c r="C5040" s="164">
        <v>0.88593749999999993</v>
      </c>
      <c r="D5040" s="159">
        <v>10</v>
      </c>
      <c r="E5040" s="166" t="s">
        <v>4528</v>
      </c>
    </row>
    <row r="5041" spans="1:5">
      <c r="A5041" s="174">
        <f t="shared" si="70"/>
        <v>5040</v>
      </c>
      <c r="B5041" s="163">
        <v>45889</v>
      </c>
      <c r="C5041" s="164">
        <v>0.87646990740740749</v>
      </c>
      <c r="D5041" s="159">
        <v>10</v>
      </c>
      <c r="E5041" s="166" t="s">
        <v>4529</v>
      </c>
    </row>
    <row r="5042" spans="1:5">
      <c r="A5042" s="174">
        <f t="shared" si="70"/>
        <v>5041</v>
      </c>
      <c r="B5042" s="163">
        <v>45889</v>
      </c>
      <c r="C5042" s="164">
        <v>0.87280092592592595</v>
      </c>
      <c r="D5042" s="159">
        <v>10</v>
      </c>
      <c r="E5042" s="166" t="s">
        <v>4530</v>
      </c>
    </row>
    <row r="5043" spans="1:5">
      <c r="A5043" s="174">
        <f t="shared" si="70"/>
        <v>5042</v>
      </c>
      <c r="B5043" s="163">
        <v>45889</v>
      </c>
      <c r="C5043" s="164">
        <v>0.87197916666666664</v>
      </c>
      <c r="D5043" s="159">
        <v>10</v>
      </c>
      <c r="E5043" s="166" t="s">
        <v>4531</v>
      </c>
    </row>
    <row r="5044" spans="1:5">
      <c r="A5044" s="174">
        <f t="shared" si="70"/>
        <v>5043</v>
      </c>
      <c r="B5044" s="163">
        <v>45889</v>
      </c>
      <c r="C5044" s="164">
        <v>0.86947916666666669</v>
      </c>
      <c r="D5044" s="159">
        <v>10</v>
      </c>
      <c r="E5044" s="166" t="s">
        <v>406</v>
      </c>
    </row>
    <row r="5045" spans="1:5">
      <c r="A5045" s="174">
        <f t="shared" ref="A5045:A5108" si="71">ROW()-1</f>
        <v>5044</v>
      </c>
      <c r="B5045" s="163">
        <v>45889</v>
      </c>
      <c r="C5045" s="164">
        <v>0.8168981481481481</v>
      </c>
      <c r="D5045" s="159">
        <v>10</v>
      </c>
      <c r="E5045" s="166" t="s">
        <v>4532</v>
      </c>
    </row>
    <row r="5046" spans="1:5">
      <c r="A5046" s="174">
        <f t="shared" si="71"/>
        <v>5045</v>
      </c>
      <c r="B5046" s="163">
        <v>45889</v>
      </c>
      <c r="C5046" s="164">
        <v>0.77553240740740748</v>
      </c>
      <c r="D5046" s="159">
        <v>10</v>
      </c>
      <c r="E5046" s="166" t="s">
        <v>4533</v>
      </c>
    </row>
    <row r="5047" spans="1:5">
      <c r="A5047" s="174">
        <f t="shared" si="71"/>
        <v>5046</v>
      </c>
      <c r="B5047" s="163">
        <v>45889</v>
      </c>
      <c r="C5047" s="164">
        <v>0.76756944444444442</v>
      </c>
      <c r="D5047" s="159">
        <v>10</v>
      </c>
      <c r="E5047" s="166" t="s">
        <v>4534</v>
      </c>
    </row>
    <row r="5048" spans="1:5">
      <c r="A5048" s="174">
        <f t="shared" si="71"/>
        <v>5047</v>
      </c>
      <c r="B5048" s="163">
        <v>45889</v>
      </c>
      <c r="C5048" s="164">
        <v>0.76710648148148142</v>
      </c>
      <c r="D5048" s="159">
        <v>10</v>
      </c>
      <c r="E5048" s="166" t="s">
        <v>4535</v>
      </c>
    </row>
    <row r="5049" spans="1:5">
      <c r="A5049" s="174">
        <f t="shared" si="71"/>
        <v>5048</v>
      </c>
      <c r="B5049" s="163">
        <v>45889</v>
      </c>
      <c r="C5049" s="164">
        <v>0.75358796296296304</v>
      </c>
      <c r="D5049" s="159">
        <v>10</v>
      </c>
      <c r="E5049" s="166" t="s">
        <v>4536</v>
      </c>
    </row>
    <row r="5050" spans="1:5">
      <c r="A5050" s="174">
        <f t="shared" si="71"/>
        <v>5049</v>
      </c>
      <c r="B5050" s="163">
        <v>45889</v>
      </c>
      <c r="C5050" s="164">
        <v>0.73287037037037039</v>
      </c>
      <c r="D5050" s="159">
        <v>10</v>
      </c>
      <c r="E5050" s="166" t="s">
        <v>2488</v>
      </c>
    </row>
    <row r="5051" spans="1:5">
      <c r="A5051" s="174">
        <f t="shared" si="71"/>
        <v>5050</v>
      </c>
      <c r="B5051" s="163">
        <v>45889</v>
      </c>
      <c r="C5051" s="164">
        <v>0.73091435185185183</v>
      </c>
      <c r="D5051" s="159">
        <v>10</v>
      </c>
      <c r="E5051" s="166" t="s">
        <v>288</v>
      </c>
    </row>
    <row r="5052" spans="1:5">
      <c r="A5052" s="174">
        <f t="shared" si="71"/>
        <v>5051</v>
      </c>
      <c r="B5052" s="163">
        <v>45889</v>
      </c>
      <c r="C5052" s="164">
        <v>0.72804398148148142</v>
      </c>
      <c r="D5052" s="159">
        <v>10</v>
      </c>
      <c r="E5052" s="166" t="s">
        <v>4537</v>
      </c>
    </row>
    <row r="5053" spans="1:5">
      <c r="A5053" s="174">
        <f t="shared" si="71"/>
        <v>5052</v>
      </c>
      <c r="B5053" s="163">
        <v>45889</v>
      </c>
      <c r="C5053" s="164">
        <v>0.72332175925925923</v>
      </c>
      <c r="D5053" s="159">
        <v>10</v>
      </c>
      <c r="E5053" s="166" t="s">
        <v>4538</v>
      </c>
    </row>
    <row r="5054" spans="1:5">
      <c r="A5054" s="174">
        <f t="shared" si="71"/>
        <v>5053</v>
      </c>
      <c r="B5054" s="163">
        <v>45889</v>
      </c>
      <c r="C5054" s="164">
        <v>0.71976851851851853</v>
      </c>
      <c r="D5054" s="159">
        <v>10</v>
      </c>
      <c r="E5054" s="166" t="s">
        <v>4539</v>
      </c>
    </row>
    <row r="5055" spans="1:5">
      <c r="A5055" s="174">
        <f t="shared" si="71"/>
        <v>5054</v>
      </c>
      <c r="B5055" s="163">
        <v>45889</v>
      </c>
      <c r="C5055" s="164">
        <v>0.71917824074074066</v>
      </c>
      <c r="D5055" s="159">
        <v>6</v>
      </c>
      <c r="E5055" s="166" t="s">
        <v>4540</v>
      </c>
    </row>
    <row r="5056" spans="1:5">
      <c r="A5056" s="174">
        <f t="shared" si="71"/>
        <v>5055</v>
      </c>
      <c r="B5056" s="163">
        <v>45889</v>
      </c>
      <c r="C5056" s="164">
        <v>0.71434027777777775</v>
      </c>
      <c r="D5056" s="159">
        <v>10</v>
      </c>
      <c r="E5056" s="166" t="s">
        <v>2233</v>
      </c>
    </row>
    <row r="5057" spans="1:5">
      <c r="A5057" s="174">
        <f t="shared" si="71"/>
        <v>5056</v>
      </c>
      <c r="B5057" s="163">
        <v>45889</v>
      </c>
      <c r="C5057" s="164">
        <v>0.71375</v>
      </c>
      <c r="D5057" s="159">
        <v>10</v>
      </c>
      <c r="E5057" s="166" t="s">
        <v>4541</v>
      </c>
    </row>
    <row r="5058" spans="1:5">
      <c r="A5058" s="174">
        <f t="shared" si="71"/>
        <v>5057</v>
      </c>
      <c r="B5058" s="163">
        <v>45889</v>
      </c>
      <c r="C5058" s="164">
        <v>0.71388888888888891</v>
      </c>
      <c r="D5058" s="159">
        <v>10</v>
      </c>
      <c r="E5058" s="166" t="s">
        <v>4542</v>
      </c>
    </row>
    <row r="5059" spans="1:5">
      <c r="A5059" s="174">
        <f t="shared" si="71"/>
        <v>5058</v>
      </c>
      <c r="B5059" s="163">
        <v>45889</v>
      </c>
      <c r="C5059" s="164">
        <v>0.71326388888888881</v>
      </c>
      <c r="D5059" s="159">
        <v>10</v>
      </c>
      <c r="E5059" s="166" t="s">
        <v>4543</v>
      </c>
    </row>
    <row r="5060" spans="1:5">
      <c r="A5060" s="174">
        <f t="shared" si="71"/>
        <v>5059</v>
      </c>
      <c r="B5060" s="163">
        <v>45889</v>
      </c>
      <c r="C5060" s="164">
        <v>0.70785879629629633</v>
      </c>
      <c r="D5060" s="159">
        <v>10</v>
      </c>
      <c r="E5060" s="166" t="s">
        <v>4544</v>
      </c>
    </row>
    <row r="5061" spans="1:5">
      <c r="A5061" s="174">
        <f t="shared" si="71"/>
        <v>5060</v>
      </c>
      <c r="B5061" s="163">
        <v>45889</v>
      </c>
      <c r="C5061" s="164">
        <v>0.7082060185185185</v>
      </c>
      <c r="D5061" s="159">
        <v>10</v>
      </c>
      <c r="E5061" s="166" t="s">
        <v>4545</v>
      </c>
    </row>
    <row r="5062" spans="1:5">
      <c r="A5062" s="174">
        <f t="shared" si="71"/>
        <v>5061</v>
      </c>
      <c r="B5062" s="163">
        <v>45889</v>
      </c>
      <c r="C5062" s="164">
        <v>0.70621527777777782</v>
      </c>
      <c r="D5062" s="159">
        <v>10</v>
      </c>
      <c r="E5062" s="166" t="s">
        <v>4546</v>
      </c>
    </row>
    <row r="5063" spans="1:5">
      <c r="A5063" s="174">
        <f t="shared" si="71"/>
        <v>5062</v>
      </c>
      <c r="B5063" s="163">
        <v>45889</v>
      </c>
      <c r="C5063" s="164">
        <v>0.69615740740740739</v>
      </c>
      <c r="D5063" s="159">
        <v>10</v>
      </c>
      <c r="E5063" s="166" t="s">
        <v>4547</v>
      </c>
    </row>
    <row r="5064" spans="1:5">
      <c r="A5064" s="174">
        <f t="shared" si="71"/>
        <v>5063</v>
      </c>
      <c r="B5064" s="163">
        <v>45889</v>
      </c>
      <c r="C5064" s="164">
        <v>0.67878472222222219</v>
      </c>
      <c r="D5064" s="159">
        <v>10</v>
      </c>
      <c r="E5064" s="166" t="s">
        <v>4548</v>
      </c>
    </row>
    <row r="5065" spans="1:5">
      <c r="A5065" s="174">
        <f t="shared" si="71"/>
        <v>5064</v>
      </c>
      <c r="B5065" s="163">
        <v>45889</v>
      </c>
      <c r="C5065" s="164">
        <v>0.66468749999999999</v>
      </c>
      <c r="D5065" s="159">
        <v>10</v>
      </c>
      <c r="E5065" s="166" t="s">
        <v>433</v>
      </c>
    </row>
    <row r="5066" spans="1:5" ht="27">
      <c r="A5066" s="174">
        <f t="shared" si="71"/>
        <v>5065</v>
      </c>
      <c r="B5066" s="163">
        <v>45889</v>
      </c>
      <c r="C5066" s="164">
        <v>0.64704861111111112</v>
      </c>
      <c r="D5066" s="159">
        <v>10</v>
      </c>
      <c r="E5066" s="166" t="s">
        <v>4584</v>
      </c>
    </row>
    <row r="5067" spans="1:5">
      <c r="A5067" s="174">
        <f t="shared" si="71"/>
        <v>5066</v>
      </c>
      <c r="B5067" s="163">
        <v>45889</v>
      </c>
      <c r="C5067" s="164">
        <v>0.63844907407407414</v>
      </c>
      <c r="D5067" s="159">
        <v>10</v>
      </c>
      <c r="E5067" s="166" t="s">
        <v>4549</v>
      </c>
    </row>
    <row r="5068" spans="1:5">
      <c r="A5068" s="174">
        <f t="shared" si="71"/>
        <v>5067</v>
      </c>
      <c r="B5068" s="163">
        <v>45889</v>
      </c>
      <c r="C5068" s="164">
        <v>0.63420138888888888</v>
      </c>
      <c r="D5068" s="159">
        <v>10</v>
      </c>
      <c r="E5068" s="166" t="s">
        <v>4550</v>
      </c>
    </row>
    <row r="5069" spans="1:5">
      <c r="A5069" s="174">
        <f t="shared" si="71"/>
        <v>5068</v>
      </c>
      <c r="B5069" s="163">
        <v>45889</v>
      </c>
      <c r="C5069" s="164">
        <v>0.62956018518518519</v>
      </c>
      <c r="D5069" s="159">
        <v>10</v>
      </c>
      <c r="E5069" s="166" t="s">
        <v>2398</v>
      </c>
    </row>
    <row r="5070" spans="1:5">
      <c r="A5070" s="174">
        <f t="shared" si="71"/>
        <v>5069</v>
      </c>
      <c r="B5070" s="163">
        <v>45889</v>
      </c>
      <c r="C5070" s="164">
        <v>0.6290972222222222</v>
      </c>
      <c r="D5070" s="159">
        <v>10</v>
      </c>
      <c r="E5070" s="166" t="s">
        <v>4551</v>
      </c>
    </row>
    <row r="5071" spans="1:5">
      <c r="A5071" s="174">
        <f t="shared" si="71"/>
        <v>5070</v>
      </c>
      <c r="B5071" s="163">
        <v>45889</v>
      </c>
      <c r="C5071" s="164">
        <v>0.61870370370370364</v>
      </c>
      <c r="D5071" s="159">
        <v>10</v>
      </c>
      <c r="E5071" s="166" t="s">
        <v>4552</v>
      </c>
    </row>
    <row r="5072" spans="1:5">
      <c r="A5072" s="174">
        <f t="shared" si="71"/>
        <v>5071</v>
      </c>
      <c r="B5072" s="163">
        <v>45889</v>
      </c>
      <c r="C5072" s="164">
        <v>0.61204861111111108</v>
      </c>
      <c r="D5072" s="159">
        <v>10</v>
      </c>
      <c r="E5072" s="166" t="s">
        <v>4553</v>
      </c>
    </row>
    <row r="5073" spans="1:5">
      <c r="A5073" s="174">
        <f t="shared" si="71"/>
        <v>5072</v>
      </c>
      <c r="B5073" s="163">
        <v>45889</v>
      </c>
      <c r="C5073" s="164">
        <v>0.59920138888888885</v>
      </c>
      <c r="D5073" s="159">
        <v>10</v>
      </c>
      <c r="E5073" s="166" t="s">
        <v>4554</v>
      </c>
    </row>
    <row r="5074" spans="1:5">
      <c r="A5074" s="174">
        <f t="shared" si="71"/>
        <v>5073</v>
      </c>
      <c r="B5074" s="163">
        <v>45889</v>
      </c>
      <c r="C5074" s="164">
        <v>0.59729166666666667</v>
      </c>
      <c r="D5074" s="159">
        <v>10</v>
      </c>
      <c r="E5074" s="166" t="s">
        <v>4555</v>
      </c>
    </row>
    <row r="5075" spans="1:5">
      <c r="A5075" s="174">
        <f t="shared" si="71"/>
        <v>5074</v>
      </c>
      <c r="B5075" s="163">
        <v>45889</v>
      </c>
      <c r="C5075" s="164">
        <v>0.5950347222222222</v>
      </c>
      <c r="D5075" s="159">
        <v>10</v>
      </c>
      <c r="E5075" s="166" t="s">
        <v>4556</v>
      </c>
    </row>
    <row r="5076" spans="1:5">
      <c r="A5076" s="174">
        <f t="shared" si="71"/>
        <v>5075</v>
      </c>
      <c r="B5076" s="163">
        <v>45889</v>
      </c>
      <c r="C5076" s="164">
        <v>0.59065972222222218</v>
      </c>
      <c r="D5076" s="159">
        <v>10</v>
      </c>
      <c r="E5076" s="166" t="s">
        <v>4557</v>
      </c>
    </row>
    <row r="5077" spans="1:5" ht="27">
      <c r="A5077" s="174">
        <f t="shared" si="71"/>
        <v>5076</v>
      </c>
      <c r="B5077" s="163">
        <v>45889</v>
      </c>
      <c r="C5077" s="164">
        <v>0.58430555555555552</v>
      </c>
      <c r="D5077" s="159">
        <v>10</v>
      </c>
      <c r="E5077" s="166" t="s">
        <v>4585</v>
      </c>
    </row>
    <row r="5078" spans="1:5">
      <c r="A5078" s="174">
        <f t="shared" si="71"/>
        <v>5077</v>
      </c>
      <c r="B5078" s="163">
        <v>45889</v>
      </c>
      <c r="C5078" s="164">
        <v>0.58206018518518521</v>
      </c>
      <c r="D5078" s="159">
        <v>10</v>
      </c>
      <c r="E5078" s="166" t="s">
        <v>4558</v>
      </c>
    </row>
    <row r="5079" spans="1:5">
      <c r="A5079" s="174">
        <f t="shared" si="71"/>
        <v>5078</v>
      </c>
      <c r="B5079" s="163">
        <v>45889</v>
      </c>
      <c r="C5079" s="164">
        <v>0.57221064814814815</v>
      </c>
      <c r="D5079" s="159">
        <v>10</v>
      </c>
      <c r="E5079" s="166" t="s">
        <v>4559</v>
      </c>
    </row>
    <row r="5080" spans="1:5">
      <c r="A5080" s="174">
        <f t="shared" si="71"/>
        <v>5079</v>
      </c>
      <c r="B5080" s="163">
        <v>45889</v>
      </c>
      <c r="C5080" s="164">
        <v>0.57174768518518515</v>
      </c>
      <c r="D5080" s="159">
        <v>10</v>
      </c>
      <c r="E5080" s="166" t="s">
        <v>244</v>
      </c>
    </row>
    <row r="5081" spans="1:5">
      <c r="A5081" s="174">
        <f t="shared" si="71"/>
        <v>5080</v>
      </c>
      <c r="B5081" s="163">
        <v>45889</v>
      </c>
      <c r="C5081" s="164">
        <v>0.56530092592592596</v>
      </c>
      <c r="D5081" s="159">
        <v>10</v>
      </c>
      <c r="E5081" s="166" t="s">
        <v>4560</v>
      </c>
    </row>
    <row r="5082" spans="1:5">
      <c r="A5082" s="174">
        <f t="shared" si="71"/>
        <v>5081</v>
      </c>
      <c r="B5082" s="163">
        <v>45889</v>
      </c>
      <c r="C5082" s="164">
        <v>0.55800925925925926</v>
      </c>
      <c r="D5082" s="159">
        <v>10</v>
      </c>
      <c r="E5082" s="166" t="s">
        <v>4561</v>
      </c>
    </row>
    <row r="5083" spans="1:5">
      <c r="A5083" s="174">
        <f t="shared" si="71"/>
        <v>5082</v>
      </c>
      <c r="B5083" s="163">
        <v>45889</v>
      </c>
      <c r="C5083" s="164">
        <v>0.54967592592592596</v>
      </c>
      <c r="D5083" s="159">
        <v>10</v>
      </c>
      <c r="E5083" s="166" t="s">
        <v>4562</v>
      </c>
    </row>
    <row r="5084" spans="1:5">
      <c r="A5084" s="174">
        <f t="shared" si="71"/>
        <v>5083</v>
      </c>
      <c r="B5084" s="163">
        <v>45889</v>
      </c>
      <c r="C5084" s="164">
        <v>0.54958333333333331</v>
      </c>
      <c r="D5084" s="159">
        <v>10</v>
      </c>
      <c r="E5084" s="166" t="s">
        <v>4563</v>
      </c>
    </row>
    <row r="5085" spans="1:5">
      <c r="A5085" s="174">
        <f t="shared" si="71"/>
        <v>5084</v>
      </c>
      <c r="B5085" s="163">
        <v>45889</v>
      </c>
      <c r="C5085" s="164">
        <v>0.54898148148148151</v>
      </c>
      <c r="D5085" s="159">
        <v>10</v>
      </c>
      <c r="E5085" s="166" t="s">
        <v>4564</v>
      </c>
    </row>
    <row r="5086" spans="1:5">
      <c r="A5086" s="174">
        <f t="shared" si="71"/>
        <v>5085</v>
      </c>
      <c r="B5086" s="163">
        <v>45889</v>
      </c>
      <c r="C5086" s="164">
        <v>0.54155092592592591</v>
      </c>
      <c r="D5086" s="159">
        <v>10</v>
      </c>
      <c r="E5086" s="166" t="s">
        <v>4565</v>
      </c>
    </row>
    <row r="5087" spans="1:5">
      <c r="A5087" s="174">
        <f t="shared" si="71"/>
        <v>5086</v>
      </c>
      <c r="B5087" s="163">
        <v>45889</v>
      </c>
      <c r="C5087" s="164">
        <v>0.50350694444444444</v>
      </c>
      <c r="D5087" s="159">
        <v>10</v>
      </c>
      <c r="E5087" s="166" t="s">
        <v>1042</v>
      </c>
    </row>
    <row r="5088" spans="1:5">
      <c r="A5088" s="174">
        <f t="shared" si="71"/>
        <v>5087</v>
      </c>
      <c r="B5088" s="163">
        <v>45889</v>
      </c>
      <c r="C5088" s="164">
        <v>0.50304398148148144</v>
      </c>
      <c r="D5088" s="159">
        <v>10</v>
      </c>
      <c r="E5088" s="166" t="s">
        <v>4566</v>
      </c>
    </row>
    <row r="5089" spans="1:5">
      <c r="A5089" s="174">
        <f t="shared" si="71"/>
        <v>5088</v>
      </c>
      <c r="B5089" s="163">
        <v>45889</v>
      </c>
      <c r="C5089" s="164">
        <v>0.5009837962962963</v>
      </c>
      <c r="D5089" s="159">
        <v>10</v>
      </c>
      <c r="E5089" s="166" t="s">
        <v>4567</v>
      </c>
    </row>
    <row r="5090" spans="1:5">
      <c r="A5090" s="174">
        <f t="shared" si="71"/>
        <v>5089</v>
      </c>
      <c r="B5090" s="163">
        <v>45889</v>
      </c>
      <c r="C5090" s="164">
        <v>0.47675925925925927</v>
      </c>
      <c r="D5090" s="159">
        <v>10</v>
      </c>
      <c r="E5090" s="166" t="s">
        <v>4568</v>
      </c>
    </row>
    <row r="5091" spans="1:5">
      <c r="A5091" s="174">
        <f t="shared" si="71"/>
        <v>5090</v>
      </c>
      <c r="B5091" s="163">
        <v>45889</v>
      </c>
      <c r="C5091" s="164">
        <v>0.48283564814814817</v>
      </c>
      <c r="D5091" s="159">
        <v>10</v>
      </c>
      <c r="E5091" s="166" t="s">
        <v>4569</v>
      </c>
    </row>
    <row r="5092" spans="1:5">
      <c r="A5092" s="174">
        <f t="shared" si="71"/>
        <v>5091</v>
      </c>
      <c r="B5092" s="163">
        <v>45889</v>
      </c>
      <c r="C5092" s="164">
        <v>0.48042824074074075</v>
      </c>
      <c r="D5092" s="159">
        <v>10</v>
      </c>
      <c r="E5092" s="166" t="s">
        <v>4570</v>
      </c>
    </row>
    <row r="5093" spans="1:5">
      <c r="A5093" s="174">
        <f t="shared" si="71"/>
        <v>5092</v>
      </c>
      <c r="B5093" s="163">
        <v>45889</v>
      </c>
      <c r="C5093" s="164">
        <v>0.47222222222222227</v>
      </c>
      <c r="D5093" s="159">
        <v>10</v>
      </c>
      <c r="E5093" s="166" t="s">
        <v>4571</v>
      </c>
    </row>
    <row r="5094" spans="1:5">
      <c r="A5094" s="174">
        <f t="shared" si="71"/>
        <v>5093</v>
      </c>
      <c r="B5094" s="163">
        <v>45889</v>
      </c>
      <c r="C5094" s="164">
        <v>0.4704861111111111</v>
      </c>
      <c r="D5094" s="159">
        <v>9</v>
      </c>
      <c r="E5094" s="166" t="s">
        <v>4572</v>
      </c>
    </row>
    <row r="5095" spans="1:5">
      <c r="A5095" s="174">
        <f t="shared" si="71"/>
        <v>5094</v>
      </c>
      <c r="B5095" s="163">
        <v>45889</v>
      </c>
      <c r="C5095" s="164">
        <v>0.46027777777777779</v>
      </c>
      <c r="D5095" s="159">
        <v>10</v>
      </c>
      <c r="E5095" s="166" t="s">
        <v>4573</v>
      </c>
    </row>
    <row r="5096" spans="1:5">
      <c r="A5096" s="174">
        <f t="shared" si="71"/>
        <v>5095</v>
      </c>
      <c r="B5096" s="163">
        <v>45889</v>
      </c>
      <c r="C5096" s="164">
        <v>0.45777777777777778</v>
      </c>
      <c r="D5096" s="159">
        <v>10</v>
      </c>
      <c r="E5096" s="166" t="s">
        <v>4178</v>
      </c>
    </row>
    <row r="5097" spans="1:5">
      <c r="A5097" s="174">
        <f t="shared" si="71"/>
        <v>5096</v>
      </c>
      <c r="B5097" s="163">
        <v>45889</v>
      </c>
      <c r="C5097" s="164">
        <v>0.45329861111111108</v>
      </c>
      <c r="D5097" s="159">
        <v>10</v>
      </c>
      <c r="E5097" s="166" t="s">
        <v>4574</v>
      </c>
    </row>
    <row r="5098" spans="1:5">
      <c r="A5098" s="174">
        <f t="shared" si="71"/>
        <v>5097</v>
      </c>
      <c r="B5098" s="163">
        <v>45889</v>
      </c>
      <c r="C5098" s="164">
        <v>0.45048611111111114</v>
      </c>
      <c r="D5098" s="159">
        <v>10</v>
      </c>
      <c r="E5098" s="166" t="s">
        <v>4575</v>
      </c>
    </row>
    <row r="5099" spans="1:5">
      <c r="A5099" s="174">
        <f t="shared" si="71"/>
        <v>5098</v>
      </c>
      <c r="B5099" s="163">
        <v>45889</v>
      </c>
      <c r="C5099" s="164">
        <v>0.4494097222222222</v>
      </c>
      <c r="D5099" s="159">
        <v>10</v>
      </c>
      <c r="E5099" s="166" t="s">
        <v>4576</v>
      </c>
    </row>
    <row r="5100" spans="1:5">
      <c r="A5100" s="174">
        <f t="shared" si="71"/>
        <v>5099</v>
      </c>
      <c r="B5100" s="163">
        <v>45889</v>
      </c>
      <c r="C5100" s="164">
        <v>0.44393518518518515</v>
      </c>
      <c r="D5100" s="159">
        <v>10</v>
      </c>
      <c r="E5100" s="166" t="s">
        <v>4577</v>
      </c>
    </row>
    <row r="5101" spans="1:5">
      <c r="A5101" s="174">
        <f t="shared" si="71"/>
        <v>5100</v>
      </c>
      <c r="B5101" s="163">
        <v>45889</v>
      </c>
      <c r="C5101" s="164">
        <v>0.41658564814814819</v>
      </c>
      <c r="D5101" s="159">
        <v>10</v>
      </c>
      <c r="E5101" s="166" t="s">
        <v>4578</v>
      </c>
    </row>
    <row r="5102" spans="1:5">
      <c r="A5102" s="174">
        <f t="shared" si="71"/>
        <v>5101</v>
      </c>
      <c r="B5102" s="163">
        <v>45889</v>
      </c>
      <c r="C5102" s="164">
        <v>0.41488425925925926</v>
      </c>
      <c r="D5102" s="159">
        <v>10</v>
      </c>
      <c r="E5102" s="166" t="s">
        <v>4579</v>
      </c>
    </row>
    <row r="5103" spans="1:5" ht="27">
      <c r="A5103" s="174">
        <f t="shared" si="71"/>
        <v>5102</v>
      </c>
      <c r="B5103" s="163">
        <v>45889</v>
      </c>
      <c r="C5103" s="164">
        <v>0.40726851851851853</v>
      </c>
      <c r="D5103" s="159">
        <v>10</v>
      </c>
      <c r="E5103" s="166" t="s">
        <v>4586</v>
      </c>
    </row>
    <row r="5104" spans="1:5">
      <c r="A5104" s="174">
        <f t="shared" si="71"/>
        <v>5103</v>
      </c>
      <c r="B5104" s="163">
        <v>45889</v>
      </c>
      <c r="C5104" s="164">
        <v>0.40707175925925926</v>
      </c>
      <c r="D5104" s="159">
        <v>10</v>
      </c>
      <c r="E5104" s="166" t="s">
        <v>4580</v>
      </c>
    </row>
    <row r="5105" spans="1:5">
      <c r="A5105" s="174">
        <f t="shared" si="71"/>
        <v>5104</v>
      </c>
      <c r="B5105" s="163">
        <v>45889</v>
      </c>
      <c r="C5105" s="164">
        <v>0.40063657407407405</v>
      </c>
      <c r="D5105" s="159">
        <v>10</v>
      </c>
      <c r="E5105" s="166" t="s">
        <v>4581</v>
      </c>
    </row>
    <row r="5106" spans="1:5">
      <c r="A5106" s="174">
        <f t="shared" si="71"/>
        <v>5105</v>
      </c>
      <c r="B5106" s="163">
        <v>45889</v>
      </c>
      <c r="C5106" s="164">
        <v>0.3949537037037037</v>
      </c>
      <c r="D5106" s="159">
        <v>10</v>
      </c>
      <c r="E5106" s="166" t="s">
        <v>179</v>
      </c>
    </row>
    <row r="5107" spans="1:5">
      <c r="A5107" s="174">
        <f t="shared" si="71"/>
        <v>5106</v>
      </c>
      <c r="B5107" s="163">
        <v>45889</v>
      </c>
      <c r="C5107" s="164">
        <v>0.38902777777777775</v>
      </c>
      <c r="D5107" s="159">
        <v>10</v>
      </c>
      <c r="E5107" s="166" t="s">
        <v>4582</v>
      </c>
    </row>
    <row r="5108" spans="1:5">
      <c r="A5108" s="174">
        <f t="shared" si="71"/>
        <v>5107</v>
      </c>
      <c r="B5108" s="163">
        <v>45889</v>
      </c>
      <c r="C5108" s="164">
        <v>0.38574074074074072</v>
      </c>
      <c r="D5108" s="159">
        <v>10</v>
      </c>
      <c r="E5108" s="166" t="s">
        <v>4583</v>
      </c>
    </row>
    <row r="5109" spans="1:5">
      <c r="A5109" s="174">
        <f t="shared" ref="A5109:A5172" si="72">ROW()-1</f>
        <v>5108</v>
      </c>
      <c r="B5109" s="163">
        <v>45890</v>
      </c>
      <c r="C5109" s="164">
        <v>0.8884953703703703</v>
      </c>
      <c r="D5109" s="159">
        <v>10</v>
      </c>
      <c r="E5109" s="166" t="s">
        <v>1305</v>
      </c>
    </row>
    <row r="5110" spans="1:5">
      <c r="A5110" s="174">
        <f t="shared" si="72"/>
        <v>5109</v>
      </c>
      <c r="B5110" s="163">
        <v>45890</v>
      </c>
      <c r="C5110" s="164">
        <v>0.83221064814814805</v>
      </c>
      <c r="D5110" s="159">
        <v>10</v>
      </c>
      <c r="E5110" s="166" t="s">
        <v>4587</v>
      </c>
    </row>
    <row r="5111" spans="1:5">
      <c r="A5111" s="174">
        <f t="shared" si="72"/>
        <v>5110</v>
      </c>
      <c r="B5111" s="163">
        <v>45890</v>
      </c>
      <c r="C5111" s="164">
        <v>0.8276041666666667</v>
      </c>
      <c r="D5111" s="159">
        <v>10</v>
      </c>
      <c r="E5111" s="166" t="s">
        <v>4588</v>
      </c>
    </row>
    <row r="5112" spans="1:5">
      <c r="A5112" s="174">
        <f t="shared" si="72"/>
        <v>5111</v>
      </c>
      <c r="B5112" s="163">
        <v>45890</v>
      </c>
      <c r="C5112" s="164">
        <v>0.81258101851851849</v>
      </c>
      <c r="D5112" s="159">
        <v>10</v>
      </c>
      <c r="E5112" s="166" t="s">
        <v>4589</v>
      </c>
    </row>
    <row r="5113" spans="1:5">
      <c r="A5113" s="174">
        <f t="shared" si="72"/>
        <v>5112</v>
      </c>
      <c r="B5113" s="163">
        <v>45890</v>
      </c>
      <c r="C5113" s="164">
        <v>0.77214120370370365</v>
      </c>
      <c r="D5113" s="159">
        <v>10</v>
      </c>
      <c r="E5113" s="166" t="s">
        <v>4590</v>
      </c>
    </row>
    <row r="5114" spans="1:5">
      <c r="A5114" s="174">
        <f t="shared" si="72"/>
        <v>5113</v>
      </c>
      <c r="B5114" s="163">
        <v>45890</v>
      </c>
      <c r="C5114" s="164">
        <v>0.75196759259259249</v>
      </c>
      <c r="D5114" s="159">
        <v>10</v>
      </c>
      <c r="E5114" s="166" t="s">
        <v>4591</v>
      </c>
    </row>
    <row r="5115" spans="1:5">
      <c r="A5115" s="174">
        <f t="shared" si="72"/>
        <v>5114</v>
      </c>
      <c r="B5115" s="163">
        <v>45890</v>
      </c>
      <c r="C5115" s="164">
        <v>0.74398148148148147</v>
      </c>
      <c r="D5115" s="159">
        <v>10</v>
      </c>
      <c r="E5115" s="166" t="s">
        <v>4592</v>
      </c>
    </row>
    <row r="5116" spans="1:5">
      <c r="A5116" s="174">
        <f t="shared" si="72"/>
        <v>5115</v>
      </c>
      <c r="B5116" s="163">
        <v>45890</v>
      </c>
      <c r="C5116" s="164">
        <v>0.7386921296296296</v>
      </c>
      <c r="D5116" s="159">
        <v>10</v>
      </c>
      <c r="E5116" s="166" t="s">
        <v>4593</v>
      </c>
    </row>
    <row r="5117" spans="1:5">
      <c r="A5117" s="174">
        <f t="shared" si="72"/>
        <v>5116</v>
      </c>
      <c r="B5117" s="163">
        <v>45890</v>
      </c>
      <c r="C5117" s="164">
        <v>0.73085648148148152</v>
      </c>
      <c r="D5117" s="159">
        <v>10</v>
      </c>
      <c r="E5117" s="166" t="s">
        <v>1114</v>
      </c>
    </row>
    <row r="5118" spans="1:5">
      <c r="A5118" s="174">
        <f t="shared" si="72"/>
        <v>5117</v>
      </c>
      <c r="B5118" s="163">
        <v>45890</v>
      </c>
      <c r="C5118" s="164">
        <v>0.72458333333333336</v>
      </c>
      <c r="D5118" s="159">
        <v>10</v>
      </c>
      <c r="E5118" s="166" t="s">
        <v>4594</v>
      </c>
    </row>
    <row r="5119" spans="1:5">
      <c r="A5119" s="174">
        <f t="shared" si="72"/>
        <v>5118</v>
      </c>
      <c r="B5119" s="163">
        <v>45890</v>
      </c>
      <c r="C5119" s="164">
        <v>0.72414351851851855</v>
      </c>
      <c r="D5119" s="159">
        <v>10</v>
      </c>
      <c r="E5119" s="166" t="s">
        <v>4595</v>
      </c>
    </row>
    <row r="5120" spans="1:5">
      <c r="A5120" s="174">
        <f t="shared" si="72"/>
        <v>5119</v>
      </c>
      <c r="B5120" s="163">
        <v>45890</v>
      </c>
      <c r="C5120" s="164">
        <v>0.71403935185185186</v>
      </c>
      <c r="D5120" s="159">
        <v>10</v>
      </c>
      <c r="E5120" s="166" t="s">
        <v>4596</v>
      </c>
    </row>
    <row r="5121" spans="1:5">
      <c r="A5121" s="174">
        <f t="shared" si="72"/>
        <v>5120</v>
      </c>
      <c r="B5121" s="163">
        <v>45890</v>
      </c>
      <c r="C5121" s="164">
        <v>0.71362268518518512</v>
      </c>
      <c r="D5121" s="159">
        <v>10</v>
      </c>
      <c r="E5121" s="166" t="s">
        <v>4394</v>
      </c>
    </row>
    <row r="5122" spans="1:5">
      <c r="A5122" s="174">
        <f t="shared" si="72"/>
        <v>5121</v>
      </c>
      <c r="B5122" s="163">
        <v>45890</v>
      </c>
      <c r="C5122" s="164">
        <v>0.70929398148148148</v>
      </c>
      <c r="D5122" s="159">
        <v>10</v>
      </c>
      <c r="E5122" s="166" t="s">
        <v>4597</v>
      </c>
    </row>
    <row r="5123" spans="1:5">
      <c r="A5123" s="174">
        <f t="shared" si="72"/>
        <v>5122</v>
      </c>
      <c r="B5123" s="163">
        <v>45890</v>
      </c>
      <c r="C5123" s="164">
        <v>0.6660300925925926</v>
      </c>
      <c r="D5123" s="159">
        <v>10</v>
      </c>
      <c r="E5123" s="166" t="s">
        <v>4598</v>
      </c>
    </row>
    <row r="5124" spans="1:5">
      <c r="A5124" s="174">
        <f t="shared" si="72"/>
        <v>5123</v>
      </c>
      <c r="B5124" s="163">
        <v>45890</v>
      </c>
      <c r="C5124" s="164">
        <v>0.66396990740740736</v>
      </c>
      <c r="D5124" s="159">
        <v>10</v>
      </c>
      <c r="E5124" s="166" t="s">
        <v>4599</v>
      </c>
    </row>
    <row r="5125" spans="1:5" ht="40.5">
      <c r="A5125" s="174">
        <f t="shared" si="72"/>
        <v>5124</v>
      </c>
      <c r="B5125" s="163">
        <v>45890</v>
      </c>
      <c r="C5125" s="164">
        <v>0.66181712962962969</v>
      </c>
      <c r="D5125" s="159">
        <v>10</v>
      </c>
      <c r="E5125" s="166" t="s">
        <v>4600</v>
      </c>
    </row>
    <row r="5126" spans="1:5">
      <c r="A5126" s="174">
        <f t="shared" si="72"/>
        <v>5125</v>
      </c>
      <c r="B5126" s="163">
        <v>45890</v>
      </c>
      <c r="C5126" s="164">
        <v>0.66079861111111116</v>
      </c>
      <c r="D5126" s="159">
        <v>10</v>
      </c>
      <c r="E5126" s="166" t="s">
        <v>4601</v>
      </c>
    </row>
    <row r="5127" spans="1:5">
      <c r="A5127" s="174">
        <f t="shared" si="72"/>
        <v>5126</v>
      </c>
      <c r="B5127" s="163">
        <v>45890</v>
      </c>
      <c r="C5127" s="164">
        <v>0.6595833333333333</v>
      </c>
      <c r="D5127" s="159">
        <v>4</v>
      </c>
      <c r="E5127" s="166" t="s">
        <v>4602</v>
      </c>
    </row>
    <row r="5128" spans="1:5">
      <c r="A5128" s="174">
        <f t="shared" si="72"/>
        <v>5127</v>
      </c>
      <c r="B5128" s="163">
        <v>45890</v>
      </c>
      <c r="C5128" s="164">
        <v>0.65812499999999996</v>
      </c>
      <c r="D5128" s="159">
        <v>10</v>
      </c>
      <c r="E5128" s="166" t="s">
        <v>4603</v>
      </c>
    </row>
    <row r="5129" spans="1:5">
      <c r="A5129" s="174">
        <f t="shared" si="72"/>
        <v>5128</v>
      </c>
      <c r="B5129" s="163">
        <v>45890</v>
      </c>
      <c r="C5129" s="164">
        <v>0.63618055555555553</v>
      </c>
      <c r="D5129" s="159">
        <v>10</v>
      </c>
      <c r="E5129" s="166" t="s">
        <v>4604</v>
      </c>
    </row>
    <row r="5130" spans="1:5">
      <c r="A5130" s="174">
        <f t="shared" si="72"/>
        <v>5129</v>
      </c>
      <c r="B5130" s="163">
        <v>45890</v>
      </c>
      <c r="C5130" s="164">
        <v>0.63423611111111111</v>
      </c>
      <c r="D5130" s="159">
        <v>10</v>
      </c>
      <c r="E5130" s="166" t="s">
        <v>4605</v>
      </c>
    </row>
    <row r="5131" spans="1:5">
      <c r="A5131" s="174">
        <f t="shared" si="72"/>
        <v>5130</v>
      </c>
      <c r="B5131" s="163">
        <v>45890</v>
      </c>
      <c r="C5131" s="164">
        <v>0.63320601851851854</v>
      </c>
      <c r="D5131" s="159">
        <v>10</v>
      </c>
      <c r="E5131" s="166" t="s">
        <v>4606</v>
      </c>
    </row>
    <row r="5132" spans="1:5">
      <c r="A5132" s="174">
        <f t="shared" si="72"/>
        <v>5131</v>
      </c>
      <c r="B5132" s="163">
        <v>45890</v>
      </c>
      <c r="C5132" s="164">
        <v>0.63253472222222229</v>
      </c>
      <c r="D5132" s="159">
        <v>10</v>
      </c>
      <c r="E5132" s="166" t="s">
        <v>4607</v>
      </c>
    </row>
    <row r="5133" spans="1:5">
      <c r="A5133" s="174">
        <f t="shared" si="72"/>
        <v>5132</v>
      </c>
      <c r="B5133" s="163">
        <v>45890</v>
      </c>
      <c r="C5133" s="164">
        <v>0.62160879629629628</v>
      </c>
      <c r="D5133" s="159">
        <v>10</v>
      </c>
      <c r="E5133" s="166" t="s">
        <v>4608</v>
      </c>
    </row>
    <row r="5134" spans="1:5">
      <c r="A5134" s="174">
        <f t="shared" si="72"/>
        <v>5133</v>
      </c>
      <c r="B5134" s="163">
        <v>45890</v>
      </c>
      <c r="C5134" s="164">
        <v>0.6045949074074074</v>
      </c>
      <c r="D5134" s="159">
        <v>10</v>
      </c>
      <c r="E5134" s="166" t="s">
        <v>4609</v>
      </c>
    </row>
    <row r="5135" spans="1:5">
      <c r="A5135" s="174">
        <f t="shared" si="72"/>
        <v>5134</v>
      </c>
      <c r="B5135" s="163">
        <v>45890</v>
      </c>
      <c r="C5135" s="164">
        <v>0.60311342592592598</v>
      </c>
      <c r="D5135" s="159">
        <v>10</v>
      </c>
      <c r="E5135" s="166" t="s">
        <v>4610</v>
      </c>
    </row>
    <row r="5136" spans="1:5">
      <c r="A5136" s="174">
        <f t="shared" si="72"/>
        <v>5135</v>
      </c>
      <c r="B5136" s="163">
        <v>45890</v>
      </c>
      <c r="C5136" s="164">
        <v>0.59858796296296302</v>
      </c>
      <c r="D5136" s="159">
        <v>10</v>
      </c>
      <c r="E5136" s="166" t="s">
        <v>179</v>
      </c>
    </row>
    <row r="5137" spans="1:5">
      <c r="A5137" s="174">
        <f t="shared" si="72"/>
        <v>5136</v>
      </c>
      <c r="B5137" s="163">
        <v>45890</v>
      </c>
      <c r="C5137" s="164">
        <v>0.59636574074074067</v>
      </c>
      <c r="D5137" s="159">
        <v>10</v>
      </c>
      <c r="E5137" s="166" t="s">
        <v>4611</v>
      </c>
    </row>
    <row r="5138" spans="1:5">
      <c r="A5138" s="174">
        <f t="shared" si="72"/>
        <v>5137</v>
      </c>
      <c r="B5138" s="163">
        <v>45890</v>
      </c>
      <c r="C5138" s="164">
        <v>0.5881481481481482</v>
      </c>
      <c r="D5138" s="159">
        <v>10</v>
      </c>
      <c r="E5138" s="166" t="s">
        <v>4612</v>
      </c>
    </row>
    <row r="5139" spans="1:5">
      <c r="A5139" s="174">
        <f t="shared" si="72"/>
        <v>5138</v>
      </c>
      <c r="B5139" s="163">
        <v>45890</v>
      </c>
      <c r="C5139" s="164">
        <v>0.57342592592592589</v>
      </c>
      <c r="D5139" s="159">
        <v>10</v>
      </c>
      <c r="E5139" s="166" t="s">
        <v>4613</v>
      </c>
    </row>
    <row r="5140" spans="1:5">
      <c r="A5140" s="174">
        <f t="shared" si="72"/>
        <v>5139</v>
      </c>
      <c r="B5140" s="163">
        <v>45890</v>
      </c>
      <c r="C5140" s="164">
        <v>0.57140046296296299</v>
      </c>
      <c r="D5140" s="159">
        <v>10</v>
      </c>
      <c r="E5140" s="166" t="s">
        <v>4614</v>
      </c>
    </row>
    <row r="5141" spans="1:5">
      <c r="A5141" s="174">
        <f t="shared" si="72"/>
        <v>5140</v>
      </c>
      <c r="B5141" s="163">
        <v>45890</v>
      </c>
      <c r="C5141" s="164">
        <v>0.56467592592592586</v>
      </c>
      <c r="D5141" s="159">
        <v>10</v>
      </c>
      <c r="E5141" s="166" t="s">
        <v>4615</v>
      </c>
    </row>
    <row r="5142" spans="1:5">
      <c r="A5142" s="174">
        <f t="shared" si="72"/>
        <v>5141</v>
      </c>
      <c r="B5142" s="163">
        <v>45890</v>
      </c>
      <c r="C5142" s="164">
        <v>0.55488425925925922</v>
      </c>
      <c r="D5142" s="159">
        <v>10</v>
      </c>
      <c r="E5142" s="166" t="s">
        <v>4616</v>
      </c>
    </row>
    <row r="5143" spans="1:5">
      <c r="A5143" s="174">
        <f t="shared" si="72"/>
        <v>5142</v>
      </c>
      <c r="B5143" s="163">
        <v>45890</v>
      </c>
      <c r="C5143" s="164">
        <v>0.54481481481481475</v>
      </c>
      <c r="D5143" s="159">
        <v>6</v>
      </c>
      <c r="E5143" s="166" t="s">
        <v>4617</v>
      </c>
    </row>
    <row r="5144" spans="1:5" ht="27">
      <c r="A5144" s="174">
        <f t="shared" si="72"/>
        <v>5143</v>
      </c>
      <c r="B5144" s="163">
        <v>45890</v>
      </c>
      <c r="C5144" s="164">
        <v>0.53255787037037039</v>
      </c>
      <c r="D5144" s="159">
        <v>10</v>
      </c>
      <c r="E5144" s="166" t="s">
        <v>4618</v>
      </c>
    </row>
    <row r="5145" spans="1:5">
      <c r="A5145" s="174">
        <f t="shared" si="72"/>
        <v>5144</v>
      </c>
      <c r="B5145" s="163">
        <v>45890</v>
      </c>
      <c r="C5145" s="164">
        <v>0.49061342592592588</v>
      </c>
      <c r="D5145" s="159">
        <v>10</v>
      </c>
      <c r="E5145" s="166" t="s">
        <v>179</v>
      </c>
    </row>
    <row r="5146" spans="1:5">
      <c r="A5146" s="174">
        <f t="shared" si="72"/>
        <v>5145</v>
      </c>
      <c r="B5146" s="163">
        <v>45890</v>
      </c>
      <c r="C5146" s="164">
        <v>0.4880902777777778</v>
      </c>
      <c r="D5146" s="159">
        <v>10</v>
      </c>
      <c r="E5146" s="166" t="s">
        <v>4619</v>
      </c>
    </row>
    <row r="5147" spans="1:5">
      <c r="A5147" s="174">
        <f t="shared" si="72"/>
        <v>5146</v>
      </c>
      <c r="B5147" s="163">
        <v>45890</v>
      </c>
      <c r="C5147" s="164">
        <v>0.4761111111111111</v>
      </c>
      <c r="D5147" s="159">
        <v>10</v>
      </c>
      <c r="E5147" s="166" t="s">
        <v>4620</v>
      </c>
    </row>
    <row r="5148" spans="1:5">
      <c r="A5148" s="174">
        <f t="shared" si="72"/>
        <v>5147</v>
      </c>
      <c r="B5148" s="163">
        <v>45890</v>
      </c>
      <c r="C5148" s="164">
        <v>0.47570601851851851</v>
      </c>
      <c r="D5148" s="159">
        <v>10</v>
      </c>
      <c r="E5148" s="166" t="s">
        <v>4621</v>
      </c>
    </row>
    <row r="5149" spans="1:5">
      <c r="A5149" s="174">
        <f t="shared" si="72"/>
        <v>5148</v>
      </c>
      <c r="B5149" s="163">
        <v>45890</v>
      </c>
      <c r="C5149" s="164">
        <v>0.46811342592592592</v>
      </c>
      <c r="D5149" s="159">
        <v>10</v>
      </c>
      <c r="E5149" s="166" t="s">
        <v>4622</v>
      </c>
    </row>
    <row r="5150" spans="1:5">
      <c r="A5150" s="174">
        <f t="shared" si="72"/>
        <v>5149</v>
      </c>
      <c r="B5150" s="163">
        <v>45890</v>
      </c>
      <c r="C5150" s="164">
        <v>0.4583564814814815</v>
      </c>
      <c r="D5150" s="159">
        <v>10</v>
      </c>
      <c r="E5150" s="166" t="s">
        <v>4623</v>
      </c>
    </row>
    <row r="5151" spans="1:5">
      <c r="A5151" s="174">
        <f t="shared" si="72"/>
        <v>5150</v>
      </c>
      <c r="B5151" s="163">
        <v>45890</v>
      </c>
      <c r="C5151" s="164">
        <v>0.44914351851851847</v>
      </c>
      <c r="D5151" s="159">
        <v>10</v>
      </c>
      <c r="E5151" s="166" t="s">
        <v>4624</v>
      </c>
    </row>
    <row r="5152" spans="1:5">
      <c r="A5152" s="174">
        <f t="shared" si="72"/>
        <v>5151</v>
      </c>
      <c r="B5152" s="163">
        <v>45890</v>
      </c>
      <c r="C5152" s="164">
        <v>0.44791666666666669</v>
      </c>
      <c r="D5152" s="159">
        <v>10</v>
      </c>
      <c r="E5152" s="166" t="s">
        <v>4625</v>
      </c>
    </row>
    <row r="5153" spans="1:5">
      <c r="A5153" s="174">
        <f t="shared" si="72"/>
        <v>5152</v>
      </c>
      <c r="B5153" s="163">
        <v>45890</v>
      </c>
      <c r="C5153" s="164">
        <v>0.44515046296296296</v>
      </c>
      <c r="D5153" s="159">
        <v>10</v>
      </c>
      <c r="E5153" s="166" t="s">
        <v>4626</v>
      </c>
    </row>
    <row r="5154" spans="1:5">
      <c r="A5154" s="174">
        <f t="shared" si="72"/>
        <v>5153</v>
      </c>
      <c r="B5154" s="163">
        <v>45890</v>
      </c>
      <c r="C5154" s="164">
        <v>0.44043981481481481</v>
      </c>
      <c r="D5154" s="159">
        <v>10</v>
      </c>
      <c r="E5154" s="166" t="s">
        <v>2146</v>
      </c>
    </row>
    <row r="5155" spans="1:5">
      <c r="A5155" s="174">
        <f t="shared" si="72"/>
        <v>5154</v>
      </c>
      <c r="B5155" s="163">
        <v>45890</v>
      </c>
      <c r="C5155" s="164">
        <v>0.43656249999999996</v>
      </c>
      <c r="D5155" s="159">
        <v>10</v>
      </c>
      <c r="E5155" s="166" t="s">
        <v>4627</v>
      </c>
    </row>
    <row r="5156" spans="1:5">
      <c r="A5156" s="174">
        <f t="shared" si="72"/>
        <v>5155</v>
      </c>
      <c r="B5156" s="163">
        <v>45890</v>
      </c>
      <c r="C5156" s="164">
        <v>0.43276620370370367</v>
      </c>
      <c r="D5156" s="159">
        <v>10</v>
      </c>
      <c r="E5156" s="166" t="s">
        <v>710</v>
      </c>
    </row>
    <row r="5157" spans="1:5">
      <c r="A5157" s="174">
        <f t="shared" si="72"/>
        <v>5156</v>
      </c>
      <c r="B5157" s="163">
        <v>45890</v>
      </c>
      <c r="C5157" s="164">
        <v>0.43233796296296295</v>
      </c>
      <c r="D5157" s="159">
        <v>10</v>
      </c>
      <c r="E5157" s="166" t="s">
        <v>4628</v>
      </c>
    </row>
    <row r="5158" spans="1:5">
      <c r="A5158" s="174">
        <f t="shared" si="72"/>
        <v>5157</v>
      </c>
      <c r="B5158" s="163">
        <v>45890</v>
      </c>
      <c r="C5158" s="164">
        <v>0.43034722222222221</v>
      </c>
      <c r="D5158" s="159">
        <v>10</v>
      </c>
      <c r="E5158" s="166" t="s">
        <v>4629</v>
      </c>
    </row>
    <row r="5159" spans="1:5">
      <c r="A5159" s="174">
        <f t="shared" si="72"/>
        <v>5158</v>
      </c>
      <c r="B5159" s="163">
        <v>45890</v>
      </c>
      <c r="C5159" s="164">
        <v>0.41607638888888893</v>
      </c>
      <c r="D5159" s="159">
        <v>10</v>
      </c>
      <c r="E5159" s="166" t="s">
        <v>4630</v>
      </c>
    </row>
    <row r="5160" spans="1:5">
      <c r="A5160" s="174">
        <f t="shared" si="72"/>
        <v>5159</v>
      </c>
      <c r="B5160" s="163">
        <v>45890</v>
      </c>
      <c r="C5160" s="164">
        <v>0.39451388888888889</v>
      </c>
      <c r="D5160" s="159">
        <v>10</v>
      </c>
      <c r="E5160" s="166" t="s">
        <v>4631</v>
      </c>
    </row>
    <row r="5161" spans="1:5">
      <c r="A5161" s="174">
        <f t="shared" si="72"/>
        <v>5160</v>
      </c>
      <c r="B5161" s="163">
        <v>45891</v>
      </c>
      <c r="C5161" s="164">
        <v>0.90820601851851857</v>
      </c>
      <c r="D5161" s="159">
        <v>10</v>
      </c>
      <c r="E5161" s="166" t="s">
        <v>4644</v>
      </c>
    </row>
    <row r="5162" spans="1:5">
      <c r="A5162" s="174">
        <f t="shared" si="72"/>
        <v>5161</v>
      </c>
      <c r="B5162" s="163">
        <v>45891</v>
      </c>
      <c r="C5162" s="164">
        <v>0.90045138888888887</v>
      </c>
      <c r="D5162" s="159">
        <v>10</v>
      </c>
      <c r="E5162" s="166" t="s">
        <v>4645</v>
      </c>
    </row>
    <row r="5163" spans="1:5">
      <c r="A5163" s="174">
        <f t="shared" si="72"/>
        <v>5162</v>
      </c>
      <c r="B5163" s="163">
        <v>45891</v>
      </c>
      <c r="C5163" s="164">
        <v>0.87981481481481483</v>
      </c>
      <c r="D5163" s="159">
        <v>10</v>
      </c>
      <c r="E5163" s="166" t="s">
        <v>132</v>
      </c>
    </row>
    <row r="5164" spans="1:5">
      <c r="A5164" s="174">
        <f t="shared" si="72"/>
        <v>5163</v>
      </c>
      <c r="B5164" s="163">
        <v>45891</v>
      </c>
      <c r="C5164" s="164">
        <v>0.82574074074074078</v>
      </c>
      <c r="D5164" s="159">
        <v>10</v>
      </c>
      <c r="E5164" s="166" t="s">
        <v>4646</v>
      </c>
    </row>
    <row r="5165" spans="1:5">
      <c r="A5165" s="174">
        <f t="shared" si="72"/>
        <v>5164</v>
      </c>
      <c r="B5165" s="163">
        <v>45891</v>
      </c>
      <c r="C5165" s="164">
        <v>0.82075231481481481</v>
      </c>
      <c r="D5165" s="159">
        <v>10</v>
      </c>
      <c r="E5165" s="166" t="s">
        <v>4647</v>
      </c>
    </row>
    <row r="5166" spans="1:5">
      <c r="A5166" s="174">
        <f t="shared" si="72"/>
        <v>5165</v>
      </c>
      <c r="B5166" s="163">
        <v>45891</v>
      </c>
      <c r="C5166" s="164">
        <v>0.81155092592592604</v>
      </c>
      <c r="D5166" s="159">
        <v>10</v>
      </c>
      <c r="E5166" s="166" t="s">
        <v>4648</v>
      </c>
    </row>
    <row r="5167" spans="1:5">
      <c r="A5167" s="174">
        <f t="shared" si="72"/>
        <v>5166</v>
      </c>
      <c r="B5167" s="163">
        <v>45891</v>
      </c>
      <c r="C5167" s="164">
        <v>0.76583333333333325</v>
      </c>
      <c r="D5167" s="159">
        <v>10</v>
      </c>
      <c r="E5167" s="166" t="s">
        <v>4649</v>
      </c>
    </row>
    <row r="5168" spans="1:5">
      <c r="A5168" s="174">
        <f t="shared" si="72"/>
        <v>5167</v>
      </c>
      <c r="B5168" s="163">
        <v>45891</v>
      </c>
      <c r="C5168" s="164">
        <v>0.7621296296296296</v>
      </c>
      <c r="D5168" s="159">
        <v>10</v>
      </c>
      <c r="E5168" s="166" t="s">
        <v>3687</v>
      </c>
    </row>
    <row r="5169" spans="1:5">
      <c r="A5169" s="174">
        <f t="shared" si="72"/>
        <v>5168</v>
      </c>
      <c r="B5169" s="163">
        <v>45891</v>
      </c>
      <c r="C5169" s="164">
        <v>0.760625</v>
      </c>
      <c r="D5169" s="159">
        <v>10</v>
      </c>
      <c r="E5169" s="166" t="s">
        <v>4650</v>
      </c>
    </row>
    <row r="5170" spans="1:5">
      <c r="A5170" s="174">
        <f t="shared" si="72"/>
        <v>5169</v>
      </c>
      <c r="B5170" s="163">
        <v>45891</v>
      </c>
      <c r="C5170" s="164">
        <v>0.75593749999999993</v>
      </c>
      <c r="D5170" s="159">
        <v>10</v>
      </c>
      <c r="E5170" s="166" t="s">
        <v>4651</v>
      </c>
    </row>
    <row r="5171" spans="1:5">
      <c r="A5171" s="174">
        <f t="shared" si="72"/>
        <v>5170</v>
      </c>
      <c r="B5171" s="163">
        <v>45891</v>
      </c>
      <c r="C5171" s="164">
        <v>0.74009259259259252</v>
      </c>
      <c r="D5171" s="159">
        <v>10</v>
      </c>
      <c r="E5171" s="166" t="s">
        <v>4652</v>
      </c>
    </row>
    <row r="5172" spans="1:5">
      <c r="A5172" s="174">
        <f t="shared" si="72"/>
        <v>5171</v>
      </c>
      <c r="B5172" s="163">
        <v>45891</v>
      </c>
      <c r="C5172" s="164">
        <v>0.73679398148148145</v>
      </c>
      <c r="D5172" s="159">
        <v>9</v>
      </c>
      <c r="E5172" s="166" t="s">
        <v>2277</v>
      </c>
    </row>
    <row r="5173" spans="1:5">
      <c r="A5173" s="174">
        <f t="shared" ref="A5173:A5236" si="73">ROW()-1</f>
        <v>5172</v>
      </c>
      <c r="B5173" s="163">
        <v>45891</v>
      </c>
      <c r="C5173" s="164">
        <v>0.73486111111111108</v>
      </c>
      <c r="D5173" s="159">
        <v>10</v>
      </c>
      <c r="E5173" s="166" t="s">
        <v>4653</v>
      </c>
    </row>
    <row r="5174" spans="1:5">
      <c r="A5174" s="174">
        <f t="shared" si="73"/>
        <v>5173</v>
      </c>
      <c r="B5174" s="163">
        <v>45891</v>
      </c>
      <c r="C5174" s="164">
        <v>0.72270833333333329</v>
      </c>
      <c r="D5174" s="159">
        <v>10</v>
      </c>
      <c r="E5174" s="166" t="s">
        <v>4654</v>
      </c>
    </row>
    <row r="5175" spans="1:5">
      <c r="A5175" s="174">
        <f t="shared" si="73"/>
        <v>5174</v>
      </c>
      <c r="B5175" s="163">
        <v>45891</v>
      </c>
      <c r="C5175" s="164">
        <v>0.72078703703703706</v>
      </c>
      <c r="D5175" s="159">
        <v>10</v>
      </c>
      <c r="E5175" s="166" t="s">
        <v>132</v>
      </c>
    </row>
    <row r="5176" spans="1:5" ht="27">
      <c r="A5176" s="174">
        <f t="shared" si="73"/>
        <v>5175</v>
      </c>
      <c r="B5176" s="163">
        <v>45891</v>
      </c>
      <c r="C5176" s="164">
        <v>0.71075231481481482</v>
      </c>
      <c r="D5176" s="159">
        <v>10</v>
      </c>
      <c r="E5176" s="166" t="s">
        <v>4685</v>
      </c>
    </row>
    <row r="5177" spans="1:5">
      <c r="A5177" s="174">
        <f t="shared" si="73"/>
        <v>5176</v>
      </c>
      <c r="B5177" s="163">
        <v>45891</v>
      </c>
      <c r="C5177" s="164">
        <v>0.69416666666666671</v>
      </c>
      <c r="D5177" s="159">
        <v>10</v>
      </c>
      <c r="E5177" s="166" t="s">
        <v>4655</v>
      </c>
    </row>
    <row r="5178" spans="1:5">
      <c r="A5178" s="174">
        <f t="shared" si="73"/>
        <v>5177</v>
      </c>
      <c r="B5178" s="163">
        <v>45891</v>
      </c>
      <c r="C5178" s="164">
        <v>0.69225694444444441</v>
      </c>
      <c r="D5178" s="159">
        <v>10</v>
      </c>
      <c r="E5178" s="166" t="s">
        <v>4656</v>
      </c>
    </row>
    <row r="5179" spans="1:5">
      <c r="A5179" s="174">
        <f t="shared" si="73"/>
        <v>5178</v>
      </c>
      <c r="B5179" s="163">
        <v>45891</v>
      </c>
      <c r="C5179" s="164">
        <v>0.69140046296296298</v>
      </c>
      <c r="D5179" s="159">
        <v>10</v>
      </c>
      <c r="E5179" s="166" t="s">
        <v>4657</v>
      </c>
    </row>
    <row r="5180" spans="1:5">
      <c r="A5180" s="174">
        <f t="shared" si="73"/>
        <v>5179</v>
      </c>
      <c r="B5180" s="163">
        <v>45891</v>
      </c>
      <c r="C5180" s="164">
        <v>0.68680555555555556</v>
      </c>
      <c r="D5180" s="159">
        <v>10</v>
      </c>
      <c r="E5180" s="166" t="s">
        <v>313</v>
      </c>
    </row>
    <row r="5181" spans="1:5">
      <c r="A5181" s="174">
        <f t="shared" si="73"/>
        <v>5180</v>
      </c>
      <c r="B5181" s="163">
        <v>45891</v>
      </c>
      <c r="C5181" s="164">
        <v>0.67811342592592594</v>
      </c>
      <c r="D5181" s="159">
        <v>10</v>
      </c>
      <c r="E5181" s="166" t="s">
        <v>4658</v>
      </c>
    </row>
    <row r="5182" spans="1:5">
      <c r="A5182" s="174">
        <f t="shared" si="73"/>
        <v>5181</v>
      </c>
      <c r="B5182" s="163">
        <v>45891</v>
      </c>
      <c r="C5182" s="164">
        <v>0.67730324074074078</v>
      </c>
      <c r="D5182" s="159">
        <v>10</v>
      </c>
      <c r="E5182" s="166" t="s">
        <v>4659</v>
      </c>
    </row>
    <row r="5183" spans="1:5">
      <c r="A5183" s="174">
        <f t="shared" si="73"/>
        <v>5182</v>
      </c>
      <c r="B5183" s="163">
        <v>45891</v>
      </c>
      <c r="C5183" s="164">
        <v>0.67693287037037031</v>
      </c>
      <c r="D5183" s="159">
        <v>10</v>
      </c>
      <c r="E5183" s="166" t="s">
        <v>4660</v>
      </c>
    </row>
    <row r="5184" spans="1:5">
      <c r="A5184" s="174">
        <f t="shared" si="73"/>
        <v>5183</v>
      </c>
      <c r="B5184" s="163">
        <v>45891</v>
      </c>
      <c r="C5184" s="164">
        <v>0.66109953703703705</v>
      </c>
      <c r="D5184" s="159">
        <v>10</v>
      </c>
      <c r="E5184" s="166" t="s">
        <v>1635</v>
      </c>
    </row>
    <row r="5185" spans="1:5">
      <c r="A5185" s="174">
        <f t="shared" si="73"/>
        <v>5184</v>
      </c>
      <c r="B5185" s="163">
        <v>45891</v>
      </c>
      <c r="C5185" s="164">
        <v>0.65680555555555553</v>
      </c>
      <c r="D5185" s="159">
        <v>10</v>
      </c>
      <c r="E5185" s="166" t="s">
        <v>4661</v>
      </c>
    </row>
    <row r="5186" spans="1:5">
      <c r="A5186" s="174">
        <f t="shared" si="73"/>
        <v>5185</v>
      </c>
      <c r="B5186" s="163">
        <v>45891</v>
      </c>
      <c r="C5186" s="164">
        <v>0.64112268518518511</v>
      </c>
      <c r="D5186" s="159">
        <v>10</v>
      </c>
      <c r="E5186" s="166" t="s">
        <v>4662</v>
      </c>
    </row>
    <row r="5187" spans="1:5">
      <c r="A5187" s="174">
        <f t="shared" si="73"/>
        <v>5186</v>
      </c>
      <c r="B5187" s="163">
        <v>45891</v>
      </c>
      <c r="C5187" s="164">
        <v>0.63981481481481484</v>
      </c>
      <c r="D5187" s="159">
        <v>10</v>
      </c>
      <c r="E5187" s="166" t="s">
        <v>4663</v>
      </c>
    </row>
    <row r="5188" spans="1:5">
      <c r="A5188" s="174">
        <f t="shared" si="73"/>
        <v>5187</v>
      </c>
      <c r="B5188" s="163">
        <v>45891</v>
      </c>
      <c r="C5188" s="164">
        <v>0.63833333333333331</v>
      </c>
      <c r="D5188" s="159">
        <v>10</v>
      </c>
      <c r="E5188" s="166" t="s">
        <v>4664</v>
      </c>
    </row>
    <row r="5189" spans="1:5" ht="27">
      <c r="A5189" s="174">
        <f t="shared" si="73"/>
        <v>5188</v>
      </c>
      <c r="B5189" s="163">
        <v>45891</v>
      </c>
      <c r="C5189" s="164">
        <v>0.63408564814814816</v>
      </c>
      <c r="D5189" s="159">
        <v>10</v>
      </c>
      <c r="E5189" s="166" t="s">
        <v>4665</v>
      </c>
    </row>
    <row r="5190" spans="1:5">
      <c r="A5190" s="174">
        <f t="shared" si="73"/>
        <v>5189</v>
      </c>
      <c r="B5190" s="163">
        <v>45891</v>
      </c>
      <c r="C5190" s="164">
        <v>0.63415509259259262</v>
      </c>
      <c r="D5190" s="159">
        <v>10</v>
      </c>
      <c r="E5190" s="166" t="s">
        <v>4666</v>
      </c>
    </row>
    <row r="5191" spans="1:5">
      <c r="A5191" s="174">
        <f t="shared" si="73"/>
        <v>5190</v>
      </c>
      <c r="B5191" s="163">
        <v>45891</v>
      </c>
      <c r="C5191" s="164">
        <v>0.62968750000000007</v>
      </c>
      <c r="D5191" s="159">
        <v>10</v>
      </c>
      <c r="E5191" s="166" t="s">
        <v>4667</v>
      </c>
    </row>
    <row r="5192" spans="1:5">
      <c r="A5192" s="174">
        <f t="shared" si="73"/>
        <v>5191</v>
      </c>
      <c r="B5192" s="163">
        <v>45891</v>
      </c>
      <c r="C5192" s="164">
        <v>0.62570601851851848</v>
      </c>
      <c r="D5192" s="159">
        <v>10</v>
      </c>
      <c r="E5192" s="166" t="s">
        <v>4668</v>
      </c>
    </row>
    <row r="5193" spans="1:5">
      <c r="A5193" s="174">
        <f t="shared" si="73"/>
        <v>5192</v>
      </c>
      <c r="B5193" s="163">
        <v>45891</v>
      </c>
      <c r="C5193" s="164">
        <v>0.60648148148148151</v>
      </c>
      <c r="D5193" s="159">
        <v>10</v>
      </c>
      <c r="E5193" s="166" t="s">
        <v>4669</v>
      </c>
    </row>
    <row r="5194" spans="1:5">
      <c r="A5194" s="174">
        <f t="shared" si="73"/>
        <v>5193</v>
      </c>
      <c r="B5194" s="163">
        <v>45891</v>
      </c>
      <c r="C5194" s="164">
        <v>0.58096064814814818</v>
      </c>
      <c r="D5194" s="159">
        <v>10</v>
      </c>
      <c r="E5194" s="166" t="s">
        <v>4670</v>
      </c>
    </row>
    <row r="5195" spans="1:5">
      <c r="A5195" s="174">
        <f t="shared" si="73"/>
        <v>5194</v>
      </c>
      <c r="B5195" s="163">
        <v>45891</v>
      </c>
      <c r="C5195" s="164">
        <v>0.57328703703703698</v>
      </c>
      <c r="D5195" s="159">
        <v>10</v>
      </c>
      <c r="E5195" s="166" t="s">
        <v>4671</v>
      </c>
    </row>
    <row r="5196" spans="1:5">
      <c r="A5196" s="174">
        <f t="shared" si="73"/>
        <v>5195</v>
      </c>
      <c r="B5196" s="163">
        <v>45891</v>
      </c>
      <c r="C5196" s="164">
        <v>0.57168981481481485</v>
      </c>
      <c r="D5196" s="159">
        <v>10</v>
      </c>
      <c r="E5196" s="166" t="s">
        <v>4672</v>
      </c>
    </row>
    <row r="5197" spans="1:5">
      <c r="A5197" s="174">
        <f t="shared" si="73"/>
        <v>5196</v>
      </c>
      <c r="B5197" s="163">
        <v>45891</v>
      </c>
      <c r="C5197" s="164">
        <v>0.5635648148148148</v>
      </c>
      <c r="D5197" s="159">
        <v>10</v>
      </c>
      <c r="E5197" s="166" t="s">
        <v>2233</v>
      </c>
    </row>
    <row r="5198" spans="1:5">
      <c r="A5198" s="174">
        <f t="shared" si="73"/>
        <v>5197</v>
      </c>
      <c r="B5198" s="163">
        <v>45891</v>
      </c>
      <c r="C5198" s="164">
        <v>0.55751157407407403</v>
      </c>
      <c r="D5198" s="159">
        <v>10</v>
      </c>
      <c r="E5198" s="166" t="s">
        <v>1114</v>
      </c>
    </row>
    <row r="5199" spans="1:5">
      <c r="A5199" s="174">
        <f t="shared" si="73"/>
        <v>5198</v>
      </c>
      <c r="B5199" s="163">
        <v>45891</v>
      </c>
      <c r="C5199" s="164">
        <v>0.55317129629629636</v>
      </c>
      <c r="D5199" s="159">
        <v>10</v>
      </c>
      <c r="E5199" s="166" t="s">
        <v>4673</v>
      </c>
    </row>
    <row r="5200" spans="1:5">
      <c r="A5200" s="174">
        <f t="shared" si="73"/>
        <v>5199</v>
      </c>
      <c r="B5200" s="163">
        <v>45891</v>
      </c>
      <c r="C5200" s="164">
        <v>0.54979166666666668</v>
      </c>
      <c r="D5200" s="159">
        <v>10</v>
      </c>
      <c r="E5200" s="166" t="s">
        <v>739</v>
      </c>
    </row>
    <row r="5201" spans="1:5">
      <c r="A5201" s="174">
        <f t="shared" si="73"/>
        <v>5200</v>
      </c>
      <c r="B5201" s="163">
        <v>45891</v>
      </c>
      <c r="C5201" s="164">
        <v>0.54480324074074071</v>
      </c>
      <c r="D5201" s="159">
        <v>10</v>
      </c>
      <c r="E5201" s="166" t="s">
        <v>1747</v>
      </c>
    </row>
    <row r="5202" spans="1:5">
      <c r="A5202" s="174">
        <f t="shared" si="73"/>
        <v>5201</v>
      </c>
      <c r="B5202" s="163">
        <v>45891</v>
      </c>
      <c r="C5202" s="164">
        <v>0.5180555555555556</v>
      </c>
      <c r="D5202" s="159">
        <v>10</v>
      </c>
      <c r="E5202" s="166" t="s">
        <v>4674</v>
      </c>
    </row>
    <row r="5203" spans="1:5">
      <c r="A5203" s="174">
        <f t="shared" si="73"/>
        <v>5202</v>
      </c>
      <c r="B5203" s="163">
        <v>45891</v>
      </c>
      <c r="C5203" s="164">
        <v>0.49761574074074072</v>
      </c>
      <c r="D5203" s="159">
        <v>1</v>
      </c>
      <c r="E5203" s="166" t="s">
        <v>4675</v>
      </c>
    </row>
    <row r="5204" spans="1:5">
      <c r="A5204" s="174">
        <f t="shared" si="73"/>
        <v>5203</v>
      </c>
      <c r="B5204" s="163">
        <v>45891</v>
      </c>
      <c r="C5204" s="164">
        <v>0.48736111111111113</v>
      </c>
      <c r="D5204" s="159">
        <v>10</v>
      </c>
      <c r="E5204" s="166" t="s">
        <v>4676</v>
      </c>
    </row>
    <row r="5205" spans="1:5">
      <c r="A5205" s="174">
        <f t="shared" si="73"/>
        <v>5204</v>
      </c>
      <c r="B5205" s="163">
        <v>45891</v>
      </c>
      <c r="C5205" s="164">
        <v>0.48041666666666666</v>
      </c>
      <c r="D5205" s="159">
        <v>10</v>
      </c>
      <c r="E5205" s="166" t="s">
        <v>448</v>
      </c>
    </row>
    <row r="5206" spans="1:5">
      <c r="A5206" s="174">
        <f t="shared" si="73"/>
        <v>5205</v>
      </c>
      <c r="B5206" s="163">
        <v>45891</v>
      </c>
      <c r="C5206" s="164">
        <v>0.47335648148148146</v>
      </c>
      <c r="D5206" s="159">
        <v>10</v>
      </c>
      <c r="E5206" s="166" t="s">
        <v>4677</v>
      </c>
    </row>
    <row r="5207" spans="1:5">
      <c r="A5207" s="174">
        <f t="shared" si="73"/>
        <v>5206</v>
      </c>
      <c r="B5207" s="163">
        <v>45891</v>
      </c>
      <c r="C5207" s="164">
        <v>0.46606481481481482</v>
      </c>
      <c r="D5207" s="159">
        <v>10</v>
      </c>
      <c r="E5207" s="166" t="s">
        <v>4678</v>
      </c>
    </row>
    <row r="5208" spans="1:5">
      <c r="A5208" s="174">
        <f t="shared" si="73"/>
        <v>5207</v>
      </c>
      <c r="B5208" s="163">
        <v>45891</v>
      </c>
      <c r="C5208" s="164">
        <v>0.45680555555555552</v>
      </c>
      <c r="D5208" s="159">
        <v>10</v>
      </c>
      <c r="E5208" s="166" t="s">
        <v>4679</v>
      </c>
    </row>
    <row r="5209" spans="1:5">
      <c r="A5209" s="174">
        <f t="shared" si="73"/>
        <v>5208</v>
      </c>
      <c r="B5209" s="163">
        <v>45891</v>
      </c>
      <c r="C5209" s="164">
        <v>0.45421296296296299</v>
      </c>
      <c r="D5209" s="159">
        <v>10</v>
      </c>
      <c r="E5209" s="166" t="s">
        <v>273</v>
      </c>
    </row>
    <row r="5210" spans="1:5">
      <c r="A5210" s="174">
        <f t="shared" si="73"/>
        <v>5209</v>
      </c>
      <c r="B5210" s="163">
        <v>45891</v>
      </c>
      <c r="C5210" s="164">
        <v>0.44671296296296298</v>
      </c>
      <c r="D5210" s="159">
        <v>10</v>
      </c>
      <c r="E5210" s="166" t="s">
        <v>4680</v>
      </c>
    </row>
    <row r="5211" spans="1:5">
      <c r="A5211" s="174">
        <f t="shared" si="73"/>
        <v>5210</v>
      </c>
      <c r="B5211" s="163">
        <v>45891</v>
      </c>
      <c r="C5211" s="164">
        <v>0.44189814814814815</v>
      </c>
      <c r="D5211" s="159">
        <v>10</v>
      </c>
      <c r="E5211" s="166" t="s">
        <v>2354</v>
      </c>
    </row>
    <row r="5212" spans="1:5">
      <c r="A5212" s="174">
        <f t="shared" si="73"/>
        <v>5211</v>
      </c>
      <c r="B5212" s="163">
        <v>45891</v>
      </c>
      <c r="C5212" s="164">
        <v>0.43785879629629632</v>
      </c>
      <c r="D5212" s="159">
        <v>10</v>
      </c>
      <c r="E5212" s="166" t="s">
        <v>4681</v>
      </c>
    </row>
    <row r="5213" spans="1:5">
      <c r="A5213" s="174">
        <f t="shared" si="73"/>
        <v>5212</v>
      </c>
      <c r="B5213" s="163">
        <v>45891</v>
      </c>
      <c r="C5213" s="164">
        <v>0.43319444444444444</v>
      </c>
      <c r="D5213" s="159">
        <v>10</v>
      </c>
      <c r="E5213" s="166" t="s">
        <v>4682</v>
      </c>
    </row>
    <row r="5214" spans="1:5">
      <c r="A5214" s="174">
        <f t="shared" si="73"/>
        <v>5213</v>
      </c>
      <c r="B5214" s="163">
        <v>45891</v>
      </c>
      <c r="C5214" s="164">
        <v>0.41696759259259258</v>
      </c>
      <c r="D5214" s="159">
        <v>10</v>
      </c>
      <c r="E5214" s="166" t="s">
        <v>4683</v>
      </c>
    </row>
    <row r="5215" spans="1:5">
      <c r="A5215" s="174">
        <f t="shared" si="73"/>
        <v>5214</v>
      </c>
      <c r="B5215" s="163">
        <v>45891</v>
      </c>
      <c r="C5215" s="164">
        <v>0.40753472222222226</v>
      </c>
      <c r="D5215" s="159">
        <v>10</v>
      </c>
      <c r="E5215" s="166" t="s">
        <v>4684</v>
      </c>
    </row>
    <row r="5216" spans="1:5">
      <c r="A5216" s="174">
        <f t="shared" si="73"/>
        <v>5215</v>
      </c>
      <c r="B5216" s="163">
        <v>45891</v>
      </c>
      <c r="C5216" s="164">
        <v>0.40317129629629633</v>
      </c>
      <c r="D5216" s="159">
        <v>10</v>
      </c>
      <c r="E5216" s="166" t="s">
        <v>273</v>
      </c>
    </row>
    <row r="5217" spans="1:5">
      <c r="A5217" s="174">
        <f t="shared" si="73"/>
        <v>5216</v>
      </c>
      <c r="B5217" s="163">
        <v>45891</v>
      </c>
      <c r="C5217" s="164">
        <v>0.38773148148148145</v>
      </c>
      <c r="D5217" s="159">
        <v>10</v>
      </c>
      <c r="E5217" s="166" t="s">
        <v>273</v>
      </c>
    </row>
    <row r="5218" spans="1:5">
      <c r="A5218" s="174">
        <f t="shared" si="73"/>
        <v>5217</v>
      </c>
      <c r="B5218" s="163">
        <v>45891</v>
      </c>
      <c r="C5218" s="164">
        <v>0.38667824074074075</v>
      </c>
      <c r="D5218" s="159">
        <v>10</v>
      </c>
      <c r="E5218" s="166" t="s">
        <v>4686</v>
      </c>
    </row>
    <row r="5219" spans="1:5">
      <c r="A5219" s="174">
        <f t="shared" si="73"/>
        <v>5218</v>
      </c>
      <c r="B5219" s="163">
        <v>45892</v>
      </c>
      <c r="C5219" s="164">
        <v>0.68390046296296303</v>
      </c>
      <c r="D5219" s="159">
        <v>10</v>
      </c>
      <c r="E5219" s="166" t="s">
        <v>4632</v>
      </c>
    </row>
    <row r="5220" spans="1:5">
      <c r="A5220" s="174">
        <f t="shared" si="73"/>
        <v>5219</v>
      </c>
      <c r="B5220" s="163">
        <v>45892</v>
      </c>
      <c r="C5220" s="164">
        <v>0.64706018518518515</v>
      </c>
      <c r="D5220" s="159">
        <v>10</v>
      </c>
      <c r="E5220" s="166" t="s">
        <v>836</v>
      </c>
    </row>
    <row r="5221" spans="1:5">
      <c r="A5221" s="174">
        <f t="shared" si="73"/>
        <v>5220</v>
      </c>
      <c r="B5221" s="163">
        <v>45892</v>
      </c>
      <c r="C5221" s="164">
        <v>0.63910879629629636</v>
      </c>
      <c r="D5221" s="159">
        <v>10</v>
      </c>
      <c r="E5221" s="166" t="s">
        <v>4633</v>
      </c>
    </row>
    <row r="5222" spans="1:5">
      <c r="A5222" s="174">
        <f t="shared" si="73"/>
        <v>5221</v>
      </c>
      <c r="B5222" s="163">
        <v>45892</v>
      </c>
      <c r="C5222" s="164">
        <v>0.55591435185185178</v>
      </c>
      <c r="D5222" s="159">
        <v>10</v>
      </c>
      <c r="E5222" s="166" t="s">
        <v>132</v>
      </c>
    </row>
    <row r="5223" spans="1:5" ht="27">
      <c r="A5223" s="174">
        <f t="shared" si="73"/>
        <v>5222</v>
      </c>
      <c r="B5223" s="163">
        <v>45892</v>
      </c>
      <c r="C5223" s="164">
        <v>0.5163078703703704</v>
      </c>
      <c r="D5223" s="159">
        <v>10</v>
      </c>
      <c r="E5223" s="166" t="s">
        <v>4634</v>
      </c>
    </row>
    <row r="5224" spans="1:5">
      <c r="A5224" s="174">
        <f t="shared" si="73"/>
        <v>5223</v>
      </c>
      <c r="B5224" s="163">
        <v>45892</v>
      </c>
      <c r="C5224" s="164">
        <v>0.4930208333333333</v>
      </c>
      <c r="D5224" s="159">
        <v>10</v>
      </c>
      <c r="E5224" s="166" t="s">
        <v>4635</v>
      </c>
    </row>
    <row r="5225" spans="1:5">
      <c r="A5225" s="174">
        <f t="shared" si="73"/>
        <v>5224</v>
      </c>
      <c r="B5225" s="163">
        <v>45892</v>
      </c>
      <c r="C5225" s="164">
        <v>0.48638888888888893</v>
      </c>
      <c r="D5225" s="159">
        <v>10</v>
      </c>
      <c r="E5225" s="166" t="s">
        <v>4636</v>
      </c>
    </row>
    <row r="5226" spans="1:5">
      <c r="A5226" s="174">
        <f t="shared" si="73"/>
        <v>5225</v>
      </c>
      <c r="B5226" s="163">
        <v>45892</v>
      </c>
      <c r="C5226" s="164">
        <v>0.46973379629629625</v>
      </c>
      <c r="D5226" s="159">
        <v>10</v>
      </c>
      <c r="E5226" s="166" t="s">
        <v>4637</v>
      </c>
    </row>
    <row r="5227" spans="1:5">
      <c r="A5227" s="174">
        <f t="shared" si="73"/>
        <v>5226</v>
      </c>
      <c r="B5227" s="163">
        <v>45892</v>
      </c>
      <c r="C5227" s="164">
        <v>0.45902777777777781</v>
      </c>
      <c r="D5227" s="159">
        <v>10</v>
      </c>
      <c r="E5227" s="166" t="s">
        <v>4638</v>
      </c>
    </row>
    <row r="5228" spans="1:5">
      <c r="A5228" s="174">
        <f t="shared" si="73"/>
        <v>5227</v>
      </c>
      <c r="B5228" s="163">
        <v>45892</v>
      </c>
      <c r="C5228" s="164">
        <v>0.45047453703703705</v>
      </c>
      <c r="D5228" s="159">
        <v>10</v>
      </c>
      <c r="E5228" s="166" t="s">
        <v>4639</v>
      </c>
    </row>
    <row r="5229" spans="1:5">
      <c r="A5229" s="174">
        <f t="shared" si="73"/>
        <v>5228</v>
      </c>
      <c r="B5229" s="163">
        <v>45892</v>
      </c>
      <c r="C5229" s="164">
        <v>0.44803240740740741</v>
      </c>
      <c r="D5229" s="159">
        <v>10</v>
      </c>
      <c r="E5229" s="166" t="s">
        <v>132</v>
      </c>
    </row>
    <row r="5230" spans="1:5">
      <c r="A5230" s="174">
        <f t="shared" si="73"/>
        <v>5229</v>
      </c>
      <c r="B5230" s="163">
        <v>45892</v>
      </c>
      <c r="C5230" s="164">
        <v>0.44366898148148143</v>
      </c>
      <c r="D5230" s="159">
        <v>10</v>
      </c>
      <c r="E5230" s="166" t="s">
        <v>4640</v>
      </c>
    </row>
    <row r="5231" spans="1:5">
      <c r="A5231" s="174">
        <f t="shared" si="73"/>
        <v>5230</v>
      </c>
      <c r="B5231" s="163">
        <v>45892</v>
      </c>
      <c r="C5231" s="164">
        <v>0.44315972222222227</v>
      </c>
      <c r="D5231" s="159">
        <v>10</v>
      </c>
      <c r="E5231" s="166" t="s">
        <v>4641</v>
      </c>
    </row>
    <row r="5232" spans="1:5">
      <c r="A5232" s="174">
        <f t="shared" si="73"/>
        <v>5231</v>
      </c>
      <c r="B5232" s="163">
        <v>45892</v>
      </c>
      <c r="C5232" s="164">
        <v>0.43655092592592593</v>
      </c>
      <c r="D5232" s="159">
        <v>10</v>
      </c>
      <c r="E5232" s="166" t="s">
        <v>4642</v>
      </c>
    </row>
    <row r="5233" spans="1:5">
      <c r="A5233" s="174">
        <f t="shared" si="73"/>
        <v>5232</v>
      </c>
      <c r="B5233" s="163">
        <v>45892</v>
      </c>
      <c r="C5233" s="164">
        <v>0.43017361111111113</v>
      </c>
      <c r="D5233" s="159">
        <v>10</v>
      </c>
      <c r="E5233" s="166" t="s">
        <v>244</v>
      </c>
    </row>
    <row r="5234" spans="1:5">
      <c r="A5234" s="174">
        <f t="shared" si="73"/>
        <v>5233</v>
      </c>
      <c r="B5234" s="163">
        <v>45892</v>
      </c>
      <c r="C5234" s="164">
        <v>0.40512731481481484</v>
      </c>
      <c r="D5234" s="159">
        <v>10</v>
      </c>
      <c r="E5234" s="166" t="s">
        <v>4643</v>
      </c>
    </row>
    <row r="5235" spans="1:5">
      <c r="A5235" s="174">
        <f t="shared" si="73"/>
        <v>5234</v>
      </c>
      <c r="B5235" s="163">
        <v>45892</v>
      </c>
      <c r="C5235" s="164">
        <v>0.38968749999999996</v>
      </c>
      <c r="D5235" s="159">
        <v>10</v>
      </c>
      <c r="E5235" s="166" t="s">
        <v>2052</v>
      </c>
    </row>
    <row r="5236" spans="1:5">
      <c r="A5236" s="174">
        <f t="shared" si="73"/>
        <v>5235</v>
      </c>
      <c r="B5236" s="163">
        <v>45894</v>
      </c>
      <c r="C5236" s="164">
        <v>0.87596064814814811</v>
      </c>
      <c r="D5236" s="159">
        <v>10</v>
      </c>
      <c r="E5236" s="166" t="s">
        <v>4687</v>
      </c>
    </row>
    <row r="5237" spans="1:5">
      <c r="A5237" s="174">
        <f t="shared" ref="A5237:A5300" si="74">ROW()-1</f>
        <v>5236</v>
      </c>
      <c r="B5237" s="163">
        <v>45894</v>
      </c>
      <c r="C5237" s="164">
        <v>0.81372685185185178</v>
      </c>
      <c r="D5237" s="159">
        <v>10</v>
      </c>
      <c r="E5237" s="166" t="s">
        <v>4688</v>
      </c>
    </row>
    <row r="5238" spans="1:5">
      <c r="A5238" s="174">
        <f t="shared" si="74"/>
        <v>5237</v>
      </c>
      <c r="B5238" s="163">
        <v>45894</v>
      </c>
      <c r="C5238" s="164">
        <v>0.78575231481481478</v>
      </c>
      <c r="D5238" s="159">
        <v>10</v>
      </c>
      <c r="E5238" s="166" t="s">
        <v>179</v>
      </c>
    </row>
    <row r="5239" spans="1:5">
      <c r="A5239" s="174">
        <f t="shared" si="74"/>
        <v>5238</v>
      </c>
      <c r="B5239" s="163">
        <v>45894</v>
      </c>
      <c r="C5239" s="164">
        <v>0.76097222222222216</v>
      </c>
      <c r="D5239" s="159">
        <v>10</v>
      </c>
      <c r="E5239" s="166" t="s">
        <v>4689</v>
      </c>
    </row>
    <row r="5240" spans="1:5">
      <c r="A5240" s="174">
        <f t="shared" si="74"/>
        <v>5239</v>
      </c>
      <c r="B5240" s="163">
        <v>45894</v>
      </c>
      <c r="C5240" s="164">
        <v>0.75214120370370363</v>
      </c>
      <c r="D5240" s="159">
        <v>10</v>
      </c>
      <c r="E5240" s="166" t="s">
        <v>4690</v>
      </c>
    </row>
    <row r="5241" spans="1:5">
      <c r="A5241" s="174">
        <f t="shared" si="74"/>
        <v>5240</v>
      </c>
      <c r="B5241" s="163">
        <v>45894</v>
      </c>
      <c r="C5241" s="164">
        <v>0.74927083333333344</v>
      </c>
      <c r="D5241" s="159">
        <v>10</v>
      </c>
      <c r="E5241" s="166" t="s">
        <v>4691</v>
      </c>
    </row>
    <row r="5242" spans="1:5">
      <c r="A5242" s="174">
        <f t="shared" si="74"/>
        <v>5241</v>
      </c>
      <c r="B5242" s="163">
        <v>45894</v>
      </c>
      <c r="C5242" s="164">
        <v>0.73815972222222215</v>
      </c>
      <c r="D5242" s="159">
        <v>10</v>
      </c>
      <c r="E5242" s="166" t="s">
        <v>4692</v>
      </c>
    </row>
    <row r="5243" spans="1:5">
      <c r="A5243" s="174">
        <f t="shared" si="74"/>
        <v>5242</v>
      </c>
      <c r="B5243" s="163">
        <v>45894</v>
      </c>
      <c r="C5243" s="164">
        <v>0.73458333333333325</v>
      </c>
      <c r="D5243" s="159">
        <v>10</v>
      </c>
      <c r="E5243" s="166" t="s">
        <v>4693</v>
      </c>
    </row>
    <row r="5244" spans="1:5">
      <c r="A5244" s="174">
        <f t="shared" si="74"/>
        <v>5243</v>
      </c>
      <c r="B5244" s="163">
        <v>45894</v>
      </c>
      <c r="C5244" s="164">
        <v>0.72912037037037036</v>
      </c>
      <c r="D5244" s="159">
        <v>10</v>
      </c>
      <c r="E5244" s="166" t="s">
        <v>4694</v>
      </c>
    </row>
    <row r="5245" spans="1:5">
      <c r="A5245" s="174">
        <f t="shared" si="74"/>
        <v>5244</v>
      </c>
      <c r="B5245" s="163">
        <v>45894</v>
      </c>
      <c r="C5245" s="164">
        <v>0.7265625</v>
      </c>
      <c r="D5245" s="159">
        <v>10</v>
      </c>
      <c r="E5245" s="166" t="s">
        <v>4695</v>
      </c>
    </row>
    <row r="5246" spans="1:5">
      <c r="A5246" s="174">
        <f t="shared" si="74"/>
        <v>5245</v>
      </c>
      <c r="B5246" s="163">
        <v>45894</v>
      </c>
      <c r="C5246" s="164">
        <v>0.72452546296296294</v>
      </c>
      <c r="D5246" s="159">
        <v>10</v>
      </c>
      <c r="E5246" s="166" t="s">
        <v>4696</v>
      </c>
    </row>
    <row r="5247" spans="1:5">
      <c r="A5247" s="174">
        <f t="shared" si="74"/>
        <v>5246</v>
      </c>
      <c r="B5247" s="163">
        <v>45894</v>
      </c>
      <c r="C5247" s="164">
        <v>0.71984953703703702</v>
      </c>
      <c r="D5247" s="159">
        <v>10</v>
      </c>
      <c r="E5247" s="166" t="s">
        <v>4697</v>
      </c>
    </row>
    <row r="5248" spans="1:5">
      <c r="A5248" s="174">
        <f t="shared" si="74"/>
        <v>5247</v>
      </c>
      <c r="B5248" s="163">
        <v>45894</v>
      </c>
      <c r="C5248" s="164">
        <v>0.71824074074074085</v>
      </c>
      <c r="D5248" s="159">
        <v>10</v>
      </c>
      <c r="E5248" s="166" t="s">
        <v>4698</v>
      </c>
    </row>
    <row r="5249" spans="1:5">
      <c r="A5249" s="174">
        <f t="shared" si="74"/>
        <v>5248</v>
      </c>
      <c r="B5249" s="163">
        <v>45894</v>
      </c>
      <c r="C5249" s="164">
        <v>0.71626157407407398</v>
      </c>
      <c r="D5249" s="159">
        <v>10</v>
      </c>
      <c r="E5249" s="166" t="s">
        <v>4699</v>
      </c>
    </row>
    <row r="5250" spans="1:5">
      <c r="A5250" s="174">
        <f t="shared" si="74"/>
        <v>5249</v>
      </c>
      <c r="B5250" s="163">
        <v>45894</v>
      </c>
      <c r="C5250" s="164">
        <v>0.71591435185185182</v>
      </c>
      <c r="D5250" s="159">
        <v>10</v>
      </c>
      <c r="E5250" s="166" t="s">
        <v>4700</v>
      </c>
    </row>
    <row r="5251" spans="1:5" ht="27">
      <c r="A5251" s="174">
        <f t="shared" si="74"/>
        <v>5250</v>
      </c>
      <c r="B5251" s="163">
        <v>45894</v>
      </c>
      <c r="C5251" s="164">
        <v>0.7085069444444444</v>
      </c>
      <c r="D5251" s="159">
        <v>10</v>
      </c>
      <c r="E5251" s="166" t="s">
        <v>4701</v>
      </c>
    </row>
    <row r="5252" spans="1:5">
      <c r="A5252" s="174">
        <f t="shared" si="74"/>
        <v>5251</v>
      </c>
      <c r="B5252" s="163">
        <v>45894</v>
      </c>
      <c r="C5252" s="164">
        <v>0.69903935185185195</v>
      </c>
      <c r="D5252" s="159">
        <v>10</v>
      </c>
      <c r="E5252" s="166" t="s">
        <v>4702</v>
      </c>
    </row>
    <row r="5253" spans="1:5">
      <c r="A5253" s="174">
        <f t="shared" si="74"/>
        <v>5252</v>
      </c>
      <c r="B5253" s="163">
        <v>45894</v>
      </c>
      <c r="C5253" s="164">
        <v>0.6947916666666667</v>
      </c>
      <c r="D5253" s="159">
        <v>10</v>
      </c>
      <c r="E5253" s="166" t="s">
        <v>1291</v>
      </c>
    </row>
    <row r="5254" spans="1:5">
      <c r="A5254" s="174">
        <f t="shared" si="74"/>
        <v>5253</v>
      </c>
      <c r="B5254" s="163">
        <v>45894</v>
      </c>
      <c r="C5254" s="164">
        <v>0.69194444444444436</v>
      </c>
      <c r="D5254" s="159">
        <v>10</v>
      </c>
      <c r="E5254" s="166" t="s">
        <v>4703</v>
      </c>
    </row>
    <row r="5255" spans="1:5">
      <c r="A5255" s="174">
        <f t="shared" si="74"/>
        <v>5254</v>
      </c>
      <c r="B5255" s="163">
        <v>45894</v>
      </c>
      <c r="C5255" s="164">
        <v>0.6906944444444445</v>
      </c>
      <c r="D5255" s="159">
        <v>10</v>
      </c>
      <c r="E5255" s="166" t="s">
        <v>690</v>
      </c>
    </row>
    <row r="5256" spans="1:5">
      <c r="A5256" s="174">
        <f t="shared" si="74"/>
        <v>5255</v>
      </c>
      <c r="B5256" s="163">
        <v>45894</v>
      </c>
      <c r="C5256" s="164">
        <v>0.68936342592592592</v>
      </c>
      <c r="D5256" s="159">
        <v>6</v>
      </c>
      <c r="E5256" s="166" t="s">
        <v>4704</v>
      </c>
    </row>
    <row r="5257" spans="1:5">
      <c r="A5257" s="174">
        <f t="shared" si="74"/>
        <v>5256</v>
      </c>
      <c r="B5257" s="163">
        <v>45894</v>
      </c>
      <c r="C5257" s="164">
        <v>0.68793981481481481</v>
      </c>
      <c r="D5257" s="159">
        <v>10</v>
      </c>
      <c r="E5257" s="166" t="s">
        <v>4705</v>
      </c>
    </row>
    <row r="5258" spans="1:5">
      <c r="A5258" s="174">
        <f t="shared" si="74"/>
        <v>5257</v>
      </c>
      <c r="B5258" s="163">
        <v>45894</v>
      </c>
      <c r="C5258" s="164">
        <v>0.67383101851851857</v>
      </c>
      <c r="D5258" s="159">
        <v>10</v>
      </c>
      <c r="E5258" s="166" t="s">
        <v>4706</v>
      </c>
    </row>
    <row r="5259" spans="1:5">
      <c r="A5259" s="174">
        <f t="shared" si="74"/>
        <v>5258</v>
      </c>
      <c r="B5259" s="163">
        <v>45894</v>
      </c>
      <c r="C5259" s="164">
        <v>0.67307870370370371</v>
      </c>
      <c r="D5259" s="159">
        <v>10</v>
      </c>
      <c r="E5259" s="166" t="s">
        <v>4707</v>
      </c>
    </row>
    <row r="5260" spans="1:5">
      <c r="A5260" s="174">
        <f t="shared" si="74"/>
        <v>5259</v>
      </c>
      <c r="B5260" s="163">
        <v>45894</v>
      </c>
      <c r="C5260" s="164">
        <v>0.67298611111111117</v>
      </c>
      <c r="D5260" s="159">
        <v>10</v>
      </c>
      <c r="E5260" s="166" t="s">
        <v>4749</v>
      </c>
    </row>
    <row r="5261" spans="1:5">
      <c r="A5261" s="174">
        <f t="shared" si="74"/>
        <v>5260</v>
      </c>
      <c r="B5261" s="163">
        <v>45894</v>
      </c>
      <c r="C5261" s="164">
        <v>0.67065972222222225</v>
      </c>
      <c r="D5261" s="159">
        <v>10</v>
      </c>
      <c r="E5261" s="166" t="s">
        <v>246</v>
      </c>
    </row>
    <row r="5262" spans="1:5">
      <c r="A5262" s="174">
        <f t="shared" si="74"/>
        <v>5261</v>
      </c>
      <c r="B5262" s="163">
        <v>45894</v>
      </c>
      <c r="C5262" s="164">
        <v>0.6694444444444444</v>
      </c>
      <c r="D5262" s="159">
        <v>10</v>
      </c>
      <c r="E5262" s="166" t="s">
        <v>4708</v>
      </c>
    </row>
    <row r="5263" spans="1:5">
      <c r="A5263" s="174">
        <f t="shared" si="74"/>
        <v>5262</v>
      </c>
      <c r="B5263" s="163">
        <v>45894</v>
      </c>
      <c r="C5263" s="164">
        <v>0.66520833333333329</v>
      </c>
      <c r="D5263" s="159">
        <v>10</v>
      </c>
      <c r="E5263" s="166" t="s">
        <v>4709</v>
      </c>
    </row>
    <row r="5264" spans="1:5">
      <c r="A5264" s="174">
        <f t="shared" si="74"/>
        <v>5263</v>
      </c>
      <c r="B5264" s="163">
        <v>45894</v>
      </c>
      <c r="C5264" s="164">
        <v>0.65532407407407411</v>
      </c>
      <c r="D5264" s="159">
        <v>10</v>
      </c>
      <c r="E5264" s="166" t="s">
        <v>4710</v>
      </c>
    </row>
    <row r="5265" spans="1:5">
      <c r="A5265" s="174">
        <f t="shared" si="74"/>
        <v>5264</v>
      </c>
      <c r="B5265" s="163">
        <v>45894</v>
      </c>
      <c r="C5265" s="164">
        <v>0.64083333333333337</v>
      </c>
      <c r="D5265" s="159">
        <v>10</v>
      </c>
      <c r="E5265" s="166" t="s">
        <v>4711</v>
      </c>
    </row>
    <row r="5266" spans="1:5">
      <c r="A5266" s="174">
        <f t="shared" si="74"/>
        <v>5265</v>
      </c>
      <c r="B5266" s="163">
        <v>45894</v>
      </c>
      <c r="C5266" s="164">
        <v>0.63109953703703703</v>
      </c>
      <c r="D5266" s="159">
        <v>10</v>
      </c>
      <c r="E5266" s="166" t="s">
        <v>4712</v>
      </c>
    </row>
    <row r="5267" spans="1:5">
      <c r="A5267" s="174">
        <f t="shared" si="74"/>
        <v>5266</v>
      </c>
      <c r="B5267" s="163">
        <v>45894</v>
      </c>
      <c r="C5267" s="164">
        <v>0.62771990740740746</v>
      </c>
      <c r="D5267" s="159">
        <v>10</v>
      </c>
      <c r="E5267" s="166" t="s">
        <v>4713</v>
      </c>
    </row>
    <row r="5268" spans="1:5">
      <c r="A5268" s="174">
        <f t="shared" si="74"/>
        <v>5267</v>
      </c>
      <c r="B5268" s="163">
        <v>45894</v>
      </c>
      <c r="C5268" s="164">
        <v>0.61866898148148153</v>
      </c>
      <c r="D5268" s="159">
        <v>10</v>
      </c>
      <c r="E5268" s="166" t="s">
        <v>2682</v>
      </c>
    </row>
    <row r="5269" spans="1:5">
      <c r="A5269" s="174">
        <f t="shared" si="74"/>
        <v>5268</v>
      </c>
      <c r="B5269" s="163">
        <v>45894</v>
      </c>
      <c r="C5269" s="164">
        <v>0.61320601851851853</v>
      </c>
      <c r="D5269" s="159">
        <v>10</v>
      </c>
      <c r="E5269" s="166" t="s">
        <v>4714</v>
      </c>
    </row>
    <row r="5270" spans="1:5">
      <c r="A5270" s="174">
        <f t="shared" si="74"/>
        <v>5269</v>
      </c>
      <c r="B5270" s="163">
        <v>45894</v>
      </c>
      <c r="C5270" s="164">
        <v>0.61072916666666666</v>
      </c>
      <c r="D5270" s="159">
        <v>10</v>
      </c>
      <c r="E5270" s="166" t="s">
        <v>4715</v>
      </c>
    </row>
    <row r="5271" spans="1:5">
      <c r="A5271" s="174">
        <f t="shared" si="74"/>
        <v>5270</v>
      </c>
      <c r="B5271" s="163">
        <v>45894</v>
      </c>
      <c r="C5271" s="164">
        <v>0.60255787037037034</v>
      </c>
      <c r="D5271" s="159">
        <v>10</v>
      </c>
      <c r="E5271" s="166" t="s">
        <v>4716</v>
      </c>
    </row>
    <row r="5272" spans="1:5">
      <c r="A5272" s="174">
        <f t="shared" si="74"/>
        <v>5271</v>
      </c>
      <c r="B5272" s="163">
        <v>45894</v>
      </c>
      <c r="C5272" s="164">
        <v>0.60071759259259261</v>
      </c>
      <c r="D5272" s="159">
        <v>10</v>
      </c>
      <c r="E5272" s="166" t="s">
        <v>4717</v>
      </c>
    </row>
    <row r="5273" spans="1:5">
      <c r="A5273" s="174">
        <f t="shared" si="74"/>
        <v>5272</v>
      </c>
      <c r="B5273" s="163">
        <v>45894</v>
      </c>
      <c r="C5273" s="164">
        <v>0.59403935185185186</v>
      </c>
      <c r="D5273" s="159">
        <v>10</v>
      </c>
      <c r="E5273" s="166" t="s">
        <v>4718</v>
      </c>
    </row>
    <row r="5274" spans="1:5">
      <c r="A5274" s="174">
        <f t="shared" si="74"/>
        <v>5273</v>
      </c>
      <c r="B5274" s="163">
        <v>45894</v>
      </c>
      <c r="C5274" s="164">
        <v>0.5934490740740741</v>
      </c>
      <c r="D5274" s="159">
        <v>10</v>
      </c>
      <c r="E5274" s="166" t="s">
        <v>4719</v>
      </c>
    </row>
    <row r="5275" spans="1:5" ht="40.5">
      <c r="A5275" s="174">
        <f t="shared" si="74"/>
        <v>5274</v>
      </c>
      <c r="B5275" s="163">
        <v>45894</v>
      </c>
      <c r="C5275" s="164">
        <v>0.59189814814814812</v>
      </c>
      <c r="D5275" s="159">
        <v>10</v>
      </c>
      <c r="E5275" s="166" t="s">
        <v>4720</v>
      </c>
    </row>
    <row r="5276" spans="1:5">
      <c r="A5276" s="174">
        <f t="shared" si="74"/>
        <v>5275</v>
      </c>
      <c r="B5276" s="163">
        <v>45894</v>
      </c>
      <c r="C5276" s="164">
        <v>0.59166666666666667</v>
      </c>
      <c r="D5276" s="159">
        <v>10</v>
      </c>
      <c r="E5276" s="166" t="s">
        <v>4721</v>
      </c>
    </row>
    <row r="5277" spans="1:5">
      <c r="A5277" s="174">
        <f t="shared" si="74"/>
        <v>5276</v>
      </c>
      <c r="B5277" s="163">
        <v>45894</v>
      </c>
      <c r="C5277" s="164">
        <v>0.58567129629629633</v>
      </c>
      <c r="D5277" s="159">
        <v>10</v>
      </c>
      <c r="E5277" s="166" t="s">
        <v>4722</v>
      </c>
    </row>
    <row r="5278" spans="1:5">
      <c r="A5278" s="174">
        <f t="shared" si="74"/>
        <v>5277</v>
      </c>
      <c r="B5278" s="163">
        <v>45894</v>
      </c>
      <c r="C5278" s="164">
        <v>0.58444444444444443</v>
      </c>
      <c r="D5278" s="159">
        <v>10</v>
      </c>
      <c r="E5278" s="166" t="s">
        <v>4723</v>
      </c>
    </row>
    <row r="5279" spans="1:5">
      <c r="A5279" s="174">
        <f t="shared" si="74"/>
        <v>5278</v>
      </c>
      <c r="B5279" s="163">
        <v>45894</v>
      </c>
      <c r="C5279" s="164">
        <v>0.57395833333333335</v>
      </c>
      <c r="D5279" s="159">
        <v>10</v>
      </c>
      <c r="E5279" s="166" t="s">
        <v>4724</v>
      </c>
    </row>
    <row r="5280" spans="1:5">
      <c r="A5280" s="174">
        <f t="shared" si="74"/>
        <v>5279</v>
      </c>
      <c r="B5280" s="163">
        <v>45894</v>
      </c>
      <c r="C5280" s="164">
        <v>0.56744212962962959</v>
      </c>
      <c r="D5280" s="159">
        <v>10</v>
      </c>
      <c r="E5280" s="166" t="s">
        <v>246</v>
      </c>
    </row>
    <row r="5281" spans="1:5">
      <c r="A5281" s="174">
        <f t="shared" si="74"/>
        <v>5280</v>
      </c>
      <c r="B5281" s="163">
        <v>45894</v>
      </c>
      <c r="C5281" s="164">
        <v>0.55952546296296302</v>
      </c>
      <c r="D5281" s="159">
        <v>10</v>
      </c>
      <c r="E5281" s="166" t="s">
        <v>179</v>
      </c>
    </row>
    <row r="5282" spans="1:5">
      <c r="A5282" s="174">
        <f t="shared" si="74"/>
        <v>5281</v>
      </c>
      <c r="B5282" s="163">
        <v>45894</v>
      </c>
      <c r="C5282" s="164">
        <v>0.55893518518518526</v>
      </c>
      <c r="D5282" s="159">
        <v>10</v>
      </c>
      <c r="E5282" s="166" t="s">
        <v>4725</v>
      </c>
    </row>
    <row r="5283" spans="1:5">
      <c r="A5283" s="174">
        <f t="shared" si="74"/>
        <v>5282</v>
      </c>
      <c r="B5283" s="163">
        <v>45894</v>
      </c>
      <c r="C5283" s="164">
        <v>0.55770833333333336</v>
      </c>
      <c r="D5283" s="159">
        <v>10</v>
      </c>
      <c r="E5283" s="166" t="s">
        <v>4726</v>
      </c>
    </row>
    <row r="5284" spans="1:5">
      <c r="A5284" s="174">
        <f t="shared" si="74"/>
        <v>5283</v>
      </c>
      <c r="B5284" s="163">
        <v>45894</v>
      </c>
      <c r="C5284" s="164">
        <v>0.55265046296296294</v>
      </c>
      <c r="D5284" s="159">
        <v>10</v>
      </c>
      <c r="E5284" s="166" t="s">
        <v>4727</v>
      </c>
    </row>
    <row r="5285" spans="1:5">
      <c r="A5285" s="174">
        <f t="shared" si="74"/>
        <v>5284</v>
      </c>
      <c r="B5285" s="163">
        <v>45894</v>
      </c>
      <c r="C5285" s="164">
        <v>0.52302083333333338</v>
      </c>
      <c r="D5285" s="159">
        <v>10</v>
      </c>
      <c r="E5285" s="166" t="s">
        <v>4728</v>
      </c>
    </row>
    <row r="5286" spans="1:5">
      <c r="A5286" s="174">
        <f t="shared" si="74"/>
        <v>5285</v>
      </c>
      <c r="B5286" s="163">
        <v>45894</v>
      </c>
      <c r="C5286" s="164">
        <v>0.50593750000000004</v>
      </c>
      <c r="D5286" s="159">
        <v>10</v>
      </c>
      <c r="E5286" s="166" t="s">
        <v>4729</v>
      </c>
    </row>
    <row r="5287" spans="1:5">
      <c r="A5287" s="174">
        <f t="shared" si="74"/>
        <v>5286</v>
      </c>
      <c r="B5287" s="163">
        <v>45894</v>
      </c>
      <c r="C5287" s="164">
        <v>0.50241898148148145</v>
      </c>
      <c r="D5287" s="159">
        <v>10</v>
      </c>
      <c r="E5287" s="166" t="s">
        <v>4730</v>
      </c>
    </row>
    <row r="5288" spans="1:5">
      <c r="A5288" s="174">
        <f t="shared" si="74"/>
        <v>5287</v>
      </c>
      <c r="B5288" s="163">
        <v>45894</v>
      </c>
      <c r="C5288" s="164">
        <v>0.49694444444444441</v>
      </c>
      <c r="D5288" s="159">
        <v>10</v>
      </c>
      <c r="E5288" s="166" t="s">
        <v>4731</v>
      </c>
    </row>
    <row r="5289" spans="1:5">
      <c r="A5289" s="174">
        <f t="shared" si="74"/>
        <v>5288</v>
      </c>
      <c r="B5289" s="163">
        <v>45894</v>
      </c>
      <c r="C5289" s="164">
        <v>0.49537037037037041</v>
      </c>
      <c r="D5289" s="159">
        <v>10</v>
      </c>
      <c r="E5289" s="166" t="s">
        <v>4732</v>
      </c>
    </row>
    <row r="5290" spans="1:5">
      <c r="A5290" s="174">
        <f t="shared" si="74"/>
        <v>5289</v>
      </c>
      <c r="B5290" s="163">
        <v>45894</v>
      </c>
      <c r="C5290" s="164">
        <v>0.49297453703703703</v>
      </c>
      <c r="D5290" s="159">
        <v>10</v>
      </c>
      <c r="E5290" s="166" t="s">
        <v>4733</v>
      </c>
    </row>
    <row r="5291" spans="1:5">
      <c r="A5291" s="174">
        <f t="shared" si="74"/>
        <v>5290</v>
      </c>
      <c r="B5291" s="163">
        <v>45894</v>
      </c>
      <c r="C5291" s="164">
        <v>0.48837962962962966</v>
      </c>
      <c r="D5291" s="159">
        <v>10</v>
      </c>
      <c r="E5291" s="166" t="s">
        <v>690</v>
      </c>
    </row>
    <row r="5292" spans="1:5">
      <c r="A5292" s="174">
        <f t="shared" si="74"/>
        <v>5291</v>
      </c>
      <c r="B5292" s="163">
        <v>45894</v>
      </c>
      <c r="C5292" s="164">
        <v>0.48789351851851853</v>
      </c>
      <c r="D5292" s="159">
        <v>10</v>
      </c>
      <c r="E5292" s="166" t="s">
        <v>4734</v>
      </c>
    </row>
    <row r="5293" spans="1:5">
      <c r="A5293" s="174">
        <f t="shared" si="74"/>
        <v>5292</v>
      </c>
      <c r="B5293" s="163">
        <v>45894</v>
      </c>
      <c r="C5293" s="164">
        <v>0.47976851851851854</v>
      </c>
      <c r="D5293" s="159">
        <v>10</v>
      </c>
      <c r="E5293" s="166" t="s">
        <v>4748</v>
      </c>
    </row>
    <row r="5294" spans="1:5">
      <c r="A5294" s="174">
        <f t="shared" si="74"/>
        <v>5293</v>
      </c>
      <c r="B5294" s="163">
        <v>45894</v>
      </c>
      <c r="C5294" s="164">
        <v>0.47962962962962963</v>
      </c>
      <c r="D5294" s="159">
        <v>10</v>
      </c>
      <c r="E5294" s="166" t="s">
        <v>4747</v>
      </c>
    </row>
    <row r="5295" spans="1:5" ht="27">
      <c r="A5295" s="174">
        <f t="shared" si="74"/>
        <v>5294</v>
      </c>
      <c r="B5295" s="163">
        <v>45894</v>
      </c>
      <c r="C5295" s="164">
        <v>0.47232638888888889</v>
      </c>
      <c r="D5295" s="159">
        <v>10</v>
      </c>
      <c r="E5295" s="166" t="s">
        <v>4746</v>
      </c>
    </row>
    <row r="5296" spans="1:5">
      <c r="A5296" s="174">
        <f t="shared" si="74"/>
        <v>5295</v>
      </c>
      <c r="B5296" s="163">
        <v>45894</v>
      </c>
      <c r="C5296" s="164">
        <v>0.45991898148148147</v>
      </c>
      <c r="D5296" s="159">
        <v>10</v>
      </c>
      <c r="E5296" s="166" t="s">
        <v>4735</v>
      </c>
    </row>
    <row r="5297" spans="1:5">
      <c r="A5297" s="174">
        <f t="shared" si="74"/>
        <v>5296</v>
      </c>
      <c r="B5297" s="163">
        <v>45894</v>
      </c>
      <c r="C5297" s="164">
        <v>0.44100694444444444</v>
      </c>
      <c r="D5297" s="159">
        <v>10</v>
      </c>
      <c r="E5297" s="166" t="s">
        <v>4736</v>
      </c>
    </row>
    <row r="5298" spans="1:5">
      <c r="A5298" s="174">
        <f t="shared" si="74"/>
        <v>5297</v>
      </c>
      <c r="B5298" s="163">
        <v>45894</v>
      </c>
      <c r="C5298" s="164">
        <v>0.44097222222222227</v>
      </c>
      <c r="D5298" s="159">
        <v>10</v>
      </c>
      <c r="E5298" s="166" t="s">
        <v>4737</v>
      </c>
    </row>
    <row r="5299" spans="1:5">
      <c r="A5299" s="174">
        <f t="shared" si="74"/>
        <v>5298</v>
      </c>
      <c r="B5299" s="163">
        <v>45894</v>
      </c>
      <c r="C5299" s="164">
        <v>0.43929398148148152</v>
      </c>
      <c r="D5299" s="159">
        <v>10</v>
      </c>
      <c r="E5299" s="166" t="s">
        <v>4738</v>
      </c>
    </row>
    <row r="5300" spans="1:5">
      <c r="A5300" s="174">
        <f t="shared" si="74"/>
        <v>5299</v>
      </c>
      <c r="B5300" s="163">
        <v>45894</v>
      </c>
      <c r="C5300" s="164">
        <v>0.42618055555555556</v>
      </c>
      <c r="D5300" s="159">
        <v>10</v>
      </c>
      <c r="E5300" s="166" t="s">
        <v>4739</v>
      </c>
    </row>
    <row r="5301" spans="1:5">
      <c r="A5301" s="174">
        <f t="shared" ref="A5301:A5364" si="75">ROW()-1</f>
        <v>5300</v>
      </c>
      <c r="B5301" s="163">
        <v>45894</v>
      </c>
      <c r="C5301" s="164">
        <v>0.42446759259259265</v>
      </c>
      <c r="D5301" s="159">
        <v>10</v>
      </c>
      <c r="E5301" s="166" t="s">
        <v>4740</v>
      </c>
    </row>
    <row r="5302" spans="1:5">
      <c r="A5302" s="174">
        <f t="shared" si="75"/>
        <v>5301</v>
      </c>
      <c r="B5302" s="163">
        <v>45894</v>
      </c>
      <c r="C5302" s="164">
        <v>0.41715277777777776</v>
      </c>
      <c r="D5302" s="159">
        <v>10</v>
      </c>
      <c r="E5302" s="166" t="s">
        <v>4741</v>
      </c>
    </row>
    <row r="5303" spans="1:5">
      <c r="A5303" s="174">
        <f t="shared" si="75"/>
        <v>5302</v>
      </c>
      <c r="B5303" s="163">
        <v>45894</v>
      </c>
      <c r="C5303" s="164">
        <v>0.40737268518518516</v>
      </c>
      <c r="D5303" s="159">
        <v>10</v>
      </c>
      <c r="E5303" s="166" t="s">
        <v>4742</v>
      </c>
    </row>
    <row r="5304" spans="1:5">
      <c r="A5304" s="174">
        <f t="shared" si="75"/>
        <v>5303</v>
      </c>
      <c r="B5304" s="163">
        <v>45894</v>
      </c>
      <c r="C5304" s="164">
        <v>0.40092592592592591</v>
      </c>
      <c r="D5304" s="159">
        <v>10</v>
      </c>
      <c r="E5304" s="166" t="s">
        <v>4743</v>
      </c>
    </row>
    <row r="5305" spans="1:5">
      <c r="A5305" s="174">
        <f t="shared" si="75"/>
        <v>5304</v>
      </c>
      <c r="B5305" s="163">
        <v>45894</v>
      </c>
      <c r="C5305" s="164">
        <v>0.39778935185185182</v>
      </c>
      <c r="D5305" s="159">
        <v>10</v>
      </c>
      <c r="E5305" s="166" t="s">
        <v>4744</v>
      </c>
    </row>
    <row r="5306" spans="1:5">
      <c r="A5306" s="174">
        <f t="shared" si="75"/>
        <v>5305</v>
      </c>
      <c r="B5306" s="163">
        <v>45894</v>
      </c>
      <c r="C5306" s="164">
        <v>0.39203703703703702</v>
      </c>
      <c r="D5306" s="159">
        <v>10</v>
      </c>
      <c r="E5306" s="166" t="s">
        <v>4745</v>
      </c>
    </row>
    <row r="5307" spans="1:5">
      <c r="A5307" s="174">
        <f t="shared" si="75"/>
        <v>5306</v>
      </c>
      <c r="B5307" s="163">
        <v>45895</v>
      </c>
      <c r="C5307" s="164">
        <v>0.38108796296296293</v>
      </c>
      <c r="D5307" s="159">
        <v>10</v>
      </c>
      <c r="E5307" s="166" t="s">
        <v>4750</v>
      </c>
    </row>
    <row r="5308" spans="1:5">
      <c r="A5308" s="174">
        <f t="shared" si="75"/>
        <v>5307</v>
      </c>
      <c r="B5308" s="163">
        <v>45895</v>
      </c>
      <c r="C5308" s="164">
        <v>0.38253472222222223</v>
      </c>
      <c r="D5308" s="159">
        <v>10</v>
      </c>
      <c r="E5308" s="166" t="s">
        <v>4750</v>
      </c>
    </row>
    <row r="5309" spans="1:5">
      <c r="A5309" s="174">
        <f t="shared" si="75"/>
        <v>5308</v>
      </c>
      <c r="B5309" s="163">
        <v>45895</v>
      </c>
      <c r="C5309" s="164">
        <v>0.38909722222222221</v>
      </c>
      <c r="D5309" s="159">
        <v>10</v>
      </c>
      <c r="E5309" s="166" t="s">
        <v>4751</v>
      </c>
    </row>
    <row r="5310" spans="1:5">
      <c r="A5310" s="174">
        <f t="shared" si="75"/>
        <v>5309</v>
      </c>
      <c r="B5310" s="163">
        <v>45895</v>
      </c>
      <c r="C5310" s="164">
        <v>0.39159722222222221</v>
      </c>
      <c r="D5310" s="159">
        <v>10</v>
      </c>
      <c r="E5310" s="166" t="s">
        <v>4752</v>
      </c>
    </row>
    <row r="5311" spans="1:5">
      <c r="A5311" s="174">
        <f t="shared" si="75"/>
        <v>5310</v>
      </c>
      <c r="B5311" s="163">
        <v>45895</v>
      </c>
      <c r="C5311" s="164">
        <v>0.39420138888888889</v>
      </c>
      <c r="D5311" s="159">
        <v>10</v>
      </c>
      <c r="E5311" s="166" t="s">
        <v>4753</v>
      </c>
    </row>
    <row r="5312" spans="1:5">
      <c r="A5312" s="174">
        <f t="shared" si="75"/>
        <v>5311</v>
      </c>
      <c r="B5312" s="163">
        <v>45895</v>
      </c>
      <c r="C5312" s="164">
        <v>0.40969907407407408</v>
      </c>
      <c r="D5312" s="159">
        <v>10</v>
      </c>
      <c r="E5312" s="166" t="s">
        <v>194</v>
      </c>
    </row>
    <row r="5313" spans="1:5">
      <c r="A5313" s="174">
        <f t="shared" si="75"/>
        <v>5312</v>
      </c>
      <c r="B5313" s="163">
        <v>45895</v>
      </c>
      <c r="C5313" s="164">
        <v>0.42393518518518519</v>
      </c>
      <c r="D5313" s="159">
        <v>10</v>
      </c>
      <c r="E5313" s="166" t="s">
        <v>4754</v>
      </c>
    </row>
    <row r="5314" spans="1:5">
      <c r="A5314" s="174">
        <f t="shared" si="75"/>
        <v>5313</v>
      </c>
      <c r="B5314" s="163">
        <v>45895</v>
      </c>
      <c r="C5314" s="164">
        <v>0.4327893518518518</v>
      </c>
      <c r="D5314" s="159">
        <v>10</v>
      </c>
      <c r="E5314" s="166" t="s">
        <v>132</v>
      </c>
    </row>
    <row r="5315" spans="1:5">
      <c r="A5315" s="174">
        <f t="shared" si="75"/>
        <v>5314</v>
      </c>
      <c r="B5315" s="163">
        <v>45895</v>
      </c>
      <c r="C5315" s="164">
        <v>0.43784722222222222</v>
      </c>
      <c r="D5315" s="159">
        <v>10</v>
      </c>
      <c r="E5315" s="166" t="s">
        <v>4755</v>
      </c>
    </row>
    <row r="5316" spans="1:5">
      <c r="A5316" s="174">
        <f t="shared" si="75"/>
        <v>5315</v>
      </c>
      <c r="B5316" s="163">
        <v>45895</v>
      </c>
      <c r="C5316" s="164">
        <v>0.43891203703703702</v>
      </c>
      <c r="D5316" s="159">
        <v>10</v>
      </c>
      <c r="E5316" s="166" t="s">
        <v>4756</v>
      </c>
    </row>
    <row r="5317" spans="1:5">
      <c r="A5317" s="174">
        <f t="shared" si="75"/>
        <v>5316</v>
      </c>
      <c r="B5317" s="163">
        <v>45895</v>
      </c>
      <c r="C5317" s="164">
        <v>0.44930555555555557</v>
      </c>
      <c r="D5317" s="159">
        <v>10</v>
      </c>
      <c r="E5317" s="166" t="s">
        <v>4757</v>
      </c>
    </row>
    <row r="5318" spans="1:5">
      <c r="A5318" s="174">
        <f t="shared" si="75"/>
        <v>5317</v>
      </c>
      <c r="B5318" s="163">
        <v>45895</v>
      </c>
      <c r="C5318" s="164">
        <v>0.45030092592592591</v>
      </c>
      <c r="D5318" s="159">
        <v>10</v>
      </c>
      <c r="E5318" s="166" t="s">
        <v>4758</v>
      </c>
    </row>
    <row r="5319" spans="1:5" ht="27">
      <c r="A5319" s="174">
        <f t="shared" si="75"/>
        <v>5318</v>
      </c>
      <c r="B5319" s="163">
        <v>45895</v>
      </c>
      <c r="C5319" s="164">
        <v>0.47192129629629626</v>
      </c>
      <c r="D5319" s="159">
        <v>10</v>
      </c>
      <c r="E5319" s="166" t="s">
        <v>4795</v>
      </c>
    </row>
    <row r="5320" spans="1:5">
      <c r="A5320" s="174">
        <f t="shared" si="75"/>
        <v>5319</v>
      </c>
      <c r="B5320" s="163">
        <v>45895</v>
      </c>
      <c r="C5320" s="164">
        <v>0.47734953703703703</v>
      </c>
      <c r="D5320" s="159">
        <v>10</v>
      </c>
      <c r="E5320" s="166" t="s">
        <v>132</v>
      </c>
    </row>
    <row r="5321" spans="1:5">
      <c r="A5321" s="174">
        <f t="shared" si="75"/>
        <v>5320</v>
      </c>
      <c r="B5321" s="163">
        <v>45895</v>
      </c>
      <c r="C5321" s="164">
        <v>0.49109953703703701</v>
      </c>
      <c r="D5321" s="159">
        <v>9</v>
      </c>
      <c r="E5321" s="166" t="s">
        <v>4759</v>
      </c>
    </row>
    <row r="5322" spans="1:5">
      <c r="A5322" s="174">
        <f t="shared" si="75"/>
        <v>5321</v>
      </c>
      <c r="B5322" s="163">
        <v>45895</v>
      </c>
      <c r="C5322" s="164">
        <v>0.52458333333333329</v>
      </c>
      <c r="D5322" s="159">
        <v>10</v>
      </c>
      <c r="E5322" s="166" t="s">
        <v>4760</v>
      </c>
    </row>
    <row r="5323" spans="1:5">
      <c r="A5323" s="174">
        <f t="shared" si="75"/>
        <v>5322</v>
      </c>
      <c r="B5323" s="163">
        <v>45895</v>
      </c>
      <c r="C5323" s="164">
        <v>0.53752314814814817</v>
      </c>
      <c r="D5323" s="159">
        <v>10</v>
      </c>
      <c r="E5323" s="166" t="s">
        <v>4761</v>
      </c>
    </row>
    <row r="5324" spans="1:5">
      <c r="A5324" s="174">
        <f t="shared" si="75"/>
        <v>5323</v>
      </c>
      <c r="B5324" s="163">
        <v>45895</v>
      </c>
      <c r="C5324" s="164">
        <v>0.54864583333333339</v>
      </c>
      <c r="D5324" s="159">
        <v>10</v>
      </c>
      <c r="E5324" s="166" t="s">
        <v>4762</v>
      </c>
    </row>
    <row r="5325" spans="1:5">
      <c r="A5325" s="174">
        <f t="shared" si="75"/>
        <v>5324</v>
      </c>
      <c r="B5325" s="163">
        <v>45895</v>
      </c>
      <c r="C5325" s="164">
        <v>0.56277777777777771</v>
      </c>
      <c r="D5325" s="159">
        <v>10</v>
      </c>
      <c r="E5325" s="166" t="s">
        <v>4763</v>
      </c>
    </row>
    <row r="5326" spans="1:5">
      <c r="A5326" s="174">
        <f t="shared" si="75"/>
        <v>5325</v>
      </c>
      <c r="B5326" s="163">
        <v>45895</v>
      </c>
      <c r="C5326" s="164">
        <v>0.56415509259259256</v>
      </c>
      <c r="D5326" s="159">
        <v>10</v>
      </c>
      <c r="E5326" s="166" t="s">
        <v>4764</v>
      </c>
    </row>
    <row r="5327" spans="1:5">
      <c r="A5327" s="174">
        <f t="shared" si="75"/>
        <v>5326</v>
      </c>
      <c r="B5327" s="163">
        <v>45895</v>
      </c>
      <c r="C5327" s="164">
        <v>0.5685069444444445</v>
      </c>
      <c r="D5327" s="159">
        <v>10</v>
      </c>
      <c r="E5327" s="166" t="s">
        <v>4765</v>
      </c>
    </row>
    <row r="5328" spans="1:5">
      <c r="A5328" s="174">
        <f t="shared" si="75"/>
        <v>5327</v>
      </c>
      <c r="B5328" s="163">
        <v>45895</v>
      </c>
      <c r="C5328" s="164">
        <v>0.56957175925925929</v>
      </c>
      <c r="D5328" s="159">
        <v>10</v>
      </c>
      <c r="E5328" s="166" t="s">
        <v>4766</v>
      </c>
    </row>
    <row r="5329" spans="1:5">
      <c r="A5329" s="174">
        <f t="shared" si="75"/>
        <v>5328</v>
      </c>
      <c r="B5329" s="163">
        <v>45895</v>
      </c>
      <c r="C5329" s="164">
        <v>0.57214120370370369</v>
      </c>
      <c r="D5329" s="159">
        <v>10</v>
      </c>
      <c r="E5329" s="166" t="s">
        <v>4767</v>
      </c>
    </row>
    <row r="5330" spans="1:5">
      <c r="A5330" s="174">
        <f t="shared" si="75"/>
        <v>5329</v>
      </c>
      <c r="B5330" s="163">
        <v>45895</v>
      </c>
      <c r="C5330" s="164">
        <v>0.58297453703703705</v>
      </c>
      <c r="D5330" s="159">
        <v>10</v>
      </c>
      <c r="E5330" s="166" t="s">
        <v>4768</v>
      </c>
    </row>
    <row r="5331" spans="1:5">
      <c r="A5331" s="174">
        <f t="shared" si="75"/>
        <v>5330</v>
      </c>
      <c r="B5331" s="163">
        <v>45895</v>
      </c>
      <c r="C5331" s="164">
        <v>0.58332175925925933</v>
      </c>
      <c r="D5331" s="159">
        <v>10</v>
      </c>
      <c r="E5331" s="166" t="s">
        <v>4769</v>
      </c>
    </row>
    <row r="5332" spans="1:5">
      <c r="A5332" s="174">
        <f t="shared" si="75"/>
        <v>5331</v>
      </c>
      <c r="B5332" s="163">
        <v>45895</v>
      </c>
      <c r="C5332" s="164">
        <v>0.58494212962962966</v>
      </c>
      <c r="D5332" s="159">
        <v>10</v>
      </c>
      <c r="E5332" s="166" t="s">
        <v>2500</v>
      </c>
    </row>
    <row r="5333" spans="1:5">
      <c r="A5333" s="174">
        <f t="shared" si="75"/>
        <v>5332</v>
      </c>
      <c r="B5333" s="163">
        <v>45895</v>
      </c>
      <c r="C5333" s="164">
        <v>0.59023148148148141</v>
      </c>
      <c r="D5333" s="159">
        <v>10</v>
      </c>
      <c r="E5333" s="166" t="s">
        <v>132</v>
      </c>
    </row>
    <row r="5334" spans="1:5">
      <c r="A5334" s="174">
        <f t="shared" si="75"/>
        <v>5333</v>
      </c>
      <c r="B5334" s="163">
        <v>45895</v>
      </c>
      <c r="C5334" s="164">
        <v>0.59212962962962956</v>
      </c>
      <c r="D5334" s="159">
        <v>10</v>
      </c>
      <c r="E5334" s="166" t="s">
        <v>4770</v>
      </c>
    </row>
    <row r="5335" spans="1:5">
      <c r="A5335" s="174">
        <f t="shared" si="75"/>
        <v>5334</v>
      </c>
      <c r="B5335" s="163">
        <v>45895</v>
      </c>
      <c r="C5335" s="164">
        <v>0.59357638888888886</v>
      </c>
      <c r="D5335" s="159">
        <v>10</v>
      </c>
      <c r="E5335" s="166" t="s">
        <v>148</v>
      </c>
    </row>
    <row r="5336" spans="1:5">
      <c r="A5336" s="174">
        <f t="shared" si="75"/>
        <v>5335</v>
      </c>
      <c r="B5336" s="163">
        <v>45895</v>
      </c>
      <c r="C5336" s="164">
        <v>0.61302083333333335</v>
      </c>
      <c r="D5336" s="159">
        <v>10</v>
      </c>
      <c r="E5336" s="166" t="s">
        <v>4771</v>
      </c>
    </row>
    <row r="5337" spans="1:5">
      <c r="A5337" s="174">
        <f t="shared" si="75"/>
        <v>5336</v>
      </c>
      <c r="B5337" s="163">
        <v>45895</v>
      </c>
      <c r="C5337" s="164">
        <v>0.61472222222222228</v>
      </c>
      <c r="D5337" s="159">
        <v>10</v>
      </c>
      <c r="E5337" s="166" t="s">
        <v>4772</v>
      </c>
    </row>
    <row r="5338" spans="1:5" ht="40.5">
      <c r="A5338" s="174">
        <f t="shared" si="75"/>
        <v>5337</v>
      </c>
      <c r="B5338" s="163">
        <v>45895</v>
      </c>
      <c r="C5338" s="164">
        <v>0.61553240740740744</v>
      </c>
      <c r="D5338" s="159">
        <v>10</v>
      </c>
      <c r="E5338" s="166" t="s">
        <v>4773</v>
      </c>
    </row>
    <row r="5339" spans="1:5">
      <c r="A5339" s="174">
        <f t="shared" si="75"/>
        <v>5338</v>
      </c>
      <c r="B5339" s="163">
        <v>45895</v>
      </c>
      <c r="C5339" s="164">
        <v>0.61581018518518515</v>
      </c>
      <c r="D5339" s="159">
        <v>10</v>
      </c>
      <c r="E5339" s="166" t="s">
        <v>4774</v>
      </c>
    </row>
    <row r="5340" spans="1:5">
      <c r="A5340" s="174">
        <f t="shared" si="75"/>
        <v>5339</v>
      </c>
      <c r="B5340" s="163">
        <v>45895</v>
      </c>
      <c r="C5340" s="164">
        <v>0.61709490740740736</v>
      </c>
      <c r="D5340" s="159">
        <v>10</v>
      </c>
      <c r="E5340" s="166" t="s">
        <v>4796</v>
      </c>
    </row>
    <row r="5341" spans="1:5">
      <c r="A5341" s="174">
        <f t="shared" si="75"/>
        <v>5340</v>
      </c>
      <c r="B5341" s="163">
        <v>45895</v>
      </c>
      <c r="C5341" s="164">
        <v>0.61746527777777771</v>
      </c>
      <c r="D5341" s="159">
        <v>10</v>
      </c>
      <c r="E5341" s="166" t="s">
        <v>4775</v>
      </c>
    </row>
    <row r="5342" spans="1:5">
      <c r="A5342" s="174">
        <f t="shared" si="75"/>
        <v>5341</v>
      </c>
      <c r="B5342" s="163">
        <v>45895</v>
      </c>
      <c r="C5342" s="164">
        <v>0.63722222222222225</v>
      </c>
      <c r="D5342" s="159">
        <v>10</v>
      </c>
      <c r="E5342" s="166" t="s">
        <v>4776</v>
      </c>
    </row>
    <row r="5343" spans="1:5">
      <c r="A5343" s="174">
        <f t="shared" si="75"/>
        <v>5342</v>
      </c>
      <c r="B5343" s="163">
        <v>45895</v>
      </c>
      <c r="C5343" s="164">
        <v>0.65687499999999999</v>
      </c>
      <c r="D5343" s="159">
        <v>10</v>
      </c>
      <c r="E5343" s="166" t="s">
        <v>4777</v>
      </c>
    </row>
    <row r="5344" spans="1:5">
      <c r="A5344" s="174">
        <f t="shared" si="75"/>
        <v>5343</v>
      </c>
      <c r="B5344" s="163">
        <v>45895</v>
      </c>
      <c r="C5344" s="164">
        <v>0.66839120370370375</v>
      </c>
      <c r="D5344" s="159">
        <v>10</v>
      </c>
      <c r="E5344" s="166" t="s">
        <v>4778</v>
      </c>
    </row>
    <row r="5345" spans="1:5">
      <c r="A5345" s="174">
        <f t="shared" si="75"/>
        <v>5344</v>
      </c>
      <c r="B5345" s="163">
        <v>45895</v>
      </c>
      <c r="C5345" s="164">
        <v>0.66872685185185177</v>
      </c>
      <c r="D5345" s="159">
        <v>10</v>
      </c>
      <c r="E5345" s="166" t="s">
        <v>4779</v>
      </c>
    </row>
    <row r="5346" spans="1:5">
      <c r="A5346" s="174">
        <f t="shared" si="75"/>
        <v>5345</v>
      </c>
      <c r="B5346" s="163">
        <v>45895</v>
      </c>
      <c r="C5346" s="164">
        <v>0.69111111111111112</v>
      </c>
      <c r="D5346" s="159">
        <v>10</v>
      </c>
      <c r="E5346" s="166" t="s">
        <v>4780</v>
      </c>
    </row>
    <row r="5347" spans="1:5">
      <c r="A5347" s="174">
        <f t="shared" si="75"/>
        <v>5346</v>
      </c>
      <c r="B5347" s="163">
        <v>45895</v>
      </c>
      <c r="C5347" s="164">
        <v>0.69127314814814811</v>
      </c>
      <c r="D5347" s="159">
        <v>10</v>
      </c>
      <c r="E5347" s="166" t="s">
        <v>2385</v>
      </c>
    </row>
    <row r="5348" spans="1:5">
      <c r="A5348" s="174">
        <f t="shared" si="75"/>
        <v>5347</v>
      </c>
      <c r="B5348" s="163">
        <v>45895</v>
      </c>
      <c r="C5348" s="164">
        <v>0.69388888888888889</v>
      </c>
      <c r="D5348" s="159">
        <v>10</v>
      </c>
      <c r="E5348" s="166" t="s">
        <v>194</v>
      </c>
    </row>
    <row r="5349" spans="1:5">
      <c r="A5349" s="174">
        <f t="shared" si="75"/>
        <v>5348</v>
      </c>
      <c r="B5349" s="163">
        <v>45895</v>
      </c>
      <c r="C5349" s="164">
        <v>0.69831018518518517</v>
      </c>
      <c r="D5349" s="159">
        <v>10</v>
      </c>
      <c r="E5349" s="166" t="s">
        <v>4781</v>
      </c>
    </row>
    <row r="5350" spans="1:5">
      <c r="A5350" s="174">
        <f t="shared" si="75"/>
        <v>5349</v>
      </c>
      <c r="B5350" s="163">
        <v>45895</v>
      </c>
      <c r="C5350" s="164">
        <v>0.70710648148148147</v>
      </c>
      <c r="D5350" s="159">
        <v>10</v>
      </c>
      <c r="E5350" s="166" t="s">
        <v>4782</v>
      </c>
    </row>
    <row r="5351" spans="1:5">
      <c r="A5351" s="174">
        <f t="shared" si="75"/>
        <v>5350</v>
      </c>
      <c r="B5351" s="163">
        <v>45895</v>
      </c>
      <c r="C5351" s="164">
        <v>0.71076388888888886</v>
      </c>
      <c r="D5351" s="159">
        <v>10</v>
      </c>
      <c r="E5351" s="166" t="s">
        <v>4783</v>
      </c>
    </row>
    <row r="5352" spans="1:5">
      <c r="A5352" s="174">
        <f t="shared" si="75"/>
        <v>5351</v>
      </c>
      <c r="B5352" s="163">
        <v>45895</v>
      </c>
      <c r="C5352" s="164">
        <v>0.72520833333333334</v>
      </c>
      <c r="D5352" s="159">
        <v>10</v>
      </c>
      <c r="E5352" s="166" t="s">
        <v>4784</v>
      </c>
    </row>
    <row r="5353" spans="1:5">
      <c r="A5353" s="174">
        <f t="shared" si="75"/>
        <v>5352</v>
      </c>
      <c r="B5353" s="163">
        <v>45895</v>
      </c>
      <c r="C5353" s="164">
        <v>0.73782407407407413</v>
      </c>
      <c r="D5353" s="159">
        <v>10</v>
      </c>
      <c r="E5353" s="166" t="s">
        <v>4785</v>
      </c>
    </row>
    <row r="5354" spans="1:5">
      <c r="A5354" s="174">
        <f t="shared" si="75"/>
        <v>5353</v>
      </c>
      <c r="B5354" s="163">
        <v>45895</v>
      </c>
      <c r="C5354" s="164">
        <v>0.74002314814814818</v>
      </c>
      <c r="D5354" s="159">
        <v>10</v>
      </c>
      <c r="E5354" s="166" t="s">
        <v>4786</v>
      </c>
    </row>
    <row r="5355" spans="1:5">
      <c r="A5355" s="174">
        <f t="shared" si="75"/>
        <v>5354</v>
      </c>
      <c r="B5355" s="163">
        <v>45895</v>
      </c>
      <c r="C5355" s="164">
        <v>0.74350694444444443</v>
      </c>
      <c r="D5355" s="159">
        <v>10</v>
      </c>
      <c r="E5355" s="166" t="s">
        <v>4787</v>
      </c>
    </row>
    <row r="5356" spans="1:5">
      <c r="A5356" s="174">
        <f t="shared" si="75"/>
        <v>5355</v>
      </c>
      <c r="B5356" s="163">
        <v>45895</v>
      </c>
      <c r="C5356" s="164">
        <v>0.74402777777777773</v>
      </c>
      <c r="D5356" s="159">
        <v>10</v>
      </c>
      <c r="E5356" s="166" t="s">
        <v>4788</v>
      </c>
    </row>
    <row r="5357" spans="1:5">
      <c r="A5357" s="174">
        <f t="shared" si="75"/>
        <v>5356</v>
      </c>
      <c r="B5357" s="163">
        <v>45895</v>
      </c>
      <c r="C5357" s="164">
        <v>0.74637731481481484</v>
      </c>
      <c r="D5357" s="159">
        <v>10</v>
      </c>
      <c r="E5357" s="166" t="s">
        <v>4789</v>
      </c>
    </row>
    <row r="5358" spans="1:5">
      <c r="A5358" s="174">
        <f t="shared" si="75"/>
        <v>5357</v>
      </c>
      <c r="B5358" s="163">
        <v>45895</v>
      </c>
      <c r="C5358" s="164">
        <v>0.76658564814814811</v>
      </c>
      <c r="D5358" s="159">
        <v>8</v>
      </c>
      <c r="E5358" s="166" t="s">
        <v>4790</v>
      </c>
    </row>
    <row r="5359" spans="1:5">
      <c r="A5359" s="174">
        <f t="shared" si="75"/>
        <v>5358</v>
      </c>
      <c r="B5359" s="163">
        <v>45895</v>
      </c>
      <c r="C5359" s="164">
        <v>0.82502314814814814</v>
      </c>
      <c r="D5359" s="159">
        <v>10</v>
      </c>
      <c r="E5359" s="166" t="s">
        <v>4791</v>
      </c>
    </row>
    <row r="5360" spans="1:5">
      <c r="A5360" s="174">
        <f t="shared" si="75"/>
        <v>5359</v>
      </c>
      <c r="B5360" s="163">
        <v>45895</v>
      </c>
      <c r="C5360" s="164">
        <v>0.82952546296296292</v>
      </c>
      <c r="D5360" s="159">
        <v>10</v>
      </c>
      <c r="E5360" s="166" t="s">
        <v>4792</v>
      </c>
    </row>
    <row r="5361" spans="1:5">
      <c r="A5361" s="174">
        <f t="shared" si="75"/>
        <v>5360</v>
      </c>
      <c r="B5361" s="163">
        <v>45895</v>
      </c>
      <c r="C5361" s="164">
        <v>0.83606481481481476</v>
      </c>
      <c r="D5361" s="159">
        <v>10</v>
      </c>
      <c r="E5361" s="166" t="s">
        <v>4793</v>
      </c>
    </row>
    <row r="5362" spans="1:5">
      <c r="A5362" s="174">
        <f t="shared" si="75"/>
        <v>5361</v>
      </c>
      <c r="B5362" s="163">
        <v>45895</v>
      </c>
      <c r="C5362" s="164">
        <v>0.83876157407407403</v>
      </c>
      <c r="D5362" s="159">
        <v>10</v>
      </c>
      <c r="E5362" s="166" t="s">
        <v>618</v>
      </c>
    </row>
    <row r="5363" spans="1:5">
      <c r="A5363" s="174">
        <f t="shared" si="75"/>
        <v>5362</v>
      </c>
      <c r="B5363" s="163">
        <v>45895</v>
      </c>
      <c r="C5363" s="164">
        <v>0.84119212962962964</v>
      </c>
      <c r="D5363" s="159">
        <v>10</v>
      </c>
      <c r="E5363" s="166" t="s">
        <v>4794</v>
      </c>
    </row>
    <row r="5364" spans="1:5">
      <c r="A5364" s="174">
        <f t="shared" si="75"/>
        <v>5363</v>
      </c>
      <c r="B5364" s="163">
        <v>45896</v>
      </c>
      <c r="C5364" s="188">
        <v>0.39276620370370369</v>
      </c>
      <c r="D5364" s="174">
        <v>10</v>
      </c>
      <c r="E5364" s="166" t="s">
        <v>4797</v>
      </c>
    </row>
    <row r="5365" spans="1:5">
      <c r="A5365" s="174">
        <f t="shared" ref="A5365:A5428" si="76">ROW()-1</f>
        <v>5364</v>
      </c>
      <c r="B5365" s="163">
        <v>45896</v>
      </c>
      <c r="C5365" s="188">
        <v>0.40589120370370368</v>
      </c>
      <c r="D5365" s="174">
        <v>10</v>
      </c>
      <c r="E5365" s="166" t="s">
        <v>4798</v>
      </c>
    </row>
    <row r="5366" spans="1:5">
      <c r="A5366" s="174">
        <f t="shared" si="76"/>
        <v>5365</v>
      </c>
      <c r="B5366" s="163">
        <v>45896</v>
      </c>
      <c r="C5366" s="188">
        <v>0.4069444444444445</v>
      </c>
      <c r="D5366" s="174">
        <v>10</v>
      </c>
      <c r="E5366" s="166" t="s">
        <v>4799</v>
      </c>
    </row>
    <row r="5367" spans="1:5">
      <c r="A5367" s="174">
        <f t="shared" si="76"/>
        <v>5366</v>
      </c>
      <c r="B5367" s="163">
        <v>45896</v>
      </c>
      <c r="C5367" s="188">
        <v>0.41339120370370369</v>
      </c>
      <c r="D5367" s="174">
        <v>10</v>
      </c>
      <c r="E5367" s="166" t="s">
        <v>2974</v>
      </c>
    </row>
    <row r="5368" spans="1:5">
      <c r="A5368" s="174">
        <f t="shared" si="76"/>
        <v>5367</v>
      </c>
      <c r="B5368" s="163">
        <v>45896</v>
      </c>
      <c r="C5368" s="188">
        <v>0.41771990740740739</v>
      </c>
      <c r="D5368" s="174">
        <v>10</v>
      </c>
      <c r="E5368" s="166" t="s">
        <v>4800</v>
      </c>
    </row>
    <row r="5369" spans="1:5">
      <c r="A5369" s="174">
        <f t="shared" si="76"/>
        <v>5368</v>
      </c>
      <c r="B5369" s="163">
        <v>45896</v>
      </c>
      <c r="C5369" s="188">
        <v>0.41923611111111114</v>
      </c>
      <c r="D5369" s="174">
        <v>10</v>
      </c>
      <c r="E5369" s="166" t="s">
        <v>4801</v>
      </c>
    </row>
    <row r="5370" spans="1:5">
      <c r="A5370" s="174">
        <f t="shared" si="76"/>
        <v>5369</v>
      </c>
      <c r="B5370" s="163">
        <v>45896</v>
      </c>
      <c r="C5370" s="188">
        <v>0.42626157407407406</v>
      </c>
      <c r="D5370" s="174">
        <v>10</v>
      </c>
      <c r="E5370" s="166" t="s">
        <v>4802</v>
      </c>
    </row>
    <row r="5371" spans="1:5" ht="40.5">
      <c r="A5371" s="174">
        <f t="shared" si="76"/>
        <v>5370</v>
      </c>
      <c r="B5371" s="163">
        <v>45896</v>
      </c>
      <c r="C5371" s="188">
        <v>0.42965277777777783</v>
      </c>
      <c r="D5371" s="174">
        <v>10</v>
      </c>
      <c r="E5371" s="166" t="s">
        <v>4835</v>
      </c>
    </row>
    <row r="5372" spans="1:5">
      <c r="A5372" s="174">
        <f t="shared" si="76"/>
        <v>5371</v>
      </c>
      <c r="B5372" s="163">
        <v>45896</v>
      </c>
      <c r="C5372" s="188">
        <v>0.44063657407407408</v>
      </c>
      <c r="D5372" s="174">
        <v>10</v>
      </c>
      <c r="E5372" s="166" t="s">
        <v>4803</v>
      </c>
    </row>
    <row r="5373" spans="1:5">
      <c r="A5373" s="174">
        <f t="shared" si="76"/>
        <v>5372</v>
      </c>
      <c r="B5373" s="163">
        <v>45896</v>
      </c>
      <c r="C5373" s="188">
        <v>0.45473379629629629</v>
      </c>
      <c r="D5373" s="174">
        <v>10</v>
      </c>
      <c r="E5373" s="166" t="s">
        <v>132</v>
      </c>
    </row>
    <row r="5374" spans="1:5">
      <c r="A5374" s="174">
        <f t="shared" si="76"/>
        <v>5373</v>
      </c>
      <c r="B5374" s="163">
        <v>45896</v>
      </c>
      <c r="C5374" s="188">
        <v>0.46076388888888892</v>
      </c>
      <c r="D5374" s="174">
        <v>10</v>
      </c>
      <c r="E5374" s="166" t="s">
        <v>4804</v>
      </c>
    </row>
    <row r="5375" spans="1:5">
      <c r="A5375" s="174">
        <f t="shared" si="76"/>
        <v>5374</v>
      </c>
      <c r="B5375" s="163">
        <v>45896</v>
      </c>
      <c r="C5375" s="188">
        <v>0.4770138888888889</v>
      </c>
      <c r="D5375" s="174">
        <v>10</v>
      </c>
      <c r="E5375" s="166" t="s">
        <v>4805</v>
      </c>
    </row>
    <row r="5376" spans="1:5">
      <c r="A5376" s="174">
        <f t="shared" si="76"/>
        <v>5375</v>
      </c>
      <c r="B5376" s="163">
        <v>45896</v>
      </c>
      <c r="C5376" s="188">
        <v>0.48190972222222223</v>
      </c>
      <c r="D5376" s="174">
        <v>10</v>
      </c>
      <c r="E5376" s="166" t="s">
        <v>4806</v>
      </c>
    </row>
    <row r="5377" spans="1:5" ht="27">
      <c r="A5377" s="174">
        <f t="shared" si="76"/>
        <v>5376</v>
      </c>
      <c r="B5377" s="163">
        <v>45896</v>
      </c>
      <c r="C5377" s="188">
        <v>0.48568287037037039</v>
      </c>
      <c r="D5377" s="174">
        <v>7</v>
      </c>
      <c r="E5377" s="166" t="s">
        <v>4807</v>
      </c>
    </row>
    <row r="5378" spans="1:5">
      <c r="A5378" s="174">
        <f t="shared" si="76"/>
        <v>5377</v>
      </c>
      <c r="B5378" s="163">
        <v>45896</v>
      </c>
      <c r="C5378" s="188">
        <v>0.48749999999999999</v>
      </c>
      <c r="D5378" s="174">
        <v>10</v>
      </c>
      <c r="E5378" s="166" t="s">
        <v>4808</v>
      </c>
    </row>
    <row r="5379" spans="1:5">
      <c r="A5379" s="174">
        <f t="shared" si="76"/>
        <v>5378</v>
      </c>
      <c r="B5379" s="163">
        <v>45896</v>
      </c>
      <c r="C5379" s="188">
        <v>0.54769675925925931</v>
      </c>
      <c r="D5379" s="174">
        <v>10</v>
      </c>
      <c r="E5379" s="166" t="s">
        <v>4809</v>
      </c>
    </row>
    <row r="5380" spans="1:5">
      <c r="A5380" s="174">
        <f t="shared" si="76"/>
        <v>5379</v>
      </c>
      <c r="B5380" s="163">
        <v>45896</v>
      </c>
      <c r="C5380" s="188">
        <v>0.55556712962962962</v>
      </c>
      <c r="D5380" s="174">
        <v>10</v>
      </c>
      <c r="E5380" s="166" t="s">
        <v>4810</v>
      </c>
    </row>
    <row r="5381" spans="1:5">
      <c r="A5381" s="174">
        <f t="shared" si="76"/>
        <v>5380</v>
      </c>
      <c r="B5381" s="163">
        <v>45896</v>
      </c>
      <c r="C5381" s="188">
        <v>0.56170138888888888</v>
      </c>
      <c r="D5381" s="174">
        <v>10</v>
      </c>
      <c r="E5381" s="166" t="s">
        <v>4811</v>
      </c>
    </row>
    <row r="5382" spans="1:5">
      <c r="A5382" s="174">
        <f t="shared" si="76"/>
        <v>5381</v>
      </c>
      <c r="B5382" s="163">
        <v>45896</v>
      </c>
      <c r="C5382" s="188">
        <v>0.56500000000000006</v>
      </c>
      <c r="D5382" s="174">
        <v>10</v>
      </c>
      <c r="E5382" s="166" t="s">
        <v>4836</v>
      </c>
    </row>
    <row r="5383" spans="1:5">
      <c r="A5383" s="174">
        <f t="shared" si="76"/>
        <v>5382</v>
      </c>
      <c r="B5383" s="163">
        <v>45896</v>
      </c>
      <c r="C5383" s="188">
        <v>0.56726851851851856</v>
      </c>
      <c r="D5383" s="174">
        <v>10</v>
      </c>
      <c r="E5383" s="166" t="s">
        <v>4812</v>
      </c>
    </row>
    <row r="5384" spans="1:5">
      <c r="A5384" s="174">
        <f t="shared" si="76"/>
        <v>5383</v>
      </c>
      <c r="B5384" s="163">
        <v>45896</v>
      </c>
      <c r="C5384" s="188">
        <v>0.57048611111111114</v>
      </c>
      <c r="D5384" s="174">
        <v>10</v>
      </c>
      <c r="E5384" s="166" t="s">
        <v>4813</v>
      </c>
    </row>
    <row r="5385" spans="1:5">
      <c r="A5385" s="174">
        <f t="shared" si="76"/>
        <v>5384</v>
      </c>
      <c r="B5385" s="163">
        <v>45896</v>
      </c>
      <c r="C5385" s="188">
        <v>0.59812500000000002</v>
      </c>
      <c r="D5385" s="174">
        <v>10</v>
      </c>
      <c r="E5385" s="166" t="s">
        <v>4814</v>
      </c>
    </row>
    <row r="5386" spans="1:5">
      <c r="A5386" s="174">
        <f t="shared" si="76"/>
        <v>5385</v>
      </c>
      <c r="B5386" s="163">
        <v>45896</v>
      </c>
      <c r="C5386" s="188">
        <v>0.60148148148148151</v>
      </c>
      <c r="D5386" s="174">
        <v>10</v>
      </c>
      <c r="E5386" s="166" t="s">
        <v>4815</v>
      </c>
    </row>
    <row r="5387" spans="1:5">
      <c r="A5387" s="174">
        <f t="shared" si="76"/>
        <v>5386</v>
      </c>
      <c r="B5387" s="163">
        <v>45896</v>
      </c>
      <c r="C5387" s="188">
        <v>0.60637731481481483</v>
      </c>
      <c r="D5387" s="174">
        <v>10</v>
      </c>
      <c r="E5387" s="166" t="s">
        <v>4816</v>
      </c>
    </row>
    <row r="5388" spans="1:5">
      <c r="A5388" s="174">
        <f t="shared" si="76"/>
        <v>5387</v>
      </c>
      <c r="B5388" s="163">
        <v>45896</v>
      </c>
      <c r="C5388" s="188">
        <v>0.62194444444444441</v>
      </c>
      <c r="D5388" s="174">
        <v>10</v>
      </c>
      <c r="E5388" s="166" t="s">
        <v>4817</v>
      </c>
    </row>
    <row r="5389" spans="1:5">
      <c r="A5389" s="174">
        <f t="shared" si="76"/>
        <v>5388</v>
      </c>
      <c r="B5389" s="163">
        <v>45896</v>
      </c>
      <c r="C5389" s="188">
        <v>0.63464120370370369</v>
      </c>
      <c r="D5389" s="174">
        <v>10</v>
      </c>
      <c r="E5389" s="166" t="s">
        <v>4818</v>
      </c>
    </row>
    <row r="5390" spans="1:5">
      <c r="A5390" s="174">
        <f t="shared" si="76"/>
        <v>5389</v>
      </c>
      <c r="B5390" s="163">
        <v>45896</v>
      </c>
      <c r="C5390" s="188">
        <v>0.65442129629629631</v>
      </c>
      <c r="D5390" s="174">
        <v>10</v>
      </c>
      <c r="E5390" s="166" t="s">
        <v>4819</v>
      </c>
    </row>
    <row r="5391" spans="1:5">
      <c r="A5391" s="174">
        <f t="shared" si="76"/>
        <v>5390</v>
      </c>
      <c r="B5391" s="163">
        <v>45896</v>
      </c>
      <c r="C5391" s="188">
        <v>0.65759259259259262</v>
      </c>
      <c r="D5391" s="174">
        <v>10</v>
      </c>
      <c r="E5391" s="166" t="s">
        <v>4820</v>
      </c>
    </row>
    <row r="5392" spans="1:5">
      <c r="A5392" s="174">
        <f t="shared" si="76"/>
        <v>5391</v>
      </c>
      <c r="B5392" s="163">
        <v>45896</v>
      </c>
      <c r="C5392" s="188">
        <v>0.66800925925925936</v>
      </c>
      <c r="D5392" s="174">
        <v>10</v>
      </c>
      <c r="E5392" s="166" t="s">
        <v>4821</v>
      </c>
    </row>
    <row r="5393" spans="1:5">
      <c r="A5393" s="174">
        <f t="shared" si="76"/>
        <v>5392</v>
      </c>
      <c r="B5393" s="163">
        <v>45896</v>
      </c>
      <c r="C5393" s="188">
        <v>0.66910879629629638</v>
      </c>
      <c r="D5393" s="174">
        <v>10</v>
      </c>
      <c r="E5393" s="166" t="s">
        <v>4822</v>
      </c>
    </row>
    <row r="5394" spans="1:5">
      <c r="A5394" s="174">
        <f t="shared" si="76"/>
        <v>5393</v>
      </c>
      <c r="B5394" s="163">
        <v>45896</v>
      </c>
      <c r="C5394" s="188">
        <v>0.66983796296296294</v>
      </c>
      <c r="D5394" s="174">
        <v>10</v>
      </c>
      <c r="E5394" s="166" t="s">
        <v>4823</v>
      </c>
    </row>
    <row r="5395" spans="1:5">
      <c r="A5395" s="174">
        <f t="shared" si="76"/>
        <v>5394</v>
      </c>
      <c r="B5395" s="163">
        <v>45896</v>
      </c>
      <c r="C5395" s="188">
        <v>0.67592592592592593</v>
      </c>
      <c r="D5395" s="174">
        <v>10</v>
      </c>
      <c r="E5395" s="166" t="s">
        <v>4824</v>
      </c>
    </row>
    <row r="5396" spans="1:5">
      <c r="A5396" s="174">
        <f t="shared" si="76"/>
        <v>5395</v>
      </c>
      <c r="B5396" s="163">
        <v>45896</v>
      </c>
      <c r="C5396" s="188">
        <v>0.68043981481481486</v>
      </c>
      <c r="D5396" s="174">
        <v>10</v>
      </c>
      <c r="E5396" s="166" t="s">
        <v>4837</v>
      </c>
    </row>
    <row r="5397" spans="1:5">
      <c r="A5397" s="174">
        <f t="shared" si="76"/>
        <v>5396</v>
      </c>
      <c r="B5397" s="163">
        <v>45896</v>
      </c>
      <c r="C5397" s="188">
        <v>0.68186342592592597</v>
      </c>
      <c r="D5397" s="174">
        <v>10</v>
      </c>
      <c r="E5397" s="166" t="s">
        <v>4838</v>
      </c>
    </row>
    <row r="5398" spans="1:5">
      <c r="A5398" s="174">
        <f t="shared" si="76"/>
        <v>5397</v>
      </c>
      <c r="B5398" s="163">
        <v>45896</v>
      </c>
      <c r="C5398" s="188">
        <v>0.68652777777777774</v>
      </c>
      <c r="D5398" s="174">
        <v>10</v>
      </c>
      <c r="E5398" s="166" t="s">
        <v>4825</v>
      </c>
    </row>
    <row r="5399" spans="1:5">
      <c r="A5399" s="174">
        <f t="shared" si="76"/>
        <v>5398</v>
      </c>
      <c r="B5399" s="163">
        <v>45896</v>
      </c>
      <c r="C5399" s="188">
        <v>0.68737268518518524</v>
      </c>
      <c r="D5399" s="174">
        <v>10</v>
      </c>
      <c r="E5399" s="166" t="s">
        <v>4826</v>
      </c>
    </row>
    <row r="5400" spans="1:5">
      <c r="A5400" s="174">
        <f t="shared" si="76"/>
        <v>5399</v>
      </c>
      <c r="B5400" s="163">
        <v>45896</v>
      </c>
      <c r="C5400" s="188">
        <v>0.69060185185185186</v>
      </c>
      <c r="D5400" s="174">
        <v>10</v>
      </c>
      <c r="E5400" s="166" t="s">
        <v>4827</v>
      </c>
    </row>
    <row r="5401" spans="1:5">
      <c r="A5401" s="174">
        <f t="shared" si="76"/>
        <v>5400</v>
      </c>
      <c r="B5401" s="163">
        <v>45896</v>
      </c>
      <c r="C5401" s="188">
        <v>0.69396990740740738</v>
      </c>
      <c r="D5401" s="174">
        <v>10</v>
      </c>
      <c r="E5401" s="166" t="s">
        <v>1678</v>
      </c>
    </row>
    <row r="5402" spans="1:5">
      <c r="A5402" s="174">
        <f t="shared" si="76"/>
        <v>5401</v>
      </c>
      <c r="B5402" s="163">
        <v>45896</v>
      </c>
      <c r="C5402" s="188">
        <v>0.69401620370370365</v>
      </c>
      <c r="D5402" s="174">
        <v>10</v>
      </c>
      <c r="E5402" s="166" t="s">
        <v>4828</v>
      </c>
    </row>
    <row r="5403" spans="1:5">
      <c r="A5403" s="174">
        <f t="shared" si="76"/>
        <v>5402</v>
      </c>
      <c r="B5403" s="163">
        <v>45896</v>
      </c>
      <c r="C5403" s="188">
        <v>0.71229166666666666</v>
      </c>
      <c r="D5403" s="174">
        <v>10</v>
      </c>
      <c r="E5403" s="166" t="s">
        <v>132</v>
      </c>
    </row>
    <row r="5404" spans="1:5">
      <c r="A5404" s="174">
        <f t="shared" si="76"/>
        <v>5403</v>
      </c>
      <c r="B5404" s="163">
        <v>45896</v>
      </c>
      <c r="C5404" s="188">
        <v>0.7247569444444445</v>
      </c>
      <c r="D5404" s="174">
        <v>10</v>
      </c>
      <c r="E5404" s="166" t="s">
        <v>4829</v>
      </c>
    </row>
    <row r="5405" spans="1:5">
      <c r="A5405" s="174">
        <f t="shared" si="76"/>
        <v>5404</v>
      </c>
      <c r="B5405" s="163">
        <v>45896</v>
      </c>
      <c r="C5405" s="188">
        <v>0.72644675925925928</v>
      </c>
      <c r="D5405" s="174">
        <v>10</v>
      </c>
      <c r="E5405" s="166" t="s">
        <v>557</v>
      </c>
    </row>
    <row r="5406" spans="1:5">
      <c r="A5406" s="174">
        <f t="shared" si="76"/>
        <v>5405</v>
      </c>
      <c r="B5406" s="163">
        <v>45896</v>
      </c>
      <c r="C5406" s="188">
        <v>0.72864583333333333</v>
      </c>
      <c r="D5406" s="174">
        <v>10</v>
      </c>
      <c r="E5406" s="166" t="s">
        <v>244</v>
      </c>
    </row>
    <row r="5407" spans="1:5">
      <c r="A5407" s="174">
        <f t="shared" si="76"/>
        <v>5406</v>
      </c>
      <c r="B5407" s="163">
        <v>45896</v>
      </c>
      <c r="C5407" s="188">
        <v>0.73722222222222233</v>
      </c>
      <c r="D5407" s="174">
        <v>10</v>
      </c>
      <c r="E5407" s="166" t="s">
        <v>4830</v>
      </c>
    </row>
    <row r="5408" spans="1:5">
      <c r="A5408" s="174">
        <f t="shared" si="76"/>
        <v>5407</v>
      </c>
      <c r="B5408" s="163">
        <v>45896</v>
      </c>
      <c r="C5408" s="188">
        <v>0.74398148148148147</v>
      </c>
      <c r="D5408" s="174">
        <v>10</v>
      </c>
      <c r="E5408" s="166" t="s">
        <v>761</v>
      </c>
    </row>
    <row r="5409" spans="1:5">
      <c r="A5409" s="174">
        <f t="shared" si="76"/>
        <v>5408</v>
      </c>
      <c r="B5409" s="163">
        <v>45896</v>
      </c>
      <c r="C5409" s="188">
        <v>0.74891203703703713</v>
      </c>
      <c r="D5409" s="174">
        <v>10</v>
      </c>
      <c r="E5409" s="166" t="s">
        <v>1668</v>
      </c>
    </row>
    <row r="5410" spans="1:5">
      <c r="A5410" s="174">
        <f t="shared" si="76"/>
        <v>5409</v>
      </c>
      <c r="B5410" s="163">
        <v>45896</v>
      </c>
      <c r="C5410" s="188">
        <v>0.76842592592592596</v>
      </c>
      <c r="D5410" s="174">
        <v>10</v>
      </c>
      <c r="E5410" s="166" t="s">
        <v>4831</v>
      </c>
    </row>
    <row r="5411" spans="1:5">
      <c r="A5411" s="174">
        <f t="shared" si="76"/>
        <v>5410</v>
      </c>
      <c r="B5411" s="163">
        <v>45896</v>
      </c>
      <c r="C5411" s="188">
        <v>0.80131944444444436</v>
      </c>
      <c r="D5411" s="174">
        <v>10</v>
      </c>
      <c r="E5411" s="166" t="s">
        <v>4832</v>
      </c>
    </row>
    <row r="5412" spans="1:5">
      <c r="A5412" s="174">
        <f t="shared" si="76"/>
        <v>5411</v>
      </c>
      <c r="B5412" s="163">
        <v>45896</v>
      </c>
      <c r="C5412" s="188">
        <v>0.83188657407407407</v>
      </c>
      <c r="D5412" s="174">
        <v>10</v>
      </c>
      <c r="E5412" s="166" t="s">
        <v>4833</v>
      </c>
    </row>
    <row r="5413" spans="1:5">
      <c r="A5413" s="174">
        <f t="shared" si="76"/>
        <v>5412</v>
      </c>
      <c r="B5413" s="163">
        <v>45896</v>
      </c>
      <c r="C5413" s="188">
        <v>0.87622685185185178</v>
      </c>
      <c r="D5413" s="174">
        <v>10</v>
      </c>
      <c r="E5413" s="166" t="s">
        <v>4834</v>
      </c>
    </row>
    <row r="5414" spans="1:5">
      <c r="A5414" s="174">
        <f t="shared" si="76"/>
        <v>5413</v>
      </c>
      <c r="B5414" s="163">
        <v>45897</v>
      </c>
      <c r="C5414" s="188">
        <v>0.39577546296296301</v>
      </c>
      <c r="D5414" s="174">
        <v>10</v>
      </c>
      <c r="E5414" s="166" t="s">
        <v>4839</v>
      </c>
    </row>
    <row r="5415" spans="1:5">
      <c r="A5415" s="174">
        <f t="shared" si="76"/>
        <v>5414</v>
      </c>
      <c r="B5415" s="163">
        <v>45897</v>
      </c>
      <c r="C5415" s="188">
        <v>0.39648148148148149</v>
      </c>
      <c r="D5415" s="174">
        <v>10</v>
      </c>
      <c r="E5415" s="166" t="s">
        <v>4840</v>
      </c>
    </row>
    <row r="5416" spans="1:5">
      <c r="A5416" s="174">
        <f t="shared" si="76"/>
        <v>5415</v>
      </c>
      <c r="B5416" s="163">
        <v>45897</v>
      </c>
      <c r="C5416" s="188">
        <v>0.41870370370370374</v>
      </c>
      <c r="D5416" s="174">
        <v>10</v>
      </c>
      <c r="E5416" s="166" t="s">
        <v>2705</v>
      </c>
    </row>
    <row r="5417" spans="1:5">
      <c r="A5417" s="174">
        <f t="shared" si="76"/>
        <v>5416</v>
      </c>
      <c r="B5417" s="163">
        <v>45897</v>
      </c>
      <c r="C5417" s="188">
        <v>0.4331712962962963</v>
      </c>
      <c r="D5417" s="174">
        <v>10</v>
      </c>
      <c r="E5417" s="166" t="s">
        <v>313</v>
      </c>
    </row>
    <row r="5418" spans="1:5">
      <c r="A5418" s="174">
        <f t="shared" si="76"/>
        <v>5417</v>
      </c>
      <c r="B5418" s="163">
        <v>45897</v>
      </c>
      <c r="C5418" s="188">
        <v>0.44488425925925923</v>
      </c>
      <c r="D5418" s="174">
        <v>10</v>
      </c>
      <c r="E5418" s="166" t="s">
        <v>4841</v>
      </c>
    </row>
    <row r="5419" spans="1:5">
      <c r="A5419" s="174">
        <f t="shared" si="76"/>
        <v>5418</v>
      </c>
      <c r="B5419" s="163">
        <v>45897</v>
      </c>
      <c r="C5419" s="188">
        <v>0.44854166666666667</v>
      </c>
      <c r="D5419" s="174">
        <v>10</v>
      </c>
      <c r="E5419" s="166" t="s">
        <v>4842</v>
      </c>
    </row>
    <row r="5420" spans="1:5">
      <c r="A5420" s="174">
        <f t="shared" si="76"/>
        <v>5419</v>
      </c>
      <c r="B5420" s="163">
        <v>45897</v>
      </c>
      <c r="C5420" s="188">
        <v>0.45030092592592591</v>
      </c>
      <c r="D5420" s="174">
        <v>10</v>
      </c>
      <c r="E5420" s="166" t="s">
        <v>4843</v>
      </c>
    </row>
    <row r="5421" spans="1:5">
      <c r="A5421" s="174">
        <f t="shared" si="76"/>
        <v>5420</v>
      </c>
      <c r="B5421" s="163">
        <v>45897</v>
      </c>
      <c r="C5421" s="188">
        <v>0.46461805555555552</v>
      </c>
      <c r="D5421" s="174">
        <v>10</v>
      </c>
      <c r="E5421" s="166" t="s">
        <v>4844</v>
      </c>
    </row>
    <row r="5422" spans="1:5">
      <c r="A5422" s="174">
        <f t="shared" si="76"/>
        <v>5421</v>
      </c>
      <c r="B5422" s="163">
        <v>45897</v>
      </c>
      <c r="C5422" s="188">
        <v>0.47170138888888885</v>
      </c>
      <c r="D5422" s="174">
        <v>10</v>
      </c>
      <c r="E5422" s="166" t="s">
        <v>4845</v>
      </c>
    </row>
    <row r="5423" spans="1:5">
      <c r="A5423" s="174">
        <f t="shared" si="76"/>
        <v>5422</v>
      </c>
      <c r="B5423" s="163">
        <v>45897</v>
      </c>
      <c r="C5423" s="188">
        <v>0.47184027777777776</v>
      </c>
      <c r="D5423" s="174">
        <v>10</v>
      </c>
      <c r="E5423" s="166" t="s">
        <v>4846</v>
      </c>
    </row>
    <row r="5424" spans="1:5">
      <c r="A5424" s="174">
        <f t="shared" si="76"/>
        <v>5423</v>
      </c>
      <c r="B5424" s="163">
        <v>45897</v>
      </c>
      <c r="C5424" s="188">
        <v>0.47623842592592597</v>
      </c>
      <c r="D5424" s="174">
        <v>10</v>
      </c>
      <c r="E5424" s="166" t="s">
        <v>4847</v>
      </c>
    </row>
    <row r="5425" spans="1:5">
      <c r="A5425" s="174">
        <f t="shared" si="76"/>
        <v>5424</v>
      </c>
      <c r="B5425" s="163">
        <v>45897</v>
      </c>
      <c r="C5425" s="188">
        <v>0.49201388888888892</v>
      </c>
      <c r="D5425" s="174">
        <v>10</v>
      </c>
      <c r="E5425" s="166" t="s">
        <v>4887</v>
      </c>
    </row>
    <row r="5426" spans="1:5">
      <c r="A5426" s="174">
        <f t="shared" si="76"/>
        <v>5425</v>
      </c>
      <c r="B5426" s="163">
        <v>45897</v>
      </c>
      <c r="C5426" s="188">
        <v>0.49563657407407408</v>
      </c>
      <c r="D5426" s="174">
        <v>10</v>
      </c>
      <c r="E5426" s="166" t="s">
        <v>4848</v>
      </c>
    </row>
    <row r="5427" spans="1:5">
      <c r="A5427" s="174">
        <f t="shared" si="76"/>
        <v>5426</v>
      </c>
      <c r="B5427" s="163">
        <v>45897</v>
      </c>
      <c r="C5427" s="188">
        <v>0.50467592592592592</v>
      </c>
      <c r="D5427" s="174">
        <v>10</v>
      </c>
      <c r="E5427" s="166" t="s">
        <v>4849</v>
      </c>
    </row>
    <row r="5428" spans="1:5">
      <c r="A5428" s="174">
        <f t="shared" si="76"/>
        <v>5427</v>
      </c>
      <c r="B5428" s="163">
        <v>45897</v>
      </c>
      <c r="C5428" s="188">
        <v>0.54636574074074074</v>
      </c>
      <c r="D5428" s="174">
        <v>10</v>
      </c>
      <c r="E5428" s="166" t="s">
        <v>4850</v>
      </c>
    </row>
    <row r="5429" spans="1:5">
      <c r="A5429" s="174">
        <f t="shared" ref="A5429:A5492" si="77">ROW()-1</f>
        <v>5428</v>
      </c>
      <c r="B5429" s="163">
        <v>45897</v>
      </c>
      <c r="C5429" s="188">
        <v>0.54788194444444438</v>
      </c>
      <c r="D5429" s="174">
        <v>10</v>
      </c>
      <c r="E5429" s="166" t="s">
        <v>4851</v>
      </c>
    </row>
    <row r="5430" spans="1:5">
      <c r="A5430" s="174">
        <f t="shared" si="77"/>
        <v>5429</v>
      </c>
      <c r="B5430" s="163">
        <v>45897</v>
      </c>
      <c r="C5430" s="188">
        <v>0.55207175925925933</v>
      </c>
      <c r="D5430" s="174">
        <v>10</v>
      </c>
      <c r="E5430" s="166" t="s">
        <v>4852</v>
      </c>
    </row>
    <row r="5431" spans="1:5">
      <c r="A5431" s="174">
        <f t="shared" si="77"/>
        <v>5430</v>
      </c>
      <c r="B5431" s="163">
        <v>45897</v>
      </c>
      <c r="C5431" s="188">
        <v>0.55746527777777777</v>
      </c>
      <c r="D5431" s="174">
        <v>10</v>
      </c>
      <c r="E5431" s="166" t="s">
        <v>4853</v>
      </c>
    </row>
    <row r="5432" spans="1:5">
      <c r="A5432" s="174">
        <f t="shared" si="77"/>
        <v>5431</v>
      </c>
      <c r="B5432" s="163">
        <v>45897</v>
      </c>
      <c r="C5432" s="188">
        <v>0.57480324074074074</v>
      </c>
      <c r="D5432" s="174">
        <v>10</v>
      </c>
      <c r="E5432" s="166" t="s">
        <v>4854</v>
      </c>
    </row>
    <row r="5433" spans="1:5">
      <c r="A5433" s="174">
        <f t="shared" si="77"/>
        <v>5432</v>
      </c>
      <c r="B5433" s="163">
        <v>45897</v>
      </c>
      <c r="C5433" s="188">
        <v>0.57621527777777781</v>
      </c>
      <c r="D5433" s="174">
        <v>10</v>
      </c>
      <c r="E5433" s="166" t="s">
        <v>4855</v>
      </c>
    </row>
    <row r="5434" spans="1:5">
      <c r="A5434" s="174">
        <f t="shared" si="77"/>
        <v>5433</v>
      </c>
      <c r="B5434" s="163">
        <v>45897</v>
      </c>
      <c r="C5434" s="188">
        <v>0.58909722222222227</v>
      </c>
      <c r="D5434" s="174">
        <v>10</v>
      </c>
      <c r="E5434" s="166" t="s">
        <v>4856</v>
      </c>
    </row>
    <row r="5435" spans="1:5">
      <c r="A5435" s="174">
        <f t="shared" si="77"/>
        <v>5434</v>
      </c>
      <c r="B5435" s="163">
        <v>45897</v>
      </c>
      <c r="C5435" s="188">
        <v>0.60996527777777776</v>
      </c>
      <c r="D5435" s="174">
        <v>10</v>
      </c>
      <c r="E5435" s="166" t="s">
        <v>4857</v>
      </c>
    </row>
    <row r="5436" spans="1:5">
      <c r="A5436" s="174">
        <f t="shared" si="77"/>
        <v>5435</v>
      </c>
      <c r="B5436" s="163">
        <v>45897</v>
      </c>
      <c r="C5436" s="188">
        <v>0.61105324074074074</v>
      </c>
      <c r="D5436" s="174">
        <v>10</v>
      </c>
      <c r="E5436" s="166" t="s">
        <v>4858</v>
      </c>
    </row>
    <row r="5437" spans="1:5">
      <c r="A5437" s="174">
        <f t="shared" si="77"/>
        <v>5436</v>
      </c>
      <c r="B5437" s="163">
        <v>45897</v>
      </c>
      <c r="C5437" s="188">
        <v>0.61868055555555557</v>
      </c>
      <c r="D5437" s="174">
        <v>10</v>
      </c>
      <c r="E5437" s="166" t="s">
        <v>4859</v>
      </c>
    </row>
    <row r="5438" spans="1:5">
      <c r="A5438" s="174">
        <f t="shared" si="77"/>
        <v>5437</v>
      </c>
      <c r="B5438" s="163">
        <v>45897</v>
      </c>
      <c r="C5438" s="188">
        <v>0.62892361111111106</v>
      </c>
      <c r="D5438" s="174">
        <v>10</v>
      </c>
      <c r="E5438" s="166" t="s">
        <v>4860</v>
      </c>
    </row>
    <row r="5439" spans="1:5">
      <c r="A5439" s="174">
        <f t="shared" si="77"/>
        <v>5438</v>
      </c>
      <c r="B5439" s="163">
        <v>45897</v>
      </c>
      <c r="C5439" s="188">
        <v>0.63440972222222225</v>
      </c>
      <c r="D5439" s="174">
        <v>10</v>
      </c>
      <c r="E5439" s="166" t="s">
        <v>4861</v>
      </c>
    </row>
    <row r="5440" spans="1:5">
      <c r="A5440" s="174">
        <f t="shared" si="77"/>
        <v>5439</v>
      </c>
      <c r="B5440" s="163">
        <v>45897</v>
      </c>
      <c r="C5440" s="188">
        <v>0.64945601851851853</v>
      </c>
      <c r="D5440" s="174">
        <v>10</v>
      </c>
      <c r="E5440" s="166" t="s">
        <v>288</v>
      </c>
    </row>
    <row r="5441" spans="1:5">
      <c r="A5441" s="174">
        <f t="shared" si="77"/>
        <v>5440</v>
      </c>
      <c r="B5441" s="163">
        <v>45897</v>
      </c>
      <c r="C5441" s="188">
        <v>0.64997685185185183</v>
      </c>
      <c r="D5441" s="174">
        <v>10</v>
      </c>
      <c r="E5441" s="166" t="s">
        <v>4862</v>
      </c>
    </row>
    <row r="5442" spans="1:5">
      <c r="A5442" s="174">
        <f t="shared" si="77"/>
        <v>5441</v>
      </c>
      <c r="B5442" s="163">
        <v>45897</v>
      </c>
      <c r="C5442" s="188">
        <v>0.65384259259259259</v>
      </c>
      <c r="D5442" s="174">
        <v>10</v>
      </c>
      <c r="E5442" s="166" t="s">
        <v>4863</v>
      </c>
    </row>
    <row r="5443" spans="1:5">
      <c r="A5443" s="174">
        <f t="shared" si="77"/>
        <v>5442</v>
      </c>
      <c r="B5443" s="163">
        <v>45897</v>
      </c>
      <c r="C5443" s="188">
        <v>0.65435185185185185</v>
      </c>
      <c r="D5443" s="174">
        <v>10</v>
      </c>
      <c r="E5443" s="166" t="s">
        <v>4864</v>
      </c>
    </row>
    <row r="5444" spans="1:5">
      <c r="A5444" s="174">
        <f t="shared" si="77"/>
        <v>5443</v>
      </c>
      <c r="B5444" s="163">
        <v>45897</v>
      </c>
      <c r="C5444" s="188">
        <v>0.65718750000000004</v>
      </c>
      <c r="D5444" s="174">
        <v>10</v>
      </c>
      <c r="E5444" s="166" t="s">
        <v>4865</v>
      </c>
    </row>
    <row r="5445" spans="1:5">
      <c r="A5445" s="174">
        <f t="shared" si="77"/>
        <v>5444</v>
      </c>
      <c r="B5445" s="163">
        <v>45897</v>
      </c>
      <c r="C5445" s="188">
        <v>0.65796296296296297</v>
      </c>
      <c r="D5445" s="174">
        <v>10</v>
      </c>
      <c r="E5445" s="166" t="s">
        <v>4866</v>
      </c>
    </row>
    <row r="5446" spans="1:5">
      <c r="A5446" s="174">
        <f t="shared" si="77"/>
        <v>5445</v>
      </c>
      <c r="B5446" s="163">
        <v>45897</v>
      </c>
      <c r="C5446" s="188">
        <v>0.65862268518518519</v>
      </c>
      <c r="D5446" s="174">
        <v>10</v>
      </c>
      <c r="E5446" s="166" t="s">
        <v>4867</v>
      </c>
    </row>
    <row r="5447" spans="1:5">
      <c r="A5447" s="174">
        <f t="shared" si="77"/>
        <v>5446</v>
      </c>
      <c r="B5447" s="163">
        <v>45897</v>
      </c>
      <c r="C5447" s="188">
        <v>0.6600462962962963</v>
      </c>
      <c r="D5447" s="174">
        <v>10</v>
      </c>
      <c r="E5447" s="166" t="s">
        <v>4868</v>
      </c>
    </row>
    <row r="5448" spans="1:5">
      <c r="A5448" s="174">
        <f t="shared" si="77"/>
        <v>5447</v>
      </c>
      <c r="B5448" s="163">
        <v>45897</v>
      </c>
      <c r="C5448" s="188">
        <v>0.67495370370370367</v>
      </c>
      <c r="D5448" s="174">
        <v>10</v>
      </c>
      <c r="E5448" s="166" t="s">
        <v>4869</v>
      </c>
    </row>
    <row r="5449" spans="1:5">
      <c r="A5449" s="174">
        <f t="shared" si="77"/>
        <v>5448</v>
      </c>
      <c r="B5449" s="163">
        <v>45897</v>
      </c>
      <c r="C5449" s="188">
        <v>0.67704861111111114</v>
      </c>
      <c r="D5449" s="174">
        <v>10</v>
      </c>
      <c r="E5449" s="166" t="s">
        <v>4870</v>
      </c>
    </row>
    <row r="5450" spans="1:5">
      <c r="A5450" s="174">
        <f t="shared" si="77"/>
        <v>5449</v>
      </c>
      <c r="B5450" s="163">
        <v>45897</v>
      </c>
      <c r="C5450" s="188">
        <v>0.67895833333333344</v>
      </c>
      <c r="D5450" s="174">
        <v>10</v>
      </c>
      <c r="E5450" s="166" t="s">
        <v>4871</v>
      </c>
    </row>
    <row r="5451" spans="1:5">
      <c r="A5451" s="174">
        <f t="shared" si="77"/>
        <v>5450</v>
      </c>
      <c r="B5451" s="163">
        <v>45897</v>
      </c>
      <c r="C5451" s="188">
        <v>0.68180555555555555</v>
      </c>
      <c r="D5451" s="174">
        <v>10</v>
      </c>
      <c r="E5451" s="166" t="s">
        <v>418</v>
      </c>
    </row>
    <row r="5452" spans="1:5">
      <c r="A5452" s="174">
        <f t="shared" si="77"/>
        <v>5451</v>
      </c>
      <c r="B5452" s="163">
        <v>45897</v>
      </c>
      <c r="C5452" s="188">
        <v>0.68251157407407403</v>
      </c>
      <c r="D5452" s="174">
        <v>10</v>
      </c>
      <c r="E5452" s="166" t="s">
        <v>4872</v>
      </c>
    </row>
    <row r="5453" spans="1:5">
      <c r="A5453" s="174">
        <f t="shared" si="77"/>
        <v>5452</v>
      </c>
      <c r="B5453" s="163">
        <v>45897</v>
      </c>
      <c r="C5453" s="188">
        <v>0.6852893518518518</v>
      </c>
      <c r="D5453" s="174">
        <v>10</v>
      </c>
      <c r="E5453" s="166" t="s">
        <v>4873</v>
      </c>
    </row>
    <row r="5454" spans="1:5">
      <c r="A5454" s="174">
        <f t="shared" si="77"/>
        <v>5453</v>
      </c>
      <c r="B5454" s="163">
        <v>45897</v>
      </c>
      <c r="C5454" s="188">
        <v>0.69043981481481476</v>
      </c>
      <c r="D5454" s="174">
        <v>10</v>
      </c>
      <c r="E5454" s="166" t="s">
        <v>3115</v>
      </c>
    </row>
    <row r="5455" spans="1:5">
      <c r="A5455" s="174">
        <f t="shared" si="77"/>
        <v>5454</v>
      </c>
      <c r="B5455" s="163">
        <v>45897</v>
      </c>
      <c r="C5455" s="188">
        <v>0.69918981481481479</v>
      </c>
      <c r="D5455" s="174">
        <v>10</v>
      </c>
      <c r="E5455" s="166" t="s">
        <v>4874</v>
      </c>
    </row>
    <row r="5456" spans="1:5">
      <c r="A5456" s="174">
        <f t="shared" si="77"/>
        <v>5455</v>
      </c>
      <c r="B5456" s="163">
        <v>45897</v>
      </c>
      <c r="C5456" s="188">
        <v>0.70223379629629623</v>
      </c>
      <c r="D5456" s="174">
        <v>10</v>
      </c>
      <c r="E5456" s="166" t="s">
        <v>4875</v>
      </c>
    </row>
    <row r="5457" spans="1:5">
      <c r="A5457" s="174">
        <f t="shared" si="77"/>
        <v>5456</v>
      </c>
      <c r="B5457" s="163">
        <v>45897</v>
      </c>
      <c r="C5457" s="188">
        <v>0.71539351851851851</v>
      </c>
      <c r="D5457" s="174">
        <v>10</v>
      </c>
      <c r="E5457" s="166" t="s">
        <v>448</v>
      </c>
    </row>
    <row r="5458" spans="1:5">
      <c r="A5458" s="174">
        <f t="shared" si="77"/>
        <v>5457</v>
      </c>
      <c r="B5458" s="163">
        <v>45897</v>
      </c>
      <c r="C5458" s="188">
        <v>0.71679398148148143</v>
      </c>
      <c r="D5458" s="174">
        <v>10</v>
      </c>
      <c r="E5458" s="166" t="s">
        <v>4876</v>
      </c>
    </row>
    <row r="5459" spans="1:5">
      <c r="A5459" s="174">
        <f t="shared" si="77"/>
        <v>5458</v>
      </c>
      <c r="B5459" s="163">
        <v>45897</v>
      </c>
      <c r="C5459" s="188">
        <v>0.71854166666666675</v>
      </c>
      <c r="D5459" s="174">
        <v>10</v>
      </c>
      <c r="E5459" s="166" t="s">
        <v>4877</v>
      </c>
    </row>
    <row r="5460" spans="1:5">
      <c r="A5460" s="174">
        <f t="shared" si="77"/>
        <v>5459</v>
      </c>
      <c r="B5460" s="163">
        <v>45897</v>
      </c>
      <c r="C5460" s="188">
        <v>0.73039351851851853</v>
      </c>
      <c r="D5460" s="174">
        <v>10</v>
      </c>
      <c r="E5460" s="166" t="s">
        <v>4878</v>
      </c>
    </row>
    <row r="5461" spans="1:5">
      <c r="A5461" s="174">
        <f t="shared" si="77"/>
        <v>5460</v>
      </c>
      <c r="B5461" s="163">
        <v>45897</v>
      </c>
      <c r="C5461" s="188">
        <v>0.73947916666666658</v>
      </c>
      <c r="D5461" s="174">
        <v>10</v>
      </c>
      <c r="E5461" s="166" t="s">
        <v>4879</v>
      </c>
    </row>
    <row r="5462" spans="1:5">
      <c r="A5462" s="174">
        <f t="shared" si="77"/>
        <v>5461</v>
      </c>
      <c r="B5462" s="163">
        <v>45897</v>
      </c>
      <c r="C5462" s="188">
        <v>0.76209490740740737</v>
      </c>
      <c r="D5462" s="174">
        <v>10</v>
      </c>
      <c r="E5462" s="166" t="s">
        <v>4880</v>
      </c>
    </row>
    <row r="5463" spans="1:5">
      <c r="A5463" s="174">
        <f t="shared" si="77"/>
        <v>5462</v>
      </c>
      <c r="B5463" s="163">
        <v>45897</v>
      </c>
      <c r="C5463" s="188">
        <v>0.76768518518518514</v>
      </c>
      <c r="D5463" s="174">
        <v>10</v>
      </c>
      <c r="E5463" s="166" t="s">
        <v>4881</v>
      </c>
    </row>
    <row r="5464" spans="1:5">
      <c r="A5464" s="174">
        <f t="shared" si="77"/>
        <v>5463</v>
      </c>
      <c r="B5464" s="163">
        <v>45897</v>
      </c>
      <c r="C5464" s="188">
        <v>0.77658564814814823</v>
      </c>
      <c r="D5464" s="174">
        <v>10</v>
      </c>
      <c r="E5464" s="166" t="s">
        <v>2705</v>
      </c>
    </row>
    <row r="5465" spans="1:5" ht="27">
      <c r="A5465" s="174">
        <f t="shared" si="77"/>
        <v>5464</v>
      </c>
      <c r="B5465" s="163">
        <v>45897</v>
      </c>
      <c r="C5465" s="188">
        <v>0.7766319444444445</v>
      </c>
      <c r="D5465" s="174">
        <v>10</v>
      </c>
      <c r="E5465" s="166" t="s">
        <v>4888</v>
      </c>
    </row>
    <row r="5466" spans="1:5">
      <c r="A5466" s="174">
        <f t="shared" si="77"/>
        <v>5465</v>
      </c>
      <c r="B5466" s="163">
        <v>45897</v>
      </c>
      <c r="C5466" s="188">
        <v>0.77773148148148152</v>
      </c>
      <c r="D5466" s="174">
        <v>10</v>
      </c>
      <c r="E5466" s="166" t="s">
        <v>4882</v>
      </c>
    </row>
    <row r="5467" spans="1:5">
      <c r="A5467" s="174">
        <f t="shared" si="77"/>
        <v>5466</v>
      </c>
      <c r="B5467" s="163">
        <v>45897</v>
      </c>
      <c r="C5467" s="188">
        <v>0.79045138888888899</v>
      </c>
      <c r="D5467" s="174">
        <v>10</v>
      </c>
      <c r="E5467" s="166" t="s">
        <v>273</v>
      </c>
    </row>
    <row r="5468" spans="1:5">
      <c r="A5468" s="174">
        <f t="shared" si="77"/>
        <v>5467</v>
      </c>
      <c r="B5468" s="163">
        <v>45897</v>
      </c>
      <c r="C5468" s="188">
        <v>0.79490740740740751</v>
      </c>
      <c r="D5468" s="174">
        <v>10</v>
      </c>
      <c r="E5468" s="166" t="s">
        <v>4883</v>
      </c>
    </row>
    <row r="5469" spans="1:5">
      <c r="A5469" s="174">
        <f t="shared" si="77"/>
        <v>5468</v>
      </c>
      <c r="B5469" s="163">
        <v>45897</v>
      </c>
      <c r="C5469" s="188">
        <v>0.83434027777777775</v>
      </c>
      <c r="D5469" s="174">
        <v>10</v>
      </c>
      <c r="E5469" s="166" t="s">
        <v>4884</v>
      </c>
    </row>
    <row r="5470" spans="1:5">
      <c r="A5470" s="174">
        <f t="shared" si="77"/>
        <v>5469</v>
      </c>
      <c r="B5470" s="163">
        <v>45897</v>
      </c>
      <c r="C5470" s="188">
        <v>0.86734953703703699</v>
      </c>
      <c r="D5470" s="174">
        <v>6</v>
      </c>
      <c r="E5470" s="166" t="s">
        <v>4885</v>
      </c>
    </row>
    <row r="5471" spans="1:5">
      <c r="A5471" s="174">
        <f t="shared" si="77"/>
        <v>5470</v>
      </c>
      <c r="B5471" s="163">
        <v>45897</v>
      </c>
      <c r="C5471" s="188">
        <v>0.89319444444444451</v>
      </c>
      <c r="D5471" s="174">
        <v>10</v>
      </c>
      <c r="E5471" s="166" t="s">
        <v>4889</v>
      </c>
    </row>
    <row r="5472" spans="1:5">
      <c r="A5472" s="174">
        <f t="shared" si="77"/>
        <v>5471</v>
      </c>
      <c r="B5472" s="163">
        <v>45897</v>
      </c>
      <c r="C5472" s="188">
        <v>0.91078703703703701</v>
      </c>
      <c r="D5472" s="174">
        <v>10</v>
      </c>
      <c r="E5472" s="166" t="s">
        <v>4886</v>
      </c>
    </row>
    <row r="5473" spans="1:5">
      <c r="A5473" s="174">
        <f t="shared" si="77"/>
        <v>5472</v>
      </c>
      <c r="B5473" s="163">
        <v>45898</v>
      </c>
      <c r="C5473" s="164">
        <v>0.38542824074074072</v>
      </c>
      <c r="D5473" s="174">
        <v>10</v>
      </c>
      <c r="E5473" s="166" t="s">
        <v>2094</v>
      </c>
    </row>
    <row r="5474" spans="1:5">
      <c r="A5474" s="174">
        <f t="shared" si="77"/>
        <v>5473</v>
      </c>
      <c r="B5474" s="163">
        <v>45898</v>
      </c>
      <c r="C5474" s="164">
        <v>0.39180555555555552</v>
      </c>
      <c r="D5474" s="174">
        <v>10</v>
      </c>
      <c r="E5474" s="166" t="s">
        <v>2535</v>
      </c>
    </row>
    <row r="5475" spans="1:5">
      <c r="A5475" s="174">
        <f t="shared" si="77"/>
        <v>5474</v>
      </c>
      <c r="B5475" s="163">
        <v>45898</v>
      </c>
      <c r="C5475" s="164">
        <v>0.42736111111111108</v>
      </c>
      <c r="D5475" s="174">
        <v>10</v>
      </c>
      <c r="E5475" s="166" t="s">
        <v>537</v>
      </c>
    </row>
    <row r="5476" spans="1:5">
      <c r="A5476" s="174">
        <f t="shared" si="77"/>
        <v>5475</v>
      </c>
      <c r="B5476" s="163">
        <v>45898</v>
      </c>
      <c r="C5476" s="164">
        <v>0.43151620370370369</v>
      </c>
      <c r="D5476" s="174">
        <v>10</v>
      </c>
      <c r="E5476" s="166" t="s">
        <v>4890</v>
      </c>
    </row>
    <row r="5477" spans="1:5">
      <c r="A5477" s="174">
        <f t="shared" si="77"/>
        <v>5476</v>
      </c>
      <c r="B5477" s="163">
        <v>45898</v>
      </c>
      <c r="C5477" s="164">
        <v>0.44218750000000001</v>
      </c>
      <c r="D5477" s="174">
        <v>10</v>
      </c>
      <c r="E5477" s="166" t="s">
        <v>415</v>
      </c>
    </row>
    <row r="5478" spans="1:5">
      <c r="A5478" s="174">
        <f t="shared" si="77"/>
        <v>5477</v>
      </c>
      <c r="B5478" s="163">
        <v>45898</v>
      </c>
      <c r="C5478" s="164">
        <v>0.44481481481481483</v>
      </c>
      <c r="D5478" s="174">
        <v>10</v>
      </c>
      <c r="E5478" s="166" t="s">
        <v>4891</v>
      </c>
    </row>
    <row r="5479" spans="1:5">
      <c r="A5479" s="174">
        <f t="shared" si="77"/>
        <v>5478</v>
      </c>
      <c r="B5479" s="163">
        <v>45898</v>
      </c>
      <c r="C5479" s="164">
        <v>0.44712962962962965</v>
      </c>
      <c r="D5479" s="174">
        <v>10</v>
      </c>
      <c r="E5479" s="166" t="s">
        <v>4892</v>
      </c>
    </row>
    <row r="5480" spans="1:5">
      <c r="A5480" s="174">
        <f t="shared" si="77"/>
        <v>5479</v>
      </c>
      <c r="B5480" s="163">
        <v>45898</v>
      </c>
      <c r="C5480" s="164">
        <v>0.44812500000000005</v>
      </c>
      <c r="D5480" s="174">
        <v>10</v>
      </c>
      <c r="E5480" s="166" t="s">
        <v>4893</v>
      </c>
    </row>
    <row r="5481" spans="1:5">
      <c r="A5481" s="174">
        <f t="shared" si="77"/>
        <v>5480</v>
      </c>
      <c r="B5481" s="163">
        <v>45898</v>
      </c>
      <c r="C5481" s="164">
        <v>0.44868055555555553</v>
      </c>
      <c r="D5481" s="174">
        <v>10</v>
      </c>
      <c r="E5481" s="166" t="s">
        <v>4938</v>
      </c>
    </row>
    <row r="5482" spans="1:5">
      <c r="A5482" s="174">
        <f t="shared" si="77"/>
        <v>5481</v>
      </c>
      <c r="B5482" s="163">
        <v>45898</v>
      </c>
      <c r="C5482" s="164">
        <v>0.45480324074074074</v>
      </c>
      <c r="D5482" s="174">
        <v>10</v>
      </c>
      <c r="E5482" s="166">
        <v>1</v>
      </c>
    </row>
    <row r="5483" spans="1:5">
      <c r="A5483" s="174">
        <f t="shared" si="77"/>
        <v>5482</v>
      </c>
      <c r="B5483" s="163">
        <v>45898</v>
      </c>
      <c r="C5483" s="164">
        <v>0.47746527777777775</v>
      </c>
      <c r="D5483" s="174">
        <v>10</v>
      </c>
      <c r="E5483" s="166" t="s">
        <v>4894</v>
      </c>
    </row>
    <row r="5484" spans="1:5">
      <c r="A5484" s="174">
        <f t="shared" si="77"/>
        <v>5483</v>
      </c>
      <c r="B5484" s="163">
        <v>45898</v>
      </c>
      <c r="C5484" s="164">
        <v>0.48438657407407404</v>
      </c>
      <c r="D5484" s="174">
        <v>10</v>
      </c>
      <c r="E5484" s="166" t="s">
        <v>4895</v>
      </c>
    </row>
    <row r="5485" spans="1:5">
      <c r="A5485" s="174">
        <f t="shared" si="77"/>
        <v>5484</v>
      </c>
      <c r="B5485" s="163">
        <v>45898</v>
      </c>
      <c r="C5485" s="164">
        <v>0.49868055555555557</v>
      </c>
      <c r="D5485" s="174">
        <v>10</v>
      </c>
      <c r="E5485" s="166" t="s">
        <v>4896</v>
      </c>
    </row>
    <row r="5486" spans="1:5">
      <c r="A5486" s="174">
        <f t="shared" si="77"/>
        <v>5485</v>
      </c>
      <c r="B5486" s="163">
        <v>45898</v>
      </c>
      <c r="C5486" s="164">
        <v>0.49940972222222224</v>
      </c>
      <c r="D5486" s="174">
        <v>10</v>
      </c>
      <c r="E5486" s="166" t="s">
        <v>4897</v>
      </c>
    </row>
    <row r="5487" spans="1:5">
      <c r="A5487" s="174">
        <f t="shared" si="77"/>
        <v>5486</v>
      </c>
      <c r="B5487" s="163">
        <v>45898</v>
      </c>
      <c r="C5487" s="164">
        <v>0.53585648148148146</v>
      </c>
      <c r="D5487" s="174">
        <v>10</v>
      </c>
      <c r="E5487" s="166" t="s">
        <v>1668</v>
      </c>
    </row>
    <row r="5488" spans="1:5">
      <c r="A5488" s="174">
        <f t="shared" si="77"/>
        <v>5487</v>
      </c>
      <c r="B5488" s="163">
        <v>45898</v>
      </c>
      <c r="C5488" s="164">
        <v>0.54471064814814818</v>
      </c>
      <c r="D5488" s="174">
        <v>10</v>
      </c>
      <c r="E5488" s="166" t="s">
        <v>4898</v>
      </c>
    </row>
    <row r="5489" spans="1:5">
      <c r="A5489" s="174">
        <f t="shared" si="77"/>
        <v>5488</v>
      </c>
      <c r="B5489" s="163">
        <v>45898</v>
      </c>
      <c r="C5489" s="164">
        <v>0.55351851851851852</v>
      </c>
      <c r="D5489" s="174">
        <v>10</v>
      </c>
      <c r="E5489" s="166" t="s">
        <v>4939</v>
      </c>
    </row>
    <row r="5490" spans="1:5">
      <c r="A5490" s="174">
        <f t="shared" si="77"/>
        <v>5489</v>
      </c>
      <c r="B5490" s="163">
        <v>45898</v>
      </c>
      <c r="C5490" s="164">
        <v>0.56438657407407411</v>
      </c>
      <c r="D5490" s="174">
        <v>10</v>
      </c>
      <c r="E5490" s="166" t="s">
        <v>1364</v>
      </c>
    </row>
    <row r="5491" spans="1:5">
      <c r="A5491" s="174">
        <f t="shared" si="77"/>
        <v>5490</v>
      </c>
      <c r="B5491" s="163">
        <v>45898</v>
      </c>
      <c r="C5491" s="164">
        <v>0.56548611111111113</v>
      </c>
      <c r="D5491" s="174">
        <v>10</v>
      </c>
      <c r="E5491" s="166" t="s">
        <v>4899</v>
      </c>
    </row>
    <row r="5492" spans="1:5">
      <c r="A5492" s="174">
        <f t="shared" si="77"/>
        <v>5491</v>
      </c>
      <c r="B5492" s="163">
        <v>45898</v>
      </c>
      <c r="C5492" s="164">
        <v>0.57200231481481478</v>
      </c>
      <c r="D5492" s="174">
        <v>10</v>
      </c>
      <c r="E5492" s="166" t="s">
        <v>132</v>
      </c>
    </row>
    <row r="5493" spans="1:5">
      <c r="A5493" s="174">
        <f t="shared" ref="A5493:A5556" si="78">ROW()-1</f>
        <v>5492</v>
      </c>
      <c r="B5493" s="163">
        <v>45898</v>
      </c>
      <c r="C5493" s="164">
        <v>0.58328703703703699</v>
      </c>
      <c r="D5493" s="174">
        <v>10</v>
      </c>
      <c r="E5493" s="166" t="s">
        <v>4900</v>
      </c>
    </row>
    <row r="5494" spans="1:5">
      <c r="A5494" s="174">
        <f t="shared" si="78"/>
        <v>5493</v>
      </c>
      <c r="B5494" s="163">
        <v>45898</v>
      </c>
      <c r="C5494" s="164">
        <v>0.58403935185185185</v>
      </c>
      <c r="D5494" s="174">
        <v>10</v>
      </c>
      <c r="E5494" s="166" t="s">
        <v>4901</v>
      </c>
    </row>
    <row r="5495" spans="1:5">
      <c r="A5495" s="174">
        <f t="shared" si="78"/>
        <v>5494</v>
      </c>
      <c r="B5495" s="163">
        <v>45898</v>
      </c>
      <c r="C5495" s="164">
        <v>0.58673611111111112</v>
      </c>
      <c r="D5495" s="174">
        <v>10</v>
      </c>
      <c r="E5495" s="166" t="s">
        <v>194</v>
      </c>
    </row>
    <row r="5496" spans="1:5">
      <c r="A5496" s="174">
        <f t="shared" si="78"/>
        <v>5495</v>
      </c>
      <c r="B5496" s="163">
        <v>45898</v>
      </c>
      <c r="C5496" s="164">
        <v>0.59607638888888892</v>
      </c>
      <c r="D5496" s="174">
        <v>10</v>
      </c>
      <c r="E5496" s="166" t="s">
        <v>288</v>
      </c>
    </row>
    <row r="5497" spans="1:5">
      <c r="A5497" s="174">
        <f t="shared" si="78"/>
        <v>5496</v>
      </c>
      <c r="B5497" s="163">
        <v>45898</v>
      </c>
      <c r="C5497" s="164">
        <v>0.60128472222222229</v>
      </c>
      <c r="D5497" s="174">
        <v>10</v>
      </c>
      <c r="E5497" s="166" t="s">
        <v>4902</v>
      </c>
    </row>
    <row r="5498" spans="1:5">
      <c r="A5498" s="174">
        <f t="shared" si="78"/>
        <v>5497</v>
      </c>
      <c r="B5498" s="163">
        <v>45898</v>
      </c>
      <c r="C5498" s="164">
        <v>0.60168981481481476</v>
      </c>
      <c r="D5498" s="174">
        <v>10</v>
      </c>
      <c r="E5498" s="166" t="s">
        <v>4903</v>
      </c>
    </row>
    <row r="5499" spans="1:5">
      <c r="A5499" s="174">
        <f t="shared" si="78"/>
        <v>5498</v>
      </c>
      <c r="B5499" s="163">
        <v>45898</v>
      </c>
      <c r="C5499" s="164">
        <v>0.62237268518518518</v>
      </c>
      <c r="D5499" s="174">
        <v>10</v>
      </c>
      <c r="E5499" s="166" t="s">
        <v>4179</v>
      </c>
    </row>
    <row r="5500" spans="1:5">
      <c r="A5500" s="174">
        <f t="shared" si="78"/>
        <v>5499</v>
      </c>
      <c r="B5500" s="163">
        <v>45898</v>
      </c>
      <c r="C5500" s="164">
        <v>0.64319444444444451</v>
      </c>
      <c r="D5500" s="174">
        <v>10</v>
      </c>
      <c r="E5500" s="166" t="s">
        <v>4904</v>
      </c>
    </row>
    <row r="5501" spans="1:5">
      <c r="A5501" s="174">
        <f t="shared" si="78"/>
        <v>5500</v>
      </c>
      <c r="B5501" s="163">
        <v>45898</v>
      </c>
      <c r="C5501" s="164">
        <v>0.65800925925925924</v>
      </c>
      <c r="D5501" s="174">
        <v>10</v>
      </c>
      <c r="E5501" s="166" t="s">
        <v>1519</v>
      </c>
    </row>
    <row r="5502" spans="1:5">
      <c r="A5502" s="174">
        <f t="shared" si="78"/>
        <v>5501</v>
      </c>
      <c r="B5502" s="163">
        <v>45898</v>
      </c>
      <c r="C5502" s="164">
        <v>0.6582175925925926</v>
      </c>
      <c r="D5502" s="174">
        <v>10</v>
      </c>
      <c r="E5502" s="166" t="s">
        <v>4905</v>
      </c>
    </row>
    <row r="5503" spans="1:5">
      <c r="A5503" s="174">
        <f t="shared" si="78"/>
        <v>5502</v>
      </c>
      <c r="B5503" s="163">
        <v>45898</v>
      </c>
      <c r="C5503" s="164">
        <v>0.67055555555555557</v>
      </c>
      <c r="D5503" s="174">
        <v>10</v>
      </c>
      <c r="E5503" s="166" t="s">
        <v>4906</v>
      </c>
    </row>
    <row r="5504" spans="1:5">
      <c r="A5504" s="174">
        <f t="shared" si="78"/>
        <v>5503</v>
      </c>
      <c r="B5504" s="163">
        <v>45898</v>
      </c>
      <c r="C5504" s="164">
        <v>0.67789351851851853</v>
      </c>
      <c r="D5504" s="174">
        <v>10</v>
      </c>
      <c r="E5504" s="166" t="s">
        <v>4907</v>
      </c>
    </row>
    <row r="5505" spans="1:5">
      <c r="A5505" s="174">
        <f t="shared" si="78"/>
        <v>5504</v>
      </c>
      <c r="B5505" s="163">
        <v>45898</v>
      </c>
      <c r="C5505" s="164">
        <v>0.68008101851851854</v>
      </c>
      <c r="D5505" s="174">
        <v>10</v>
      </c>
      <c r="E5505" s="166" t="s">
        <v>4908</v>
      </c>
    </row>
    <row r="5506" spans="1:5">
      <c r="A5506" s="174">
        <f t="shared" si="78"/>
        <v>5505</v>
      </c>
      <c r="B5506" s="163">
        <v>45898</v>
      </c>
      <c r="C5506" s="164">
        <v>0.68025462962962957</v>
      </c>
      <c r="D5506" s="174">
        <v>10</v>
      </c>
      <c r="E5506" s="166" t="s">
        <v>4909</v>
      </c>
    </row>
    <row r="5507" spans="1:5">
      <c r="A5507" s="174">
        <f t="shared" si="78"/>
        <v>5506</v>
      </c>
      <c r="B5507" s="163">
        <v>45898</v>
      </c>
      <c r="C5507" s="164">
        <v>0.6908333333333333</v>
      </c>
      <c r="D5507" s="174">
        <v>10</v>
      </c>
      <c r="E5507" s="166" t="s">
        <v>3298</v>
      </c>
    </row>
    <row r="5508" spans="1:5">
      <c r="A5508" s="174">
        <f t="shared" si="78"/>
        <v>5507</v>
      </c>
      <c r="B5508" s="163">
        <v>45898</v>
      </c>
      <c r="C5508" s="164">
        <v>0.69728009259259249</v>
      </c>
      <c r="D5508" s="174">
        <v>10</v>
      </c>
      <c r="E5508" s="166" t="s">
        <v>4910</v>
      </c>
    </row>
    <row r="5509" spans="1:5">
      <c r="A5509" s="174">
        <f t="shared" si="78"/>
        <v>5508</v>
      </c>
      <c r="B5509" s="163">
        <v>45898</v>
      </c>
      <c r="C5509" s="164">
        <v>0.70909722222222227</v>
      </c>
      <c r="D5509" s="174">
        <v>10</v>
      </c>
      <c r="E5509" s="166" t="s">
        <v>4911</v>
      </c>
    </row>
    <row r="5510" spans="1:5">
      <c r="A5510" s="174">
        <f t="shared" si="78"/>
        <v>5509</v>
      </c>
      <c r="B5510" s="163">
        <v>45898</v>
      </c>
      <c r="C5510" s="164">
        <v>0.71586805555555555</v>
      </c>
      <c r="D5510" s="174">
        <v>10</v>
      </c>
      <c r="E5510" s="166" t="s">
        <v>4912</v>
      </c>
    </row>
    <row r="5511" spans="1:5">
      <c r="A5511" s="174">
        <f t="shared" si="78"/>
        <v>5510</v>
      </c>
      <c r="B5511" s="163">
        <v>45898</v>
      </c>
      <c r="C5511" s="164">
        <v>0.72190972222222216</v>
      </c>
      <c r="D5511" s="174">
        <v>10</v>
      </c>
      <c r="E5511" s="166" t="s">
        <v>4913</v>
      </c>
    </row>
    <row r="5512" spans="1:5" ht="27">
      <c r="A5512" s="174">
        <f t="shared" si="78"/>
        <v>5511</v>
      </c>
      <c r="B5512" s="163">
        <v>45898</v>
      </c>
      <c r="C5512" s="164">
        <v>0.73798611111111112</v>
      </c>
      <c r="D5512" s="174">
        <v>9</v>
      </c>
      <c r="E5512" s="166" t="s">
        <v>4914</v>
      </c>
    </row>
    <row r="5513" spans="1:5">
      <c r="A5513" s="174">
        <f t="shared" si="78"/>
        <v>5512</v>
      </c>
      <c r="B5513" s="163">
        <v>45898</v>
      </c>
      <c r="C5513" s="164">
        <v>0.78968749999999999</v>
      </c>
      <c r="D5513" s="174">
        <v>10</v>
      </c>
      <c r="E5513" s="166" t="s">
        <v>4915</v>
      </c>
    </row>
    <row r="5514" spans="1:5">
      <c r="A5514" s="174">
        <f t="shared" si="78"/>
        <v>5513</v>
      </c>
      <c r="B5514" s="163">
        <v>45898</v>
      </c>
      <c r="C5514" s="164">
        <v>0.8019560185185185</v>
      </c>
      <c r="D5514" s="174">
        <v>10</v>
      </c>
      <c r="E5514" s="166" t="s">
        <v>4916</v>
      </c>
    </row>
    <row r="5515" spans="1:5">
      <c r="A5515" s="174">
        <f t="shared" si="78"/>
        <v>5514</v>
      </c>
      <c r="B5515" s="163">
        <v>45898</v>
      </c>
      <c r="C5515" s="164">
        <v>0.8689930555555555</v>
      </c>
      <c r="D5515" s="174">
        <v>10</v>
      </c>
      <c r="E5515" s="166" t="s">
        <v>4917</v>
      </c>
    </row>
    <row r="5516" spans="1:5">
      <c r="A5516" s="174">
        <f t="shared" si="78"/>
        <v>5515</v>
      </c>
      <c r="B5516" s="163">
        <v>45898</v>
      </c>
      <c r="C5516" s="164">
        <v>0.87753472222222229</v>
      </c>
      <c r="D5516" s="174">
        <v>10</v>
      </c>
      <c r="E5516" s="166" t="s">
        <v>4918</v>
      </c>
    </row>
    <row r="5517" spans="1:5">
      <c r="A5517" s="174">
        <f t="shared" si="78"/>
        <v>5516</v>
      </c>
      <c r="B5517" s="163">
        <v>45898</v>
      </c>
      <c r="C5517" s="164">
        <v>0.88318287037037047</v>
      </c>
      <c r="D5517" s="174">
        <v>10</v>
      </c>
      <c r="E5517" s="166" t="s">
        <v>4940</v>
      </c>
    </row>
    <row r="5518" spans="1:5">
      <c r="A5518" s="174">
        <f t="shared" si="78"/>
        <v>5517</v>
      </c>
      <c r="B5518" s="163">
        <v>45898</v>
      </c>
      <c r="C5518" s="164">
        <v>0.8982175925925926</v>
      </c>
      <c r="D5518" s="174">
        <v>10</v>
      </c>
      <c r="E5518" s="166" t="s">
        <v>4919</v>
      </c>
    </row>
    <row r="5519" spans="1:5">
      <c r="A5519" s="174">
        <f t="shared" si="78"/>
        <v>5518</v>
      </c>
      <c r="B5519" s="163">
        <v>45898</v>
      </c>
      <c r="C5519" s="164">
        <v>0.89983796296296292</v>
      </c>
      <c r="D5519" s="174">
        <v>10</v>
      </c>
      <c r="E5519" s="166" t="s">
        <v>4920</v>
      </c>
    </row>
    <row r="5520" spans="1:5">
      <c r="A5520" s="174">
        <f t="shared" si="78"/>
        <v>5519</v>
      </c>
      <c r="B5520" s="163">
        <v>45899</v>
      </c>
      <c r="C5520" s="164">
        <v>0.38122685185185184</v>
      </c>
      <c r="D5520" s="174">
        <v>10</v>
      </c>
      <c r="E5520" s="166" t="s">
        <v>4921</v>
      </c>
    </row>
    <row r="5521" spans="1:5">
      <c r="A5521" s="174">
        <f t="shared" si="78"/>
        <v>5520</v>
      </c>
      <c r="B5521" s="163">
        <v>45899</v>
      </c>
      <c r="C5521" s="164">
        <v>0.40862268518518513</v>
      </c>
      <c r="D5521" s="174">
        <v>10</v>
      </c>
      <c r="E5521" s="166" t="s">
        <v>4922</v>
      </c>
    </row>
    <row r="5522" spans="1:5">
      <c r="A5522" s="174">
        <f t="shared" si="78"/>
        <v>5521</v>
      </c>
      <c r="B5522" s="163">
        <v>45899</v>
      </c>
      <c r="C5522" s="164">
        <v>0.41572916666666665</v>
      </c>
      <c r="D5522" s="174">
        <v>10</v>
      </c>
      <c r="E5522" s="166" t="s">
        <v>4923</v>
      </c>
    </row>
    <row r="5523" spans="1:5">
      <c r="A5523" s="174">
        <f t="shared" si="78"/>
        <v>5522</v>
      </c>
      <c r="B5523" s="163">
        <v>45899</v>
      </c>
      <c r="C5523" s="164">
        <v>0.41811342592592587</v>
      </c>
      <c r="D5523" s="174">
        <v>10</v>
      </c>
      <c r="E5523" s="166" t="s">
        <v>4924</v>
      </c>
    </row>
    <row r="5524" spans="1:5">
      <c r="A5524" s="174">
        <f t="shared" si="78"/>
        <v>5523</v>
      </c>
      <c r="B5524" s="163">
        <v>45899</v>
      </c>
      <c r="C5524" s="164">
        <v>0.42516203703703703</v>
      </c>
      <c r="D5524" s="174">
        <v>10</v>
      </c>
      <c r="E5524" s="166" t="s">
        <v>4925</v>
      </c>
    </row>
    <row r="5525" spans="1:5">
      <c r="A5525" s="174">
        <f t="shared" si="78"/>
        <v>5524</v>
      </c>
      <c r="B5525" s="163">
        <v>45899</v>
      </c>
      <c r="C5525" s="164">
        <v>0.44418981481481484</v>
      </c>
      <c r="D5525" s="174">
        <v>10</v>
      </c>
      <c r="E5525" s="166" t="s">
        <v>448</v>
      </c>
    </row>
    <row r="5526" spans="1:5">
      <c r="A5526" s="174">
        <f t="shared" si="78"/>
        <v>5525</v>
      </c>
      <c r="B5526" s="163">
        <v>45899</v>
      </c>
      <c r="C5526" s="164">
        <v>0.450625</v>
      </c>
      <c r="D5526" s="174">
        <v>10</v>
      </c>
      <c r="E5526" s="166" t="s">
        <v>710</v>
      </c>
    </row>
    <row r="5527" spans="1:5">
      <c r="A5527" s="174">
        <f t="shared" si="78"/>
        <v>5526</v>
      </c>
      <c r="B5527" s="163">
        <v>45899</v>
      </c>
      <c r="C5527" s="164">
        <v>0.45462962962962966</v>
      </c>
      <c r="D5527" s="174">
        <v>10</v>
      </c>
      <c r="E5527" s="166" t="s">
        <v>4926</v>
      </c>
    </row>
    <row r="5528" spans="1:5">
      <c r="A5528" s="174">
        <f t="shared" si="78"/>
        <v>5527</v>
      </c>
      <c r="B5528" s="163">
        <v>45899</v>
      </c>
      <c r="C5528" s="164">
        <v>0.50009259259259264</v>
      </c>
      <c r="D5528" s="174">
        <v>10</v>
      </c>
      <c r="E5528" s="166" t="s">
        <v>1610</v>
      </c>
    </row>
    <row r="5529" spans="1:5">
      <c r="A5529" s="174">
        <f t="shared" si="78"/>
        <v>5528</v>
      </c>
      <c r="B5529" s="163">
        <v>45899</v>
      </c>
      <c r="C5529" s="164">
        <v>0.51704861111111111</v>
      </c>
      <c r="D5529" s="174">
        <v>10</v>
      </c>
      <c r="E5529" s="166" t="s">
        <v>3983</v>
      </c>
    </row>
    <row r="5530" spans="1:5">
      <c r="A5530" s="174">
        <f t="shared" si="78"/>
        <v>5529</v>
      </c>
      <c r="B5530" s="163">
        <v>45899</v>
      </c>
      <c r="C5530" s="164">
        <v>0.52880787037037036</v>
      </c>
      <c r="D5530" s="174">
        <v>10</v>
      </c>
      <c r="E5530" s="166" t="s">
        <v>4927</v>
      </c>
    </row>
    <row r="5531" spans="1:5">
      <c r="A5531" s="174">
        <f t="shared" si="78"/>
        <v>5530</v>
      </c>
      <c r="B5531" s="163">
        <v>45899</v>
      </c>
      <c r="C5531" s="164">
        <v>0.53399305555555554</v>
      </c>
      <c r="D5531" s="174">
        <v>10</v>
      </c>
      <c r="E5531" s="166" t="s">
        <v>4928</v>
      </c>
    </row>
    <row r="5532" spans="1:5">
      <c r="A5532" s="174">
        <f t="shared" si="78"/>
        <v>5531</v>
      </c>
      <c r="B5532" s="163">
        <v>45899</v>
      </c>
      <c r="C5532" s="164">
        <v>0.54800925925925925</v>
      </c>
      <c r="D5532" s="174">
        <v>9</v>
      </c>
      <c r="E5532" s="166" t="s">
        <v>179</v>
      </c>
    </row>
    <row r="5533" spans="1:5">
      <c r="A5533" s="174">
        <f t="shared" si="78"/>
        <v>5532</v>
      </c>
      <c r="B5533" s="163">
        <v>45899</v>
      </c>
      <c r="C5533" s="164">
        <v>0.55034722222222221</v>
      </c>
      <c r="D5533" s="174">
        <v>10</v>
      </c>
      <c r="E5533" s="166" t="s">
        <v>4929</v>
      </c>
    </row>
    <row r="5534" spans="1:5">
      <c r="A5534" s="174">
        <f t="shared" si="78"/>
        <v>5533</v>
      </c>
      <c r="B5534" s="163">
        <v>45899</v>
      </c>
      <c r="C5534" s="164">
        <v>0.57013888888888886</v>
      </c>
      <c r="D5534" s="174">
        <v>10</v>
      </c>
      <c r="E5534" s="166" t="s">
        <v>4930</v>
      </c>
    </row>
    <row r="5535" spans="1:5">
      <c r="A5535" s="174">
        <f t="shared" si="78"/>
        <v>5534</v>
      </c>
      <c r="B5535" s="163">
        <v>45899</v>
      </c>
      <c r="C5535" s="164">
        <v>0.59103009259259254</v>
      </c>
      <c r="D5535" s="174">
        <v>10</v>
      </c>
      <c r="E5535" s="166" t="s">
        <v>4931</v>
      </c>
    </row>
    <row r="5536" spans="1:5">
      <c r="A5536" s="174">
        <f t="shared" si="78"/>
        <v>5535</v>
      </c>
      <c r="B5536" s="163">
        <v>45899</v>
      </c>
      <c r="C5536" s="164">
        <v>0.60612268518518519</v>
      </c>
      <c r="D5536" s="174">
        <v>10</v>
      </c>
      <c r="E5536" s="166" t="s">
        <v>4932</v>
      </c>
    </row>
    <row r="5537" spans="1:5">
      <c r="A5537" s="174">
        <f t="shared" si="78"/>
        <v>5536</v>
      </c>
      <c r="B5537" s="163">
        <v>45899</v>
      </c>
      <c r="C5537" s="164">
        <v>0.60922453703703705</v>
      </c>
      <c r="D5537" s="174">
        <v>10</v>
      </c>
      <c r="E5537" s="166" t="s">
        <v>4933</v>
      </c>
    </row>
    <row r="5538" spans="1:5">
      <c r="A5538" s="174">
        <f t="shared" si="78"/>
        <v>5537</v>
      </c>
      <c r="B5538" s="163">
        <v>45899</v>
      </c>
      <c r="C5538" s="164">
        <v>0.64550925925925928</v>
      </c>
      <c r="D5538" s="174">
        <v>10</v>
      </c>
      <c r="E5538" s="166" t="s">
        <v>4934</v>
      </c>
    </row>
    <row r="5539" spans="1:5">
      <c r="A5539" s="174">
        <f t="shared" si="78"/>
        <v>5538</v>
      </c>
      <c r="B5539" s="163">
        <v>45899</v>
      </c>
      <c r="C5539" s="164">
        <v>0.70840277777777771</v>
      </c>
      <c r="D5539" s="174">
        <v>10</v>
      </c>
      <c r="E5539" s="166" t="s">
        <v>132</v>
      </c>
    </row>
    <row r="5540" spans="1:5">
      <c r="A5540" s="174">
        <f t="shared" si="78"/>
        <v>5539</v>
      </c>
      <c r="B5540" s="163">
        <v>45899</v>
      </c>
      <c r="C5540" s="164">
        <v>0.7211574074074073</v>
      </c>
      <c r="D5540" s="174">
        <v>10</v>
      </c>
      <c r="E5540" s="166" t="s">
        <v>4935</v>
      </c>
    </row>
    <row r="5541" spans="1:5">
      <c r="A5541" s="174">
        <f t="shared" si="78"/>
        <v>5540</v>
      </c>
      <c r="B5541" s="163">
        <v>45899</v>
      </c>
      <c r="C5541" s="164">
        <v>0.7255787037037037</v>
      </c>
      <c r="D5541" s="174">
        <v>10</v>
      </c>
      <c r="E5541" s="166" t="s">
        <v>4936</v>
      </c>
    </row>
    <row r="5542" spans="1:5">
      <c r="A5542" s="174">
        <f t="shared" si="78"/>
        <v>5541</v>
      </c>
      <c r="B5542" s="163">
        <v>45899</v>
      </c>
      <c r="C5542" s="164">
        <v>0.74042824074074076</v>
      </c>
      <c r="D5542" s="174">
        <v>10</v>
      </c>
      <c r="E5542" s="166" t="s">
        <v>4937</v>
      </c>
    </row>
    <row r="5543" spans="1:5">
      <c r="A5543" s="174">
        <f t="shared" si="78"/>
        <v>5542</v>
      </c>
      <c r="B5543" s="163">
        <v>45901</v>
      </c>
      <c r="C5543" s="188">
        <v>0.39027777777777778</v>
      </c>
      <c r="D5543" s="174">
        <v>10</v>
      </c>
      <c r="E5543" s="166" t="s">
        <v>4941</v>
      </c>
    </row>
    <row r="5544" spans="1:5">
      <c r="A5544" s="174">
        <f t="shared" si="78"/>
        <v>5543</v>
      </c>
      <c r="B5544" s="163">
        <v>45901</v>
      </c>
      <c r="C5544" s="188">
        <v>0.39250000000000002</v>
      </c>
      <c r="D5544" s="174">
        <v>10</v>
      </c>
      <c r="E5544" s="166" t="s">
        <v>4988</v>
      </c>
    </row>
    <row r="5545" spans="1:5">
      <c r="A5545" s="174">
        <f t="shared" si="78"/>
        <v>5544</v>
      </c>
      <c r="B5545" s="163">
        <v>45901</v>
      </c>
      <c r="C5545" s="188">
        <v>0.40142361111111113</v>
      </c>
      <c r="D5545" s="174">
        <v>10</v>
      </c>
      <c r="E5545" s="166" t="s">
        <v>4942</v>
      </c>
    </row>
    <row r="5546" spans="1:5">
      <c r="A5546" s="174">
        <f t="shared" si="78"/>
        <v>5545</v>
      </c>
      <c r="B5546" s="163">
        <v>45901</v>
      </c>
      <c r="C5546" s="188">
        <v>0.40207175925925925</v>
      </c>
      <c r="D5546" s="174">
        <v>10</v>
      </c>
      <c r="E5546" s="166" t="s">
        <v>4943</v>
      </c>
    </row>
    <row r="5547" spans="1:5" ht="27">
      <c r="A5547" s="174">
        <f t="shared" si="78"/>
        <v>5546</v>
      </c>
      <c r="B5547" s="163">
        <v>45901</v>
      </c>
      <c r="C5547" s="188">
        <v>0.41678240740740741</v>
      </c>
      <c r="D5547" s="174">
        <v>10</v>
      </c>
      <c r="E5547" s="166" t="s">
        <v>4944</v>
      </c>
    </row>
    <row r="5548" spans="1:5">
      <c r="A5548" s="174">
        <f t="shared" si="78"/>
        <v>5547</v>
      </c>
      <c r="B5548" s="163">
        <v>45901</v>
      </c>
      <c r="C5548" s="188">
        <v>0.41876157407407405</v>
      </c>
      <c r="D5548" s="174">
        <v>10</v>
      </c>
      <c r="E5548" s="166" t="s">
        <v>4945</v>
      </c>
    </row>
    <row r="5549" spans="1:5">
      <c r="A5549" s="174">
        <f t="shared" si="78"/>
        <v>5548</v>
      </c>
      <c r="B5549" s="163">
        <v>45901</v>
      </c>
      <c r="C5549" s="188">
        <v>0.43049768518518516</v>
      </c>
      <c r="D5549" s="174">
        <v>10</v>
      </c>
      <c r="E5549" s="166" t="s">
        <v>4946</v>
      </c>
    </row>
    <row r="5550" spans="1:5">
      <c r="A5550" s="174">
        <f t="shared" si="78"/>
        <v>5549</v>
      </c>
      <c r="B5550" s="163">
        <v>45901</v>
      </c>
      <c r="C5550" s="188">
        <v>0.4432638888888889</v>
      </c>
      <c r="D5550" s="174">
        <v>10</v>
      </c>
      <c r="E5550" s="166" t="s">
        <v>4947</v>
      </c>
    </row>
    <row r="5551" spans="1:5">
      <c r="A5551" s="174">
        <f t="shared" si="78"/>
        <v>5550</v>
      </c>
      <c r="B5551" s="163">
        <v>45901</v>
      </c>
      <c r="C5551" s="188">
        <v>0.44810185185185186</v>
      </c>
      <c r="D5551" s="174">
        <v>10</v>
      </c>
      <c r="E5551" s="166" t="s">
        <v>4948</v>
      </c>
    </row>
    <row r="5552" spans="1:5">
      <c r="A5552" s="174">
        <f t="shared" si="78"/>
        <v>5551</v>
      </c>
      <c r="B5552" s="163">
        <v>45901</v>
      </c>
      <c r="C5552" s="188">
        <v>0.45331018518518523</v>
      </c>
      <c r="D5552" s="174">
        <v>10</v>
      </c>
      <c r="E5552" s="166" t="s">
        <v>4949</v>
      </c>
    </row>
    <row r="5553" spans="1:5">
      <c r="A5553" s="174">
        <f t="shared" si="78"/>
        <v>5552</v>
      </c>
      <c r="B5553" s="163">
        <v>45901</v>
      </c>
      <c r="C5553" s="188">
        <v>0.45846064814814813</v>
      </c>
      <c r="D5553" s="174">
        <v>10</v>
      </c>
      <c r="E5553" s="166" t="s">
        <v>4950</v>
      </c>
    </row>
    <row r="5554" spans="1:5">
      <c r="A5554" s="174">
        <f t="shared" si="78"/>
        <v>5553</v>
      </c>
      <c r="B5554" s="163">
        <v>45901</v>
      </c>
      <c r="C5554" s="188">
        <v>0.45672453703703703</v>
      </c>
      <c r="D5554" s="174">
        <v>10</v>
      </c>
      <c r="E5554" s="166" t="s">
        <v>4951</v>
      </c>
    </row>
    <row r="5555" spans="1:5">
      <c r="A5555" s="174">
        <f t="shared" si="78"/>
        <v>5554</v>
      </c>
      <c r="B5555" s="163">
        <v>45901</v>
      </c>
      <c r="C5555" s="188">
        <v>0.4632175925925926</v>
      </c>
      <c r="D5555" s="174">
        <v>10</v>
      </c>
      <c r="E5555" s="166" t="s">
        <v>4952</v>
      </c>
    </row>
    <row r="5556" spans="1:5">
      <c r="A5556" s="174">
        <f t="shared" si="78"/>
        <v>5555</v>
      </c>
      <c r="B5556" s="163">
        <v>45901</v>
      </c>
      <c r="C5556" s="188">
        <v>0.47108796296296296</v>
      </c>
      <c r="D5556" s="174">
        <v>10</v>
      </c>
      <c r="E5556" s="166" t="s">
        <v>537</v>
      </c>
    </row>
    <row r="5557" spans="1:5">
      <c r="A5557" s="174">
        <f t="shared" ref="A5557:A5620" si="79">ROW()-1</f>
        <v>5556</v>
      </c>
      <c r="B5557" s="163">
        <v>45901</v>
      </c>
      <c r="C5557" s="188">
        <v>0.4722337962962963</v>
      </c>
      <c r="D5557" s="174">
        <v>10</v>
      </c>
      <c r="E5557" s="166" t="s">
        <v>4953</v>
      </c>
    </row>
    <row r="5558" spans="1:5">
      <c r="A5558" s="174">
        <f t="shared" si="79"/>
        <v>5557</v>
      </c>
      <c r="B5558" s="163">
        <v>45901</v>
      </c>
      <c r="C5558" s="188">
        <v>0.47702546296296294</v>
      </c>
      <c r="D5558" s="174">
        <v>10</v>
      </c>
      <c r="E5558" s="166" t="s">
        <v>4954</v>
      </c>
    </row>
    <row r="5559" spans="1:5">
      <c r="A5559" s="174">
        <f t="shared" si="79"/>
        <v>5558</v>
      </c>
      <c r="B5559" s="163">
        <v>45901</v>
      </c>
      <c r="C5559" s="188">
        <v>0.48309027777777774</v>
      </c>
      <c r="D5559" s="174">
        <v>10</v>
      </c>
      <c r="E5559" s="166" t="s">
        <v>4955</v>
      </c>
    </row>
    <row r="5560" spans="1:5">
      <c r="A5560" s="174">
        <f t="shared" si="79"/>
        <v>5559</v>
      </c>
      <c r="B5560" s="163">
        <v>45901</v>
      </c>
      <c r="C5560" s="188">
        <v>0.48318287037037039</v>
      </c>
      <c r="D5560" s="174">
        <v>10</v>
      </c>
      <c r="E5560" s="166" t="s">
        <v>4989</v>
      </c>
    </row>
    <row r="5561" spans="1:5">
      <c r="A5561" s="174">
        <f t="shared" si="79"/>
        <v>5560</v>
      </c>
      <c r="B5561" s="163">
        <v>45901</v>
      </c>
      <c r="C5561" s="188">
        <v>0.49660879629629634</v>
      </c>
      <c r="D5561" s="174">
        <v>10</v>
      </c>
      <c r="E5561" s="166" t="s">
        <v>4956</v>
      </c>
    </row>
    <row r="5562" spans="1:5">
      <c r="A5562" s="174">
        <f t="shared" si="79"/>
        <v>5561</v>
      </c>
      <c r="B5562" s="163">
        <v>45901</v>
      </c>
      <c r="C5562" s="188">
        <v>0.5033333333333333</v>
      </c>
      <c r="D5562" s="174">
        <v>10</v>
      </c>
      <c r="E5562" s="166" t="s">
        <v>4957</v>
      </c>
    </row>
    <row r="5563" spans="1:5">
      <c r="A5563" s="174">
        <f t="shared" si="79"/>
        <v>5562</v>
      </c>
      <c r="B5563" s="163">
        <v>45901</v>
      </c>
      <c r="C5563" s="188">
        <v>0.52773148148148141</v>
      </c>
      <c r="D5563" s="174">
        <v>10</v>
      </c>
      <c r="E5563" s="166" t="s">
        <v>4958</v>
      </c>
    </row>
    <row r="5564" spans="1:5">
      <c r="A5564" s="174">
        <f t="shared" si="79"/>
        <v>5563</v>
      </c>
      <c r="B5564" s="163">
        <v>45901</v>
      </c>
      <c r="C5564" s="188">
        <v>0.56428240740740743</v>
      </c>
      <c r="D5564" s="174">
        <v>10</v>
      </c>
      <c r="E5564" s="166" t="s">
        <v>4959</v>
      </c>
    </row>
    <row r="5565" spans="1:5">
      <c r="A5565" s="174">
        <f t="shared" si="79"/>
        <v>5564</v>
      </c>
      <c r="B5565" s="163">
        <v>45901</v>
      </c>
      <c r="C5565" s="188">
        <v>0.56439814814814815</v>
      </c>
      <c r="D5565" s="174">
        <v>10</v>
      </c>
      <c r="E5565" s="166" t="s">
        <v>1305</v>
      </c>
    </row>
    <row r="5566" spans="1:5">
      <c r="A5566" s="174">
        <f t="shared" si="79"/>
        <v>5565</v>
      </c>
      <c r="B5566" s="163">
        <v>45901</v>
      </c>
      <c r="C5566" s="188">
        <v>0.55780092592592589</v>
      </c>
      <c r="D5566" s="174">
        <v>10</v>
      </c>
      <c r="E5566" s="166" t="s">
        <v>433</v>
      </c>
    </row>
    <row r="5567" spans="1:5">
      <c r="A5567" s="174">
        <f t="shared" si="79"/>
        <v>5566</v>
      </c>
      <c r="B5567" s="163">
        <v>45901</v>
      </c>
      <c r="C5567" s="188">
        <v>0.5744097222222222</v>
      </c>
      <c r="D5567" s="174">
        <v>10</v>
      </c>
      <c r="E5567" s="166" t="s">
        <v>2342</v>
      </c>
    </row>
    <row r="5568" spans="1:5">
      <c r="A5568" s="174">
        <f t="shared" si="79"/>
        <v>5567</v>
      </c>
      <c r="B5568" s="163">
        <v>45901</v>
      </c>
      <c r="C5568" s="188">
        <v>0.58094907407407403</v>
      </c>
      <c r="D5568" s="174">
        <v>10</v>
      </c>
      <c r="E5568" s="166" t="s">
        <v>273</v>
      </c>
    </row>
    <row r="5569" spans="1:5">
      <c r="A5569" s="174">
        <f t="shared" si="79"/>
        <v>5568</v>
      </c>
      <c r="B5569" s="163">
        <v>45901</v>
      </c>
      <c r="C5569" s="188">
        <v>0.58378472222222222</v>
      </c>
      <c r="D5569" s="174">
        <v>10</v>
      </c>
      <c r="E5569" s="166" t="s">
        <v>4960</v>
      </c>
    </row>
    <row r="5570" spans="1:5">
      <c r="A5570" s="174">
        <f t="shared" si="79"/>
        <v>5569</v>
      </c>
      <c r="B5570" s="163">
        <v>45901</v>
      </c>
      <c r="C5570" s="188">
        <v>0.60114583333333338</v>
      </c>
      <c r="D5570" s="174">
        <v>10</v>
      </c>
      <c r="E5570" s="166" t="s">
        <v>448</v>
      </c>
    </row>
    <row r="5571" spans="1:5">
      <c r="A5571" s="174">
        <f t="shared" si="79"/>
        <v>5570</v>
      </c>
      <c r="B5571" s="163">
        <v>45901</v>
      </c>
      <c r="C5571" s="188">
        <v>0.58936342592592594</v>
      </c>
      <c r="D5571" s="174">
        <v>10</v>
      </c>
      <c r="E5571" s="166" t="s">
        <v>354</v>
      </c>
    </row>
    <row r="5572" spans="1:5">
      <c r="A5572" s="174">
        <f t="shared" si="79"/>
        <v>5571</v>
      </c>
      <c r="B5572" s="163">
        <v>45901</v>
      </c>
      <c r="C5572" s="188">
        <v>0.59914351851851855</v>
      </c>
      <c r="D5572" s="174">
        <v>10</v>
      </c>
      <c r="E5572" s="166" t="s">
        <v>4961</v>
      </c>
    </row>
    <row r="5573" spans="1:5">
      <c r="A5573" s="174">
        <f t="shared" si="79"/>
        <v>5572</v>
      </c>
      <c r="B5573" s="163">
        <v>45901</v>
      </c>
      <c r="C5573" s="188">
        <v>0.61510416666666667</v>
      </c>
      <c r="D5573" s="174">
        <v>10</v>
      </c>
      <c r="E5573" s="166" t="s">
        <v>4962</v>
      </c>
    </row>
    <row r="5574" spans="1:5">
      <c r="A5574" s="174">
        <f t="shared" si="79"/>
        <v>5573</v>
      </c>
      <c r="B5574" s="163">
        <v>45901</v>
      </c>
      <c r="C5574" s="188">
        <v>0.60741898148148155</v>
      </c>
      <c r="D5574" s="174">
        <v>10</v>
      </c>
      <c r="E5574" s="166" t="s">
        <v>4963</v>
      </c>
    </row>
    <row r="5575" spans="1:5" ht="27">
      <c r="A5575" s="174">
        <f t="shared" si="79"/>
        <v>5574</v>
      </c>
      <c r="B5575" s="163">
        <v>45901</v>
      </c>
      <c r="C5575" s="188">
        <v>0.61891203703703701</v>
      </c>
      <c r="D5575" s="174">
        <v>10</v>
      </c>
      <c r="E5575" s="166" t="s">
        <v>4964</v>
      </c>
    </row>
    <row r="5576" spans="1:5">
      <c r="A5576" s="174">
        <f t="shared" si="79"/>
        <v>5575</v>
      </c>
      <c r="B5576" s="163">
        <v>45901</v>
      </c>
      <c r="C5576" s="188">
        <v>0.62761574074074067</v>
      </c>
      <c r="D5576" s="174">
        <v>10</v>
      </c>
      <c r="E5576" s="166" t="s">
        <v>4965</v>
      </c>
    </row>
    <row r="5577" spans="1:5">
      <c r="A5577" s="174">
        <f t="shared" si="79"/>
        <v>5576</v>
      </c>
      <c r="B5577" s="163">
        <v>45901</v>
      </c>
      <c r="C5577" s="188">
        <v>0.66660879629629632</v>
      </c>
      <c r="D5577" s="174">
        <v>10</v>
      </c>
      <c r="E5577" s="166" t="s">
        <v>3983</v>
      </c>
    </row>
    <row r="5578" spans="1:5">
      <c r="A5578" s="174">
        <f t="shared" si="79"/>
        <v>5577</v>
      </c>
      <c r="B5578" s="163">
        <v>45901</v>
      </c>
      <c r="C5578" s="188">
        <v>0.66526620370370371</v>
      </c>
      <c r="D5578" s="174">
        <v>10</v>
      </c>
      <c r="E5578" s="166" t="s">
        <v>4966</v>
      </c>
    </row>
    <row r="5579" spans="1:5">
      <c r="A5579" s="174">
        <f t="shared" si="79"/>
        <v>5578</v>
      </c>
      <c r="B5579" s="163">
        <v>45901</v>
      </c>
      <c r="C5579" s="188">
        <v>0.64181712962962967</v>
      </c>
      <c r="D5579" s="174">
        <v>10</v>
      </c>
      <c r="E5579" s="166" t="s">
        <v>4967</v>
      </c>
    </row>
    <row r="5580" spans="1:5">
      <c r="A5580" s="174">
        <f t="shared" si="79"/>
        <v>5579</v>
      </c>
      <c r="B5580" s="163">
        <v>45901</v>
      </c>
      <c r="C5580" s="188">
        <v>0.69018518518518512</v>
      </c>
      <c r="D5580" s="174">
        <v>10</v>
      </c>
      <c r="E5580" s="166" t="s">
        <v>4968</v>
      </c>
    </row>
    <row r="5581" spans="1:5">
      <c r="A5581" s="174">
        <f t="shared" si="79"/>
        <v>5580</v>
      </c>
      <c r="B5581" s="163">
        <v>45901</v>
      </c>
      <c r="C5581" s="188">
        <v>0.70989583333333339</v>
      </c>
      <c r="D5581" s="174">
        <v>10</v>
      </c>
      <c r="E5581" s="166" t="s">
        <v>4969</v>
      </c>
    </row>
    <row r="5582" spans="1:5">
      <c r="A5582" s="174">
        <f t="shared" si="79"/>
        <v>5581</v>
      </c>
      <c r="B5582" s="163">
        <v>45901</v>
      </c>
      <c r="C5582" s="188">
        <v>0.71019675925925929</v>
      </c>
      <c r="D5582" s="174">
        <v>10</v>
      </c>
      <c r="E5582" s="166" t="s">
        <v>4970</v>
      </c>
    </row>
    <row r="5583" spans="1:5">
      <c r="A5583" s="174">
        <f t="shared" si="79"/>
        <v>5582</v>
      </c>
      <c r="B5583" s="163">
        <v>45901</v>
      </c>
      <c r="C5583" s="188">
        <v>0.7101157407407408</v>
      </c>
      <c r="D5583" s="174">
        <v>10</v>
      </c>
      <c r="E5583" s="166" t="s">
        <v>4971</v>
      </c>
    </row>
    <row r="5584" spans="1:5">
      <c r="A5584" s="174">
        <f t="shared" si="79"/>
        <v>5583</v>
      </c>
      <c r="B5584" s="163">
        <v>45901</v>
      </c>
      <c r="C5584" s="188">
        <v>0.7281481481481481</v>
      </c>
      <c r="D5584" s="174">
        <v>10</v>
      </c>
      <c r="E5584" s="166" t="s">
        <v>4972</v>
      </c>
    </row>
    <row r="5585" spans="1:5">
      <c r="A5585" s="174">
        <f t="shared" si="79"/>
        <v>5584</v>
      </c>
      <c r="B5585" s="163">
        <v>45901</v>
      </c>
      <c r="C5585" s="188">
        <v>0.72554398148148147</v>
      </c>
      <c r="D5585" s="174">
        <v>10</v>
      </c>
      <c r="E5585" s="166" t="s">
        <v>132</v>
      </c>
    </row>
    <row r="5586" spans="1:5" ht="27">
      <c r="A5586" s="174">
        <f t="shared" si="79"/>
        <v>5585</v>
      </c>
      <c r="B5586" s="163">
        <v>45901</v>
      </c>
      <c r="C5586" s="188">
        <v>0.72943287037037041</v>
      </c>
      <c r="D5586" s="174">
        <v>10</v>
      </c>
      <c r="E5586" s="166" t="s">
        <v>4990</v>
      </c>
    </row>
    <row r="5587" spans="1:5">
      <c r="A5587" s="174">
        <f t="shared" si="79"/>
        <v>5586</v>
      </c>
      <c r="B5587" s="163">
        <v>45901</v>
      </c>
      <c r="C5587" s="188">
        <v>0.72918981481481471</v>
      </c>
      <c r="D5587" s="174">
        <v>10</v>
      </c>
      <c r="E5587" s="166" t="s">
        <v>4973</v>
      </c>
    </row>
    <row r="5588" spans="1:5">
      <c r="A5588" s="174">
        <f t="shared" si="79"/>
        <v>5587</v>
      </c>
      <c r="B5588" s="163">
        <v>45901</v>
      </c>
      <c r="C5588" s="188">
        <v>0.73269675925925926</v>
      </c>
      <c r="D5588" s="174">
        <v>10</v>
      </c>
      <c r="E5588" s="166" t="s">
        <v>4974</v>
      </c>
    </row>
    <row r="5589" spans="1:5">
      <c r="A5589" s="174">
        <f t="shared" si="79"/>
        <v>5588</v>
      </c>
      <c r="B5589" s="163">
        <v>45901</v>
      </c>
      <c r="C5589" s="188">
        <v>0.77253472222222219</v>
      </c>
      <c r="D5589" s="174">
        <v>10</v>
      </c>
      <c r="E5589" s="166" t="s">
        <v>4975</v>
      </c>
    </row>
    <row r="5590" spans="1:5">
      <c r="A5590" s="174">
        <f t="shared" si="79"/>
        <v>5589</v>
      </c>
      <c r="B5590" s="163">
        <v>45901</v>
      </c>
      <c r="C5590" s="188">
        <v>0.77859953703703699</v>
      </c>
      <c r="D5590" s="174">
        <v>10</v>
      </c>
      <c r="E5590" s="166" t="s">
        <v>4976</v>
      </c>
    </row>
    <row r="5591" spans="1:5">
      <c r="A5591" s="174">
        <f t="shared" si="79"/>
        <v>5590</v>
      </c>
      <c r="B5591" s="163">
        <v>45901</v>
      </c>
      <c r="C5591" s="188">
        <v>0.78718749999999993</v>
      </c>
      <c r="D5591" s="174">
        <v>10</v>
      </c>
      <c r="E5591" s="166" t="s">
        <v>4977</v>
      </c>
    </row>
    <row r="5592" spans="1:5">
      <c r="A5592" s="174">
        <f t="shared" si="79"/>
        <v>5591</v>
      </c>
      <c r="B5592" s="163">
        <v>45901</v>
      </c>
      <c r="C5592" s="188">
        <v>0.79503472222222227</v>
      </c>
      <c r="D5592" s="174">
        <v>10</v>
      </c>
      <c r="E5592" s="166" t="s">
        <v>4978</v>
      </c>
    </row>
    <row r="5593" spans="1:5">
      <c r="A5593" s="174">
        <f t="shared" si="79"/>
        <v>5592</v>
      </c>
      <c r="B5593" s="163">
        <v>45901</v>
      </c>
      <c r="C5593" s="188">
        <v>0.80344907407407407</v>
      </c>
      <c r="D5593" s="174">
        <v>10</v>
      </c>
      <c r="E5593" s="166" t="s">
        <v>4979</v>
      </c>
    </row>
    <row r="5594" spans="1:5">
      <c r="A5594" s="174">
        <f t="shared" si="79"/>
        <v>5593</v>
      </c>
      <c r="B5594" s="163">
        <v>45901</v>
      </c>
      <c r="C5594" s="188">
        <v>0.79952546296296301</v>
      </c>
      <c r="D5594" s="174">
        <v>10</v>
      </c>
      <c r="E5594" s="166" t="s">
        <v>273</v>
      </c>
    </row>
    <row r="5595" spans="1:5">
      <c r="A5595" s="174">
        <f t="shared" si="79"/>
        <v>5594</v>
      </c>
      <c r="B5595" s="163">
        <v>45901</v>
      </c>
      <c r="C5595" s="188">
        <v>0.80718749999999995</v>
      </c>
      <c r="D5595" s="174">
        <v>10</v>
      </c>
      <c r="E5595" s="166" t="s">
        <v>4980</v>
      </c>
    </row>
    <row r="5596" spans="1:5">
      <c r="A5596" s="174">
        <f t="shared" si="79"/>
        <v>5595</v>
      </c>
      <c r="B5596" s="163">
        <v>45901</v>
      </c>
      <c r="C5596" s="188">
        <v>0.81060185185185185</v>
      </c>
      <c r="D5596" s="174">
        <v>10</v>
      </c>
      <c r="E5596" s="166" t="s">
        <v>4981</v>
      </c>
    </row>
    <row r="5597" spans="1:5">
      <c r="A5597" s="174">
        <f t="shared" si="79"/>
        <v>5596</v>
      </c>
      <c r="B5597" s="163">
        <v>45901</v>
      </c>
      <c r="C5597" s="188">
        <v>0.8494560185185186</v>
      </c>
      <c r="D5597" s="174">
        <v>10</v>
      </c>
      <c r="E5597" s="166" t="s">
        <v>4982</v>
      </c>
    </row>
    <row r="5598" spans="1:5">
      <c r="A5598" s="174">
        <f t="shared" si="79"/>
        <v>5597</v>
      </c>
      <c r="B5598" s="163">
        <v>45901</v>
      </c>
      <c r="C5598" s="188">
        <v>0.85625000000000007</v>
      </c>
      <c r="D5598" s="174">
        <v>10</v>
      </c>
      <c r="E5598" s="166" t="s">
        <v>4983</v>
      </c>
    </row>
    <row r="5599" spans="1:5">
      <c r="A5599" s="174">
        <f t="shared" si="79"/>
        <v>5598</v>
      </c>
      <c r="B5599" s="163">
        <v>45901</v>
      </c>
      <c r="C5599" s="188">
        <v>0.8431481481481482</v>
      </c>
      <c r="D5599" s="174">
        <v>10</v>
      </c>
      <c r="E5599" s="166" t="s">
        <v>4984</v>
      </c>
    </row>
    <row r="5600" spans="1:5">
      <c r="A5600" s="174">
        <f t="shared" si="79"/>
        <v>5599</v>
      </c>
      <c r="B5600" s="163">
        <v>45901</v>
      </c>
      <c r="C5600" s="188">
        <v>0.89241898148148147</v>
      </c>
      <c r="D5600" s="174">
        <v>10</v>
      </c>
      <c r="E5600" s="166" t="s">
        <v>4985</v>
      </c>
    </row>
    <row r="5601" spans="1:5">
      <c r="A5601" s="174">
        <f t="shared" si="79"/>
        <v>5600</v>
      </c>
      <c r="B5601" s="163">
        <v>45901</v>
      </c>
      <c r="C5601" s="188">
        <v>0.9038194444444444</v>
      </c>
      <c r="D5601" s="174">
        <v>10</v>
      </c>
      <c r="E5601" s="166" t="s">
        <v>4986</v>
      </c>
    </row>
    <row r="5602" spans="1:5" ht="27">
      <c r="A5602" s="174">
        <f t="shared" si="79"/>
        <v>5601</v>
      </c>
      <c r="B5602" s="163">
        <v>45901</v>
      </c>
      <c r="C5602" s="188">
        <v>0.91576388888888882</v>
      </c>
      <c r="D5602" s="174">
        <v>10</v>
      </c>
      <c r="E5602" s="166" t="s">
        <v>4987</v>
      </c>
    </row>
    <row r="5603" spans="1:5">
      <c r="A5603" s="174">
        <f t="shared" si="79"/>
        <v>5602</v>
      </c>
      <c r="B5603" s="163">
        <v>45902</v>
      </c>
      <c r="C5603" s="164">
        <v>0.38512731481481483</v>
      </c>
      <c r="D5603" s="159">
        <v>10</v>
      </c>
      <c r="E5603" s="166" t="s">
        <v>4991</v>
      </c>
    </row>
    <row r="5604" spans="1:5">
      <c r="A5604" s="174">
        <f t="shared" si="79"/>
        <v>5603</v>
      </c>
      <c r="B5604" s="163">
        <v>45902</v>
      </c>
      <c r="C5604" s="164">
        <v>0.38526620370370374</v>
      </c>
      <c r="D5604" s="159">
        <v>10</v>
      </c>
      <c r="E5604" s="166" t="s">
        <v>2771</v>
      </c>
    </row>
    <row r="5605" spans="1:5">
      <c r="A5605" s="174">
        <f t="shared" si="79"/>
        <v>5604</v>
      </c>
      <c r="B5605" s="163">
        <v>45902</v>
      </c>
      <c r="C5605" s="164">
        <v>0.38636574074074076</v>
      </c>
      <c r="D5605" s="159">
        <v>10</v>
      </c>
      <c r="E5605" s="166" t="s">
        <v>4992</v>
      </c>
    </row>
    <row r="5606" spans="1:5">
      <c r="A5606" s="174">
        <f t="shared" si="79"/>
        <v>5605</v>
      </c>
      <c r="B5606" s="163">
        <v>45902</v>
      </c>
      <c r="C5606" s="164">
        <v>0.42064814814814816</v>
      </c>
      <c r="D5606" s="159">
        <v>10</v>
      </c>
      <c r="E5606" s="166" t="s">
        <v>2301</v>
      </c>
    </row>
    <row r="5607" spans="1:5">
      <c r="A5607" s="174">
        <f t="shared" si="79"/>
        <v>5606</v>
      </c>
      <c r="B5607" s="163">
        <v>45902</v>
      </c>
      <c r="C5607" s="164">
        <v>0.42108796296296297</v>
      </c>
      <c r="D5607" s="159">
        <v>10</v>
      </c>
      <c r="E5607" s="166" t="s">
        <v>4993</v>
      </c>
    </row>
    <row r="5608" spans="1:5">
      <c r="A5608" s="174">
        <f t="shared" si="79"/>
        <v>5607</v>
      </c>
      <c r="B5608" s="163">
        <v>45902</v>
      </c>
      <c r="C5608" s="164">
        <v>0.42428240740740741</v>
      </c>
      <c r="D5608" s="159">
        <v>10</v>
      </c>
      <c r="E5608" s="166" t="s">
        <v>4994</v>
      </c>
    </row>
    <row r="5609" spans="1:5">
      <c r="A5609" s="174">
        <f t="shared" si="79"/>
        <v>5608</v>
      </c>
      <c r="B5609" s="163">
        <v>45902</v>
      </c>
      <c r="C5609" s="164">
        <v>0.42498842592592595</v>
      </c>
      <c r="D5609" s="159">
        <v>10</v>
      </c>
      <c r="E5609" s="166" t="s">
        <v>4995</v>
      </c>
    </row>
    <row r="5610" spans="1:5">
      <c r="A5610" s="174">
        <f t="shared" si="79"/>
        <v>5609</v>
      </c>
      <c r="B5610" s="163">
        <v>45902</v>
      </c>
      <c r="C5610" s="164">
        <v>0.43505787037037041</v>
      </c>
      <c r="D5610" s="159">
        <v>10</v>
      </c>
      <c r="E5610" s="166" t="s">
        <v>4996</v>
      </c>
    </row>
    <row r="5611" spans="1:5">
      <c r="A5611" s="174">
        <f t="shared" si="79"/>
        <v>5610</v>
      </c>
      <c r="B5611" s="163">
        <v>45902</v>
      </c>
      <c r="C5611" s="164">
        <v>0.43546296296296294</v>
      </c>
      <c r="D5611" s="159">
        <v>10</v>
      </c>
      <c r="E5611" s="166" t="s">
        <v>4997</v>
      </c>
    </row>
    <row r="5612" spans="1:5">
      <c r="A5612" s="174">
        <f t="shared" si="79"/>
        <v>5611</v>
      </c>
      <c r="B5612" s="163">
        <v>45902</v>
      </c>
      <c r="C5612" s="164">
        <v>0.43928240740740737</v>
      </c>
      <c r="D5612" s="159">
        <v>10</v>
      </c>
      <c r="E5612" s="166" t="s">
        <v>1305</v>
      </c>
    </row>
    <row r="5613" spans="1:5">
      <c r="A5613" s="174">
        <f t="shared" si="79"/>
        <v>5612</v>
      </c>
      <c r="B5613" s="163">
        <v>45902</v>
      </c>
      <c r="C5613" s="164">
        <v>0.44928240740740738</v>
      </c>
      <c r="D5613" s="159">
        <v>10</v>
      </c>
      <c r="E5613" s="166" t="s">
        <v>4998</v>
      </c>
    </row>
    <row r="5614" spans="1:5">
      <c r="A5614" s="174">
        <f t="shared" si="79"/>
        <v>5613</v>
      </c>
      <c r="B5614" s="163">
        <v>45902</v>
      </c>
      <c r="C5614" s="164">
        <v>0.45504629629629628</v>
      </c>
      <c r="D5614" s="159">
        <v>10</v>
      </c>
      <c r="E5614" s="166" t="s">
        <v>4999</v>
      </c>
    </row>
    <row r="5615" spans="1:5">
      <c r="A5615" s="174">
        <f t="shared" si="79"/>
        <v>5614</v>
      </c>
      <c r="B5615" s="163">
        <v>45902</v>
      </c>
      <c r="C5615" s="164">
        <v>0.4566898148148148</v>
      </c>
      <c r="D5615" s="159">
        <v>10</v>
      </c>
      <c r="E5615" s="166" t="s">
        <v>5000</v>
      </c>
    </row>
    <row r="5616" spans="1:5">
      <c r="A5616" s="174">
        <f t="shared" si="79"/>
        <v>5615</v>
      </c>
      <c r="B5616" s="163">
        <v>45902</v>
      </c>
      <c r="C5616" s="164">
        <v>0.4611574074074074</v>
      </c>
      <c r="D5616" s="159">
        <v>10</v>
      </c>
      <c r="E5616" s="166" t="s">
        <v>5025</v>
      </c>
    </row>
    <row r="5617" spans="1:5">
      <c r="A5617" s="174">
        <f t="shared" si="79"/>
        <v>5616</v>
      </c>
      <c r="B5617" s="163">
        <v>45902</v>
      </c>
      <c r="C5617" s="164">
        <v>0.47412037037037041</v>
      </c>
      <c r="D5617" s="159">
        <v>10</v>
      </c>
      <c r="E5617" s="166" t="s">
        <v>5001</v>
      </c>
    </row>
    <row r="5618" spans="1:5">
      <c r="A5618" s="174">
        <f t="shared" si="79"/>
        <v>5617</v>
      </c>
      <c r="B5618" s="163">
        <v>45902</v>
      </c>
      <c r="C5618" s="164">
        <v>0.56715277777777773</v>
      </c>
      <c r="D5618" s="159">
        <v>10</v>
      </c>
      <c r="E5618" s="166" t="s">
        <v>406</v>
      </c>
    </row>
    <row r="5619" spans="1:5">
      <c r="A5619" s="174">
        <f t="shared" si="79"/>
        <v>5618</v>
      </c>
      <c r="B5619" s="163">
        <v>45902</v>
      </c>
      <c r="C5619" s="164">
        <v>0.57125000000000004</v>
      </c>
      <c r="D5619" s="159">
        <v>10</v>
      </c>
      <c r="E5619" s="166" t="s">
        <v>5002</v>
      </c>
    </row>
    <row r="5620" spans="1:5">
      <c r="A5620" s="174">
        <f t="shared" si="79"/>
        <v>5619</v>
      </c>
      <c r="B5620" s="163">
        <v>45902</v>
      </c>
      <c r="C5620" s="164">
        <v>0.57589120370370372</v>
      </c>
      <c r="D5620" s="159">
        <v>10</v>
      </c>
      <c r="E5620" s="166" t="s">
        <v>2398</v>
      </c>
    </row>
    <row r="5621" spans="1:5">
      <c r="A5621" s="174">
        <f t="shared" ref="A5621:A5684" si="80">ROW()-1</f>
        <v>5620</v>
      </c>
      <c r="B5621" s="163">
        <v>45902</v>
      </c>
      <c r="C5621" s="164">
        <v>0.58363425925925927</v>
      </c>
      <c r="D5621" s="159">
        <v>10</v>
      </c>
      <c r="E5621" s="166" t="s">
        <v>5003</v>
      </c>
    </row>
    <row r="5622" spans="1:5">
      <c r="A5622" s="174">
        <f t="shared" si="80"/>
        <v>5621</v>
      </c>
      <c r="B5622" s="163">
        <v>45902</v>
      </c>
      <c r="C5622" s="164">
        <v>0.5875231481481481</v>
      </c>
      <c r="D5622" s="159">
        <v>10</v>
      </c>
      <c r="E5622" s="166" t="s">
        <v>5004</v>
      </c>
    </row>
    <row r="5623" spans="1:5">
      <c r="A5623" s="174">
        <f t="shared" si="80"/>
        <v>5622</v>
      </c>
      <c r="B5623" s="163">
        <v>45902</v>
      </c>
      <c r="C5623" s="164">
        <v>0.59401620370370367</v>
      </c>
      <c r="D5623" s="159">
        <v>10</v>
      </c>
      <c r="E5623" s="166" t="s">
        <v>1295</v>
      </c>
    </row>
    <row r="5624" spans="1:5">
      <c r="A5624" s="174">
        <f t="shared" si="80"/>
        <v>5623</v>
      </c>
      <c r="B5624" s="163">
        <v>45902</v>
      </c>
      <c r="C5624" s="164">
        <v>0.61346064814814816</v>
      </c>
      <c r="D5624" s="159">
        <v>10</v>
      </c>
      <c r="E5624" s="166" t="s">
        <v>5005</v>
      </c>
    </row>
    <row r="5625" spans="1:5">
      <c r="A5625" s="174">
        <f t="shared" si="80"/>
        <v>5624</v>
      </c>
      <c r="B5625" s="163">
        <v>45902</v>
      </c>
      <c r="C5625" s="164">
        <v>0.62513888888888891</v>
      </c>
      <c r="D5625" s="159">
        <v>10</v>
      </c>
      <c r="E5625" s="166" t="s">
        <v>5006</v>
      </c>
    </row>
    <row r="5626" spans="1:5">
      <c r="A5626" s="174">
        <f t="shared" si="80"/>
        <v>5625</v>
      </c>
      <c r="B5626" s="163">
        <v>45902</v>
      </c>
      <c r="C5626" s="164">
        <v>0.63616898148148149</v>
      </c>
      <c r="D5626" s="159">
        <v>10</v>
      </c>
      <c r="E5626" s="166" t="s">
        <v>5007</v>
      </c>
    </row>
    <row r="5627" spans="1:5">
      <c r="A5627" s="174">
        <f t="shared" si="80"/>
        <v>5626</v>
      </c>
      <c r="B5627" s="163">
        <v>45902</v>
      </c>
      <c r="C5627" s="164">
        <v>0.64020833333333338</v>
      </c>
      <c r="D5627" s="159">
        <v>10</v>
      </c>
      <c r="E5627" s="166" t="s">
        <v>5008</v>
      </c>
    </row>
    <row r="5628" spans="1:5">
      <c r="A5628" s="174">
        <f t="shared" si="80"/>
        <v>5627</v>
      </c>
      <c r="B5628" s="163">
        <v>45902</v>
      </c>
      <c r="C5628" s="164">
        <v>0.64785879629629628</v>
      </c>
      <c r="D5628" s="159">
        <v>10</v>
      </c>
      <c r="E5628" s="166" t="s">
        <v>5026</v>
      </c>
    </row>
    <row r="5629" spans="1:5">
      <c r="A5629" s="174">
        <f t="shared" si="80"/>
        <v>5628</v>
      </c>
      <c r="B5629" s="163">
        <v>45902</v>
      </c>
      <c r="C5629" s="164">
        <v>0.64884259259259258</v>
      </c>
      <c r="D5629" s="159">
        <v>10</v>
      </c>
      <c r="E5629" s="166" t="s">
        <v>5009</v>
      </c>
    </row>
    <row r="5630" spans="1:5">
      <c r="A5630" s="174">
        <f t="shared" si="80"/>
        <v>5629</v>
      </c>
      <c r="B5630" s="163">
        <v>45902</v>
      </c>
      <c r="C5630" s="164">
        <v>0.66487268518518516</v>
      </c>
      <c r="D5630" s="159">
        <v>8</v>
      </c>
      <c r="E5630" s="166" t="s">
        <v>5010</v>
      </c>
    </row>
    <row r="5631" spans="1:5">
      <c r="A5631" s="174">
        <f t="shared" si="80"/>
        <v>5630</v>
      </c>
      <c r="B5631" s="163">
        <v>45902</v>
      </c>
      <c r="C5631" s="164">
        <v>0.6871990740740741</v>
      </c>
      <c r="D5631" s="159">
        <v>10</v>
      </c>
      <c r="E5631" s="166" t="s">
        <v>5011</v>
      </c>
    </row>
    <row r="5632" spans="1:5">
      <c r="A5632" s="174">
        <f t="shared" si="80"/>
        <v>5631</v>
      </c>
      <c r="B5632" s="163">
        <v>45902</v>
      </c>
      <c r="C5632" s="164">
        <v>0.69078703703703714</v>
      </c>
      <c r="D5632" s="159">
        <v>10</v>
      </c>
      <c r="E5632" s="166" t="s">
        <v>5012</v>
      </c>
    </row>
    <row r="5633" spans="1:5">
      <c r="A5633" s="174">
        <f t="shared" si="80"/>
        <v>5632</v>
      </c>
      <c r="B5633" s="163">
        <v>45902</v>
      </c>
      <c r="C5633" s="164">
        <v>0.69576388888888896</v>
      </c>
      <c r="D5633" s="159">
        <v>10</v>
      </c>
      <c r="E5633" s="166" t="s">
        <v>5013</v>
      </c>
    </row>
    <row r="5634" spans="1:5">
      <c r="A5634" s="174">
        <f t="shared" si="80"/>
        <v>5633</v>
      </c>
      <c r="B5634" s="163">
        <v>45902</v>
      </c>
      <c r="C5634" s="164">
        <v>0.6960763888888889</v>
      </c>
      <c r="D5634" s="159">
        <v>10</v>
      </c>
      <c r="E5634" s="166" t="s">
        <v>1505</v>
      </c>
    </row>
    <row r="5635" spans="1:5">
      <c r="A5635" s="174">
        <f t="shared" si="80"/>
        <v>5634</v>
      </c>
      <c r="B5635" s="163">
        <v>45902</v>
      </c>
      <c r="C5635" s="164">
        <v>0.69701388888888882</v>
      </c>
      <c r="D5635" s="159">
        <v>10</v>
      </c>
      <c r="E5635" s="166" t="s">
        <v>5014</v>
      </c>
    </row>
    <row r="5636" spans="1:5">
      <c r="A5636" s="174">
        <f t="shared" si="80"/>
        <v>5635</v>
      </c>
      <c r="B5636" s="163">
        <v>45902</v>
      </c>
      <c r="C5636" s="164">
        <v>0.69851851851851843</v>
      </c>
      <c r="D5636" s="159">
        <v>10</v>
      </c>
      <c r="E5636" s="166" t="s">
        <v>5015</v>
      </c>
    </row>
    <row r="5637" spans="1:5">
      <c r="A5637" s="174">
        <f t="shared" si="80"/>
        <v>5636</v>
      </c>
      <c r="B5637" s="163">
        <v>45902</v>
      </c>
      <c r="C5637" s="164">
        <v>0.70719907407407412</v>
      </c>
      <c r="D5637" s="159">
        <v>10</v>
      </c>
      <c r="E5637" s="166" t="s">
        <v>5016</v>
      </c>
    </row>
    <row r="5638" spans="1:5">
      <c r="A5638" s="174">
        <f t="shared" si="80"/>
        <v>5637</v>
      </c>
      <c r="B5638" s="163">
        <v>45902</v>
      </c>
      <c r="C5638" s="164">
        <v>0.71553240740740742</v>
      </c>
      <c r="D5638" s="159">
        <v>10</v>
      </c>
      <c r="E5638" s="166" t="s">
        <v>5017</v>
      </c>
    </row>
    <row r="5639" spans="1:5">
      <c r="A5639" s="174">
        <f t="shared" si="80"/>
        <v>5638</v>
      </c>
      <c r="B5639" s="163">
        <v>45902</v>
      </c>
      <c r="C5639" s="164">
        <v>0.73774305555555564</v>
      </c>
      <c r="D5639" s="159">
        <v>10</v>
      </c>
      <c r="E5639" s="166" t="s">
        <v>5018</v>
      </c>
    </row>
    <row r="5640" spans="1:5">
      <c r="A5640" s="174">
        <f t="shared" si="80"/>
        <v>5639</v>
      </c>
      <c r="B5640" s="163">
        <v>45902</v>
      </c>
      <c r="C5640" s="164">
        <v>0.74002314814814818</v>
      </c>
      <c r="D5640" s="159">
        <v>10</v>
      </c>
      <c r="E5640" s="166" t="s">
        <v>5019</v>
      </c>
    </row>
    <row r="5641" spans="1:5">
      <c r="A5641" s="174">
        <f t="shared" si="80"/>
        <v>5640</v>
      </c>
      <c r="B5641" s="163">
        <v>45902</v>
      </c>
      <c r="C5641" s="164">
        <v>0.74797453703703709</v>
      </c>
      <c r="D5641" s="159">
        <v>10</v>
      </c>
      <c r="E5641" s="166" t="s">
        <v>5020</v>
      </c>
    </row>
    <row r="5642" spans="1:5">
      <c r="A5642" s="174">
        <f t="shared" si="80"/>
        <v>5641</v>
      </c>
      <c r="B5642" s="163">
        <v>45902</v>
      </c>
      <c r="C5642" s="164">
        <v>0.75148148148148142</v>
      </c>
      <c r="D5642" s="159">
        <v>10</v>
      </c>
      <c r="E5642" s="166" t="s">
        <v>5021</v>
      </c>
    </row>
    <row r="5643" spans="1:5">
      <c r="A5643" s="174">
        <f t="shared" si="80"/>
        <v>5642</v>
      </c>
      <c r="B5643" s="163">
        <v>45902</v>
      </c>
      <c r="C5643" s="164">
        <v>0.8128009259259259</v>
      </c>
      <c r="D5643" s="159">
        <v>10</v>
      </c>
      <c r="E5643" s="166" t="s">
        <v>5022</v>
      </c>
    </row>
    <row r="5644" spans="1:5">
      <c r="A5644" s="174">
        <f t="shared" si="80"/>
        <v>5643</v>
      </c>
      <c r="B5644" s="163">
        <v>45902</v>
      </c>
      <c r="C5644" s="164">
        <v>0.85956018518518518</v>
      </c>
      <c r="D5644" s="159">
        <v>10</v>
      </c>
      <c r="E5644" s="166" t="s">
        <v>5027</v>
      </c>
    </row>
    <row r="5645" spans="1:5">
      <c r="A5645" s="174">
        <f t="shared" si="80"/>
        <v>5644</v>
      </c>
      <c r="B5645" s="163">
        <v>45902</v>
      </c>
      <c r="C5645" s="164">
        <v>0.87714120370370363</v>
      </c>
      <c r="D5645" s="159">
        <v>10</v>
      </c>
      <c r="E5645" s="166" t="s">
        <v>5023</v>
      </c>
    </row>
    <row r="5646" spans="1:5">
      <c r="A5646" s="174">
        <f t="shared" si="80"/>
        <v>5645</v>
      </c>
      <c r="B5646" s="163">
        <v>45902</v>
      </c>
      <c r="C5646" s="164">
        <v>0.8828125</v>
      </c>
      <c r="D5646" s="159">
        <v>10</v>
      </c>
      <c r="E5646" s="166" t="s">
        <v>5024</v>
      </c>
    </row>
    <row r="5647" spans="1:5">
      <c r="A5647" s="174">
        <f t="shared" si="80"/>
        <v>5646</v>
      </c>
      <c r="B5647" s="163">
        <v>45902</v>
      </c>
      <c r="C5647" s="164">
        <v>0.89368055555555559</v>
      </c>
      <c r="D5647" s="159">
        <v>10</v>
      </c>
      <c r="E5647" s="166" t="s">
        <v>836</v>
      </c>
    </row>
    <row r="5648" spans="1:5">
      <c r="A5648" s="174">
        <f t="shared" si="80"/>
        <v>5647</v>
      </c>
      <c r="B5648" s="163">
        <v>45903</v>
      </c>
      <c r="C5648" s="164">
        <v>0.39427083333333335</v>
      </c>
      <c r="D5648" s="159">
        <v>10</v>
      </c>
      <c r="E5648" s="166" t="s">
        <v>1206</v>
      </c>
    </row>
    <row r="5649" spans="1:5">
      <c r="A5649" s="174">
        <f t="shared" si="80"/>
        <v>5648</v>
      </c>
      <c r="B5649" s="163">
        <v>45903</v>
      </c>
      <c r="C5649" s="164">
        <v>0.3966898148148148</v>
      </c>
      <c r="D5649" s="159">
        <v>10</v>
      </c>
      <c r="E5649" s="166" t="s">
        <v>5028</v>
      </c>
    </row>
    <row r="5650" spans="1:5">
      <c r="A5650" s="174">
        <f t="shared" si="80"/>
        <v>5649</v>
      </c>
      <c r="B5650" s="163">
        <v>45903</v>
      </c>
      <c r="C5650" s="164">
        <v>0.41237268518518522</v>
      </c>
      <c r="D5650" s="159">
        <v>10</v>
      </c>
      <c r="E5650" s="166" t="s">
        <v>5029</v>
      </c>
    </row>
    <row r="5651" spans="1:5">
      <c r="A5651" s="174">
        <f t="shared" si="80"/>
        <v>5650</v>
      </c>
      <c r="B5651" s="163">
        <v>45903</v>
      </c>
      <c r="C5651" s="164">
        <v>0.41864583333333333</v>
      </c>
      <c r="D5651" s="159">
        <v>10</v>
      </c>
      <c r="E5651" s="166" t="s">
        <v>5030</v>
      </c>
    </row>
    <row r="5652" spans="1:5">
      <c r="A5652" s="174">
        <f t="shared" si="80"/>
        <v>5651</v>
      </c>
      <c r="B5652" s="163">
        <v>45903</v>
      </c>
      <c r="C5652" s="164">
        <v>0.42177083333333337</v>
      </c>
      <c r="D5652" s="159">
        <v>10</v>
      </c>
      <c r="E5652" s="166" t="s">
        <v>5031</v>
      </c>
    </row>
    <row r="5653" spans="1:5">
      <c r="A5653" s="174">
        <f t="shared" si="80"/>
        <v>5652</v>
      </c>
      <c r="B5653" s="163">
        <v>45903</v>
      </c>
      <c r="C5653" s="164">
        <v>0.44387731481481479</v>
      </c>
      <c r="D5653" s="159">
        <v>10</v>
      </c>
      <c r="E5653" s="166" t="s">
        <v>5032</v>
      </c>
    </row>
    <row r="5654" spans="1:5">
      <c r="A5654" s="174">
        <f t="shared" si="80"/>
        <v>5653</v>
      </c>
      <c r="B5654" s="163">
        <v>45903</v>
      </c>
      <c r="C5654" s="164">
        <v>0.45111111111111107</v>
      </c>
      <c r="D5654" s="159">
        <v>10</v>
      </c>
      <c r="E5654" s="166" t="s">
        <v>5072</v>
      </c>
    </row>
    <row r="5655" spans="1:5">
      <c r="A5655" s="174">
        <f t="shared" si="80"/>
        <v>5654</v>
      </c>
      <c r="B5655" s="163">
        <v>45903</v>
      </c>
      <c r="C5655" s="164">
        <v>0.45186342592592593</v>
      </c>
      <c r="D5655" s="159">
        <v>10</v>
      </c>
      <c r="E5655" s="166" t="s">
        <v>5033</v>
      </c>
    </row>
    <row r="5656" spans="1:5">
      <c r="A5656" s="174">
        <f t="shared" si="80"/>
        <v>5655</v>
      </c>
      <c r="B5656" s="163">
        <v>45903</v>
      </c>
      <c r="C5656" s="164">
        <v>0.47910879629629632</v>
      </c>
      <c r="D5656" s="159">
        <v>9</v>
      </c>
      <c r="E5656" s="166" t="s">
        <v>5034</v>
      </c>
    </row>
    <row r="5657" spans="1:5">
      <c r="A5657" s="174">
        <f t="shared" si="80"/>
        <v>5656</v>
      </c>
      <c r="B5657" s="163">
        <v>45903</v>
      </c>
      <c r="C5657" s="164">
        <v>0.4834606481481481</v>
      </c>
      <c r="D5657" s="159">
        <v>10</v>
      </c>
      <c r="E5657" s="166" t="s">
        <v>5035</v>
      </c>
    </row>
    <row r="5658" spans="1:5">
      <c r="A5658" s="174">
        <f t="shared" si="80"/>
        <v>5657</v>
      </c>
      <c r="B5658" s="163">
        <v>45903</v>
      </c>
      <c r="C5658" s="164">
        <v>0.48456018518518523</v>
      </c>
      <c r="D5658" s="159">
        <v>10</v>
      </c>
      <c r="E5658" s="166" t="s">
        <v>5036</v>
      </c>
    </row>
    <row r="5659" spans="1:5">
      <c r="A5659" s="174">
        <f t="shared" si="80"/>
        <v>5658</v>
      </c>
      <c r="B5659" s="163">
        <v>45903</v>
      </c>
      <c r="C5659" s="164">
        <v>0.48939814814814814</v>
      </c>
      <c r="D5659" s="159">
        <v>10</v>
      </c>
      <c r="E5659" s="166" t="s">
        <v>5037</v>
      </c>
    </row>
    <row r="5660" spans="1:5">
      <c r="A5660" s="174">
        <f t="shared" si="80"/>
        <v>5659</v>
      </c>
      <c r="B5660" s="163">
        <v>45903</v>
      </c>
      <c r="C5660" s="164">
        <v>0.49069444444444449</v>
      </c>
      <c r="D5660" s="159">
        <v>10</v>
      </c>
      <c r="E5660" s="166" t="s">
        <v>5038</v>
      </c>
    </row>
    <row r="5661" spans="1:5">
      <c r="A5661" s="174">
        <f t="shared" si="80"/>
        <v>5660</v>
      </c>
      <c r="B5661" s="163">
        <v>45903</v>
      </c>
      <c r="C5661" s="164">
        <v>0.49657407407407406</v>
      </c>
      <c r="D5661" s="159">
        <v>10</v>
      </c>
      <c r="E5661" s="166" t="s">
        <v>5039</v>
      </c>
    </row>
    <row r="5662" spans="1:5">
      <c r="A5662" s="174">
        <f t="shared" si="80"/>
        <v>5661</v>
      </c>
      <c r="B5662" s="163">
        <v>45903</v>
      </c>
      <c r="C5662" s="164">
        <v>0.54024305555555563</v>
      </c>
      <c r="D5662" s="159">
        <v>10</v>
      </c>
      <c r="E5662" s="166" t="s">
        <v>5040</v>
      </c>
    </row>
    <row r="5663" spans="1:5">
      <c r="A5663" s="174">
        <f t="shared" si="80"/>
        <v>5662</v>
      </c>
      <c r="B5663" s="163">
        <v>45903</v>
      </c>
      <c r="C5663" s="164">
        <v>0.5455902777777778</v>
      </c>
      <c r="D5663" s="159">
        <v>10</v>
      </c>
      <c r="E5663" s="166" t="s">
        <v>194</v>
      </c>
    </row>
    <row r="5664" spans="1:5">
      <c r="A5664" s="174">
        <f t="shared" si="80"/>
        <v>5663</v>
      </c>
      <c r="B5664" s="163">
        <v>45903</v>
      </c>
      <c r="C5664" s="164">
        <v>0.55182870370370374</v>
      </c>
      <c r="D5664" s="159">
        <v>10</v>
      </c>
      <c r="E5664" s="166" t="s">
        <v>1357</v>
      </c>
    </row>
    <row r="5665" spans="1:5">
      <c r="A5665" s="174">
        <f t="shared" si="80"/>
        <v>5664</v>
      </c>
      <c r="B5665" s="163">
        <v>45903</v>
      </c>
      <c r="C5665" s="164">
        <v>0.55391203703703706</v>
      </c>
      <c r="D5665" s="159">
        <v>10</v>
      </c>
      <c r="E5665" s="166" t="s">
        <v>5041</v>
      </c>
    </row>
    <row r="5666" spans="1:5">
      <c r="A5666" s="174">
        <f t="shared" si="80"/>
        <v>5665</v>
      </c>
      <c r="B5666" s="163">
        <v>45903</v>
      </c>
      <c r="C5666" s="164">
        <v>0.55569444444444438</v>
      </c>
      <c r="D5666" s="159">
        <v>10</v>
      </c>
      <c r="E5666" s="166" t="s">
        <v>5042</v>
      </c>
    </row>
    <row r="5667" spans="1:5">
      <c r="A5667" s="174">
        <f t="shared" si="80"/>
        <v>5666</v>
      </c>
      <c r="B5667" s="163">
        <v>45903</v>
      </c>
      <c r="C5667" s="164">
        <v>0.5660532407407407</v>
      </c>
      <c r="D5667" s="159">
        <v>10</v>
      </c>
      <c r="E5667" s="166" t="s">
        <v>1668</v>
      </c>
    </row>
    <row r="5668" spans="1:5">
      <c r="A5668" s="174">
        <f t="shared" si="80"/>
        <v>5667</v>
      </c>
      <c r="B5668" s="163">
        <v>45903</v>
      </c>
      <c r="C5668" s="164">
        <v>0.57704861111111116</v>
      </c>
      <c r="D5668" s="159">
        <v>10</v>
      </c>
      <c r="E5668" s="166" t="s">
        <v>5043</v>
      </c>
    </row>
    <row r="5669" spans="1:5" ht="27">
      <c r="A5669" s="174">
        <f t="shared" si="80"/>
        <v>5668</v>
      </c>
      <c r="B5669" s="163">
        <v>45903</v>
      </c>
      <c r="C5669" s="164">
        <v>0.58113425925925932</v>
      </c>
      <c r="D5669" s="159">
        <v>10</v>
      </c>
      <c r="E5669" s="166" t="s">
        <v>5044</v>
      </c>
    </row>
    <row r="5670" spans="1:5">
      <c r="A5670" s="174">
        <f t="shared" si="80"/>
        <v>5669</v>
      </c>
      <c r="B5670" s="163">
        <v>45903</v>
      </c>
      <c r="C5670" s="164">
        <v>0.59359953703703705</v>
      </c>
      <c r="D5670" s="159">
        <v>10</v>
      </c>
      <c r="E5670" s="166" t="s">
        <v>5045</v>
      </c>
    </row>
    <row r="5671" spans="1:5">
      <c r="A5671" s="174">
        <f t="shared" si="80"/>
        <v>5670</v>
      </c>
      <c r="B5671" s="163">
        <v>45903</v>
      </c>
      <c r="C5671" s="164">
        <v>0.60512731481481474</v>
      </c>
      <c r="D5671" s="159">
        <v>10</v>
      </c>
      <c r="E5671" s="166" t="s">
        <v>5046</v>
      </c>
    </row>
    <row r="5672" spans="1:5">
      <c r="A5672" s="174">
        <f t="shared" si="80"/>
        <v>5671</v>
      </c>
      <c r="B5672" s="163">
        <v>45903</v>
      </c>
      <c r="C5672" s="164">
        <v>0.6177083333333333</v>
      </c>
      <c r="D5672" s="159">
        <v>10</v>
      </c>
      <c r="E5672" s="166" t="s">
        <v>5047</v>
      </c>
    </row>
    <row r="5673" spans="1:5">
      <c r="A5673" s="174">
        <f t="shared" si="80"/>
        <v>5672</v>
      </c>
      <c r="B5673" s="163">
        <v>45903</v>
      </c>
      <c r="C5673" s="164">
        <v>0.62376157407407407</v>
      </c>
      <c r="D5673" s="159">
        <v>10</v>
      </c>
      <c r="E5673" s="166" t="s">
        <v>5048</v>
      </c>
    </row>
    <row r="5674" spans="1:5">
      <c r="A5674" s="174">
        <f t="shared" si="80"/>
        <v>5673</v>
      </c>
      <c r="B5674" s="163">
        <v>45903</v>
      </c>
      <c r="C5674" s="164">
        <v>0.62437500000000001</v>
      </c>
      <c r="D5674" s="159">
        <v>10</v>
      </c>
      <c r="E5674" s="166" t="s">
        <v>5049</v>
      </c>
    </row>
    <row r="5675" spans="1:5">
      <c r="A5675" s="174">
        <f t="shared" si="80"/>
        <v>5674</v>
      </c>
      <c r="B5675" s="163">
        <v>45903</v>
      </c>
      <c r="C5675" s="164">
        <v>0.63432870370370364</v>
      </c>
      <c r="D5675" s="159">
        <v>10</v>
      </c>
      <c r="E5675" s="166" t="s">
        <v>749</v>
      </c>
    </row>
    <row r="5676" spans="1:5">
      <c r="A5676" s="174">
        <f t="shared" si="80"/>
        <v>5675</v>
      </c>
      <c r="B5676" s="163">
        <v>45903</v>
      </c>
      <c r="C5676" s="164">
        <v>0.65482638888888889</v>
      </c>
      <c r="D5676" s="159">
        <v>10</v>
      </c>
      <c r="E5676" s="166" t="s">
        <v>5050</v>
      </c>
    </row>
    <row r="5677" spans="1:5">
      <c r="A5677" s="174">
        <f t="shared" si="80"/>
        <v>5676</v>
      </c>
      <c r="B5677" s="163">
        <v>45903</v>
      </c>
      <c r="C5677" s="164">
        <v>0.66508101851851853</v>
      </c>
      <c r="D5677" s="159">
        <v>10</v>
      </c>
      <c r="E5677" s="166" t="s">
        <v>2771</v>
      </c>
    </row>
    <row r="5678" spans="1:5">
      <c r="A5678" s="174">
        <f t="shared" si="80"/>
        <v>5677</v>
      </c>
      <c r="B5678" s="163">
        <v>45903</v>
      </c>
      <c r="C5678" s="164">
        <v>0.67446759259259259</v>
      </c>
      <c r="D5678" s="159">
        <v>10</v>
      </c>
      <c r="E5678" s="166" t="s">
        <v>5051</v>
      </c>
    </row>
    <row r="5679" spans="1:5">
      <c r="A5679" s="174">
        <f t="shared" si="80"/>
        <v>5678</v>
      </c>
      <c r="B5679" s="163">
        <v>45903</v>
      </c>
      <c r="C5679" s="164">
        <v>0.67576388888888894</v>
      </c>
      <c r="D5679" s="159">
        <v>10</v>
      </c>
      <c r="E5679" s="166" t="s">
        <v>5052</v>
      </c>
    </row>
    <row r="5680" spans="1:5">
      <c r="A5680" s="174">
        <f t="shared" si="80"/>
        <v>5679</v>
      </c>
      <c r="B5680" s="163">
        <v>45903</v>
      </c>
      <c r="C5680" s="164">
        <v>0.68710648148148146</v>
      </c>
      <c r="D5680" s="159">
        <v>10</v>
      </c>
      <c r="E5680" s="166" t="s">
        <v>244</v>
      </c>
    </row>
    <row r="5681" spans="1:5">
      <c r="A5681" s="174">
        <f t="shared" si="80"/>
        <v>5680</v>
      </c>
      <c r="B5681" s="163">
        <v>45903</v>
      </c>
      <c r="C5681" s="164">
        <v>0.68896990740740749</v>
      </c>
      <c r="D5681" s="159">
        <v>10</v>
      </c>
      <c r="E5681" s="166" t="s">
        <v>5053</v>
      </c>
    </row>
    <row r="5682" spans="1:5">
      <c r="A5682" s="174">
        <f t="shared" si="80"/>
        <v>5681</v>
      </c>
      <c r="B5682" s="163">
        <v>45903</v>
      </c>
      <c r="C5682" s="164">
        <v>0.70858796296296289</v>
      </c>
      <c r="D5682" s="159">
        <v>10</v>
      </c>
      <c r="E5682" s="166" t="s">
        <v>5054</v>
      </c>
    </row>
    <row r="5683" spans="1:5">
      <c r="A5683" s="174">
        <f t="shared" si="80"/>
        <v>5682</v>
      </c>
      <c r="B5683" s="163">
        <v>45903</v>
      </c>
      <c r="C5683" s="164">
        <v>0.71392361111111102</v>
      </c>
      <c r="D5683" s="159">
        <v>10</v>
      </c>
      <c r="E5683" s="166" t="s">
        <v>5055</v>
      </c>
    </row>
    <row r="5684" spans="1:5">
      <c r="A5684" s="174">
        <f t="shared" si="80"/>
        <v>5683</v>
      </c>
      <c r="B5684" s="163">
        <v>45903</v>
      </c>
      <c r="C5684" s="164">
        <v>0.72586805555555556</v>
      </c>
      <c r="D5684" s="159">
        <v>10</v>
      </c>
      <c r="E5684" s="166" t="s">
        <v>5056</v>
      </c>
    </row>
    <row r="5685" spans="1:5">
      <c r="A5685" s="174">
        <f t="shared" ref="A5685:A5748" si="81">ROW()-1</f>
        <v>5684</v>
      </c>
      <c r="B5685" s="163">
        <v>45903</v>
      </c>
      <c r="C5685" s="164">
        <v>0.7335532407407408</v>
      </c>
      <c r="D5685" s="159">
        <v>10</v>
      </c>
      <c r="E5685" s="166" t="s">
        <v>5057</v>
      </c>
    </row>
    <row r="5686" spans="1:5">
      <c r="A5686" s="174">
        <f t="shared" si="81"/>
        <v>5685</v>
      </c>
      <c r="B5686" s="163">
        <v>45903</v>
      </c>
      <c r="C5686" s="164">
        <v>0.73744212962962974</v>
      </c>
      <c r="D5686" s="159">
        <v>10</v>
      </c>
      <c r="E5686" s="166" t="s">
        <v>5058</v>
      </c>
    </row>
    <row r="5687" spans="1:5">
      <c r="A5687" s="174">
        <f t="shared" si="81"/>
        <v>5686</v>
      </c>
      <c r="B5687" s="163">
        <v>45903</v>
      </c>
      <c r="C5687" s="164">
        <v>0.74313657407407396</v>
      </c>
      <c r="D5687" s="159">
        <v>10</v>
      </c>
      <c r="E5687" s="166" t="s">
        <v>5059</v>
      </c>
    </row>
    <row r="5688" spans="1:5">
      <c r="A5688" s="174">
        <f t="shared" si="81"/>
        <v>5687</v>
      </c>
      <c r="B5688" s="163">
        <v>45903</v>
      </c>
      <c r="C5688" s="164">
        <v>0.74372685185185183</v>
      </c>
      <c r="D5688" s="159">
        <v>10</v>
      </c>
      <c r="E5688" s="166" t="s">
        <v>5073</v>
      </c>
    </row>
    <row r="5689" spans="1:5">
      <c r="A5689" s="174">
        <f t="shared" si="81"/>
        <v>5688</v>
      </c>
      <c r="B5689" s="163">
        <v>45903</v>
      </c>
      <c r="C5689" s="164">
        <v>0.74541666666666673</v>
      </c>
      <c r="D5689" s="159">
        <v>10</v>
      </c>
      <c r="E5689" s="166" t="s">
        <v>5060</v>
      </c>
    </row>
    <row r="5690" spans="1:5">
      <c r="A5690" s="174">
        <f t="shared" si="81"/>
        <v>5689</v>
      </c>
      <c r="B5690" s="163">
        <v>45903</v>
      </c>
      <c r="C5690" s="164">
        <v>0.75104166666666661</v>
      </c>
      <c r="D5690" s="159">
        <v>10</v>
      </c>
      <c r="E5690" s="166" t="s">
        <v>5061</v>
      </c>
    </row>
    <row r="5691" spans="1:5">
      <c r="A5691" s="174">
        <f t="shared" si="81"/>
        <v>5690</v>
      </c>
      <c r="B5691" s="163">
        <v>45903</v>
      </c>
      <c r="C5691" s="164">
        <v>0.75832175925925915</v>
      </c>
      <c r="D5691" s="159">
        <v>10</v>
      </c>
      <c r="E5691" s="166" t="s">
        <v>5062</v>
      </c>
    </row>
    <row r="5692" spans="1:5">
      <c r="A5692" s="174">
        <f t="shared" si="81"/>
        <v>5691</v>
      </c>
      <c r="B5692" s="163">
        <v>45903</v>
      </c>
      <c r="C5692" s="164">
        <v>0.76302083333333337</v>
      </c>
      <c r="D5692" s="159">
        <v>10</v>
      </c>
      <c r="E5692" s="166" t="s">
        <v>5063</v>
      </c>
    </row>
    <row r="5693" spans="1:5">
      <c r="A5693" s="174">
        <f t="shared" si="81"/>
        <v>5692</v>
      </c>
      <c r="B5693" s="163">
        <v>45903</v>
      </c>
      <c r="C5693" s="164">
        <v>0.7784375</v>
      </c>
      <c r="D5693" s="159">
        <v>10</v>
      </c>
      <c r="E5693" s="166" t="s">
        <v>5064</v>
      </c>
    </row>
    <row r="5694" spans="1:5">
      <c r="A5694" s="174">
        <f t="shared" si="81"/>
        <v>5693</v>
      </c>
      <c r="B5694" s="163">
        <v>45903</v>
      </c>
      <c r="C5694" s="164">
        <v>0.7976967592592592</v>
      </c>
      <c r="D5694" s="159">
        <v>10</v>
      </c>
      <c r="E5694" s="166" t="s">
        <v>5065</v>
      </c>
    </row>
    <row r="5695" spans="1:5">
      <c r="A5695" s="174">
        <f t="shared" si="81"/>
        <v>5694</v>
      </c>
      <c r="B5695" s="163">
        <v>45903</v>
      </c>
      <c r="C5695" s="164">
        <v>0.81412037037037033</v>
      </c>
      <c r="D5695" s="159">
        <v>10</v>
      </c>
      <c r="E5695" s="166" t="s">
        <v>5066</v>
      </c>
    </row>
    <row r="5696" spans="1:5">
      <c r="A5696" s="174">
        <f t="shared" si="81"/>
        <v>5695</v>
      </c>
      <c r="B5696" s="163">
        <v>45903</v>
      </c>
      <c r="C5696" s="164">
        <v>0.82145833333333329</v>
      </c>
      <c r="D5696" s="159">
        <v>10</v>
      </c>
      <c r="E5696" s="166" t="s">
        <v>565</v>
      </c>
    </row>
    <row r="5697" spans="1:5">
      <c r="A5697" s="174">
        <f t="shared" si="81"/>
        <v>5696</v>
      </c>
      <c r="B5697" s="163">
        <v>45903</v>
      </c>
      <c r="C5697" s="164">
        <v>0.83792824074074079</v>
      </c>
      <c r="D5697" s="159">
        <v>10</v>
      </c>
      <c r="E5697" s="166" t="s">
        <v>5067</v>
      </c>
    </row>
    <row r="5698" spans="1:5">
      <c r="A5698" s="174">
        <f t="shared" si="81"/>
        <v>5697</v>
      </c>
      <c r="B5698" s="163">
        <v>45903</v>
      </c>
      <c r="C5698" s="164">
        <v>0.83813657407407405</v>
      </c>
      <c r="D5698" s="159">
        <v>10</v>
      </c>
      <c r="E5698" s="166" t="s">
        <v>5068</v>
      </c>
    </row>
    <row r="5699" spans="1:5">
      <c r="A5699" s="174">
        <f t="shared" si="81"/>
        <v>5698</v>
      </c>
      <c r="B5699" s="163">
        <v>45903</v>
      </c>
      <c r="C5699" s="164">
        <v>0.85920138888888886</v>
      </c>
      <c r="D5699" s="159">
        <v>10</v>
      </c>
      <c r="E5699" s="166" t="s">
        <v>5069</v>
      </c>
    </row>
    <row r="5700" spans="1:5">
      <c r="A5700" s="174">
        <f t="shared" si="81"/>
        <v>5699</v>
      </c>
      <c r="B5700" s="163">
        <v>45903</v>
      </c>
      <c r="C5700" s="164">
        <v>0.89123842592592595</v>
      </c>
      <c r="D5700" s="159">
        <v>10</v>
      </c>
      <c r="E5700" s="166" t="s">
        <v>5070</v>
      </c>
    </row>
    <row r="5701" spans="1:5">
      <c r="A5701" s="174">
        <f t="shared" si="81"/>
        <v>5700</v>
      </c>
      <c r="B5701" s="163">
        <v>45903</v>
      </c>
      <c r="C5701" s="164">
        <v>0.90314814814814814</v>
      </c>
      <c r="D5701" s="159">
        <v>10</v>
      </c>
      <c r="E5701" s="166" t="s">
        <v>5071</v>
      </c>
    </row>
    <row r="5702" spans="1:5">
      <c r="A5702" s="174">
        <f t="shared" si="81"/>
        <v>5701</v>
      </c>
      <c r="B5702" s="163">
        <v>45904</v>
      </c>
      <c r="C5702" s="164">
        <v>0.38313657407407403</v>
      </c>
      <c r="D5702" s="159">
        <v>10</v>
      </c>
      <c r="E5702" s="166" t="s">
        <v>5074</v>
      </c>
    </row>
    <row r="5703" spans="1:5">
      <c r="A5703" s="174">
        <f t="shared" si="81"/>
        <v>5702</v>
      </c>
      <c r="B5703" s="163">
        <v>45904</v>
      </c>
      <c r="C5703" s="164">
        <v>0.38327546296296294</v>
      </c>
      <c r="D5703" s="159">
        <v>10</v>
      </c>
      <c r="E5703" s="166" t="s">
        <v>246</v>
      </c>
    </row>
    <row r="5704" spans="1:5">
      <c r="A5704" s="174">
        <f t="shared" si="81"/>
        <v>5703</v>
      </c>
      <c r="B5704" s="163">
        <v>45904</v>
      </c>
      <c r="C5704" s="164">
        <v>0.39278935185185188</v>
      </c>
      <c r="D5704" s="159">
        <v>10</v>
      </c>
      <c r="E5704" s="166" t="s">
        <v>5075</v>
      </c>
    </row>
    <row r="5705" spans="1:5">
      <c r="A5705" s="174">
        <f t="shared" si="81"/>
        <v>5704</v>
      </c>
      <c r="B5705" s="163">
        <v>45904</v>
      </c>
      <c r="C5705" s="164">
        <v>0.41303240740740743</v>
      </c>
      <c r="D5705" s="159">
        <v>10</v>
      </c>
      <c r="E5705" s="166" t="s">
        <v>5076</v>
      </c>
    </row>
    <row r="5706" spans="1:5">
      <c r="A5706" s="174">
        <f t="shared" si="81"/>
        <v>5705</v>
      </c>
      <c r="B5706" s="163">
        <v>45904</v>
      </c>
      <c r="C5706" s="164">
        <v>0.43646990740740743</v>
      </c>
      <c r="D5706" s="159">
        <v>10</v>
      </c>
      <c r="E5706" s="166" t="s">
        <v>132</v>
      </c>
    </row>
    <row r="5707" spans="1:5">
      <c r="A5707" s="174">
        <f t="shared" si="81"/>
        <v>5706</v>
      </c>
      <c r="B5707" s="163">
        <v>45904</v>
      </c>
      <c r="C5707" s="164">
        <v>0.4372685185185185</v>
      </c>
      <c r="D5707" s="159">
        <v>10</v>
      </c>
      <c r="E5707" s="166" t="s">
        <v>5077</v>
      </c>
    </row>
    <row r="5708" spans="1:5">
      <c r="A5708" s="174">
        <f t="shared" si="81"/>
        <v>5707</v>
      </c>
      <c r="B5708" s="163">
        <v>45904</v>
      </c>
      <c r="C5708" s="164">
        <v>0.43902777777777779</v>
      </c>
      <c r="D5708" s="159">
        <v>10</v>
      </c>
      <c r="E5708" s="166" t="s">
        <v>5078</v>
      </c>
    </row>
    <row r="5709" spans="1:5">
      <c r="A5709" s="174">
        <f t="shared" si="81"/>
        <v>5708</v>
      </c>
      <c r="B5709" s="163">
        <v>45904</v>
      </c>
      <c r="C5709" s="164">
        <v>0.4498611111111111</v>
      </c>
      <c r="D5709" s="159">
        <v>10</v>
      </c>
      <c r="E5709" s="166" t="s">
        <v>5079</v>
      </c>
    </row>
    <row r="5710" spans="1:5">
      <c r="A5710" s="174">
        <f t="shared" si="81"/>
        <v>5709</v>
      </c>
      <c r="B5710" s="163">
        <v>45904</v>
      </c>
      <c r="C5710" s="164">
        <v>0.45230324074074074</v>
      </c>
      <c r="D5710" s="159">
        <v>10</v>
      </c>
      <c r="E5710" s="166" t="s">
        <v>5080</v>
      </c>
    </row>
    <row r="5711" spans="1:5">
      <c r="A5711" s="174">
        <f t="shared" si="81"/>
        <v>5710</v>
      </c>
      <c r="B5711" s="163">
        <v>45904</v>
      </c>
      <c r="C5711" s="164">
        <v>0.46289351851851851</v>
      </c>
      <c r="D5711" s="159">
        <v>10</v>
      </c>
      <c r="E5711" s="166" t="s">
        <v>5081</v>
      </c>
    </row>
    <row r="5712" spans="1:5">
      <c r="A5712" s="174">
        <f t="shared" si="81"/>
        <v>5711</v>
      </c>
      <c r="B5712" s="163">
        <v>45904</v>
      </c>
      <c r="C5712" s="164">
        <v>0.47893518518518513</v>
      </c>
      <c r="D5712" s="159">
        <v>10</v>
      </c>
      <c r="E5712" s="166" t="s">
        <v>5082</v>
      </c>
    </row>
    <row r="5713" spans="1:5">
      <c r="A5713" s="174">
        <f t="shared" si="81"/>
        <v>5712</v>
      </c>
      <c r="B5713" s="163">
        <v>45904</v>
      </c>
      <c r="C5713" s="164">
        <v>0.48913194444444441</v>
      </c>
      <c r="D5713" s="159">
        <v>10</v>
      </c>
      <c r="E5713" s="166" t="s">
        <v>5083</v>
      </c>
    </row>
    <row r="5714" spans="1:5">
      <c r="A5714" s="174">
        <f t="shared" si="81"/>
        <v>5713</v>
      </c>
      <c r="B5714" s="163">
        <v>45904</v>
      </c>
      <c r="C5714" s="164">
        <v>0.54800925925925925</v>
      </c>
      <c r="D5714" s="159">
        <v>10</v>
      </c>
      <c r="E5714" s="166" t="s">
        <v>5084</v>
      </c>
    </row>
    <row r="5715" spans="1:5">
      <c r="A5715" s="174">
        <f t="shared" si="81"/>
        <v>5714</v>
      </c>
      <c r="B5715" s="163">
        <v>45904</v>
      </c>
      <c r="C5715" s="164">
        <v>0.54831018518518515</v>
      </c>
      <c r="D5715" s="159">
        <v>10</v>
      </c>
      <c r="E5715" s="166" t="s">
        <v>5085</v>
      </c>
    </row>
    <row r="5716" spans="1:5">
      <c r="A5716" s="174">
        <f t="shared" si="81"/>
        <v>5715</v>
      </c>
      <c r="B5716" s="163">
        <v>45904</v>
      </c>
      <c r="C5716" s="164">
        <v>0.54906250000000001</v>
      </c>
      <c r="D5716" s="159">
        <v>10</v>
      </c>
      <c r="E5716" s="166" t="s">
        <v>5086</v>
      </c>
    </row>
    <row r="5717" spans="1:5">
      <c r="A5717" s="174">
        <f t="shared" si="81"/>
        <v>5716</v>
      </c>
      <c r="B5717" s="163">
        <v>45904</v>
      </c>
      <c r="C5717" s="164">
        <v>0.55394675925925929</v>
      </c>
      <c r="D5717" s="159">
        <v>10</v>
      </c>
      <c r="E5717" s="166" t="s">
        <v>5087</v>
      </c>
    </row>
    <row r="5718" spans="1:5">
      <c r="A5718" s="174">
        <f t="shared" si="81"/>
        <v>5717</v>
      </c>
      <c r="B5718" s="163">
        <v>45904</v>
      </c>
      <c r="C5718" s="164">
        <v>0.55539351851851848</v>
      </c>
      <c r="D5718" s="159">
        <v>10</v>
      </c>
      <c r="E5718" s="166" t="s">
        <v>5088</v>
      </c>
    </row>
    <row r="5719" spans="1:5">
      <c r="A5719" s="174">
        <f t="shared" si="81"/>
        <v>5718</v>
      </c>
      <c r="B5719" s="163">
        <v>45904</v>
      </c>
      <c r="C5719" s="164">
        <v>0.55862268518518521</v>
      </c>
      <c r="D5719" s="159">
        <v>10</v>
      </c>
      <c r="E5719" s="166" t="s">
        <v>5106</v>
      </c>
    </row>
    <row r="5720" spans="1:5">
      <c r="A5720" s="174">
        <f t="shared" si="81"/>
        <v>5719</v>
      </c>
      <c r="B5720" s="163">
        <v>45904</v>
      </c>
      <c r="C5720" s="164">
        <v>0.57715277777777774</v>
      </c>
      <c r="D5720" s="159">
        <v>10</v>
      </c>
      <c r="E5720" s="166" t="s">
        <v>5089</v>
      </c>
    </row>
    <row r="5721" spans="1:5">
      <c r="A5721" s="174">
        <f t="shared" si="81"/>
        <v>5720</v>
      </c>
      <c r="B5721" s="163">
        <v>45904</v>
      </c>
      <c r="C5721" s="164">
        <v>0.57869212962962957</v>
      </c>
      <c r="D5721" s="159">
        <v>10</v>
      </c>
      <c r="E5721" s="166" t="s">
        <v>5090</v>
      </c>
    </row>
    <row r="5722" spans="1:5">
      <c r="A5722" s="174">
        <f t="shared" si="81"/>
        <v>5721</v>
      </c>
      <c r="B5722" s="163">
        <v>45904</v>
      </c>
      <c r="C5722" s="164">
        <v>0.59570601851851845</v>
      </c>
      <c r="D5722" s="159">
        <v>10</v>
      </c>
      <c r="E5722" s="166" t="s">
        <v>179</v>
      </c>
    </row>
    <row r="5723" spans="1:5">
      <c r="A5723" s="174">
        <f t="shared" si="81"/>
        <v>5722</v>
      </c>
      <c r="B5723" s="163">
        <v>45904</v>
      </c>
      <c r="C5723" s="164">
        <v>0.59660879629629626</v>
      </c>
      <c r="D5723" s="159">
        <v>10</v>
      </c>
      <c r="E5723" s="166" t="s">
        <v>5091</v>
      </c>
    </row>
    <row r="5724" spans="1:5">
      <c r="A5724" s="174">
        <f t="shared" si="81"/>
        <v>5723</v>
      </c>
      <c r="B5724" s="163">
        <v>45904</v>
      </c>
      <c r="C5724" s="164">
        <v>0.65027777777777784</v>
      </c>
      <c r="D5724" s="159">
        <v>10</v>
      </c>
      <c r="E5724" s="166" t="s">
        <v>5092</v>
      </c>
    </row>
    <row r="5725" spans="1:5">
      <c r="A5725" s="174">
        <f t="shared" si="81"/>
        <v>5724</v>
      </c>
      <c r="B5725" s="163">
        <v>45904</v>
      </c>
      <c r="C5725" s="164">
        <v>0.65184027777777775</v>
      </c>
      <c r="D5725" s="159">
        <v>10</v>
      </c>
      <c r="E5725" s="166" t="s">
        <v>5107</v>
      </c>
    </row>
    <row r="5726" spans="1:5">
      <c r="A5726" s="174">
        <f t="shared" si="81"/>
        <v>5725</v>
      </c>
      <c r="B5726" s="163">
        <v>45904</v>
      </c>
      <c r="C5726" s="164">
        <v>0.65194444444444444</v>
      </c>
      <c r="D5726" s="159">
        <v>10</v>
      </c>
      <c r="E5726" s="166" t="s">
        <v>3548</v>
      </c>
    </row>
    <row r="5727" spans="1:5">
      <c r="A5727" s="174">
        <f t="shared" si="81"/>
        <v>5726</v>
      </c>
      <c r="B5727" s="163">
        <v>45904</v>
      </c>
      <c r="C5727" s="164">
        <v>0.69537037037037042</v>
      </c>
      <c r="D5727" s="159">
        <v>10</v>
      </c>
      <c r="E5727" s="166" t="s">
        <v>5093</v>
      </c>
    </row>
    <row r="5728" spans="1:5">
      <c r="A5728" s="174">
        <f t="shared" si="81"/>
        <v>5727</v>
      </c>
      <c r="B5728" s="163">
        <v>45904</v>
      </c>
      <c r="C5728" s="164">
        <v>0.69672453703703707</v>
      </c>
      <c r="D5728" s="159">
        <v>10</v>
      </c>
      <c r="E5728" s="166" t="s">
        <v>5094</v>
      </c>
    </row>
    <row r="5729" spans="1:5">
      <c r="A5729" s="174">
        <f t="shared" si="81"/>
        <v>5728</v>
      </c>
      <c r="B5729" s="163">
        <v>45904</v>
      </c>
      <c r="C5729" s="164">
        <v>0.70096064814814818</v>
      </c>
      <c r="D5729" s="159">
        <v>10</v>
      </c>
      <c r="E5729" s="166" t="s">
        <v>5095</v>
      </c>
    </row>
    <row r="5730" spans="1:5">
      <c r="A5730" s="174">
        <f t="shared" si="81"/>
        <v>5729</v>
      </c>
      <c r="B5730" s="163">
        <v>45904</v>
      </c>
      <c r="C5730" s="164">
        <v>0.70685185185185195</v>
      </c>
      <c r="D5730" s="159">
        <v>10</v>
      </c>
      <c r="E5730" s="166" t="s">
        <v>5096</v>
      </c>
    </row>
    <row r="5731" spans="1:5">
      <c r="A5731" s="174">
        <f t="shared" si="81"/>
        <v>5730</v>
      </c>
      <c r="B5731" s="163">
        <v>45904</v>
      </c>
      <c r="C5731" s="164">
        <v>0.71673611111111113</v>
      </c>
      <c r="D5731" s="159">
        <v>10</v>
      </c>
      <c r="E5731" s="166" t="s">
        <v>5108</v>
      </c>
    </row>
    <row r="5732" spans="1:5">
      <c r="A5732" s="174">
        <f t="shared" si="81"/>
        <v>5731</v>
      </c>
      <c r="B5732" s="163">
        <v>45904</v>
      </c>
      <c r="C5732" s="164">
        <v>0.72005787037037028</v>
      </c>
      <c r="D5732" s="159">
        <v>10</v>
      </c>
      <c r="E5732" s="166" t="s">
        <v>5097</v>
      </c>
    </row>
    <row r="5733" spans="1:5" ht="40.5">
      <c r="A5733" s="174">
        <f t="shared" si="81"/>
        <v>5732</v>
      </c>
      <c r="B5733" s="163">
        <v>45904</v>
      </c>
      <c r="C5733" s="164">
        <v>0.72417824074074078</v>
      </c>
      <c r="D5733" s="159">
        <v>10</v>
      </c>
      <c r="E5733" s="166" t="s">
        <v>5098</v>
      </c>
    </row>
    <row r="5734" spans="1:5">
      <c r="A5734" s="174">
        <f t="shared" si="81"/>
        <v>5733</v>
      </c>
      <c r="B5734" s="163">
        <v>45904</v>
      </c>
      <c r="C5734" s="164">
        <v>0.74015046296296294</v>
      </c>
      <c r="D5734" s="159">
        <v>10</v>
      </c>
      <c r="E5734" s="166" t="s">
        <v>5099</v>
      </c>
    </row>
    <row r="5735" spans="1:5">
      <c r="A5735" s="174">
        <f t="shared" si="81"/>
        <v>5734</v>
      </c>
      <c r="B5735" s="163">
        <v>45904</v>
      </c>
      <c r="C5735" s="164">
        <v>0.74344907407407401</v>
      </c>
      <c r="D5735" s="159">
        <v>10</v>
      </c>
      <c r="E5735" s="166" t="s">
        <v>5100</v>
      </c>
    </row>
    <row r="5736" spans="1:5">
      <c r="A5736" s="174">
        <f t="shared" si="81"/>
        <v>5735</v>
      </c>
      <c r="B5736" s="163">
        <v>45904</v>
      </c>
      <c r="C5736" s="164">
        <v>0.74797453703703709</v>
      </c>
      <c r="D5736" s="159">
        <v>10</v>
      </c>
      <c r="E5736" s="166" t="s">
        <v>5101</v>
      </c>
    </row>
    <row r="5737" spans="1:5">
      <c r="A5737" s="174">
        <f t="shared" si="81"/>
        <v>5736</v>
      </c>
      <c r="B5737" s="163">
        <v>45904</v>
      </c>
      <c r="C5737" s="164">
        <v>0.76204861111111111</v>
      </c>
      <c r="D5737" s="159">
        <v>10</v>
      </c>
      <c r="E5737" s="166" t="s">
        <v>5102</v>
      </c>
    </row>
    <row r="5738" spans="1:5">
      <c r="A5738" s="174">
        <f t="shared" si="81"/>
        <v>5737</v>
      </c>
      <c r="B5738" s="163">
        <v>45904</v>
      </c>
      <c r="C5738" s="164">
        <v>0.77618055555555554</v>
      </c>
      <c r="D5738" s="159">
        <v>10</v>
      </c>
      <c r="E5738" s="166" t="s">
        <v>5103</v>
      </c>
    </row>
    <row r="5739" spans="1:5">
      <c r="A5739" s="174">
        <f t="shared" si="81"/>
        <v>5738</v>
      </c>
      <c r="B5739" s="163">
        <v>45904</v>
      </c>
      <c r="C5739" s="164">
        <v>0.85666666666666658</v>
      </c>
      <c r="D5739" s="159">
        <v>10</v>
      </c>
      <c r="E5739" s="166" t="s">
        <v>5104</v>
      </c>
    </row>
    <row r="5740" spans="1:5">
      <c r="A5740" s="174">
        <f t="shared" si="81"/>
        <v>5739</v>
      </c>
      <c r="B5740" s="163">
        <v>45904</v>
      </c>
      <c r="C5740" s="164">
        <v>0.89320601851851855</v>
      </c>
      <c r="D5740" s="159">
        <v>10</v>
      </c>
      <c r="E5740" s="166" t="s">
        <v>5105</v>
      </c>
    </row>
    <row r="5741" spans="1:5">
      <c r="A5741" s="174">
        <f t="shared" si="81"/>
        <v>5740</v>
      </c>
      <c r="B5741" s="163">
        <v>45905</v>
      </c>
      <c r="C5741" s="164">
        <v>0.3847800925925926</v>
      </c>
      <c r="D5741" s="159">
        <v>10</v>
      </c>
      <c r="E5741" s="166" t="s">
        <v>761</v>
      </c>
    </row>
    <row r="5742" spans="1:5">
      <c r="A5742" s="174">
        <f t="shared" si="81"/>
        <v>5741</v>
      </c>
      <c r="B5742" s="163">
        <v>45905</v>
      </c>
      <c r="C5742" s="164">
        <v>0.41363425925925923</v>
      </c>
      <c r="D5742" s="159">
        <v>10</v>
      </c>
      <c r="E5742" s="166" t="s">
        <v>5109</v>
      </c>
    </row>
    <row r="5743" spans="1:5">
      <c r="A5743" s="174">
        <f t="shared" si="81"/>
        <v>5742</v>
      </c>
      <c r="B5743" s="163">
        <v>45905</v>
      </c>
      <c r="C5743" s="164">
        <v>0.4199074074074074</v>
      </c>
      <c r="D5743" s="159">
        <v>10</v>
      </c>
      <c r="E5743" s="166" t="s">
        <v>657</v>
      </c>
    </row>
    <row r="5744" spans="1:5">
      <c r="A5744" s="174">
        <f t="shared" si="81"/>
        <v>5743</v>
      </c>
      <c r="B5744" s="163">
        <v>45905</v>
      </c>
      <c r="C5744" s="164">
        <v>0.43609953703703702</v>
      </c>
      <c r="D5744" s="159">
        <v>10</v>
      </c>
      <c r="E5744" s="166" t="s">
        <v>5110</v>
      </c>
    </row>
    <row r="5745" spans="1:5">
      <c r="A5745" s="174">
        <f t="shared" si="81"/>
        <v>5744</v>
      </c>
      <c r="B5745" s="163">
        <v>45905</v>
      </c>
      <c r="C5745" s="164">
        <v>0.44166666666666665</v>
      </c>
      <c r="D5745" s="159">
        <v>10</v>
      </c>
      <c r="E5745" s="166" t="s">
        <v>5111</v>
      </c>
    </row>
    <row r="5746" spans="1:5">
      <c r="A5746" s="174">
        <f t="shared" si="81"/>
        <v>5745</v>
      </c>
      <c r="B5746" s="163">
        <v>45905</v>
      </c>
      <c r="C5746" s="164">
        <v>0.45686342592592594</v>
      </c>
      <c r="D5746" s="159">
        <v>10</v>
      </c>
      <c r="E5746" s="166" t="s">
        <v>5112</v>
      </c>
    </row>
    <row r="5747" spans="1:5">
      <c r="A5747" s="174">
        <f t="shared" si="81"/>
        <v>5746</v>
      </c>
      <c r="B5747" s="163">
        <v>45905</v>
      </c>
      <c r="C5747" s="164">
        <v>0.49207175925925922</v>
      </c>
      <c r="D5747" s="159">
        <v>10</v>
      </c>
      <c r="E5747" s="166" t="s">
        <v>5113</v>
      </c>
    </row>
    <row r="5748" spans="1:5">
      <c r="A5748" s="174">
        <f t="shared" si="81"/>
        <v>5747</v>
      </c>
      <c r="B5748" s="163">
        <v>45905</v>
      </c>
      <c r="C5748" s="164">
        <v>0.49804398148148149</v>
      </c>
      <c r="D5748" s="159">
        <v>10</v>
      </c>
      <c r="E5748" s="166" t="s">
        <v>5114</v>
      </c>
    </row>
    <row r="5749" spans="1:5">
      <c r="A5749" s="174">
        <f t="shared" ref="A5749:A5812" si="82">ROW()-1</f>
        <v>5748</v>
      </c>
      <c r="B5749" s="163">
        <v>45905</v>
      </c>
      <c r="C5749" s="164">
        <v>0.52853009259259254</v>
      </c>
      <c r="D5749" s="159">
        <v>10</v>
      </c>
      <c r="E5749" s="166" t="s">
        <v>5115</v>
      </c>
    </row>
    <row r="5750" spans="1:5">
      <c r="A5750" s="174">
        <f t="shared" si="82"/>
        <v>5749</v>
      </c>
      <c r="B5750" s="163">
        <v>45905</v>
      </c>
      <c r="C5750" s="164">
        <v>0.54841435185185183</v>
      </c>
      <c r="D5750" s="159">
        <v>10</v>
      </c>
      <c r="E5750" s="166" t="s">
        <v>273</v>
      </c>
    </row>
    <row r="5751" spans="1:5">
      <c r="A5751" s="174">
        <f t="shared" si="82"/>
        <v>5750</v>
      </c>
      <c r="B5751" s="163">
        <v>45905</v>
      </c>
      <c r="C5751" s="164">
        <v>0.57616898148148155</v>
      </c>
      <c r="D5751" s="159">
        <v>10</v>
      </c>
      <c r="E5751" s="166" t="s">
        <v>5116</v>
      </c>
    </row>
    <row r="5752" spans="1:5">
      <c r="A5752" s="174">
        <f t="shared" si="82"/>
        <v>5751</v>
      </c>
      <c r="B5752" s="163">
        <v>45905</v>
      </c>
      <c r="C5752" s="164">
        <v>0.58173611111111112</v>
      </c>
      <c r="D5752" s="159">
        <v>10</v>
      </c>
      <c r="E5752" s="166" t="s">
        <v>273</v>
      </c>
    </row>
    <row r="5753" spans="1:5">
      <c r="A5753" s="174">
        <f t="shared" si="82"/>
        <v>5752</v>
      </c>
      <c r="B5753" s="163">
        <v>45905</v>
      </c>
      <c r="C5753" s="164">
        <v>0.58484953703703701</v>
      </c>
      <c r="D5753" s="159">
        <v>10</v>
      </c>
      <c r="E5753" s="166" t="s">
        <v>849</v>
      </c>
    </row>
    <row r="5754" spans="1:5">
      <c r="A5754" s="174">
        <f t="shared" si="82"/>
        <v>5753</v>
      </c>
      <c r="B5754" s="163">
        <v>45905</v>
      </c>
      <c r="C5754" s="164">
        <v>0.59628472222222217</v>
      </c>
      <c r="D5754" s="159">
        <v>10</v>
      </c>
      <c r="E5754" s="166" t="s">
        <v>244</v>
      </c>
    </row>
    <row r="5755" spans="1:5">
      <c r="A5755" s="174">
        <f t="shared" si="82"/>
        <v>5754</v>
      </c>
      <c r="B5755" s="163">
        <v>45905</v>
      </c>
      <c r="C5755" s="164">
        <v>0.60031250000000003</v>
      </c>
      <c r="D5755" s="159">
        <v>10</v>
      </c>
      <c r="E5755" s="166" t="s">
        <v>5117</v>
      </c>
    </row>
    <row r="5756" spans="1:5">
      <c r="A5756" s="174">
        <f t="shared" si="82"/>
        <v>5755</v>
      </c>
      <c r="B5756" s="163">
        <v>45905</v>
      </c>
      <c r="C5756" s="164">
        <v>0.66417824074074072</v>
      </c>
      <c r="D5756" s="159">
        <v>10</v>
      </c>
      <c r="E5756" s="166" t="s">
        <v>5118</v>
      </c>
    </row>
    <row r="5757" spans="1:5">
      <c r="A5757" s="174">
        <f t="shared" si="82"/>
        <v>5756</v>
      </c>
      <c r="B5757" s="163">
        <v>45905</v>
      </c>
      <c r="C5757" s="164">
        <v>0.67276620370370377</v>
      </c>
      <c r="D5757" s="159">
        <v>10</v>
      </c>
      <c r="E5757" s="166" t="s">
        <v>1313</v>
      </c>
    </row>
    <row r="5758" spans="1:5">
      <c r="A5758" s="174">
        <f t="shared" si="82"/>
        <v>5757</v>
      </c>
      <c r="B5758" s="163">
        <v>45905</v>
      </c>
      <c r="C5758" s="164">
        <v>0.67704861111111114</v>
      </c>
      <c r="D5758" s="159">
        <v>10</v>
      </c>
      <c r="E5758" s="166" t="s">
        <v>2383</v>
      </c>
    </row>
    <row r="5759" spans="1:5">
      <c r="A5759" s="174">
        <f t="shared" si="82"/>
        <v>5758</v>
      </c>
      <c r="B5759" s="163">
        <v>45905</v>
      </c>
      <c r="C5759" s="164">
        <v>0.68336805555555558</v>
      </c>
      <c r="D5759" s="159">
        <v>10</v>
      </c>
      <c r="E5759" s="166" t="s">
        <v>5119</v>
      </c>
    </row>
    <row r="5760" spans="1:5" ht="27">
      <c r="A5760" s="174">
        <f t="shared" si="82"/>
        <v>5759</v>
      </c>
      <c r="B5760" s="163">
        <v>45905</v>
      </c>
      <c r="C5760" s="164">
        <v>0.68976851851851861</v>
      </c>
      <c r="D5760" s="159">
        <v>10</v>
      </c>
      <c r="E5760" s="166" t="s">
        <v>5142</v>
      </c>
    </row>
    <row r="5761" spans="1:5">
      <c r="A5761" s="174">
        <f t="shared" si="82"/>
        <v>5760</v>
      </c>
      <c r="B5761" s="163">
        <v>45905</v>
      </c>
      <c r="C5761" s="164">
        <v>0.70273148148148146</v>
      </c>
      <c r="D5761" s="159">
        <v>10</v>
      </c>
      <c r="E5761" s="166" t="s">
        <v>288</v>
      </c>
    </row>
    <row r="5762" spans="1:5">
      <c r="A5762" s="174">
        <f t="shared" si="82"/>
        <v>5761</v>
      </c>
      <c r="B5762" s="163">
        <v>45905</v>
      </c>
      <c r="C5762" s="164">
        <v>0.71335648148148145</v>
      </c>
      <c r="D5762" s="159">
        <v>10</v>
      </c>
      <c r="E5762" s="166" t="s">
        <v>5120</v>
      </c>
    </row>
    <row r="5763" spans="1:5">
      <c r="A5763" s="174">
        <f t="shared" si="82"/>
        <v>5762</v>
      </c>
      <c r="B5763" s="163">
        <v>45905</v>
      </c>
      <c r="C5763" s="164">
        <v>0.72004629629629635</v>
      </c>
      <c r="D5763" s="159">
        <v>10</v>
      </c>
      <c r="E5763" s="166" t="s">
        <v>2233</v>
      </c>
    </row>
    <row r="5764" spans="1:5">
      <c r="A5764" s="174">
        <f t="shared" si="82"/>
        <v>5763</v>
      </c>
      <c r="B5764" s="163">
        <v>45905</v>
      </c>
      <c r="C5764" s="164">
        <v>0.72743055555555547</v>
      </c>
      <c r="D5764" s="159">
        <v>10</v>
      </c>
      <c r="E5764" s="166" t="s">
        <v>5121</v>
      </c>
    </row>
    <row r="5765" spans="1:5">
      <c r="A5765" s="174">
        <f t="shared" si="82"/>
        <v>5764</v>
      </c>
      <c r="B5765" s="163">
        <v>45905</v>
      </c>
      <c r="C5765" s="164">
        <v>0.73158564814814808</v>
      </c>
      <c r="D5765" s="159">
        <v>10</v>
      </c>
      <c r="E5765" s="166" t="s">
        <v>132</v>
      </c>
    </row>
    <row r="5766" spans="1:5">
      <c r="A5766" s="174">
        <f t="shared" si="82"/>
        <v>5765</v>
      </c>
      <c r="B5766" s="163">
        <v>45905</v>
      </c>
      <c r="C5766" s="164">
        <v>0.73212962962962969</v>
      </c>
      <c r="D5766" s="159">
        <v>10</v>
      </c>
      <c r="E5766" s="166" t="s">
        <v>5122</v>
      </c>
    </row>
    <row r="5767" spans="1:5">
      <c r="A5767" s="174">
        <f t="shared" si="82"/>
        <v>5766</v>
      </c>
      <c r="B5767" s="163">
        <v>45905</v>
      </c>
      <c r="C5767" s="164">
        <v>0.74331018518518521</v>
      </c>
      <c r="D5767" s="159">
        <v>10</v>
      </c>
      <c r="E5767" s="166" t="s">
        <v>5123</v>
      </c>
    </row>
    <row r="5768" spans="1:5">
      <c r="A5768" s="174">
        <f t="shared" si="82"/>
        <v>5767</v>
      </c>
      <c r="B5768" s="163">
        <v>45905</v>
      </c>
      <c r="C5768" s="164">
        <v>0.75081018518518527</v>
      </c>
      <c r="D5768" s="159">
        <v>10</v>
      </c>
      <c r="E5768" s="166" t="s">
        <v>5124</v>
      </c>
    </row>
    <row r="5769" spans="1:5">
      <c r="A5769" s="174">
        <f t="shared" si="82"/>
        <v>5768</v>
      </c>
      <c r="B5769" s="163">
        <v>45905</v>
      </c>
      <c r="C5769" s="164">
        <v>0.77578703703703711</v>
      </c>
      <c r="D5769" s="159">
        <v>10</v>
      </c>
      <c r="E5769" s="166" t="s">
        <v>5125</v>
      </c>
    </row>
    <row r="5770" spans="1:5">
      <c r="A5770" s="174">
        <f t="shared" si="82"/>
        <v>5769</v>
      </c>
      <c r="B5770" s="163">
        <v>45905</v>
      </c>
      <c r="C5770" s="164">
        <v>0.79252314814814817</v>
      </c>
      <c r="D5770" s="159">
        <v>10</v>
      </c>
      <c r="E5770" s="166" t="s">
        <v>5126</v>
      </c>
    </row>
    <row r="5771" spans="1:5">
      <c r="A5771" s="174">
        <f t="shared" si="82"/>
        <v>5770</v>
      </c>
      <c r="B5771" s="163">
        <v>45905</v>
      </c>
      <c r="C5771" s="164">
        <v>0.80306712962962967</v>
      </c>
      <c r="D5771" s="159">
        <v>10</v>
      </c>
      <c r="E5771" s="166" t="s">
        <v>5143</v>
      </c>
    </row>
    <row r="5772" spans="1:5">
      <c r="A5772" s="174">
        <f t="shared" si="82"/>
        <v>5771</v>
      </c>
      <c r="B5772" s="163">
        <v>45905</v>
      </c>
      <c r="C5772" s="164">
        <v>0.86063657407407401</v>
      </c>
      <c r="D5772" s="159">
        <v>10</v>
      </c>
      <c r="E5772" s="166" t="s">
        <v>5127</v>
      </c>
    </row>
    <row r="5773" spans="1:5" ht="27">
      <c r="A5773" s="174">
        <f t="shared" si="82"/>
        <v>5772</v>
      </c>
      <c r="B5773" s="163">
        <v>45905</v>
      </c>
      <c r="C5773" s="164">
        <v>0.8687731481481481</v>
      </c>
      <c r="D5773" s="159">
        <v>10</v>
      </c>
      <c r="E5773" s="166" t="s">
        <v>5128</v>
      </c>
    </row>
    <row r="5774" spans="1:5">
      <c r="A5774" s="174">
        <f t="shared" si="82"/>
        <v>5773</v>
      </c>
      <c r="B5774" s="163">
        <v>45906</v>
      </c>
      <c r="C5774" s="164">
        <v>0.38122685185185184</v>
      </c>
      <c r="D5774" s="159">
        <v>10</v>
      </c>
      <c r="E5774" s="166" t="s">
        <v>406</v>
      </c>
    </row>
    <row r="5775" spans="1:5">
      <c r="A5775" s="174">
        <f t="shared" si="82"/>
        <v>5774</v>
      </c>
      <c r="B5775" s="163">
        <v>45906</v>
      </c>
      <c r="C5775" s="164">
        <v>0.41496527777777775</v>
      </c>
      <c r="D5775" s="159">
        <v>10</v>
      </c>
      <c r="E5775" s="166" t="s">
        <v>5129</v>
      </c>
    </row>
    <row r="5776" spans="1:5">
      <c r="A5776" s="174">
        <f t="shared" si="82"/>
        <v>5775</v>
      </c>
      <c r="B5776" s="163">
        <v>45906</v>
      </c>
      <c r="C5776" s="164">
        <v>0.42539351851851853</v>
      </c>
      <c r="D5776" s="159">
        <v>9</v>
      </c>
      <c r="E5776" s="166" t="s">
        <v>244</v>
      </c>
    </row>
    <row r="5777" spans="1:5">
      <c r="A5777" s="174">
        <f t="shared" si="82"/>
        <v>5776</v>
      </c>
      <c r="B5777" s="163">
        <v>45906</v>
      </c>
      <c r="C5777" s="164">
        <v>0.43982638888888892</v>
      </c>
      <c r="D5777" s="159">
        <v>10</v>
      </c>
      <c r="E5777" s="166" t="s">
        <v>5130</v>
      </c>
    </row>
    <row r="5778" spans="1:5">
      <c r="A5778" s="174">
        <f t="shared" si="82"/>
        <v>5777</v>
      </c>
      <c r="B5778" s="163">
        <v>45906</v>
      </c>
      <c r="C5778" s="164">
        <v>0.44115740740740739</v>
      </c>
      <c r="D5778" s="159">
        <v>10</v>
      </c>
      <c r="E5778" s="166" t="s">
        <v>273</v>
      </c>
    </row>
    <row r="5779" spans="1:5">
      <c r="A5779" s="174">
        <f t="shared" si="82"/>
        <v>5778</v>
      </c>
      <c r="B5779" s="163">
        <v>45906</v>
      </c>
      <c r="C5779" s="164">
        <v>0.44342592592592589</v>
      </c>
      <c r="D5779" s="159">
        <v>10</v>
      </c>
      <c r="E5779" s="166" t="s">
        <v>5131</v>
      </c>
    </row>
    <row r="5780" spans="1:5">
      <c r="A5780" s="174">
        <f t="shared" si="82"/>
        <v>5779</v>
      </c>
      <c r="B5780" s="163">
        <v>45906</v>
      </c>
      <c r="C5780" s="164">
        <v>0.44913194444444443</v>
      </c>
      <c r="D5780" s="159">
        <v>10</v>
      </c>
      <c r="E5780" s="166" t="s">
        <v>5132</v>
      </c>
    </row>
    <row r="5781" spans="1:5">
      <c r="A5781" s="174">
        <f t="shared" si="82"/>
        <v>5780</v>
      </c>
      <c r="B5781" s="163">
        <v>45906</v>
      </c>
      <c r="C5781" s="164">
        <v>0.46488425925925925</v>
      </c>
      <c r="D5781" s="159">
        <v>10</v>
      </c>
      <c r="E5781" s="166" t="s">
        <v>5133</v>
      </c>
    </row>
    <row r="5782" spans="1:5">
      <c r="A5782" s="174">
        <f t="shared" si="82"/>
        <v>5781</v>
      </c>
      <c r="B5782" s="163">
        <v>45906</v>
      </c>
      <c r="C5782" s="164">
        <v>0.4806597222222222</v>
      </c>
      <c r="D5782" s="159">
        <v>10</v>
      </c>
      <c r="E5782" s="166" t="s">
        <v>5134</v>
      </c>
    </row>
    <row r="5783" spans="1:5" ht="40.5">
      <c r="A5783" s="174">
        <f t="shared" si="82"/>
        <v>5782</v>
      </c>
      <c r="B5783" s="163">
        <v>45906</v>
      </c>
      <c r="C5783" s="164">
        <v>0.49553240740740739</v>
      </c>
      <c r="D5783" s="159">
        <v>8</v>
      </c>
      <c r="E5783" s="166" t="s">
        <v>5135</v>
      </c>
    </row>
    <row r="5784" spans="1:5" ht="27">
      <c r="A5784" s="174">
        <f t="shared" si="82"/>
        <v>5783</v>
      </c>
      <c r="B5784" s="163">
        <v>45906</v>
      </c>
      <c r="C5784" s="164">
        <v>0.53047453703703706</v>
      </c>
      <c r="D5784" s="159">
        <v>10</v>
      </c>
      <c r="E5784" s="166" t="s">
        <v>5136</v>
      </c>
    </row>
    <row r="5785" spans="1:5">
      <c r="A5785" s="174">
        <f t="shared" si="82"/>
        <v>5784</v>
      </c>
      <c r="B5785" s="163">
        <v>45906</v>
      </c>
      <c r="C5785" s="164">
        <v>0.6471527777777778</v>
      </c>
      <c r="D5785" s="159">
        <v>10</v>
      </c>
      <c r="E5785" s="166" t="s">
        <v>5137</v>
      </c>
    </row>
    <row r="5786" spans="1:5">
      <c r="A5786" s="174">
        <f t="shared" si="82"/>
        <v>5785</v>
      </c>
      <c r="B5786" s="163">
        <v>45906</v>
      </c>
      <c r="C5786" s="164">
        <v>0.66425925925925922</v>
      </c>
      <c r="D5786" s="159">
        <v>1</v>
      </c>
      <c r="E5786" s="166" t="s">
        <v>5138</v>
      </c>
    </row>
    <row r="5787" spans="1:5">
      <c r="A5787" s="174">
        <f t="shared" si="82"/>
        <v>5786</v>
      </c>
      <c r="B5787" s="163">
        <v>45906</v>
      </c>
      <c r="C5787" s="164">
        <v>0.66641203703703711</v>
      </c>
      <c r="D5787" s="159">
        <v>10</v>
      </c>
      <c r="E5787" s="166" t="s">
        <v>5139</v>
      </c>
    </row>
    <row r="5788" spans="1:5">
      <c r="A5788" s="174">
        <f t="shared" si="82"/>
        <v>5787</v>
      </c>
      <c r="B5788" s="163">
        <v>45906</v>
      </c>
      <c r="C5788" s="164">
        <v>0.68653935185185189</v>
      </c>
      <c r="D5788" s="159">
        <v>10</v>
      </c>
      <c r="E5788" s="166" t="s">
        <v>5140</v>
      </c>
    </row>
    <row r="5789" spans="1:5">
      <c r="A5789" s="174">
        <f t="shared" si="82"/>
        <v>5788</v>
      </c>
      <c r="B5789" s="163">
        <v>45906</v>
      </c>
      <c r="C5789" s="164">
        <v>0.7038078703703704</v>
      </c>
      <c r="D5789" s="159">
        <v>10</v>
      </c>
      <c r="E5789" s="166" t="s">
        <v>5141</v>
      </c>
    </row>
    <row r="5790" spans="1:5">
      <c r="A5790" s="174">
        <f t="shared" si="82"/>
        <v>5789</v>
      </c>
      <c r="B5790" s="163">
        <v>45908</v>
      </c>
      <c r="C5790" s="164">
        <v>0.38420138888888888</v>
      </c>
      <c r="D5790" s="159">
        <v>10</v>
      </c>
      <c r="E5790" s="166" t="s">
        <v>5144</v>
      </c>
    </row>
    <row r="5791" spans="1:5" ht="27">
      <c r="A5791" s="174">
        <f t="shared" si="82"/>
        <v>5790</v>
      </c>
      <c r="B5791" s="163">
        <v>45908</v>
      </c>
      <c r="C5791" s="164">
        <v>0.38803240740740735</v>
      </c>
      <c r="D5791" s="159">
        <v>10</v>
      </c>
      <c r="E5791" s="166" t="s">
        <v>5179</v>
      </c>
    </row>
    <row r="5792" spans="1:5">
      <c r="A5792" s="174">
        <f t="shared" si="82"/>
        <v>5791</v>
      </c>
      <c r="B5792" s="163">
        <v>45908</v>
      </c>
      <c r="C5792" s="164">
        <v>0.38815972222222223</v>
      </c>
      <c r="D5792" s="159">
        <v>10</v>
      </c>
      <c r="E5792" s="166" t="s">
        <v>5145</v>
      </c>
    </row>
    <row r="5793" spans="1:5">
      <c r="A5793" s="174">
        <f t="shared" si="82"/>
        <v>5792</v>
      </c>
      <c r="B5793" s="163">
        <v>45908</v>
      </c>
      <c r="C5793" s="164">
        <v>0.38859953703703703</v>
      </c>
      <c r="D5793" s="159">
        <v>10</v>
      </c>
      <c r="E5793" s="166" t="s">
        <v>5146</v>
      </c>
    </row>
    <row r="5794" spans="1:5">
      <c r="A5794" s="174">
        <f t="shared" si="82"/>
        <v>5793</v>
      </c>
      <c r="B5794" s="163">
        <v>45908</v>
      </c>
      <c r="C5794" s="164">
        <v>0.39053240740740741</v>
      </c>
      <c r="D5794" s="159">
        <v>10</v>
      </c>
      <c r="E5794" s="166" t="s">
        <v>5147</v>
      </c>
    </row>
    <row r="5795" spans="1:5">
      <c r="A5795" s="174">
        <f t="shared" si="82"/>
        <v>5794</v>
      </c>
      <c r="B5795" s="163">
        <v>45908</v>
      </c>
      <c r="C5795" s="164">
        <v>0.41446759259259264</v>
      </c>
      <c r="D5795" s="159">
        <v>10</v>
      </c>
      <c r="E5795" s="166" t="s">
        <v>5148</v>
      </c>
    </row>
    <row r="5796" spans="1:5">
      <c r="A5796" s="174">
        <f t="shared" si="82"/>
        <v>5795</v>
      </c>
      <c r="B5796" s="163">
        <v>45908</v>
      </c>
      <c r="C5796" s="164">
        <v>0.41975694444444445</v>
      </c>
      <c r="D5796" s="159">
        <v>10</v>
      </c>
      <c r="E5796" s="166" t="s">
        <v>5149</v>
      </c>
    </row>
    <row r="5797" spans="1:5">
      <c r="A5797" s="174">
        <f t="shared" si="82"/>
        <v>5796</v>
      </c>
      <c r="B5797" s="163">
        <v>45908</v>
      </c>
      <c r="C5797" s="164">
        <v>0.42200231481481482</v>
      </c>
      <c r="D5797" s="159">
        <v>10</v>
      </c>
      <c r="E5797" s="166" t="s">
        <v>5150</v>
      </c>
    </row>
    <row r="5798" spans="1:5">
      <c r="A5798" s="174">
        <f t="shared" si="82"/>
        <v>5797</v>
      </c>
      <c r="B5798" s="163">
        <v>45908</v>
      </c>
      <c r="C5798" s="164">
        <v>0.42516203703703703</v>
      </c>
      <c r="D5798" s="159">
        <v>10</v>
      </c>
      <c r="E5798" s="166" t="s">
        <v>3508</v>
      </c>
    </row>
    <row r="5799" spans="1:5">
      <c r="A5799" s="174">
        <f t="shared" si="82"/>
        <v>5798</v>
      </c>
      <c r="B5799" s="163">
        <v>45908</v>
      </c>
      <c r="C5799" s="164">
        <v>0.43872685185185184</v>
      </c>
      <c r="D5799" s="159">
        <v>10</v>
      </c>
      <c r="E5799" s="166" t="s">
        <v>5151</v>
      </c>
    </row>
    <row r="5800" spans="1:5">
      <c r="A5800" s="174">
        <f t="shared" si="82"/>
        <v>5799</v>
      </c>
      <c r="B5800" s="163">
        <v>45908</v>
      </c>
      <c r="C5800" s="164">
        <v>0.44770833333333332</v>
      </c>
      <c r="D5800" s="159">
        <v>10</v>
      </c>
      <c r="E5800" s="166" t="s">
        <v>5152</v>
      </c>
    </row>
    <row r="5801" spans="1:5">
      <c r="A5801" s="174">
        <f t="shared" si="82"/>
        <v>5800</v>
      </c>
      <c r="B5801" s="163">
        <v>45908</v>
      </c>
      <c r="C5801" s="164">
        <v>0.45574074074074072</v>
      </c>
      <c r="D5801" s="159">
        <v>10</v>
      </c>
      <c r="E5801" s="166" t="s">
        <v>5153</v>
      </c>
    </row>
    <row r="5802" spans="1:5">
      <c r="A5802" s="174">
        <f t="shared" si="82"/>
        <v>5801</v>
      </c>
      <c r="B5802" s="163">
        <v>45908</v>
      </c>
      <c r="C5802" s="164">
        <v>0.45658564814814812</v>
      </c>
      <c r="D5802" s="159">
        <v>10</v>
      </c>
      <c r="E5802" s="166" t="s">
        <v>5154</v>
      </c>
    </row>
    <row r="5803" spans="1:5">
      <c r="A5803" s="174">
        <f t="shared" si="82"/>
        <v>5802</v>
      </c>
      <c r="B5803" s="163">
        <v>45908</v>
      </c>
      <c r="C5803" s="164">
        <v>0.46508101851851852</v>
      </c>
      <c r="D5803" s="159">
        <v>10</v>
      </c>
      <c r="E5803" s="166" t="s">
        <v>5155</v>
      </c>
    </row>
    <row r="5804" spans="1:5">
      <c r="A5804" s="174">
        <f t="shared" si="82"/>
        <v>5803</v>
      </c>
      <c r="B5804" s="163">
        <v>45908</v>
      </c>
      <c r="C5804" s="164">
        <v>0.46519675925925924</v>
      </c>
      <c r="D5804" s="159">
        <v>10</v>
      </c>
      <c r="E5804" s="166" t="s">
        <v>364</v>
      </c>
    </row>
    <row r="5805" spans="1:5">
      <c r="A5805" s="174">
        <f t="shared" si="82"/>
        <v>5804</v>
      </c>
      <c r="B5805" s="163">
        <v>45908</v>
      </c>
      <c r="C5805" s="164">
        <v>0.51081018518518517</v>
      </c>
      <c r="D5805" s="159">
        <v>10</v>
      </c>
      <c r="E5805" s="166" t="s">
        <v>5156</v>
      </c>
    </row>
    <row r="5806" spans="1:5" ht="40.5">
      <c r="A5806" s="174">
        <f t="shared" si="82"/>
        <v>5805</v>
      </c>
      <c r="B5806" s="163">
        <v>45908</v>
      </c>
      <c r="C5806" s="164">
        <v>0.51707175925925919</v>
      </c>
      <c r="D5806" s="159">
        <v>10</v>
      </c>
      <c r="E5806" s="166" t="s">
        <v>5157</v>
      </c>
    </row>
    <row r="5807" spans="1:5">
      <c r="A5807" s="174">
        <f t="shared" si="82"/>
        <v>5806</v>
      </c>
      <c r="B5807" s="163">
        <v>45908</v>
      </c>
      <c r="C5807" s="164">
        <v>0.54898148148148151</v>
      </c>
      <c r="D5807" s="159">
        <v>10</v>
      </c>
      <c r="E5807" s="166" t="s">
        <v>5158</v>
      </c>
    </row>
    <row r="5808" spans="1:5">
      <c r="A5808" s="174">
        <f t="shared" si="82"/>
        <v>5807</v>
      </c>
      <c r="B5808" s="163">
        <v>45908</v>
      </c>
      <c r="C5808" s="164">
        <v>0.54997685185185186</v>
      </c>
      <c r="D5808" s="159">
        <v>10</v>
      </c>
      <c r="E5808" s="166" t="s">
        <v>5159</v>
      </c>
    </row>
    <row r="5809" spans="1:5">
      <c r="A5809" s="174">
        <f t="shared" si="82"/>
        <v>5808</v>
      </c>
      <c r="B5809" s="163">
        <v>45908</v>
      </c>
      <c r="C5809" s="164">
        <v>0.57881944444444444</v>
      </c>
      <c r="D5809" s="159">
        <v>10</v>
      </c>
      <c r="E5809" s="166" t="s">
        <v>5160</v>
      </c>
    </row>
    <row r="5810" spans="1:5">
      <c r="A5810" s="174">
        <f t="shared" si="82"/>
        <v>5809</v>
      </c>
      <c r="B5810" s="163">
        <v>45908</v>
      </c>
      <c r="C5810" s="164">
        <v>0.58731481481481485</v>
      </c>
      <c r="D5810" s="159">
        <v>10</v>
      </c>
      <c r="E5810" s="166" t="s">
        <v>5161</v>
      </c>
    </row>
    <row r="5811" spans="1:5">
      <c r="A5811" s="174">
        <f t="shared" si="82"/>
        <v>5810</v>
      </c>
      <c r="B5811" s="163">
        <v>45908</v>
      </c>
      <c r="C5811" s="164">
        <v>0.60030092592592588</v>
      </c>
      <c r="D5811" s="159">
        <v>10</v>
      </c>
      <c r="E5811" s="166" t="s">
        <v>5162</v>
      </c>
    </row>
    <row r="5812" spans="1:5">
      <c r="A5812" s="174">
        <f t="shared" si="82"/>
        <v>5811</v>
      </c>
      <c r="B5812" s="163">
        <v>45908</v>
      </c>
      <c r="C5812" s="164">
        <v>0.60589120370370375</v>
      </c>
      <c r="D5812" s="159">
        <v>10</v>
      </c>
      <c r="E5812" s="166">
        <v>1</v>
      </c>
    </row>
    <row r="5813" spans="1:5">
      <c r="A5813" s="174">
        <f t="shared" ref="A5813:A5876" si="83">ROW()-1</f>
        <v>5812</v>
      </c>
      <c r="B5813" s="163">
        <v>45908</v>
      </c>
      <c r="C5813" s="164">
        <v>0.60693287037037036</v>
      </c>
      <c r="D5813" s="159">
        <v>10</v>
      </c>
      <c r="E5813" s="166" t="s">
        <v>5163</v>
      </c>
    </row>
    <row r="5814" spans="1:5">
      <c r="A5814" s="174">
        <f t="shared" si="83"/>
        <v>5813</v>
      </c>
      <c r="B5814" s="163">
        <v>45908</v>
      </c>
      <c r="C5814" s="164">
        <v>0.61506944444444445</v>
      </c>
      <c r="D5814" s="159">
        <v>10</v>
      </c>
      <c r="E5814" s="166" t="s">
        <v>244</v>
      </c>
    </row>
    <row r="5815" spans="1:5">
      <c r="A5815" s="174">
        <f t="shared" si="83"/>
        <v>5814</v>
      </c>
      <c r="B5815" s="163">
        <v>45908</v>
      </c>
      <c r="C5815" s="164">
        <v>0.62193287037037037</v>
      </c>
      <c r="D5815" s="159">
        <v>10</v>
      </c>
      <c r="E5815" s="166" t="s">
        <v>5164</v>
      </c>
    </row>
    <row r="5816" spans="1:5">
      <c r="A5816" s="174">
        <f t="shared" si="83"/>
        <v>5815</v>
      </c>
      <c r="B5816" s="163">
        <v>45908</v>
      </c>
      <c r="C5816" s="164">
        <v>0.62561342592592595</v>
      </c>
      <c r="D5816" s="159">
        <v>10</v>
      </c>
      <c r="E5816" s="166" t="s">
        <v>5165</v>
      </c>
    </row>
    <row r="5817" spans="1:5">
      <c r="A5817" s="174">
        <f t="shared" si="83"/>
        <v>5816</v>
      </c>
      <c r="B5817" s="163">
        <v>45908</v>
      </c>
      <c r="C5817" s="164">
        <v>0.65062500000000001</v>
      </c>
      <c r="D5817" s="159">
        <v>10</v>
      </c>
      <c r="E5817" s="166" t="s">
        <v>732</v>
      </c>
    </row>
    <row r="5818" spans="1:5">
      <c r="A5818" s="174">
        <f t="shared" si="83"/>
        <v>5817</v>
      </c>
      <c r="B5818" s="163">
        <v>45908</v>
      </c>
      <c r="C5818" s="164">
        <v>0.66958333333333331</v>
      </c>
      <c r="D5818" s="159">
        <v>10</v>
      </c>
      <c r="E5818" s="166" t="s">
        <v>2052</v>
      </c>
    </row>
    <row r="5819" spans="1:5">
      <c r="A5819" s="174">
        <f t="shared" si="83"/>
        <v>5818</v>
      </c>
      <c r="B5819" s="163">
        <v>45908</v>
      </c>
      <c r="C5819" s="164">
        <v>0.68490740740740741</v>
      </c>
      <c r="D5819" s="159">
        <v>10</v>
      </c>
      <c r="E5819" s="166" t="s">
        <v>5166</v>
      </c>
    </row>
    <row r="5820" spans="1:5">
      <c r="A5820" s="174">
        <f t="shared" si="83"/>
        <v>5819</v>
      </c>
      <c r="B5820" s="163">
        <v>45908</v>
      </c>
      <c r="C5820" s="164">
        <v>0.71300925925925929</v>
      </c>
      <c r="D5820" s="159">
        <v>10</v>
      </c>
      <c r="E5820" s="166" t="s">
        <v>4826</v>
      </c>
    </row>
    <row r="5821" spans="1:5">
      <c r="A5821" s="174">
        <f t="shared" si="83"/>
        <v>5820</v>
      </c>
      <c r="B5821" s="163">
        <v>45908</v>
      </c>
      <c r="C5821" s="164">
        <v>0.71439814814814817</v>
      </c>
      <c r="D5821" s="159">
        <v>10</v>
      </c>
      <c r="E5821" s="166" t="s">
        <v>5167</v>
      </c>
    </row>
    <row r="5822" spans="1:5">
      <c r="A5822" s="174">
        <f t="shared" si="83"/>
        <v>5821</v>
      </c>
      <c r="B5822" s="163">
        <v>45908</v>
      </c>
      <c r="C5822" s="164">
        <v>0.7166435185185186</v>
      </c>
      <c r="D5822" s="159">
        <v>10</v>
      </c>
      <c r="E5822" s="166" t="s">
        <v>5168</v>
      </c>
    </row>
    <row r="5823" spans="1:5">
      <c r="A5823" s="174">
        <f t="shared" si="83"/>
        <v>5822</v>
      </c>
      <c r="B5823" s="163">
        <v>45908</v>
      </c>
      <c r="C5823" s="164">
        <v>0.71930555555555553</v>
      </c>
      <c r="D5823" s="159">
        <v>10</v>
      </c>
      <c r="E5823" s="166" t="s">
        <v>5169</v>
      </c>
    </row>
    <row r="5824" spans="1:5">
      <c r="A5824" s="174">
        <f t="shared" si="83"/>
        <v>5823</v>
      </c>
      <c r="B5824" s="163">
        <v>45908</v>
      </c>
      <c r="C5824" s="164">
        <v>0.71965277777777781</v>
      </c>
      <c r="D5824" s="159">
        <v>10</v>
      </c>
      <c r="E5824" s="166" t="s">
        <v>5170</v>
      </c>
    </row>
    <row r="5825" spans="1:5">
      <c r="A5825" s="174">
        <f t="shared" si="83"/>
        <v>5824</v>
      </c>
      <c r="B5825" s="163">
        <v>45908</v>
      </c>
      <c r="C5825" s="164">
        <v>0.73436342592592585</v>
      </c>
      <c r="D5825" s="159">
        <v>10</v>
      </c>
      <c r="E5825" s="166" t="s">
        <v>5171</v>
      </c>
    </row>
    <row r="5826" spans="1:5">
      <c r="A5826" s="174">
        <f t="shared" si="83"/>
        <v>5825</v>
      </c>
      <c r="B5826" s="163">
        <v>45908</v>
      </c>
      <c r="C5826" s="164">
        <v>0.73503472222222221</v>
      </c>
      <c r="D5826" s="159">
        <v>10</v>
      </c>
      <c r="E5826" s="166" t="s">
        <v>5172</v>
      </c>
    </row>
    <row r="5827" spans="1:5">
      <c r="A5827" s="174">
        <f t="shared" si="83"/>
        <v>5826</v>
      </c>
      <c r="B5827" s="163">
        <v>45908</v>
      </c>
      <c r="C5827" s="164">
        <v>0.73642361111111121</v>
      </c>
      <c r="D5827" s="159">
        <v>10</v>
      </c>
      <c r="E5827" s="166" t="s">
        <v>5173</v>
      </c>
    </row>
    <row r="5828" spans="1:5" ht="27">
      <c r="A5828" s="174">
        <f t="shared" si="83"/>
        <v>5827</v>
      </c>
      <c r="B5828" s="163">
        <v>45908</v>
      </c>
      <c r="C5828" s="164">
        <v>0.77055555555555555</v>
      </c>
      <c r="D5828" s="159">
        <v>10</v>
      </c>
      <c r="E5828" s="166" t="s">
        <v>5180</v>
      </c>
    </row>
    <row r="5829" spans="1:5">
      <c r="A5829" s="174">
        <f t="shared" si="83"/>
        <v>5828</v>
      </c>
      <c r="B5829" s="163">
        <v>45908</v>
      </c>
      <c r="C5829" s="164">
        <v>0.78930555555555559</v>
      </c>
      <c r="D5829" s="159">
        <v>10</v>
      </c>
      <c r="E5829" s="166" t="s">
        <v>273</v>
      </c>
    </row>
    <row r="5830" spans="1:5">
      <c r="A5830" s="174">
        <f t="shared" si="83"/>
        <v>5829</v>
      </c>
      <c r="B5830" s="163">
        <v>45908</v>
      </c>
      <c r="C5830" s="164">
        <v>0.79206018518518517</v>
      </c>
      <c r="D5830" s="159">
        <v>10</v>
      </c>
      <c r="E5830" s="166" t="s">
        <v>5174</v>
      </c>
    </row>
    <row r="5831" spans="1:5">
      <c r="A5831" s="174">
        <f t="shared" si="83"/>
        <v>5830</v>
      </c>
      <c r="B5831" s="163">
        <v>45908</v>
      </c>
      <c r="C5831" s="164">
        <v>0.84122685185185186</v>
      </c>
      <c r="D5831" s="159">
        <v>10</v>
      </c>
      <c r="E5831" s="166" t="s">
        <v>5175</v>
      </c>
    </row>
    <row r="5832" spans="1:5">
      <c r="A5832" s="174">
        <f t="shared" si="83"/>
        <v>5831</v>
      </c>
      <c r="B5832" s="163">
        <v>45908</v>
      </c>
      <c r="C5832" s="164">
        <v>0.84140046296296289</v>
      </c>
      <c r="D5832" s="159">
        <v>10</v>
      </c>
      <c r="E5832" s="166" t="s">
        <v>5176</v>
      </c>
    </row>
    <row r="5833" spans="1:5">
      <c r="A5833" s="174">
        <f t="shared" si="83"/>
        <v>5832</v>
      </c>
      <c r="B5833" s="163">
        <v>45908</v>
      </c>
      <c r="C5833" s="164">
        <v>0.86601851851851863</v>
      </c>
      <c r="D5833" s="159">
        <v>10</v>
      </c>
      <c r="E5833" s="166" t="s">
        <v>5177</v>
      </c>
    </row>
    <row r="5834" spans="1:5">
      <c r="A5834" s="174">
        <f t="shared" si="83"/>
        <v>5833</v>
      </c>
      <c r="B5834" s="163">
        <v>45908</v>
      </c>
      <c r="C5834" s="164">
        <v>0.87968750000000007</v>
      </c>
      <c r="D5834" s="159">
        <v>10</v>
      </c>
      <c r="E5834" s="166" t="s">
        <v>876</v>
      </c>
    </row>
    <row r="5835" spans="1:5">
      <c r="A5835" s="174">
        <f t="shared" si="83"/>
        <v>5834</v>
      </c>
      <c r="B5835" s="163">
        <v>45908</v>
      </c>
      <c r="C5835" s="164">
        <v>0.87974537037037026</v>
      </c>
      <c r="D5835" s="159">
        <v>10</v>
      </c>
      <c r="E5835" s="166" t="s">
        <v>5178</v>
      </c>
    </row>
    <row r="5836" spans="1:5">
      <c r="A5836" s="174">
        <f t="shared" si="83"/>
        <v>5835</v>
      </c>
      <c r="B5836" s="163">
        <v>45908</v>
      </c>
      <c r="C5836" s="164">
        <v>0.91137731481481488</v>
      </c>
      <c r="D5836" s="159">
        <v>10</v>
      </c>
      <c r="E5836" s="166" t="s">
        <v>1186</v>
      </c>
    </row>
    <row r="5837" spans="1:5">
      <c r="A5837" s="174">
        <f t="shared" si="83"/>
        <v>5836</v>
      </c>
      <c r="B5837" s="163">
        <v>45909</v>
      </c>
      <c r="C5837" s="164">
        <v>0.39340277777777777</v>
      </c>
      <c r="D5837" s="159">
        <v>10</v>
      </c>
      <c r="E5837" s="166" t="s">
        <v>5181</v>
      </c>
    </row>
    <row r="5838" spans="1:5">
      <c r="A5838" s="174">
        <f t="shared" si="83"/>
        <v>5837</v>
      </c>
      <c r="B5838" s="163">
        <v>45909</v>
      </c>
      <c r="C5838" s="164">
        <v>0.39956018518518516</v>
      </c>
      <c r="D5838" s="159">
        <v>10</v>
      </c>
      <c r="E5838" s="166" t="s">
        <v>1495</v>
      </c>
    </row>
    <row r="5839" spans="1:5">
      <c r="A5839" s="174">
        <f t="shared" si="83"/>
        <v>5838</v>
      </c>
      <c r="B5839" s="163">
        <v>45909</v>
      </c>
      <c r="C5839" s="164">
        <v>0.41555555555555551</v>
      </c>
      <c r="D5839" s="159">
        <v>10</v>
      </c>
      <c r="E5839" s="166" t="s">
        <v>690</v>
      </c>
    </row>
    <row r="5840" spans="1:5">
      <c r="A5840" s="174">
        <f t="shared" si="83"/>
        <v>5839</v>
      </c>
      <c r="B5840" s="163">
        <v>45909</v>
      </c>
      <c r="C5840" s="164">
        <v>0.42103009259259255</v>
      </c>
      <c r="D5840" s="159">
        <v>10</v>
      </c>
      <c r="E5840" s="166" t="s">
        <v>5182</v>
      </c>
    </row>
    <row r="5841" spans="1:5">
      <c r="A5841" s="174">
        <f t="shared" si="83"/>
        <v>5840</v>
      </c>
      <c r="B5841" s="163">
        <v>45909</v>
      </c>
      <c r="C5841" s="164">
        <v>0.43385416666666665</v>
      </c>
      <c r="D5841" s="159">
        <v>10</v>
      </c>
      <c r="E5841" s="166" t="s">
        <v>5183</v>
      </c>
    </row>
    <row r="5842" spans="1:5">
      <c r="A5842" s="174">
        <f t="shared" si="83"/>
        <v>5841</v>
      </c>
      <c r="B5842" s="163">
        <v>45909</v>
      </c>
      <c r="C5842" s="164">
        <v>0.43616898148148148</v>
      </c>
      <c r="D5842" s="159">
        <v>10</v>
      </c>
      <c r="E5842" s="166" t="s">
        <v>5184</v>
      </c>
    </row>
    <row r="5843" spans="1:5">
      <c r="A5843" s="174">
        <f t="shared" si="83"/>
        <v>5842</v>
      </c>
      <c r="B5843" s="163">
        <v>45909</v>
      </c>
      <c r="C5843" s="164">
        <v>0.44383101851851853</v>
      </c>
      <c r="D5843" s="159">
        <v>10</v>
      </c>
      <c r="E5843" s="166" t="s">
        <v>5213</v>
      </c>
    </row>
    <row r="5844" spans="1:5">
      <c r="A5844" s="174">
        <f t="shared" si="83"/>
        <v>5843</v>
      </c>
      <c r="B5844" s="163">
        <v>45909</v>
      </c>
      <c r="C5844" s="164">
        <v>0.44396990740740744</v>
      </c>
      <c r="D5844" s="159">
        <v>10</v>
      </c>
      <c r="E5844" s="166" t="s">
        <v>5185</v>
      </c>
    </row>
    <row r="5845" spans="1:5">
      <c r="A5845" s="174">
        <f t="shared" si="83"/>
        <v>5844</v>
      </c>
      <c r="B5845" s="163">
        <v>45909</v>
      </c>
      <c r="C5845" s="164">
        <v>0.44640046296296299</v>
      </c>
      <c r="D5845" s="159">
        <v>10</v>
      </c>
      <c r="E5845" s="166" t="s">
        <v>5186</v>
      </c>
    </row>
    <row r="5846" spans="1:5">
      <c r="A5846" s="174">
        <f t="shared" si="83"/>
        <v>5845</v>
      </c>
      <c r="B5846" s="163">
        <v>45909</v>
      </c>
      <c r="C5846" s="164">
        <v>0.45466435185185183</v>
      </c>
      <c r="D5846" s="159">
        <v>10</v>
      </c>
      <c r="E5846" s="166" t="s">
        <v>5187</v>
      </c>
    </row>
    <row r="5847" spans="1:5">
      <c r="A5847" s="174">
        <f t="shared" si="83"/>
        <v>5846</v>
      </c>
      <c r="B5847" s="163">
        <v>45909</v>
      </c>
      <c r="C5847" s="164">
        <v>0.47508101851851853</v>
      </c>
      <c r="D5847" s="159">
        <v>10</v>
      </c>
      <c r="E5847" s="166" t="s">
        <v>5188</v>
      </c>
    </row>
    <row r="5848" spans="1:5">
      <c r="A5848" s="174">
        <f t="shared" si="83"/>
        <v>5847</v>
      </c>
      <c r="B5848" s="163">
        <v>45909</v>
      </c>
      <c r="C5848" s="164">
        <v>0.49238425925925927</v>
      </c>
      <c r="D5848" s="159">
        <v>10</v>
      </c>
      <c r="E5848" s="166" t="s">
        <v>406</v>
      </c>
    </row>
    <row r="5849" spans="1:5">
      <c r="A5849" s="174">
        <f t="shared" si="83"/>
        <v>5848</v>
      </c>
      <c r="B5849" s="163">
        <v>45909</v>
      </c>
      <c r="C5849" s="164">
        <v>0.5100810185185185</v>
      </c>
      <c r="D5849" s="159">
        <v>10</v>
      </c>
      <c r="E5849" s="166" t="s">
        <v>5189</v>
      </c>
    </row>
    <row r="5850" spans="1:5">
      <c r="A5850" s="174">
        <f t="shared" si="83"/>
        <v>5849</v>
      </c>
      <c r="B5850" s="163">
        <v>45909</v>
      </c>
      <c r="C5850" s="164">
        <v>0.51127314814814817</v>
      </c>
      <c r="D5850" s="159">
        <v>10</v>
      </c>
      <c r="E5850" s="166" t="s">
        <v>5190</v>
      </c>
    </row>
    <row r="5851" spans="1:5">
      <c r="A5851" s="174">
        <f t="shared" si="83"/>
        <v>5850</v>
      </c>
      <c r="B5851" s="163">
        <v>45909</v>
      </c>
      <c r="C5851" s="164">
        <v>0.53173611111111108</v>
      </c>
      <c r="D5851" s="159">
        <v>10</v>
      </c>
      <c r="E5851" s="166" t="s">
        <v>5191</v>
      </c>
    </row>
    <row r="5852" spans="1:5">
      <c r="A5852" s="174">
        <f t="shared" si="83"/>
        <v>5851</v>
      </c>
      <c r="B5852" s="163">
        <v>45909</v>
      </c>
      <c r="C5852" s="164">
        <v>0.55064814814814811</v>
      </c>
      <c r="D5852" s="159">
        <v>10</v>
      </c>
      <c r="E5852" s="166" t="s">
        <v>5192</v>
      </c>
    </row>
    <row r="5853" spans="1:5">
      <c r="A5853" s="174">
        <f t="shared" si="83"/>
        <v>5852</v>
      </c>
      <c r="B5853" s="163">
        <v>45909</v>
      </c>
      <c r="C5853" s="164">
        <v>0.55140046296296297</v>
      </c>
      <c r="D5853" s="159">
        <v>10</v>
      </c>
      <c r="E5853" s="166" t="s">
        <v>5193</v>
      </c>
    </row>
    <row r="5854" spans="1:5">
      <c r="A5854" s="174">
        <f t="shared" si="83"/>
        <v>5853</v>
      </c>
      <c r="B5854" s="163">
        <v>45909</v>
      </c>
      <c r="C5854" s="164">
        <v>0.58297453703703705</v>
      </c>
      <c r="D5854" s="159">
        <v>10</v>
      </c>
      <c r="E5854" s="166" t="s">
        <v>5194</v>
      </c>
    </row>
    <row r="5855" spans="1:5">
      <c r="A5855" s="174">
        <f t="shared" si="83"/>
        <v>5854</v>
      </c>
      <c r="B5855" s="163">
        <v>45909</v>
      </c>
      <c r="C5855" s="164">
        <v>0.58826388888888892</v>
      </c>
      <c r="D5855" s="159">
        <v>10</v>
      </c>
      <c r="E5855" s="166" t="s">
        <v>5195</v>
      </c>
    </row>
    <row r="5856" spans="1:5">
      <c r="A5856" s="174">
        <f t="shared" si="83"/>
        <v>5855</v>
      </c>
      <c r="B5856" s="163">
        <v>45909</v>
      </c>
      <c r="C5856" s="164">
        <v>0.59380787037037031</v>
      </c>
      <c r="D5856" s="159">
        <v>10</v>
      </c>
      <c r="E5856" s="166" t="s">
        <v>5196</v>
      </c>
    </row>
    <row r="5857" spans="1:5">
      <c r="A5857" s="174">
        <f t="shared" si="83"/>
        <v>5856</v>
      </c>
      <c r="B5857" s="163">
        <v>45909</v>
      </c>
      <c r="C5857" s="164">
        <v>0.61280092592592594</v>
      </c>
      <c r="D5857" s="159">
        <v>10</v>
      </c>
      <c r="E5857" s="166" t="s">
        <v>5197</v>
      </c>
    </row>
    <row r="5858" spans="1:5" ht="27">
      <c r="A5858" s="174">
        <f t="shared" si="83"/>
        <v>5857</v>
      </c>
      <c r="B5858" s="163">
        <v>45909</v>
      </c>
      <c r="C5858" s="164">
        <v>0.62313657407407408</v>
      </c>
      <c r="D5858" s="159">
        <v>10</v>
      </c>
      <c r="E5858" s="166" t="s">
        <v>5214</v>
      </c>
    </row>
    <row r="5859" spans="1:5">
      <c r="A5859" s="174">
        <f t="shared" si="83"/>
        <v>5858</v>
      </c>
      <c r="B5859" s="163">
        <v>45909</v>
      </c>
      <c r="C5859" s="164">
        <v>0.6324305555555555</v>
      </c>
      <c r="D5859" s="159">
        <v>10</v>
      </c>
      <c r="E5859" s="166" t="s">
        <v>2535</v>
      </c>
    </row>
    <row r="5860" spans="1:5">
      <c r="A5860" s="174">
        <f t="shared" si="83"/>
        <v>5859</v>
      </c>
      <c r="B5860" s="163">
        <v>45909</v>
      </c>
      <c r="C5860" s="164">
        <v>0.6375925925925926</v>
      </c>
      <c r="D5860" s="159">
        <v>10</v>
      </c>
      <c r="E5860" s="166" t="s">
        <v>5198</v>
      </c>
    </row>
    <row r="5861" spans="1:5">
      <c r="A5861" s="174">
        <f t="shared" si="83"/>
        <v>5860</v>
      </c>
      <c r="B5861" s="163">
        <v>45909</v>
      </c>
      <c r="C5861" s="164">
        <v>0.64835648148148151</v>
      </c>
      <c r="D5861" s="159">
        <v>10</v>
      </c>
      <c r="E5861" s="166" t="s">
        <v>5199</v>
      </c>
    </row>
    <row r="5862" spans="1:5">
      <c r="A5862" s="174">
        <f t="shared" si="83"/>
        <v>5861</v>
      </c>
      <c r="B5862" s="163">
        <v>45909</v>
      </c>
      <c r="C5862" s="164">
        <v>0.65322916666666664</v>
      </c>
      <c r="D5862" s="159">
        <v>10</v>
      </c>
      <c r="E5862" s="166" t="s">
        <v>5200</v>
      </c>
    </row>
    <row r="5863" spans="1:5">
      <c r="A5863" s="174">
        <f t="shared" si="83"/>
        <v>5862</v>
      </c>
      <c r="B5863" s="163">
        <v>45909</v>
      </c>
      <c r="C5863" s="164">
        <v>0.67031249999999998</v>
      </c>
      <c r="D5863" s="159">
        <v>10</v>
      </c>
      <c r="E5863" s="166" t="s">
        <v>132</v>
      </c>
    </row>
    <row r="5864" spans="1:5">
      <c r="A5864" s="174">
        <f t="shared" si="83"/>
        <v>5863</v>
      </c>
      <c r="B5864" s="163">
        <v>45909</v>
      </c>
      <c r="C5864" s="164">
        <v>0.67583333333333329</v>
      </c>
      <c r="D5864" s="159">
        <v>10</v>
      </c>
      <c r="E5864" s="166" t="s">
        <v>5215</v>
      </c>
    </row>
    <row r="5865" spans="1:5">
      <c r="A5865" s="174">
        <f t="shared" si="83"/>
        <v>5864</v>
      </c>
      <c r="B5865" s="163">
        <v>45909</v>
      </c>
      <c r="C5865" s="164">
        <v>0.68633101851851841</v>
      </c>
      <c r="D5865" s="159">
        <v>10</v>
      </c>
      <c r="E5865" s="166" t="s">
        <v>5201</v>
      </c>
    </row>
    <row r="5866" spans="1:5">
      <c r="A5866" s="174">
        <f t="shared" si="83"/>
        <v>5865</v>
      </c>
      <c r="B5866" s="163">
        <v>45909</v>
      </c>
      <c r="C5866" s="164">
        <v>0.69723379629629623</v>
      </c>
      <c r="D5866" s="159">
        <v>10</v>
      </c>
      <c r="E5866" s="166" t="s">
        <v>5202</v>
      </c>
    </row>
    <row r="5867" spans="1:5">
      <c r="A5867" s="174">
        <f t="shared" si="83"/>
        <v>5866</v>
      </c>
      <c r="B5867" s="163">
        <v>45909</v>
      </c>
      <c r="C5867" s="164">
        <v>0.70496527777777773</v>
      </c>
      <c r="D5867" s="159">
        <v>10</v>
      </c>
      <c r="E5867" s="166" t="s">
        <v>5203</v>
      </c>
    </row>
    <row r="5868" spans="1:5">
      <c r="A5868" s="174">
        <f t="shared" si="83"/>
        <v>5867</v>
      </c>
      <c r="B5868" s="163">
        <v>45909</v>
      </c>
      <c r="C5868" s="164">
        <v>0.72601851851851851</v>
      </c>
      <c r="D5868" s="159">
        <v>10</v>
      </c>
      <c r="E5868" s="166" t="s">
        <v>5204</v>
      </c>
    </row>
    <row r="5869" spans="1:5">
      <c r="A5869" s="174">
        <f t="shared" si="83"/>
        <v>5868</v>
      </c>
      <c r="B5869" s="163">
        <v>45909</v>
      </c>
      <c r="C5869" s="164">
        <v>0.73788194444444455</v>
      </c>
      <c r="D5869" s="159">
        <v>10</v>
      </c>
      <c r="E5869" s="166" t="s">
        <v>5205</v>
      </c>
    </row>
    <row r="5870" spans="1:5">
      <c r="A5870" s="174">
        <f t="shared" si="83"/>
        <v>5869</v>
      </c>
      <c r="B5870" s="163">
        <v>45909</v>
      </c>
      <c r="C5870" s="164">
        <v>0.74273148148148149</v>
      </c>
      <c r="D5870" s="159">
        <v>10</v>
      </c>
      <c r="E5870" s="166" t="s">
        <v>5206</v>
      </c>
    </row>
    <row r="5871" spans="1:5">
      <c r="A5871" s="174">
        <f t="shared" si="83"/>
        <v>5870</v>
      </c>
      <c r="B5871" s="163">
        <v>45909</v>
      </c>
      <c r="C5871" s="164">
        <v>0.75788194444444434</v>
      </c>
      <c r="D5871" s="159">
        <v>10</v>
      </c>
      <c r="E5871" s="166" t="s">
        <v>5207</v>
      </c>
    </row>
    <row r="5872" spans="1:5">
      <c r="A5872" s="174">
        <f t="shared" si="83"/>
        <v>5871</v>
      </c>
      <c r="B5872" s="163">
        <v>45909</v>
      </c>
      <c r="C5872" s="164">
        <v>0.75877314814814811</v>
      </c>
      <c r="D5872" s="159">
        <v>10</v>
      </c>
      <c r="E5872" s="166" t="s">
        <v>5208</v>
      </c>
    </row>
    <row r="5873" spans="1:5">
      <c r="A5873" s="174">
        <f t="shared" si="83"/>
        <v>5872</v>
      </c>
      <c r="B5873" s="163">
        <v>45909</v>
      </c>
      <c r="C5873" s="164">
        <v>0.77731481481481479</v>
      </c>
      <c r="D5873" s="159">
        <v>10</v>
      </c>
      <c r="E5873" s="166" t="s">
        <v>5209</v>
      </c>
    </row>
    <row r="5874" spans="1:5">
      <c r="A5874" s="174">
        <f t="shared" si="83"/>
        <v>5873</v>
      </c>
      <c r="B5874" s="163">
        <v>45909</v>
      </c>
      <c r="C5874" s="164">
        <v>0.81597222222222221</v>
      </c>
      <c r="D5874" s="159">
        <v>10</v>
      </c>
      <c r="E5874" s="166" t="s">
        <v>479</v>
      </c>
    </row>
    <row r="5875" spans="1:5">
      <c r="A5875" s="174">
        <f t="shared" si="83"/>
        <v>5874</v>
      </c>
      <c r="B5875" s="163">
        <v>45909</v>
      </c>
      <c r="C5875" s="164">
        <v>0.83743055555555557</v>
      </c>
      <c r="D5875" s="159">
        <v>10</v>
      </c>
      <c r="E5875" s="166" t="s">
        <v>2600</v>
      </c>
    </row>
    <row r="5876" spans="1:5">
      <c r="A5876" s="174">
        <f t="shared" si="83"/>
        <v>5875</v>
      </c>
      <c r="B5876" s="163">
        <v>45909</v>
      </c>
      <c r="C5876" s="164">
        <v>0.87982638888888898</v>
      </c>
      <c r="D5876" s="159">
        <v>10</v>
      </c>
      <c r="E5876" s="166" t="s">
        <v>5210</v>
      </c>
    </row>
    <row r="5877" spans="1:5">
      <c r="A5877" s="174">
        <f t="shared" ref="A5877:A5940" si="84">ROW()-1</f>
        <v>5876</v>
      </c>
      <c r="B5877" s="163">
        <v>45909</v>
      </c>
      <c r="C5877" s="164">
        <v>0.88047453703703704</v>
      </c>
      <c r="D5877" s="159">
        <v>10</v>
      </c>
      <c r="E5877" s="166" t="s">
        <v>537</v>
      </c>
    </row>
    <row r="5878" spans="1:5">
      <c r="A5878" s="174">
        <f t="shared" si="84"/>
        <v>5877</v>
      </c>
      <c r="B5878" s="163">
        <v>45909</v>
      </c>
      <c r="C5878" s="164">
        <v>0.8888194444444445</v>
      </c>
      <c r="D5878" s="159">
        <v>10</v>
      </c>
      <c r="E5878" s="166" t="s">
        <v>5211</v>
      </c>
    </row>
    <row r="5879" spans="1:5">
      <c r="A5879" s="174">
        <f t="shared" si="84"/>
        <v>5878</v>
      </c>
      <c r="B5879" s="163">
        <v>45909</v>
      </c>
      <c r="C5879" s="164">
        <v>0.89230324074074074</v>
      </c>
      <c r="D5879" s="159">
        <v>10</v>
      </c>
      <c r="E5879" s="166" t="s">
        <v>5212</v>
      </c>
    </row>
    <row r="5880" spans="1:5">
      <c r="A5880" s="174">
        <f t="shared" si="84"/>
        <v>5879</v>
      </c>
      <c r="B5880" s="163">
        <v>45910</v>
      </c>
      <c r="C5880" s="164">
        <v>0.38574074074074072</v>
      </c>
      <c r="D5880" s="159">
        <v>10</v>
      </c>
      <c r="E5880" s="166" t="s">
        <v>5216</v>
      </c>
    </row>
    <row r="5881" spans="1:5">
      <c r="A5881" s="174">
        <f t="shared" si="84"/>
        <v>5880</v>
      </c>
      <c r="B5881" s="163">
        <v>45910</v>
      </c>
      <c r="C5881" s="164">
        <v>0.38740740740740742</v>
      </c>
      <c r="D5881" s="159">
        <v>10</v>
      </c>
      <c r="E5881" s="166" t="s">
        <v>5217</v>
      </c>
    </row>
    <row r="5882" spans="1:5">
      <c r="A5882" s="174">
        <f t="shared" si="84"/>
        <v>5881</v>
      </c>
      <c r="B5882" s="163">
        <v>45910</v>
      </c>
      <c r="C5882" s="164">
        <v>0.40813657407407411</v>
      </c>
      <c r="D5882" s="159">
        <v>10</v>
      </c>
      <c r="E5882" s="166" t="s">
        <v>5218</v>
      </c>
    </row>
    <row r="5883" spans="1:5">
      <c r="A5883" s="174">
        <f t="shared" si="84"/>
        <v>5882</v>
      </c>
      <c r="B5883" s="163">
        <v>45910</v>
      </c>
      <c r="C5883" s="164">
        <v>0.42432870370370374</v>
      </c>
      <c r="D5883" s="159">
        <v>10</v>
      </c>
      <c r="E5883" s="166" t="s">
        <v>5219</v>
      </c>
    </row>
    <row r="5884" spans="1:5">
      <c r="A5884" s="174">
        <f t="shared" si="84"/>
        <v>5883</v>
      </c>
      <c r="B5884" s="163">
        <v>45910</v>
      </c>
      <c r="C5884" s="164">
        <v>0.45087962962962963</v>
      </c>
      <c r="D5884" s="159">
        <v>10</v>
      </c>
      <c r="E5884" s="166" t="s">
        <v>5220</v>
      </c>
    </row>
    <row r="5885" spans="1:5">
      <c r="A5885" s="174">
        <f t="shared" si="84"/>
        <v>5884</v>
      </c>
      <c r="B5885" s="163">
        <v>45910</v>
      </c>
      <c r="C5885" s="164">
        <v>0.4566087962962963</v>
      </c>
      <c r="D5885" s="159">
        <v>10</v>
      </c>
      <c r="E5885" s="166" t="s">
        <v>5221</v>
      </c>
    </row>
    <row r="5886" spans="1:5">
      <c r="A5886" s="174">
        <f t="shared" si="84"/>
        <v>5885</v>
      </c>
      <c r="B5886" s="163">
        <v>45910</v>
      </c>
      <c r="C5886" s="164">
        <v>0.45929398148148143</v>
      </c>
      <c r="D5886" s="159">
        <v>10</v>
      </c>
      <c r="E5886" s="166" t="s">
        <v>5222</v>
      </c>
    </row>
    <row r="5887" spans="1:5">
      <c r="A5887" s="174">
        <f t="shared" si="84"/>
        <v>5886</v>
      </c>
      <c r="B5887" s="163">
        <v>45910</v>
      </c>
      <c r="C5887" s="164">
        <v>0.46315972222222218</v>
      </c>
      <c r="D5887" s="159">
        <v>10</v>
      </c>
      <c r="E5887" s="166" t="s">
        <v>5223</v>
      </c>
    </row>
    <row r="5888" spans="1:5">
      <c r="A5888" s="174">
        <f t="shared" si="84"/>
        <v>5887</v>
      </c>
      <c r="B5888" s="163">
        <v>45910</v>
      </c>
      <c r="C5888" s="164">
        <v>0.46893518518518523</v>
      </c>
      <c r="D5888" s="159">
        <v>10</v>
      </c>
      <c r="E5888" s="166" t="s">
        <v>5224</v>
      </c>
    </row>
    <row r="5889" spans="1:5">
      <c r="A5889" s="174">
        <f t="shared" si="84"/>
        <v>5888</v>
      </c>
      <c r="B5889" s="163">
        <v>45910</v>
      </c>
      <c r="C5889" s="164">
        <v>0.47031249999999997</v>
      </c>
      <c r="D5889" s="159">
        <v>10</v>
      </c>
      <c r="E5889" s="166" t="s">
        <v>5225</v>
      </c>
    </row>
    <row r="5890" spans="1:5">
      <c r="A5890" s="174">
        <f t="shared" si="84"/>
        <v>5889</v>
      </c>
      <c r="B5890" s="163">
        <v>45910</v>
      </c>
      <c r="C5890" s="164">
        <v>0.47109953703703705</v>
      </c>
      <c r="D5890" s="159">
        <v>10</v>
      </c>
      <c r="E5890" s="166" t="s">
        <v>4293</v>
      </c>
    </row>
    <row r="5891" spans="1:5">
      <c r="A5891" s="174">
        <f t="shared" si="84"/>
        <v>5890</v>
      </c>
      <c r="B5891" s="163">
        <v>45910</v>
      </c>
      <c r="C5891" s="164">
        <v>0.47925925925925927</v>
      </c>
      <c r="D5891" s="159">
        <v>10</v>
      </c>
      <c r="E5891" s="166" t="s">
        <v>5226</v>
      </c>
    </row>
    <row r="5892" spans="1:5">
      <c r="A5892" s="174">
        <f t="shared" si="84"/>
        <v>5891</v>
      </c>
      <c r="B5892" s="163">
        <v>45910</v>
      </c>
      <c r="C5892" s="164">
        <v>0.48303240740740744</v>
      </c>
      <c r="D5892" s="159">
        <v>10</v>
      </c>
      <c r="E5892" s="166" t="s">
        <v>5227</v>
      </c>
    </row>
    <row r="5893" spans="1:5">
      <c r="A5893" s="174">
        <f t="shared" si="84"/>
        <v>5892</v>
      </c>
      <c r="B5893" s="163">
        <v>45910</v>
      </c>
      <c r="C5893" s="164">
        <v>0.49262731481481481</v>
      </c>
      <c r="D5893" s="159">
        <v>10</v>
      </c>
      <c r="E5893" s="166" t="s">
        <v>1995</v>
      </c>
    </row>
    <row r="5894" spans="1:5">
      <c r="A5894" s="174">
        <f t="shared" si="84"/>
        <v>5893</v>
      </c>
      <c r="B5894" s="163">
        <v>45910</v>
      </c>
      <c r="C5894" s="164">
        <v>0.50459490740740742</v>
      </c>
      <c r="D5894" s="159">
        <v>10</v>
      </c>
      <c r="E5894" s="166" t="s">
        <v>5228</v>
      </c>
    </row>
    <row r="5895" spans="1:5">
      <c r="A5895" s="174">
        <f t="shared" si="84"/>
        <v>5894</v>
      </c>
      <c r="B5895" s="163">
        <v>45910</v>
      </c>
      <c r="C5895" s="164">
        <v>0.51236111111111116</v>
      </c>
      <c r="D5895" s="159">
        <v>10</v>
      </c>
      <c r="E5895" s="166" t="s">
        <v>5251</v>
      </c>
    </row>
    <row r="5896" spans="1:5">
      <c r="A5896" s="174">
        <f t="shared" si="84"/>
        <v>5895</v>
      </c>
      <c r="B5896" s="163">
        <v>45910</v>
      </c>
      <c r="C5896" s="164">
        <v>0.5441435185185185</v>
      </c>
      <c r="D5896" s="159">
        <v>10</v>
      </c>
      <c r="E5896" s="166" t="s">
        <v>5229</v>
      </c>
    </row>
    <row r="5897" spans="1:5">
      <c r="A5897" s="174">
        <f t="shared" si="84"/>
        <v>5896</v>
      </c>
      <c r="B5897" s="163">
        <v>45910</v>
      </c>
      <c r="C5897" s="164">
        <v>0.5912384259259259</v>
      </c>
      <c r="D5897" s="159">
        <v>10</v>
      </c>
      <c r="E5897" s="166" t="s">
        <v>5230</v>
      </c>
    </row>
    <row r="5898" spans="1:5">
      <c r="A5898" s="174">
        <f t="shared" si="84"/>
        <v>5897</v>
      </c>
      <c r="B5898" s="163">
        <v>45910</v>
      </c>
      <c r="C5898" s="164">
        <v>0.59143518518518523</v>
      </c>
      <c r="D5898" s="159">
        <v>10</v>
      </c>
      <c r="E5898" s="166" t="s">
        <v>5231</v>
      </c>
    </row>
    <row r="5899" spans="1:5">
      <c r="A5899" s="174">
        <f t="shared" si="84"/>
        <v>5898</v>
      </c>
      <c r="B5899" s="163">
        <v>45910</v>
      </c>
      <c r="C5899" s="164">
        <v>0.59476851851851853</v>
      </c>
      <c r="D5899" s="159">
        <v>10</v>
      </c>
      <c r="E5899" s="166" t="s">
        <v>5232</v>
      </c>
    </row>
    <row r="5900" spans="1:5">
      <c r="A5900" s="174">
        <f t="shared" si="84"/>
        <v>5899</v>
      </c>
      <c r="B5900" s="163">
        <v>45910</v>
      </c>
      <c r="C5900" s="164">
        <v>0.60482638888888884</v>
      </c>
      <c r="D5900" s="159">
        <v>10</v>
      </c>
      <c r="E5900" s="166" t="s">
        <v>5233</v>
      </c>
    </row>
    <row r="5901" spans="1:5">
      <c r="A5901" s="174">
        <f t="shared" si="84"/>
        <v>5900</v>
      </c>
      <c r="B5901" s="163">
        <v>45910</v>
      </c>
      <c r="C5901" s="164">
        <v>0.61056712962962967</v>
      </c>
      <c r="D5901" s="159">
        <v>10</v>
      </c>
      <c r="E5901" s="166" t="s">
        <v>5234</v>
      </c>
    </row>
    <row r="5902" spans="1:5">
      <c r="A5902" s="174">
        <f t="shared" si="84"/>
        <v>5901</v>
      </c>
      <c r="B5902" s="163">
        <v>45910</v>
      </c>
      <c r="C5902" s="164">
        <v>0.6290162037037037</v>
      </c>
      <c r="D5902" s="159">
        <v>10</v>
      </c>
      <c r="E5902" s="166" t="s">
        <v>5235</v>
      </c>
    </row>
    <row r="5903" spans="1:5">
      <c r="A5903" s="174">
        <f t="shared" si="84"/>
        <v>5902</v>
      </c>
      <c r="B5903" s="163">
        <v>45910</v>
      </c>
      <c r="C5903" s="164">
        <v>0.64405092592592594</v>
      </c>
      <c r="D5903" s="159">
        <v>10</v>
      </c>
      <c r="E5903" s="166" t="s">
        <v>5236</v>
      </c>
    </row>
    <row r="5904" spans="1:5">
      <c r="A5904" s="174">
        <f t="shared" si="84"/>
        <v>5903</v>
      </c>
      <c r="B5904" s="163">
        <v>45910</v>
      </c>
      <c r="C5904" s="164">
        <v>0.67140046296296296</v>
      </c>
      <c r="D5904" s="159">
        <v>10</v>
      </c>
      <c r="E5904" s="166" t="s">
        <v>5252</v>
      </c>
    </row>
    <row r="5905" spans="1:5">
      <c r="A5905" s="174">
        <f t="shared" si="84"/>
        <v>5904</v>
      </c>
      <c r="B5905" s="163">
        <v>45910</v>
      </c>
      <c r="C5905" s="164">
        <v>0.67203703703703699</v>
      </c>
      <c r="D5905" s="159">
        <v>10</v>
      </c>
      <c r="E5905" s="166" t="s">
        <v>5237</v>
      </c>
    </row>
    <row r="5906" spans="1:5">
      <c r="A5906" s="174">
        <f t="shared" si="84"/>
        <v>5905</v>
      </c>
      <c r="B5906" s="163">
        <v>45910</v>
      </c>
      <c r="C5906" s="164">
        <v>0.68743055555555566</v>
      </c>
      <c r="D5906" s="159">
        <v>10</v>
      </c>
      <c r="E5906" s="166" t="s">
        <v>5238</v>
      </c>
    </row>
    <row r="5907" spans="1:5">
      <c r="A5907" s="174">
        <f t="shared" si="84"/>
        <v>5906</v>
      </c>
      <c r="B5907" s="163">
        <v>45910</v>
      </c>
      <c r="C5907" s="164">
        <v>0.697199074074074</v>
      </c>
      <c r="D5907" s="159">
        <v>10</v>
      </c>
      <c r="E5907" s="166" t="s">
        <v>5239</v>
      </c>
    </row>
    <row r="5908" spans="1:5">
      <c r="A5908" s="174">
        <f t="shared" si="84"/>
        <v>5907</v>
      </c>
      <c r="B5908" s="163">
        <v>45910</v>
      </c>
      <c r="C5908" s="164">
        <v>0.70064814814814813</v>
      </c>
      <c r="D5908" s="159">
        <v>10</v>
      </c>
      <c r="E5908" s="166" t="s">
        <v>5240</v>
      </c>
    </row>
    <row r="5909" spans="1:5" ht="27">
      <c r="A5909" s="174">
        <f t="shared" si="84"/>
        <v>5908</v>
      </c>
      <c r="B5909" s="163">
        <v>45910</v>
      </c>
      <c r="C5909" s="164">
        <v>0.70118055555555558</v>
      </c>
      <c r="D5909" s="159">
        <v>10</v>
      </c>
      <c r="E5909" s="166" t="s">
        <v>5241</v>
      </c>
    </row>
    <row r="5910" spans="1:5">
      <c r="A5910" s="174">
        <f t="shared" si="84"/>
        <v>5909</v>
      </c>
      <c r="B5910" s="163">
        <v>45910</v>
      </c>
      <c r="C5910" s="164">
        <v>0.70217592592592604</v>
      </c>
      <c r="D5910" s="159">
        <v>10</v>
      </c>
      <c r="E5910" s="166" t="s">
        <v>5242</v>
      </c>
    </row>
    <row r="5911" spans="1:5">
      <c r="A5911" s="174">
        <f t="shared" si="84"/>
        <v>5910</v>
      </c>
      <c r="B5911" s="163">
        <v>45910</v>
      </c>
      <c r="C5911" s="164">
        <v>0.70437500000000008</v>
      </c>
      <c r="D5911" s="159">
        <v>10</v>
      </c>
      <c r="E5911" s="166" t="s">
        <v>5243</v>
      </c>
    </row>
    <row r="5912" spans="1:5">
      <c r="A5912" s="174">
        <f t="shared" si="84"/>
        <v>5911</v>
      </c>
      <c r="B5912" s="163">
        <v>45910</v>
      </c>
      <c r="C5912" s="164">
        <v>0.708125</v>
      </c>
      <c r="D5912" s="159">
        <v>10</v>
      </c>
      <c r="E5912" s="166" t="s">
        <v>5244</v>
      </c>
    </row>
    <row r="5913" spans="1:5">
      <c r="A5913" s="174">
        <f t="shared" si="84"/>
        <v>5912</v>
      </c>
      <c r="B5913" s="163">
        <v>45910</v>
      </c>
      <c r="C5913" s="164">
        <v>0.72562499999999996</v>
      </c>
      <c r="D5913" s="159">
        <v>10</v>
      </c>
      <c r="E5913" s="166" t="s">
        <v>5245</v>
      </c>
    </row>
    <row r="5914" spans="1:5">
      <c r="A5914" s="174">
        <f t="shared" si="84"/>
        <v>5913</v>
      </c>
      <c r="B5914" s="163">
        <v>45910</v>
      </c>
      <c r="C5914" s="164">
        <v>0.73640046296296291</v>
      </c>
      <c r="D5914" s="159">
        <v>10</v>
      </c>
      <c r="E5914" s="166" t="s">
        <v>5246</v>
      </c>
    </row>
    <row r="5915" spans="1:5">
      <c r="A5915" s="174">
        <f t="shared" si="84"/>
        <v>5914</v>
      </c>
      <c r="B5915" s="163">
        <v>45910</v>
      </c>
      <c r="C5915" s="164">
        <v>0.78781249999999992</v>
      </c>
      <c r="D5915" s="159">
        <v>10</v>
      </c>
      <c r="E5915" s="166" t="s">
        <v>5247</v>
      </c>
    </row>
    <row r="5916" spans="1:5">
      <c r="A5916" s="174">
        <f t="shared" si="84"/>
        <v>5915</v>
      </c>
      <c r="B5916" s="163">
        <v>45910</v>
      </c>
      <c r="C5916" s="164">
        <v>0.8156944444444445</v>
      </c>
      <c r="D5916" s="159">
        <v>10</v>
      </c>
      <c r="E5916" s="166" t="s">
        <v>2904</v>
      </c>
    </row>
    <row r="5917" spans="1:5">
      <c r="A5917" s="174">
        <f t="shared" si="84"/>
        <v>5916</v>
      </c>
      <c r="B5917" s="163">
        <v>45910</v>
      </c>
      <c r="C5917" s="164">
        <v>0.85931712962962958</v>
      </c>
      <c r="D5917" s="159">
        <v>10</v>
      </c>
      <c r="E5917" s="166" t="s">
        <v>5248</v>
      </c>
    </row>
    <row r="5918" spans="1:5">
      <c r="A5918" s="174">
        <f t="shared" si="84"/>
        <v>5917</v>
      </c>
      <c r="B5918" s="163">
        <v>45910</v>
      </c>
      <c r="C5918" s="164">
        <v>0.87449074074074085</v>
      </c>
      <c r="D5918" s="159">
        <v>10</v>
      </c>
      <c r="E5918" s="166" t="s">
        <v>5249</v>
      </c>
    </row>
    <row r="5919" spans="1:5">
      <c r="A5919" s="174">
        <f t="shared" si="84"/>
        <v>5918</v>
      </c>
      <c r="B5919" s="163">
        <v>45910</v>
      </c>
      <c r="C5919" s="164">
        <v>0.90770833333333334</v>
      </c>
      <c r="D5919" s="159">
        <v>10</v>
      </c>
      <c r="E5919" s="166" t="s">
        <v>5250</v>
      </c>
    </row>
    <row r="5920" spans="1:5">
      <c r="A5920" s="174">
        <f t="shared" si="84"/>
        <v>5919</v>
      </c>
      <c r="B5920" s="163">
        <v>45911</v>
      </c>
      <c r="C5920" s="164">
        <v>0.38262731481481477</v>
      </c>
      <c r="D5920" s="159">
        <v>10</v>
      </c>
      <c r="E5920" s="166" t="s">
        <v>5253</v>
      </c>
    </row>
    <row r="5921" spans="1:5">
      <c r="A5921" s="174">
        <f t="shared" si="84"/>
        <v>5920</v>
      </c>
      <c r="B5921" s="163">
        <v>45911</v>
      </c>
      <c r="C5921" s="164">
        <v>0.38740740740740742</v>
      </c>
      <c r="D5921" s="159">
        <v>10</v>
      </c>
      <c r="E5921" s="166" t="s">
        <v>5254</v>
      </c>
    </row>
    <row r="5922" spans="1:5">
      <c r="A5922" s="174">
        <f t="shared" si="84"/>
        <v>5921</v>
      </c>
      <c r="B5922" s="163">
        <v>45911</v>
      </c>
      <c r="C5922" s="164">
        <v>0.3897916666666667</v>
      </c>
      <c r="D5922" s="159">
        <v>10</v>
      </c>
      <c r="E5922" s="166" t="s">
        <v>284</v>
      </c>
    </row>
    <row r="5923" spans="1:5">
      <c r="A5923" s="174">
        <f t="shared" si="84"/>
        <v>5922</v>
      </c>
      <c r="B5923" s="163">
        <v>45911</v>
      </c>
      <c r="C5923" s="164">
        <v>0.41174768518518517</v>
      </c>
      <c r="D5923" s="159">
        <v>10</v>
      </c>
      <c r="E5923" s="166" t="s">
        <v>5255</v>
      </c>
    </row>
    <row r="5924" spans="1:5" ht="40.5">
      <c r="A5924" s="174">
        <f t="shared" si="84"/>
        <v>5923</v>
      </c>
      <c r="B5924" s="163">
        <v>45911</v>
      </c>
      <c r="C5924" s="164">
        <v>0.41467592592592589</v>
      </c>
      <c r="D5924" s="159">
        <v>10</v>
      </c>
      <c r="E5924" s="166" t="s">
        <v>5256</v>
      </c>
    </row>
    <row r="5925" spans="1:5">
      <c r="A5925" s="174">
        <f t="shared" si="84"/>
        <v>5924</v>
      </c>
      <c r="B5925" s="163">
        <v>45911</v>
      </c>
      <c r="C5925" s="164">
        <v>0.43163194444444447</v>
      </c>
      <c r="D5925" s="159">
        <v>10</v>
      </c>
      <c r="E5925" s="166" t="s">
        <v>5257</v>
      </c>
    </row>
    <row r="5926" spans="1:5">
      <c r="A5926" s="174">
        <f t="shared" si="84"/>
        <v>5925</v>
      </c>
      <c r="B5926" s="163">
        <v>45911</v>
      </c>
      <c r="C5926" s="164">
        <v>0.44236111111111115</v>
      </c>
      <c r="D5926" s="159">
        <v>10</v>
      </c>
      <c r="E5926" s="166" t="s">
        <v>5258</v>
      </c>
    </row>
    <row r="5927" spans="1:5">
      <c r="A5927" s="174">
        <f t="shared" si="84"/>
        <v>5926</v>
      </c>
      <c r="B5927" s="163">
        <v>45911</v>
      </c>
      <c r="C5927" s="164">
        <v>0.4574421296296296</v>
      </c>
      <c r="D5927" s="159">
        <v>10</v>
      </c>
      <c r="E5927" s="166" t="s">
        <v>5259</v>
      </c>
    </row>
    <row r="5928" spans="1:5">
      <c r="A5928" s="174">
        <f t="shared" si="84"/>
        <v>5927</v>
      </c>
      <c r="B5928" s="163">
        <v>45911</v>
      </c>
      <c r="C5928" s="164">
        <v>0.46207175925925931</v>
      </c>
      <c r="D5928" s="159">
        <v>10</v>
      </c>
      <c r="E5928" s="166" t="s">
        <v>5260</v>
      </c>
    </row>
    <row r="5929" spans="1:5">
      <c r="A5929" s="174">
        <f t="shared" si="84"/>
        <v>5928</v>
      </c>
      <c r="B5929" s="163">
        <v>45911</v>
      </c>
      <c r="C5929" s="164">
        <v>0.47925925925925927</v>
      </c>
      <c r="D5929" s="159">
        <v>10</v>
      </c>
      <c r="E5929" s="166" t="s">
        <v>5261</v>
      </c>
    </row>
    <row r="5930" spans="1:5">
      <c r="A5930" s="174">
        <f t="shared" si="84"/>
        <v>5929</v>
      </c>
      <c r="B5930" s="163">
        <v>45911</v>
      </c>
      <c r="C5930" s="164">
        <v>0.49895833333333334</v>
      </c>
      <c r="D5930" s="159">
        <v>10</v>
      </c>
      <c r="E5930" s="166" t="s">
        <v>5262</v>
      </c>
    </row>
    <row r="5931" spans="1:5">
      <c r="A5931" s="174">
        <f t="shared" si="84"/>
        <v>5930</v>
      </c>
      <c r="B5931" s="163">
        <v>45911</v>
      </c>
      <c r="C5931" s="164">
        <v>0.50532407407407409</v>
      </c>
      <c r="D5931" s="159">
        <v>10</v>
      </c>
      <c r="E5931" s="166" t="s">
        <v>5263</v>
      </c>
    </row>
    <row r="5932" spans="1:5">
      <c r="A5932" s="174">
        <f t="shared" si="84"/>
        <v>5931</v>
      </c>
      <c r="B5932" s="163">
        <v>45911</v>
      </c>
      <c r="C5932" s="164">
        <v>0.55895833333333333</v>
      </c>
      <c r="D5932" s="159">
        <v>10</v>
      </c>
      <c r="E5932" s="166" t="s">
        <v>5264</v>
      </c>
    </row>
    <row r="5933" spans="1:5">
      <c r="A5933" s="174">
        <f t="shared" si="84"/>
        <v>5932</v>
      </c>
      <c r="B5933" s="163">
        <v>45911</v>
      </c>
      <c r="C5933" s="164">
        <v>0.56373842592592593</v>
      </c>
      <c r="D5933" s="159">
        <v>10</v>
      </c>
      <c r="E5933" s="166" t="s">
        <v>5265</v>
      </c>
    </row>
    <row r="5934" spans="1:5">
      <c r="A5934" s="174">
        <f t="shared" si="84"/>
        <v>5933</v>
      </c>
      <c r="B5934" s="163">
        <v>45911</v>
      </c>
      <c r="C5934" s="164">
        <v>0.56435185185185188</v>
      </c>
      <c r="D5934" s="159">
        <v>10</v>
      </c>
      <c r="E5934" s="166" t="s">
        <v>5266</v>
      </c>
    </row>
    <row r="5935" spans="1:5">
      <c r="A5935" s="174">
        <f t="shared" si="84"/>
        <v>5934</v>
      </c>
      <c r="B5935" s="163">
        <v>45911</v>
      </c>
      <c r="C5935" s="164">
        <v>0.56799768518518523</v>
      </c>
      <c r="D5935" s="159">
        <v>10</v>
      </c>
      <c r="E5935" s="166" t="s">
        <v>5267</v>
      </c>
    </row>
    <row r="5936" spans="1:5">
      <c r="A5936" s="174">
        <f t="shared" si="84"/>
        <v>5935</v>
      </c>
      <c r="B5936" s="163">
        <v>45911</v>
      </c>
      <c r="C5936" s="164">
        <v>0.57368055555555553</v>
      </c>
      <c r="D5936" s="159">
        <v>10</v>
      </c>
      <c r="E5936" s="166" t="s">
        <v>5268</v>
      </c>
    </row>
    <row r="5937" spans="1:5">
      <c r="A5937" s="174">
        <f t="shared" si="84"/>
        <v>5936</v>
      </c>
      <c r="B5937" s="163">
        <v>45911</v>
      </c>
      <c r="C5937" s="164">
        <v>0.58293981481481483</v>
      </c>
      <c r="D5937" s="159">
        <v>10</v>
      </c>
      <c r="E5937" s="166" t="s">
        <v>5269</v>
      </c>
    </row>
    <row r="5938" spans="1:5">
      <c r="A5938" s="174">
        <f t="shared" si="84"/>
        <v>5937</v>
      </c>
      <c r="B5938" s="163">
        <v>45911</v>
      </c>
      <c r="C5938" s="164">
        <v>0.59248842592592588</v>
      </c>
      <c r="D5938" s="159">
        <v>10</v>
      </c>
      <c r="E5938" s="166" t="s">
        <v>5270</v>
      </c>
    </row>
    <row r="5939" spans="1:5">
      <c r="A5939" s="174">
        <f t="shared" si="84"/>
        <v>5938</v>
      </c>
      <c r="B5939" s="163">
        <v>45911</v>
      </c>
      <c r="C5939" s="164">
        <v>0.63403935185185178</v>
      </c>
      <c r="D5939" s="159">
        <v>10</v>
      </c>
      <c r="E5939" s="166" t="s">
        <v>273</v>
      </c>
    </row>
    <row r="5940" spans="1:5">
      <c r="A5940" s="174">
        <f t="shared" si="84"/>
        <v>5939</v>
      </c>
      <c r="B5940" s="163">
        <v>45911</v>
      </c>
      <c r="C5940" s="164">
        <v>0.64550925925925928</v>
      </c>
      <c r="D5940" s="159">
        <v>10</v>
      </c>
      <c r="E5940" s="166" t="s">
        <v>5271</v>
      </c>
    </row>
    <row r="5941" spans="1:5">
      <c r="A5941" s="174">
        <f t="shared" ref="A5941:A6004" si="85">ROW()-1</f>
        <v>5940</v>
      </c>
      <c r="B5941" s="163">
        <v>45911</v>
      </c>
      <c r="C5941" s="164">
        <v>0.64612268518518523</v>
      </c>
      <c r="D5941" s="159">
        <v>10</v>
      </c>
      <c r="E5941" s="166" t="s">
        <v>5272</v>
      </c>
    </row>
    <row r="5942" spans="1:5">
      <c r="A5942" s="174">
        <f t="shared" si="85"/>
        <v>5941</v>
      </c>
      <c r="B5942" s="163">
        <v>45911</v>
      </c>
      <c r="C5942" s="164">
        <v>0.64888888888888896</v>
      </c>
      <c r="D5942" s="159">
        <v>10</v>
      </c>
      <c r="E5942" s="166" t="s">
        <v>5273</v>
      </c>
    </row>
    <row r="5943" spans="1:5">
      <c r="A5943" s="174">
        <f t="shared" si="85"/>
        <v>5942</v>
      </c>
      <c r="B5943" s="163">
        <v>45911</v>
      </c>
      <c r="C5943" s="164">
        <v>0.65025462962962965</v>
      </c>
      <c r="D5943" s="159">
        <v>10</v>
      </c>
      <c r="E5943" s="166" t="s">
        <v>5293</v>
      </c>
    </row>
    <row r="5944" spans="1:5">
      <c r="A5944" s="174">
        <f t="shared" si="85"/>
        <v>5943</v>
      </c>
      <c r="B5944" s="163">
        <v>45911</v>
      </c>
      <c r="C5944" s="164">
        <v>0.65447916666666661</v>
      </c>
      <c r="D5944" s="159">
        <v>10</v>
      </c>
      <c r="E5944" s="166" t="s">
        <v>5274</v>
      </c>
    </row>
    <row r="5945" spans="1:5">
      <c r="A5945" s="174">
        <f t="shared" si="85"/>
        <v>5944</v>
      </c>
      <c r="B5945" s="163">
        <v>45911</v>
      </c>
      <c r="C5945" s="164">
        <v>0.66811342592592593</v>
      </c>
      <c r="D5945" s="159">
        <v>8</v>
      </c>
      <c r="E5945" s="166" t="s">
        <v>273</v>
      </c>
    </row>
    <row r="5946" spans="1:5">
      <c r="A5946" s="174">
        <f t="shared" si="85"/>
        <v>5945</v>
      </c>
      <c r="B5946" s="163">
        <v>45911</v>
      </c>
      <c r="C5946" s="164">
        <v>0.67693287037037031</v>
      </c>
      <c r="D5946" s="159">
        <v>10</v>
      </c>
      <c r="E5946" s="166" t="s">
        <v>5275</v>
      </c>
    </row>
    <row r="5947" spans="1:5">
      <c r="A5947" s="174">
        <f t="shared" si="85"/>
        <v>5946</v>
      </c>
      <c r="B5947" s="163">
        <v>45911</v>
      </c>
      <c r="C5947" s="164">
        <v>0.6940277777777778</v>
      </c>
      <c r="D5947" s="159">
        <v>10</v>
      </c>
      <c r="E5947" s="166" t="s">
        <v>5276</v>
      </c>
    </row>
    <row r="5948" spans="1:5">
      <c r="A5948" s="174">
        <f t="shared" si="85"/>
        <v>5947</v>
      </c>
      <c r="B5948" s="163">
        <v>45911</v>
      </c>
      <c r="C5948" s="164">
        <v>0.69518518518518524</v>
      </c>
      <c r="D5948" s="159">
        <v>10</v>
      </c>
      <c r="E5948" s="166" t="s">
        <v>5277</v>
      </c>
    </row>
    <row r="5949" spans="1:5">
      <c r="A5949" s="174">
        <f t="shared" si="85"/>
        <v>5948</v>
      </c>
      <c r="B5949" s="163">
        <v>45911</v>
      </c>
      <c r="C5949" s="164">
        <v>0.70142361111111118</v>
      </c>
      <c r="D5949" s="159">
        <v>10</v>
      </c>
      <c r="E5949" s="166" t="s">
        <v>5278</v>
      </c>
    </row>
    <row r="5950" spans="1:5">
      <c r="A5950" s="174">
        <f t="shared" si="85"/>
        <v>5949</v>
      </c>
      <c r="B5950" s="163">
        <v>45911</v>
      </c>
      <c r="C5950" s="164">
        <v>0.7026041666666667</v>
      </c>
      <c r="D5950" s="159">
        <v>10</v>
      </c>
      <c r="E5950" s="166" t="s">
        <v>5279</v>
      </c>
    </row>
    <row r="5951" spans="1:5">
      <c r="A5951" s="174">
        <f t="shared" si="85"/>
        <v>5950</v>
      </c>
      <c r="B5951" s="163">
        <v>45911</v>
      </c>
      <c r="C5951" s="164">
        <v>0.7036458333333333</v>
      </c>
      <c r="D5951" s="159">
        <v>10</v>
      </c>
      <c r="E5951" s="166" t="s">
        <v>5280</v>
      </c>
    </row>
    <row r="5952" spans="1:5">
      <c r="A5952" s="174">
        <f t="shared" si="85"/>
        <v>5951</v>
      </c>
      <c r="B5952" s="163">
        <v>45911</v>
      </c>
      <c r="C5952" s="164">
        <v>0.70658564814814817</v>
      </c>
      <c r="D5952" s="159">
        <v>10</v>
      </c>
      <c r="E5952" s="166" t="s">
        <v>5281</v>
      </c>
    </row>
    <row r="5953" spans="1:5">
      <c r="A5953" s="174">
        <f t="shared" si="85"/>
        <v>5952</v>
      </c>
      <c r="B5953" s="163">
        <v>45911</v>
      </c>
      <c r="C5953" s="164">
        <v>0.71736111111111101</v>
      </c>
      <c r="D5953" s="159">
        <v>10</v>
      </c>
      <c r="E5953" s="166" t="s">
        <v>5282</v>
      </c>
    </row>
    <row r="5954" spans="1:5">
      <c r="A5954" s="174">
        <f t="shared" si="85"/>
        <v>5953</v>
      </c>
      <c r="B5954" s="163">
        <v>45911</v>
      </c>
      <c r="C5954" s="164">
        <v>0.72315972222222225</v>
      </c>
      <c r="D5954" s="159">
        <v>10</v>
      </c>
      <c r="E5954" s="166" t="s">
        <v>5283</v>
      </c>
    </row>
    <row r="5955" spans="1:5">
      <c r="A5955" s="174">
        <f t="shared" si="85"/>
        <v>5954</v>
      </c>
      <c r="B5955" s="163">
        <v>45911</v>
      </c>
      <c r="C5955" s="164">
        <v>0.73594907407407406</v>
      </c>
      <c r="D5955" s="159">
        <v>10</v>
      </c>
      <c r="E5955" s="166" t="s">
        <v>2500</v>
      </c>
    </row>
    <row r="5956" spans="1:5">
      <c r="A5956" s="174">
        <f t="shared" si="85"/>
        <v>5955</v>
      </c>
      <c r="B5956" s="163">
        <v>45911</v>
      </c>
      <c r="C5956" s="164">
        <v>0.7391550925925926</v>
      </c>
      <c r="D5956" s="159">
        <v>10</v>
      </c>
      <c r="E5956" s="166" t="s">
        <v>5284</v>
      </c>
    </row>
    <row r="5957" spans="1:5">
      <c r="A5957" s="174">
        <f t="shared" si="85"/>
        <v>5956</v>
      </c>
      <c r="B5957" s="163">
        <v>45911</v>
      </c>
      <c r="C5957" s="164">
        <v>0.74873842592592599</v>
      </c>
      <c r="D5957" s="159">
        <v>10</v>
      </c>
      <c r="E5957" s="166" t="s">
        <v>5285</v>
      </c>
    </row>
    <row r="5958" spans="1:5">
      <c r="A5958" s="174">
        <f t="shared" si="85"/>
        <v>5957</v>
      </c>
      <c r="B5958" s="163">
        <v>45911</v>
      </c>
      <c r="C5958" s="164">
        <v>0.75209490740740748</v>
      </c>
      <c r="D5958" s="159">
        <v>10</v>
      </c>
      <c r="E5958" s="166" t="s">
        <v>5286</v>
      </c>
    </row>
    <row r="5959" spans="1:5">
      <c r="A5959" s="174">
        <f t="shared" si="85"/>
        <v>5958</v>
      </c>
      <c r="B5959" s="163">
        <v>45911</v>
      </c>
      <c r="C5959" s="164">
        <v>0.75766203703703694</v>
      </c>
      <c r="D5959" s="159">
        <v>10</v>
      </c>
      <c r="E5959" s="166" t="s">
        <v>5287</v>
      </c>
    </row>
    <row r="5960" spans="1:5">
      <c r="A5960" s="174">
        <f t="shared" si="85"/>
        <v>5959</v>
      </c>
      <c r="B5960" s="163">
        <v>45911</v>
      </c>
      <c r="C5960" s="164">
        <v>0.78314814814814815</v>
      </c>
      <c r="D5960" s="159">
        <v>10</v>
      </c>
      <c r="E5960" s="166" t="s">
        <v>5288</v>
      </c>
    </row>
    <row r="5961" spans="1:5">
      <c r="A5961" s="174">
        <f t="shared" si="85"/>
        <v>5960</v>
      </c>
      <c r="B5961" s="163">
        <v>45911</v>
      </c>
      <c r="C5961" s="164">
        <v>0.80616898148148142</v>
      </c>
      <c r="D5961" s="159">
        <v>10</v>
      </c>
      <c r="E5961" s="166" t="s">
        <v>5289</v>
      </c>
    </row>
    <row r="5962" spans="1:5">
      <c r="A5962" s="174">
        <f t="shared" si="85"/>
        <v>5961</v>
      </c>
      <c r="B5962" s="163">
        <v>45911</v>
      </c>
      <c r="C5962" s="164">
        <v>0.8412384259259259</v>
      </c>
      <c r="D5962" s="159">
        <v>10</v>
      </c>
      <c r="E5962" s="166" t="s">
        <v>5290</v>
      </c>
    </row>
    <row r="5963" spans="1:5">
      <c r="A5963" s="174">
        <f t="shared" si="85"/>
        <v>5962</v>
      </c>
      <c r="B5963" s="163">
        <v>45911</v>
      </c>
      <c r="C5963" s="164">
        <v>0.85692129629629632</v>
      </c>
      <c r="D5963" s="159">
        <v>10</v>
      </c>
      <c r="E5963" s="166" t="s">
        <v>5291</v>
      </c>
    </row>
    <row r="5964" spans="1:5">
      <c r="A5964" s="174">
        <f t="shared" si="85"/>
        <v>5963</v>
      </c>
      <c r="B5964" s="163">
        <v>45911</v>
      </c>
      <c r="C5964" s="164">
        <v>0.88748842592592592</v>
      </c>
      <c r="D5964" s="159">
        <v>10</v>
      </c>
      <c r="E5964" s="166" t="s">
        <v>5292</v>
      </c>
    </row>
    <row r="5965" spans="1:5">
      <c r="A5965" s="174">
        <f t="shared" si="85"/>
        <v>5964</v>
      </c>
      <c r="B5965" s="163">
        <v>45912</v>
      </c>
      <c r="C5965" s="164">
        <v>0.38329861111111113</v>
      </c>
      <c r="D5965" s="159">
        <v>10</v>
      </c>
      <c r="E5965" s="166" t="s">
        <v>244</v>
      </c>
    </row>
    <row r="5966" spans="1:5">
      <c r="A5966" s="174">
        <f t="shared" si="85"/>
        <v>5965</v>
      </c>
      <c r="B5966" s="163">
        <v>45912</v>
      </c>
      <c r="C5966" s="164">
        <v>0.42596064814814816</v>
      </c>
      <c r="D5966" s="159">
        <v>10</v>
      </c>
      <c r="E5966" s="166" t="s">
        <v>5294</v>
      </c>
    </row>
    <row r="5967" spans="1:5" ht="27">
      <c r="A5967" s="174">
        <f t="shared" si="85"/>
        <v>5966</v>
      </c>
      <c r="B5967" s="163">
        <v>45912</v>
      </c>
      <c r="C5967" s="164">
        <v>0.4302199074074074</v>
      </c>
      <c r="D5967" s="159">
        <v>10</v>
      </c>
      <c r="E5967" s="166" t="s">
        <v>5338</v>
      </c>
    </row>
    <row r="5968" spans="1:5">
      <c r="A5968" s="174">
        <f t="shared" si="85"/>
        <v>5967</v>
      </c>
      <c r="B5968" s="163">
        <v>45912</v>
      </c>
      <c r="C5968" s="164">
        <v>0.45747685185185188</v>
      </c>
      <c r="D5968" s="159">
        <v>10</v>
      </c>
      <c r="E5968" s="166" t="s">
        <v>5295</v>
      </c>
    </row>
    <row r="5969" spans="1:5">
      <c r="A5969" s="174">
        <f t="shared" si="85"/>
        <v>5968</v>
      </c>
      <c r="B5969" s="163">
        <v>45912</v>
      </c>
      <c r="C5969" s="164">
        <v>0.47437499999999999</v>
      </c>
      <c r="D5969" s="159">
        <v>10</v>
      </c>
      <c r="E5969" s="166" t="s">
        <v>5296</v>
      </c>
    </row>
    <row r="5970" spans="1:5">
      <c r="A5970" s="174">
        <f t="shared" si="85"/>
        <v>5969</v>
      </c>
      <c r="B5970" s="163">
        <v>45912</v>
      </c>
      <c r="C5970" s="164">
        <v>0.47530092592592593</v>
      </c>
      <c r="D5970" s="159">
        <v>10</v>
      </c>
      <c r="E5970" s="166" t="s">
        <v>5297</v>
      </c>
    </row>
    <row r="5971" spans="1:5">
      <c r="A5971" s="174">
        <f t="shared" si="85"/>
        <v>5970</v>
      </c>
      <c r="B5971" s="163">
        <v>45912</v>
      </c>
      <c r="C5971" s="164">
        <v>0.48269675925925926</v>
      </c>
      <c r="D5971" s="159">
        <v>10</v>
      </c>
      <c r="E5971" s="166" t="s">
        <v>5298</v>
      </c>
    </row>
    <row r="5972" spans="1:5">
      <c r="A5972" s="174">
        <f t="shared" si="85"/>
        <v>5971</v>
      </c>
      <c r="B5972" s="163">
        <v>45912</v>
      </c>
      <c r="C5972" s="164">
        <v>0.48659722222222218</v>
      </c>
      <c r="D5972" s="159">
        <v>10</v>
      </c>
      <c r="E5972" s="166" t="s">
        <v>5299</v>
      </c>
    </row>
    <row r="5973" spans="1:5">
      <c r="A5973" s="174">
        <f t="shared" si="85"/>
        <v>5972</v>
      </c>
      <c r="B5973" s="163">
        <v>45912</v>
      </c>
      <c r="C5973" s="164">
        <v>0.4887037037037037</v>
      </c>
      <c r="D5973" s="159">
        <v>10</v>
      </c>
      <c r="E5973" s="166" t="s">
        <v>5300</v>
      </c>
    </row>
    <row r="5974" spans="1:5">
      <c r="A5974" s="174">
        <f t="shared" si="85"/>
        <v>5973</v>
      </c>
      <c r="B5974" s="163">
        <v>45912</v>
      </c>
      <c r="C5974" s="164">
        <v>0.49700231481481483</v>
      </c>
      <c r="D5974" s="159">
        <v>10</v>
      </c>
      <c r="E5974" s="166" t="s">
        <v>5301</v>
      </c>
    </row>
    <row r="5975" spans="1:5">
      <c r="A5975" s="174">
        <f t="shared" si="85"/>
        <v>5974</v>
      </c>
      <c r="B5975" s="163">
        <v>45912</v>
      </c>
      <c r="C5975" s="164">
        <v>0.52476851851851858</v>
      </c>
      <c r="D5975" s="159">
        <v>10</v>
      </c>
      <c r="E5975" s="166" t="s">
        <v>5302</v>
      </c>
    </row>
    <row r="5976" spans="1:5">
      <c r="A5976" s="174">
        <f t="shared" si="85"/>
        <v>5975</v>
      </c>
      <c r="B5976" s="163">
        <v>45912</v>
      </c>
      <c r="C5976" s="164">
        <v>0.54942129629629632</v>
      </c>
      <c r="D5976" s="159">
        <v>10</v>
      </c>
      <c r="E5976" s="166" t="s">
        <v>5303</v>
      </c>
    </row>
    <row r="5977" spans="1:5">
      <c r="A5977" s="174">
        <f t="shared" si="85"/>
        <v>5976</v>
      </c>
      <c r="B5977" s="163">
        <v>45912</v>
      </c>
      <c r="C5977" s="164">
        <v>0.55903935185185183</v>
      </c>
      <c r="D5977" s="159">
        <v>10</v>
      </c>
      <c r="E5977" s="166" t="s">
        <v>5304</v>
      </c>
    </row>
    <row r="5978" spans="1:5">
      <c r="A5978" s="174">
        <f t="shared" si="85"/>
        <v>5977</v>
      </c>
      <c r="B5978" s="163">
        <v>45912</v>
      </c>
      <c r="C5978" s="164">
        <v>0.57943287037037039</v>
      </c>
      <c r="D5978" s="159">
        <v>10</v>
      </c>
      <c r="E5978" s="166" t="s">
        <v>5305</v>
      </c>
    </row>
    <row r="5979" spans="1:5">
      <c r="A5979" s="174">
        <f t="shared" si="85"/>
        <v>5978</v>
      </c>
      <c r="B5979" s="163">
        <v>45912</v>
      </c>
      <c r="C5979" s="164">
        <v>0.58334490740740741</v>
      </c>
      <c r="D5979" s="159">
        <v>10</v>
      </c>
      <c r="E5979" s="166" t="s">
        <v>5306</v>
      </c>
    </row>
    <row r="5980" spans="1:5">
      <c r="A5980" s="174">
        <f t="shared" si="85"/>
        <v>5979</v>
      </c>
      <c r="B5980" s="163">
        <v>45912</v>
      </c>
      <c r="C5980" s="164">
        <v>0.60106481481481489</v>
      </c>
      <c r="D5980" s="159">
        <v>10</v>
      </c>
      <c r="E5980" s="166" t="s">
        <v>5307</v>
      </c>
    </row>
    <row r="5981" spans="1:5">
      <c r="A5981" s="174">
        <f t="shared" si="85"/>
        <v>5980</v>
      </c>
      <c r="B5981" s="163">
        <v>45912</v>
      </c>
      <c r="C5981" s="164">
        <v>0.6053587962962963</v>
      </c>
      <c r="D5981" s="159">
        <v>10</v>
      </c>
      <c r="E5981" s="166" t="s">
        <v>5308</v>
      </c>
    </row>
    <row r="5982" spans="1:5">
      <c r="A5982" s="174">
        <f t="shared" si="85"/>
        <v>5981</v>
      </c>
      <c r="B5982" s="163">
        <v>45912</v>
      </c>
      <c r="C5982" s="164">
        <v>0.61336805555555551</v>
      </c>
      <c r="D5982" s="159">
        <v>10</v>
      </c>
      <c r="E5982" s="166" t="s">
        <v>5309</v>
      </c>
    </row>
    <row r="5983" spans="1:5">
      <c r="A5983" s="174">
        <f t="shared" si="85"/>
        <v>5982</v>
      </c>
      <c r="B5983" s="163">
        <v>45912</v>
      </c>
      <c r="C5983" s="164">
        <v>0.63162037037037033</v>
      </c>
      <c r="D5983" s="159">
        <v>10</v>
      </c>
      <c r="E5983" s="166" t="s">
        <v>5310</v>
      </c>
    </row>
    <row r="5984" spans="1:5" ht="27">
      <c r="A5984" s="174">
        <f t="shared" si="85"/>
        <v>5983</v>
      </c>
      <c r="B5984" s="163">
        <v>45912</v>
      </c>
      <c r="C5984" s="164">
        <v>0.64814814814814814</v>
      </c>
      <c r="D5984" s="159">
        <v>10</v>
      </c>
      <c r="E5984" s="166" t="s">
        <v>5311</v>
      </c>
    </row>
    <row r="5985" spans="1:5">
      <c r="A5985" s="174">
        <f t="shared" si="85"/>
        <v>5984</v>
      </c>
      <c r="B5985" s="163">
        <v>45912</v>
      </c>
      <c r="C5985" s="164">
        <v>0.65841435185185182</v>
      </c>
      <c r="D5985" s="159">
        <v>10</v>
      </c>
      <c r="E5985" s="166" t="s">
        <v>5312</v>
      </c>
    </row>
    <row r="5986" spans="1:5">
      <c r="A5986" s="174">
        <f t="shared" si="85"/>
        <v>5985</v>
      </c>
      <c r="B5986" s="163">
        <v>45912</v>
      </c>
      <c r="C5986" s="164">
        <v>0.66016203703703702</v>
      </c>
      <c r="D5986" s="159">
        <v>10</v>
      </c>
      <c r="E5986" s="166" t="s">
        <v>5313</v>
      </c>
    </row>
    <row r="5987" spans="1:5">
      <c r="A5987" s="174">
        <f t="shared" si="85"/>
        <v>5986</v>
      </c>
      <c r="B5987" s="163">
        <v>45912</v>
      </c>
      <c r="C5987" s="164">
        <v>0.66756944444444455</v>
      </c>
      <c r="D5987" s="159">
        <v>10</v>
      </c>
      <c r="E5987" s="166" t="s">
        <v>5314</v>
      </c>
    </row>
    <row r="5988" spans="1:5">
      <c r="A5988" s="174">
        <f t="shared" si="85"/>
        <v>5987</v>
      </c>
      <c r="B5988" s="163">
        <v>45912</v>
      </c>
      <c r="C5988" s="164">
        <v>0.66982638888888879</v>
      </c>
      <c r="D5988" s="159">
        <v>10</v>
      </c>
      <c r="E5988" s="166" t="s">
        <v>5315</v>
      </c>
    </row>
    <row r="5989" spans="1:5">
      <c r="A5989" s="174">
        <f t="shared" si="85"/>
        <v>5988</v>
      </c>
      <c r="B5989" s="163">
        <v>45912</v>
      </c>
      <c r="C5989" s="164">
        <v>0.67658564814814814</v>
      </c>
      <c r="D5989" s="159">
        <v>10</v>
      </c>
      <c r="E5989" s="166" t="s">
        <v>5316</v>
      </c>
    </row>
    <row r="5990" spans="1:5">
      <c r="A5990" s="174">
        <f t="shared" si="85"/>
        <v>5989</v>
      </c>
      <c r="B5990" s="163">
        <v>45912</v>
      </c>
      <c r="C5990" s="164">
        <v>0.67799768518518511</v>
      </c>
      <c r="D5990" s="159">
        <v>10</v>
      </c>
      <c r="E5990" s="166" t="s">
        <v>132</v>
      </c>
    </row>
    <row r="5991" spans="1:5">
      <c r="A5991" s="174">
        <f t="shared" si="85"/>
        <v>5990</v>
      </c>
      <c r="B5991" s="163">
        <v>45912</v>
      </c>
      <c r="C5991" s="164">
        <v>0.67827546296296293</v>
      </c>
      <c r="D5991" s="159">
        <v>10</v>
      </c>
      <c r="E5991" s="166" t="s">
        <v>5317</v>
      </c>
    </row>
    <row r="5992" spans="1:5">
      <c r="A5992" s="174">
        <f t="shared" si="85"/>
        <v>5991</v>
      </c>
      <c r="B5992" s="163">
        <v>45912</v>
      </c>
      <c r="C5992" s="164">
        <v>0.67914351851851851</v>
      </c>
      <c r="D5992" s="159">
        <v>10</v>
      </c>
      <c r="E5992" s="166" t="s">
        <v>5318</v>
      </c>
    </row>
    <row r="5993" spans="1:5">
      <c r="A5993" s="174">
        <f t="shared" si="85"/>
        <v>5992</v>
      </c>
      <c r="B5993" s="163">
        <v>45912</v>
      </c>
      <c r="C5993" s="164">
        <v>0.68533564814814818</v>
      </c>
      <c r="D5993" s="159">
        <v>10</v>
      </c>
      <c r="E5993" s="166" t="s">
        <v>5319</v>
      </c>
    </row>
    <row r="5994" spans="1:5">
      <c r="A5994" s="174">
        <f t="shared" si="85"/>
        <v>5993</v>
      </c>
      <c r="B5994" s="163">
        <v>45912</v>
      </c>
      <c r="C5994" s="164">
        <v>0.6882638888888889</v>
      </c>
      <c r="D5994" s="159">
        <v>10</v>
      </c>
      <c r="E5994" s="166" t="s">
        <v>5320</v>
      </c>
    </row>
    <row r="5995" spans="1:5">
      <c r="A5995" s="174">
        <f t="shared" si="85"/>
        <v>5994</v>
      </c>
      <c r="B5995" s="163">
        <v>45912</v>
      </c>
      <c r="C5995" s="164">
        <v>0.69560185185185175</v>
      </c>
      <c r="D5995" s="159">
        <v>10</v>
      </c>
      <c r="E5995" s="166" t="s">
        <v>5321</v>
      </c>
    </row>
    <row r="5996" spans="1:5">
      <c r="A5996" s="174">
        <f t="shared" si="85"/>
        <v>5995</v>
      </c>
      <c r="B5996" s="163">
        <v>45912</v>
      </c>
      <c r="C5996" s="164">
        <v>0.71711805555555552</v>
      </c>
      <c r="D5996" s="159">
        <v>10</v>
      </c>
      <c r="E5996" s="166" t="s">
        <v>5322</v>
      </c>
    </row>
    <row r="5997" spans="1:5">
      <c r="A5997" s="174">
        <f t="shared" si="85"/>
        <v>5996</v>
      </c>
      <c r="B5997" s="163">
        <v>45912</v>
      </c>
      <c r="C5997" s="164">
        <v>0.71929398148148149</v>
      </c>
      <c r="D5997" s="159">
        <v>10</v>
      </c>
      <c r="E5997" s="166" t="s">
        <v>5323</v>
      </c>
    </row>
    <row r="5998" spans="1:5">
      <c r="A5998" s="174">
        <f t="shared" si="85"/>
        <v>5997</v>
      </c>
      <c r="B5998" s="163">
        <v>45912</v>
      </c>
      <c r="C5998" s="164">
        <v>0.71965277777777781</v>
      </c>
      <c r="D5998" s="159">
        <v>10</v>
      </c>
      <c r="E5998" s="166" t="s">
        <v>5324</v>
      </c>
    </row>
    <row r="5999" spans="1:5">
      <c r="A5999" s="174">
        <f t="shared" si="85"/>
        <v>5998</v>
      </c>
      <c r="B5999" s="163">
        <v>45912</v>
      </c>
      <c r="C5999" s="164">
        <v>0.72645833333333332</v>
      </c>
      <c r="D5999" s="159">
        <v>10</v>
      </c>
      <c r="E5999" s="166" t="s">
        <v>5325</v>
      </c>
    </row>
    <row r="6000" spans="1:5">
      <c r="A6000" s="174">
        <f t="shared" si="85"/>
        <v>5999</v>
      </c>
      <c r="B6000" s="163">
        <v>45912</v>
      </c>
      <c r="C6000" s="164">
        <v>0.74247685185185175</v>
      </c>
      <c r="D6000" s="159">
        <v>10</v>
      </c>
      <c r="E6000" s="166" t="s">
        <v>5326</v>
      </c>
    </row>
    <row r="6001" spans="1:5">
      <c r="A6001" s="174">
        <f t="shared" si="85"/>
        <v>6000</v>
      </c>
      <c r="B6001" s="163">
        <v>45912</v>
      </c>
      <c r="C6001" s="164">
        <v>0.80484953703703699</v>
      </c>
      <c r="D6001" s="159">
        <v>10</v>
      </c>
      <c r="E6001" s="166" t="s">
        <v>5327</v>
      </c>
    </row>
    <row r="6002" spans="1:5">
      <c r="A6002" s="174">
        <f t="shared" si="85"/>
        <v>6001</v>
      </c>
      <c r="B6002" s="163">
        <v>45912</v>
      </c>
      <c r="C6002" s="164">
        <v>0.82196759259259267</v>
      </c>
      <c r="D6002" s="159">
        <v>10</v>
      </c>
      <c r="E6002" s="166" t="s">
        <v>5328</v>
      </c>
    </row>
    <row r="6003" spans="1:5">
      <c r="A6003" s="174">
        <f t="shared" si="85"/>
        <v>6002</v>
      </c>
      <c r="B6003" s="163">
        <v>45913</v>
      </c>
      <c r="C6003" s="164">
        <v>0.38783564814814814</v>
      </c>
      <c r="D6003" s="159">
        <v>10</v>
      </c>
      <c r="E6003" s="166" t="s">
        <v>5329</v>
      </c>
    </row>
    <row r="6004" spans="1:5">
      <c r="A6004" s="174">
        <f t="shared" si="85"/>
        <v>6003</v>
      </c>
      <c r="B6004" s="163">
        <v>45913</v>
      </c>
      <c r="C6004" s="164">
        <v>0.3904050925925926</v>
      </c>
      <c r="D6004" s="159">
        <v>10</v>
      </c>
      <c r="E6004" s="166" t="s">
        <v>4144</v>
      </c>
    </row>
    <row r="6005" spans="1:5">
      <c r="A6005" s="174">
        <f t="shared" ref="A6005:A6068" si="86">ROW()-1</f>
        <v>6004</v>
      </c>
      <c r="B6005" s="163">
        <v>45913</v>
      </c>
      <c r="C6005" s="164">
        <v>0.3977430555555555</v>
      </c>
      <c r="D6005" s="159">
        <v>10</v>
      </c>
      <c r="E6005" s="166" t="s">
        <v>5330</v>
      </c>
    </row>
    <row r="6006" spans="1:5">
      <c r="A6006" s="174">
        <f t="shared" si="86"/>
        <v>6005</v>
      </c>
      <c r="B6006" s="163">
        <v>45913</v>
      </c>
      <c r="C6006" s="164">
        <v>0.39980324074074075</v>
      </c>
      <c r="D6006" s="159">
        <v>10</v>
      </c>
      <c r="E6006" s="166" t="s">
        <v>5331</v>
      </c>
    </row>
    <row r="6007" spans="1:5">
      <c r="A6007" s="174">
        <f t="shared" si="86"/>
        <v>6006</v>
      </c>
      <c r="B6007" s="163">
        <v>45913</v>
      </c>
      <c r="C6007" s="164">
        <v>0.42458333333333331</v>
      </c>
      <c r="D6007" s="159">
        <v>10</v>
      </c>
      <c r="E6007" s="166" t="s">
        <v>273</v>
      </c>
    </row>
    <row r="6008" spans="1:5" ht="27">
      <c r="A6008" s="174">
        <f t="shared" si="86"/>
        <v>6007</v>
      </c>
      <c r="B6008" s="163">
        <v>45913</v>
      </c>
      <c r="C6008" s="164">
        <v>0.43035879629629631</v>
      </c>
      <c r="D6008" s="159">
        <v>10</v>
      </c>
      <c r="E6008" s="166" t="s">
        <v>5339</v>
      </c>
    </row>
    <row r="6009" spans="1:5">
      <c r="A6009" s="174">
        <f t="shared" si="86"/>
        <v>6008</v>
      </c>
      <c r="B6009" s="163">
        <v>45913</v>
      </c>
      <c r="C6009" s="164">
        <v>0.43557870370370372</v>
      </c>
      <c r="D6009" s="159">
        <v>10</v>
      </c>
      <c r="E6009" s="166" t="s">
        <v>5332</v>
      </c>
    </row>
    <row r="6010" spans="1:5">
      <c r="A6010" s="174">
        <f t="shared" si="86"/>
        <v>6009</v>
      </c>
      <c r="B6010" s="163">
        <v>45913</v>
      </c>
      <c r="C6010" s="164">
        <v>0.47840277777777779</v>
      </c>
      <c r="D6010" s="159">
        <v>10</v>
      </c>
      <c r="E6010" s="166" t="s">
        <v>2436</v>
      </c>
    </row>
    <row r="6011" spans="1:5">
      <c r="A6011" s="174">
        <f t="shared" si="86"/>
        <v>6010</v>
      </c>
      <c r="B6011" s="163">
        <v>45913</v>
      </c>
      <c r="C6011" s="164">
        <v>0.48109953703703701</v>
      </c>
      <c r="D6011" s="159">
        <v>10</v>
      </c>
      <c r="E6011" s="166" t="s">
        <v>5333</v>
      </c>
    </row>
    <row r="6012" spans="1:5">
      <c r="A6012" s="174">
        <f t="shared" si="86"/>
        <v>6011</v>
      </c>
      <c r="B6012" s="163">
        <v>45913</v>
      </c>
      <c r="C6012" s="164">
        <v>0.58037037037037031</v>
      </c>
      <c r="D6012" s="159">
        <v>10</v>
      </c>
      <c r="E6012" s="166" t="s">
        <v>406</v>
      </c>
    </row>
    <row r="6013" spans="1:5" ht="27">
      <c r="A6013" s="174">
        <f t="shared" si="86"/>
        <v>6012</v>
      </c>
      <c r="B6013" s="163">
        <v>45913</v>
      </c>
      <c r="C6013" s="164">
        <v>0.65653935185185186</v>
      </c>
      <c r="D6013" s="159">
        <v>10</v>
      </c>
      <c r="E6013" s="166" t="s">
        <v>5334</v>
      </c>
    </row>
    <row r="6014" spans="1:5">
      <c r="A6014" s="174">
        <f t="shared" si="86"/>
        <v>6013</v>
      </c>
      <c r="B6014" s="163">
        <v>45913</v>
      </c>
      <c r="C6014" s="164">
        <v>0.68042824074074071</v>
      </c>
      <c r="D6014" s="159">
        <v>10</v>
      </c>
      <c r="E6014" s="166" t="s">
        <v>5335</v>
      </c>
    </row>
    <row r="6015" spans="1:5">
      <c r="A6015" s="174">
        <f t="shared" si="86"/>
        <v>6014</v>
      </c>
      <c r="B6015" s="163">
        <v>45913</v>
      </c>
      <c r="C6015" s="164">
        <v>0.68460648148148151</v>
      </c>
      <c r="D6015" s="159">
        <v>10</v>
      </c>
      <c r="E6015" s="166" t="s">
        <v>5336</v>
      </c>
    </row>
    <row r="6016" spans="1:5">
      <c r="A6016" s="174">
        <f t="shared" si="86"/>
        <v>6015</v>
      </c>
      <c r="B6016" s="163">
        <v>45913</v>
      </c>
      <c r="C6016" s="164">
        <v>0.68761574074074072</v>
      </c>
      <c r="D6016" s="159">
        <v>10</v>
      </c>
      <c r="E6016" s="166" t="s">
        <v>5337</v>
      </c>
    </row>
    <row r="6017" spans="1:5">
      <c r="A6017" s="174">
        <f t="shared" si="86"/>
        <v>6016</v>
      </c>
      <c r="B6017" s="163">
        <v>45915</v>
      </c>
      <c r="C6017" s="164">
        <v>0.42966435185185187</v>
      </c>
      <c r="D6017" s="159">
        <v>10</v>
      </c>
      <c r="E6017" s="166" t="s">
        <v>5340</v>
      </c>
    </row>
    <row r="6018" spans="1:5">
      <c r="A6018" s="174">
        <f t="shared" si="86"/>
        <v>6017</v>
      </c>
      <c r="B6018" s="163">
        <v>45915</v>
      </c>
      <c r="C6018" s="164">
        <v>0.43519675925925921</v>
      </c>
      <c r="D6018" s="159">
        <v>9</v>
      </c>
      <c r="E6018" s="166" t="s">
        <v>5341</v>
      </c>
    </row>
    <row r="6019" spans="1:5">
      <c r="A6019" s="174">
        <f t="shared" si="86"/>
        <v>6018</v>
      </c>
      <c r="B6019" s="163">
        <v>45915</v>
      </c>
      <c r="C6019" s="164">
        <v>0.45859953703703704</v>
      </c>
      <c r="D6019" s="159">
        <v>10</v>
      </c>
      <c r="E6019" s="166" t="s">
        <v>5342</v>
      </c>
    </row>
    <row r="6020" spans="1:5">
      <c r="A6020" s="174">
        <f t="shared" si="86"/>
        <v>6019</v>
      </c>
      <c r="B6020" s="163">
        <v>45915</v>
      </c>
      <c r="C6020" s="164">
        <v>0.46202546296296299</v>
      </c>
      <c r="D6020" s="159">
        <v>10</v>
      </c>
      <c r="E6020" s="166" t="s">
        <v>5343</v>
      </c>
    </row>
    <row r="6021" spans="1:5">
      <c r="A6021" s="174">
        <f t="shared" si="86"/>
        <v>6020</v>
      </c>
      <c r="B6021" s="163">
        <v>45915</v>
      </c>
      <c r="C6021" s="164">
        <v>0.46233796296296298</v>
      </c>
      <c r="D6021" s="159">
        <v>10</v>
      </c>
      <c r="E6021" s="166" t="s">
        <v>5344</v>
      </c>
    </row>
    <row r="6022" spans="1:5">
      <c r="A6022" s="174">
        <f t="shared" si="86"/>
        <v>6021</v>
      </c>
      <c r="B6022" s="163">
        <v>45915</v>
      </c>
      <c r="C6022" s="164">
        <v>0.46609953703703705</v>
      </c>
      <c r="D6022" s="159">
        <v>10</v>
      </c>
      <c r="E6022" s="166" t="s">
        <v>5345</v>
      </c>
    </row>
    <row r="6023" spans="1:5">
      <c r="A6023" s="174">
        <f t="shared" si="86"/>
        <v>6022</v>
      </c>
      <c r="B6023" s="163">
        <v>45915</v>
      </c>
      <c r="C6023" s="164">
        <v>0.47010416666666671</v>
      </c>
      <c r="D6023" s="159">
        <v>10</v>
      </c>
      <c r="E6023" s="166" t="s">
        <v>5346</v>
      </c>
    </row>
    <row r="6024" spans="1:5">
      <c r="A6024" s="174">
        <f t="shared" si="86"/>
        <v>6023</v>
      </c>
      <c r="B6024" s="163">
        <v>45915</v>
      </c>
      <c r="C6024" s="164">
        <v>0.47950231481481481</v>
      </c>
      <c r="D6024" s="159">
        <v>10</v>
      </c>
      <c r="E6024" s="166" t="s">
        <v>5347</v>
      </c>
    </row>
    <row r="6025" spans="1:5">
      <c r="A6025" s="174">
        <f t="shared" si="86"/>
        <v>6024</v>
      </c>
      <c r="B6025" s="163">
        <v>45915</v>
      </c>
      <c r="C6025" s="164">
        <v>0.4871759259259259</v>
      </c>
      <c r="D6025" s="159">
        <v>10</v>
      </c>
      <c r="E6025" s="166" t="s">
        <v>5348</v>
      </c>
    </row>
    <row r="6026" spans="1:5">
      <c r="A6026" s="174">
        <f t="shared" si="86"/>
        <v>6025</v>
      </c>
      <c r="B6026" s="163">
        <v>45915</v>
      </c>
      <c r="C6026" s="164">
        <v>0.49520833333333331</v>
      </c>
      <c r="D6026" s="159">
        <v>10</v>
      </c>
      <c r="E6026" s="166" t="s">
        <v>5349</v>
      </c>
    </row>
    <row r="6027" spans="1:5">
      <c r="A6027" s="174">
        <f t="shared" si="86"/>
        <v>6026</v>
      </c>
      <c r="B6027" s="163">
        <v>45915</v>
      </c>
      <c r="C6027" s="164">
        <v>0.5323148148148148</v>
      </c>
      <c r="D6027" s="159">
        <v>10</v>
      </c>
      <c r="E6027" s="166" t="s">
        <v>830</v>
      </c>
    </row>
    <row r="6028" spans="1:5">
      <c r="A6028" s="174">
        <f t="shared" si="86"/>
        <v>6027</v>
      </c>
      <c r="B6028" s="163">
        <v>45915</v>
      </c>
      <c r="C6028" s="164">
        <v>0.54746527777777776</v>
      </c>
      <c r="D6028" s="159">
        <v>10</v>
      </c>
      <c r="E6028" s="166" t="s">
        <v>5350</v>
      </c>
    </row>
    <row r="6029" spans="1:5">
      <c r="A6029" s="174">
        <f t="shared" si="86"/>
        <v>6028</v>
      </c>
      <c r="B6029" s="163">
        <v>45915</v>
      </c>
      <c r="C6029" s="164">
        <v>0.54850694444444448</v>
      </c>
      <c r="D6029" s="159">
        <v>10</v>
      </c>
      <c r="E6029" s="166" t="s">
        <v>5351</v>
      </c>
    </row>
    <row r="6030" spans="1:5">
      <c r="A6030" s="174">
        <f t="shared" si="86"/>
        <v>6029</v>
      </c>
      <c r="B6030" s="163">
        <v>45915</v>
      </c>
      <c r="C6030" s="164">
        <v>0.55141203703703701</v>
      </c>
      <c r="D6030" s="159">
        <v>9</v>
      </c>
      <c r="E6030" s="166" t="s">
        <v>1668</v>
      </c>
    </row>
    <row r="6031" spans="1:5">
      <c r="A6031" s="174">
        <f t="shared" si="86"/>
        <v>6030</v>
      </c>
      <c r="B6031" s="163">
        <v>45915</v>
      </c>
      <c r="C6031" s="164">
        <v>0.56020833333333331</v>
      </c>
      <c r="D6031" s="159">
        <v>10</v>
      </c>
      <c r="E6031" s="166" t="s">
        <v>5352</v>
      </c>
    </row>
    <row r="6032" spans="1:5">
      <c r="A6032" s="174">
        <f t="shared" si="86"/>
        <v>6031</v>
      </c>
      <c r="B6032" s="163">
        <v>45915</v>
      </c>
      <c r="C6032" s="164">
        <v>0.57497685185185188</v>
      </c>
      <c r="D6032" s="159">
        <v>10</v>
      </c>
      <c r="E6032" s="166" t="s">
        <v>2163</v>
      </c>
    </row>
    <row r="6033" spans="1:5">
      <c r="A6033" s="174">
        <f t="shared" si="86"/>
        <v>6032</v>
      </c>
      <c r="B6033" s="163">
        <v>45915</v>
      </c>
      <c r="C6033" s="164">
        <v>0.58734953703703707</v>
      </c>
      <c r="D6033" s="159">
        <v>10</v>
      </c>
      <c r="E6033" s="166" t="s">
        <v>244</v>
      </c>
    </row>
    <row r="6034" spans="1:5">
      <c r="A6034" s="174">
        <f t="shared" si="86"/>
        <v>6033</v>
      </c>
      <c r="B6034" s="163">
        <v>45915</v>
      </c>
      <c r="C6034" s="164">
        <v>0.58822916666666669</v>
      </c>
      <c r="D6034" s="159">
        <v>10</v>
      </c>
      <c r="E6034" s="166" t="s">
        <v>5353</v>
      </c>
    </row>
    <row r="6035" spans="1:5">
      <c r="A6035" s="174">
        <f t="shared" si="86"/>
        <v>6034</v>
      </c>
      <c r="B6035" s="163">
        <v>45915</v>
      </c>
      <c r="C6035" s="164">
        <v>0.5975462962962963</v>
      </c>
      <c r="D6035" s="159">
        <v>10</v>
      </c>
      <c r="E6035" s="166" t="s">
        <v>5354</v>
      </c>
    </row>
    <row r="6036" spans="1:5">
      <c r="A6036" s="174">
        <f t="shared" si="86"/>
        <v>6035</v>
      </c>
      <c r="B6036" s="163">
        <v>45915</v>
      </c>
      <c r="C6036" s="164">
        <v>0.60061342592592593</v>
      </c>
      <c r="D6036" s="159">
        <v>10</v>
      </c>
      <c r="E6036" s="166" t="s">
        <v>5355</v>
      </c>
    </row>
    <row r="6037" spans="1:5">
      <c r="A6037" s="174">
        <f t="shared" si="86"/>
        <v>6036</v>
      </c>
      <c r="B6037" s="163">
        <v>45915</v>
      </c>
      <c r="C6037" s="164">
        <v>0.60638888888888887</v>
      </c>
      <c r="D6037" s="159">
        <v>10</v>
      </c>
      <c r="E6037" s="166" t="s">
        <v>690</v>
      </c>
    </row>
    <row r="6038" spans="1:5">
      <c r="A6038" s="174">
        <f t="shared" si="86"/>
        <v>6037</v>
      </c>
      <c r="B6038" s="163">
        <v>45915</v>
      </c>
      <c r="C6038" s="164">
        <v>0.62413194444444442</v>
      </c>
      <c r="D6038" s="159">
        <v>10</v>
      </c>
      <c r="E6038" s="166" t="s">
        <v>5356</v>
      </c>
    </row>
    <row r="6039" spans="1:5">
      <c r="A6039" s="174">
        <f t="shared" si="86"/>
        <v>6038</v>
      </c>
      <c r="B6039" s="163">
        <v>45915</v>
      </c>
      <c r="C6039" s="164">
        <v>0.63200231481481484</v>
      </c>
      <c r="D6039" s="159">
        <v>10</v>
      </c>
      <c r="E6039" s="166" t="s">
        <v>5357</v>
      </c>
    </row>
    <row r="6040" spans="1:5">
      <c r="A6040" s="174">
        <f t="shared" si="86"/>
        <v>6039</v>
      </c>
      <c r="B6040" s="163">
        <v>45915</v>
      </c>
      <c r="C6040" s="164">
        <v>0.64427083333333335</v>
      </c>
      <c r="D6040" s="159">
        <v>10</v>
      </c>
      <c r="E6040" s="166" t="s">
        <v>5358</v>
      </c>
    </row>
    <row r="6041" spans="1:5">
      <c r="A6041" s="174">
        <f t="shared" si="86"/>
        <v>6040</v>
      </c>
      <c r="B6041" s="163">
        <v>45915</v>
      </c>
      <c r="C6041" s="164">
        <v>0.6511689814814815</v>
      </c>
      <c r="D6041" s="159">
        <v>10</v>
      </c>
      <c r="E6041" s="166" t="s">
        <v>5359</v>
      </c>
    </row>
    <row r="6042" spans="1:5">
      <c r="A6042" s="174">
        <f t="shared" si="86"/>
        <v>6041</v>
      </c>
      <c r="B6042" s="163">
        <v>45915</v>
      </c>
      <c r="C6042" s="164">
        <v>0.65262731481481484</v>
      </c>
      <c r="D6042" s="159">
        <v>10</v>
      </c>
      <c r="E6042" s="166" t="s">
        <v>5360</v>
      </c>
    </row>
    <row r="6043" spans="1:5">
      <c r="A6043" s="174">
        <f t="shared" si="86"/>
        <v>6042</v>
      </c>
      <c r="B6043" s="163">
        <v>45915</v>
      </c>
      <c r="C6043" s="164">
        <v>0.66270833333333334</v>
      </c>
      <c r="D6043" s="159">
        <v>10</v>
      </c>
      <c r="E6043" s="166" t="s">
        <v>5361</v>
      </c>
    </row>
    <row r="6044" spans="1:5">
      <c r="A6044" s="174">
        <f t="shared" si="86"/>
        <v>6043</v>
      </c>
      <c r="B6044" s="163">
        <v>45915</v>
      </c>
      <c r="C6044" s="164">
        <v>0.67630787037037043</v>
      </c>
      <c r="D6044" s="159">
        <v>10</v>
      </c>
      <c r="E6044" s="166" t="s">
        <v>5362</v>
      </c>
    </row>
    <row r="6045" spans="1:5">
      <c r="A6045" s="174">
        <f t="shared" si="86"/>
        <v>6044</v>
      </c>
      <c r="B6045" s="163">
        <v>45915</v>
      </c>
      <c r="C6045" s="164">
        <v>0.67631944444444436</v>
      </c>
      <c r="D6045" s="159">
        <v>10</v>
      </c>
      <c r="E6045" s="166" t="s">
        <v>5363</v>
      </c>
    </row>
    <row r="6046" spans="1:5">
      <c r="A6046" s="174">
        <f t="shared" si="86"/>
        <v>6045</v>
      </c>
      <c r="B6046" s="163">
        <v>45915</v>
      </c>
      <c r="C6046" s="164">
        <v>0.68925925925925924</v>
      </c>
      <c r="D6046" s="159">
        <v>10</v>
      </c>
      <c r="E6046" s="166" t="s">
        <v>5364</v>
      </c>
    </row>
    <row r="6047" spans="1:5">
      <c r="A6047" s="174">
        <f t="shared" si="86"/>
        <v>6046</v>
      </c>
      <c r="B6047" s="163">
        <v>45915</v>
      </c>
      <c r="C6047" s="164">
        <v>0.69113425925925931</v>
      </c>
      <c r="D6047" s="159">
        <v>10</v>
      </c>
      <c r="E6047" s="166" t="s">
        <v>5365</v>
      </c>
    </row>
    <row r="6048" spans="1:5">
      <c r="A6048" s="174">
        <f t="shared" si="86"/>
        <v>6047</v>
      </c>
      <c r="B6048" s="163">
        <v>45915</v>
      </c>
      <c r="C6048" s="164">
        <v>0.69488425925925934</v>
      </c>
      <c r="D6048" s="159">
        <v>10</v>
      </c>
      <c r="E6048" s="166" t="s">
        <v>5366</v>
      </c>
    </row>
    <row r="6049" spans="1:5">
      <c r="A6049" s="174">
        <f t="shared" si="86"/>
        <v>6048</v>
      </c>
      <c r="B6049" s="163">
        <v>45915</v>
      </c>
      <c r="C6049" s="164">
        <v>0.70188657407407407</v>
      </c>
      <c r="D6049" s="159">
        <v>10</v>
      </c>
      <c r="E6049" s="166" t="s">
        <v>5367</v>
      </c>
    </row>
    <row r="6050" spans="1:5">
      <c r="A6050" s="174">
        <f t="shared" si="86"/>
        <v>6049</v>
      </c>
      <c r="B6050" s="163">
        <v>45915</v>
      </c>
      <c r="C6050" s="164">
        <v>0.70743055555555545</v>
      </c>
      <c r="D6050" s="159">
        <v>10</v>
      </c>
      <c r="E6050" s="166" t="s">
        <v>5368</v>
      </c>
    </row>
    <row r="6051" spans="1:5">
      <c r="A6051" s="174">
        <f t="shared" si="86"/>
        <v>6050</v>
      </c>
      <c r="B6051" s="163">
        <v>45915</v>
      </c>
      <c r="C6051" s="164">
        <v>0.71950231481481486</v>
      </c>
      <c r="D6051" s="159">
        <v>10</v>
      </c>
      <c r="E6051" s="166" t="s">
        <v>5369</v>
      </c>
    </row>
    <row r="6052" spans="1:5">
      <c r="A6052" s="174">
        <f t="shared" si="86"/>
        <v>6051</v>
      </c>
      <c r="B6052" s="163">
        <v>45915</v>
      </c>
      <c r="C6052" s="164">
        <v>0.72721064814814806</v>
      </c>
      <c r="D6052" s="159">
        <v>10</v>
      </c>
      <c r="E6052" s="166" t="s">
        <v>5370</v>
      </c>
    </row>
    <row r="6053" spans="1:5">
      <c r="A6053" s="174">
        <f t="shared" si="86"/>
        <v>6052</v>
      </c>
      <c r="B6053" s="163">
        <v>45915</v>
      </c>
      <c r="C6053" s="164">
        <v>0.73575231481481485</v>
      </c>
      <c r="D6053" s="159">
        <v>9</v>
      </c>
      <c r="E6053" s="166" t="s">
        <v>426</v>
      </c>
    </row>
    <row r="6054" spans="1:5">
      <c r="A6054" s="174">
        <f t="shared" si="86"/>
        <v>6053</v>
      </c>
      <c r="B6054" s="163">
        <v>45915</v>
      </c>
      <c r="C6054" s="164">
        <v>0.74047453703703703</v>
      </c>
      <c r="D6054" s="159">
        <v>10</v>
      </c>
      <c r="E6054" s="166" t="s">
        <v>5371</v>
      </c>
    </row>
    <row r="6055" spans="1:5">
      <c r="A6055" s="174">
        <f t="shared" si="86"/>
        <v>6054</v>
      </c>
      <c r="B6055" s="163">
        <v>45915</v>
      </c>
      <c r="C6055" s="164">
        <v>0.7521064814814814</v>
      </c>
      <c r="D6055" s="159">
        <v>10</v>
      </c>
      <c r="E6055" s="166" t="s">
        <v>836</v>
      </c>
    </row>
    <row r="6056" spans="1:5">
      <c r="A6056" s="174">
        <f t="shared" si="86"/>
        <v>6055</v>
      </c>
      <c r="B6056" s="163">
        <v>45915</v>
      </c>
      <c r="C6056" s="164">
        <v>0.76987268518518526</v>
      </c>
      <c r="D6056" s="159">
        <v>10</v>
      </c>
      <c r="E6056" s="166" t="s">
        <v>5372</v>
      </c>
    </row>
    <row r="6057" spans="1:5">
      <c r="A6057" s="174">
        <f t="shared" si="86"/>
        <v>6056</v>
      </c>
      <c r="B6057" s="163">
        <v>45915</v>
      </c>
      <c r="C6057" s="164">
        <v>0.77600694444444451</v>
      </c>
      <c r="D6057" s="159">
        <v>10</v>
      </c>
      <c r="E6057" s="166" t="s">
        <v>5378</v>
      </c>
    </row>
    <row r="6058" spans="1:5">
      <c r="A6058" s="174">
        <f t="shared" si="86"/>
        <v>6057</v>
      </c>
      <c r="B6058" s="163">
        <v>45915</v>
      </c>
      <c r="C6058" s="164">
        <v>0.79100694444444442</v>
      </c>
      <c r="D6058" s="159">
        <v>10</v>
      </c>
      <c r="E6058" s="166" t="s">
        <v>5373</v>
      </c>
    </row>
    <row r="6059" spans="1:5">
      <c r="A6059" s="174">
        <f t="shared" si="86"/>
        <v>6058</v>
      </c>
      <c r="B6059" s="163">
        <v>45915</v>
      </c>
      <c r="C6059" s="164">
        <v>0.79415509259259265</v>
      </c>
      <c r="D6059" s="159">
        <v>10</v>
      </c>
      <c r="E6059" s="166" t="s">
        <v>5374</v>
      </c>
    </row>
    <row r="6060" spans="1:5">
      <c r="A6060" s="174">
        <f t="shared" si="86"/>
        <v>6059</v>
      </c>
      <c r="B6060" s="163">
        <v>45915</v>
      </c>
      <c r="C6060" s="164">
        <v>0.8041666666666667</v>
      </c>
      <c r="D6060" s="159">
        <v>10</v>
      </c>
      <c r="E6060" s="166" t="s">
        <v>5375</v>
      </c>
    </row>
    <row r="6061" spans="1:5">
      <c r="A6061" s="174">
        <f t="shared" si="86"/>
        <v>6060</v>
      </c>
      <c r="B6061" s="163">
        <v>45915</v>
      </c>
      <c r="C6061" s="164">
        <v>0.82394675925925931</v>
      </c>
      <c r="D6061" s="159">
        <v>10</v>
      </c>
      <c r="E6061" s="166" t="s">
        <v>5376</v>
      </c>
    </row>
    <row r="6062" spans="1:5">
      <c r="A6062" s="174">
        <f t="shared" si="86"/>
        <v>6061</v>
      </c>
      <c r="B6062" s="163">
        <v>45915</v>
      </c>
      <c r="C6062" s="164">
        <v>0.83702546296296287</v>
      </c>
      <c r="D6062" s="159">
        <v>10</v>
      </c>
      <c r="E6062" s="166" t="s">
        <v>749</v>
      </c>
    </row>
    <row r="6063" spans="1:5">
      <c r="A6063" s="174">
        <f t="shared" si="86"/>
        <v>6062</v>
      </c>
      <c r="B6063" s="163">
        <v>45915</v>
      </c>
      <c r="C6063" s="164">
        <v>0.87641203703703707</v>
      </c>
      <c r="D6063" s="159">
        <v>10</v>
      </c>
      <c r="E6063" s="166" t="s">
        <v>5377</v>
      </c>
    </row>
    <row r="6064" spans="1:5">
      <c r="A6064" s="174">
        <f t="shared" si="86"/>
        <v>6063</v>
      </c>
      <c r="B6064" s="163">
        <v>45916</v>
      </c>
      <c r="C6064" s="164">
        <v>0.41648148148148145</v>
      </c>
      <c r="D6064" s="159">
        <v>10</v>
      </c>
      <c r="E6064" s="166" t="s">
        <v>5379</v>
      </c>
    </row>
    <row r="6065" spans="1:5">
      <c r="A6065" s="174">
        <f t="shared" si="86"/>
        <v>6064</v>
      </c>
      <c r="B6065" s="163">
        <v>45916</v>
      </c>
      <c r="C6065" s="164">
        <v>0.42364583333333333</v>
      </c>
      <c r="D6065" s="159">
        <v>10</v>
      </c>
      <c r="E6065" s="166" t="s">
        <v>5380</v>
      </c>
    </row>
    <row r="6066" spans="1:5">
      <c r="A6066" s="174">
        <f t="shared" si="86"/>
        <v>6065</v>
      </c>
      <c r="B6066" s="163">
        <v>45916</v>
      </c>
      <c r="C6066" s="164">
        <v>0.4305208333333333</v>
      </c>
      <c r="D6066" s="159">
        <v>10</v>
      </c>
      <c r="E6066" s="166" t="s">
        <v>5381</v>
      </c>
    </row>
    <row r="6067" spans="1:5">
      <c r="A6067" s="174">
        <f t="shared" si="86"/>
        <v>6066</v>
      </c>
      <c r="B6067" s="163">
        <v>45916</v>
      </c>
      <c r="C6067" s="164">
        <v>0.43805555555555559</v>
      </c>
      <c r="D6067" s="159">
        <v>8</v>
      </c>
      <c r="E6067" s="166" t="s">
        <v>5382</v>
      </c>
    </row>
    <row r="6068" spans="1:5">
      <c r="A6068" s="174">
        <f t="shared" si="86"/>
        <v>6067</v>
      </c>
      <c r="B6068" s="163">
        <v>45916</v>
      </c>
      <c r="C6068" s="164">
        <v>0.44862268518518517</v>
      </c>
      <c r="D6068" s="159">
        <v>10</v>
      </c>
      <c r="E6068" s="166" t="s">
        <v>5383</v>
      </c>
    </row>
    <row r="6069" spans="1:5">
      <c r="A6069" s="174">
        <f t="shared" ref="A6069:A6132" si="87">ROW()-1</f>
        <v>6068</v>
      </c>
      <c r="B6069" s="163">
        <v>45916</v>
      </c>
      <c r="C6069" s="164">
        <v>0.45701388888888889</v>
      </c>
      <c r="D6069" s="159">
        <v>10</v>
      </c>
      <c r="E6069" s="166" t="s">
        <v>5384</v>
      </c>
    </row>
    <row r="6070" spans="1:5">
      <c r="A6070" s="174">
        <f t="shared" si="87"/>
        <v>6069</v>
      </c>
      <c r="B6070" s="163">
        <v>45916</v>
      </c>
      <c r="C6070" s="164">
        <v>0.48388888888888887</v>
      </c>
      <c r="D6070" s="159">
        <v>10</v>
      </c>
      <c r="E6070" s="166" t="s">
        <v>5385</v>
      </c>
    </row>
    <row r="6071" spans="1:5">
      <c r="A6071" s="174">
        <f t="shared" si="87"/>
        <v>6070</v>
      </c>
      <c r="B6071" s="163">
        <v>45916</v>
      </c>
      <c r="C6071" s="164">
        <v>0.48997685185185186</v>
      </c>
      <c r="D6071" s="159">
        <v>10</v>
      </c>
      <c r="E6071" s="166" t="s">
        <v>5386</v>
      </c>
    </row>
    <row r="6072" spans="1:5">
      <c r="A6072" s="174">
        <f t="shared" si="87"/>
        <v>6071</v>
      </c>
      <c r="B6072" s="163">
        <v>45916</v>
      </c>
      <c r="C6072" s="164">
        <v>0.49229166666666663</v>
      </c>
      <c r="D6072" s="159">
        <v>10</v>
      </c>
      <c r="E6072" s="166" t="s">
        <v>5387</v>
      </c>
    </row>
    <row r="6073" spans="1:5">
      <c r="A6073" s="174">
        <f t="shared" si="87"/>
        <v>6072</v>
      </c>
      <c r="B6073" s="163">
        <v>45916</v>
      </c>
      <c r="C6073" s="164">
        <v>0.50575231481481475</v>
      </c>
      <c r="D6073" s="159">
        <v>10</v>
      </c>
      <c r="E6073" s="166" t="s">
        <v>5388</v>
      </c>
    </row>
    <row r="6074" spans="1:5">
      <c r="A6074" s="174">
        <f t="shared" si="87"/>
        <v>6073</v>
      </c>
      <c r="B6074" s="163">
        <v>45916</v>
      </c>
      <c r="C6074" s="164">
        <v>0.54513888888888895</v>
      </c>
      <c r="D6074" s="159">
        <v>10</v>
      </c>
      <c r="E6074" s="166" t="s">
        <v>5404</v>
      </c>
    </row>
    <row r="6075" spans="1:5">
      <c r="A6075" s="174">
        <f t="shared" si="87"/>
        <v>6074</v>
      </c>
      <c r="B6075" s="163">
        <v>45916</v>
      </c>
      <c r="C6075" s="164">
        <v>0.55600694444444443</v>
      </c>
      <c r="D6075" s="159">
        <v>10</v>
      </c>
      <c r="E6075" s="166" t="s">
        <v>1675</v>
      </c>
    </row>
    <row r="6076" spans="1:5">
      <c r="A6076" s="174">
        <f t="shared" si="87"/>
        <v>6075</v>
      </c>
      <c r="B6076" s="163">
        <v>45916</v>
      </c>
      <c r="C6076" s="164">
        <v>0.55616898148148153</v>
      </c>
      <c r="D6076" s="159">
        <v>10</v>
      </c>
      <c r="E6076" s="166" t="s">
        <v>5389</v>
      </c>
    </row>
    <row r="6077" spans="1:5">
      <c r="A6077" s="174">
        <f t="shared" si="87"/>
        <v>6076</v>
      </c>
      <c r="B6077" s="163">
        <v>45916</v>
      </c>
      <c r="C6077" s="164">
        <v>0.58491898148148147</v>
      </c>
      <c r="D6077" s="159">
        <v>10</v>
      </c>
      <c r="E6077" s="166" t="s">
        <v>5390</v>
      </c>
    </row>
    <row r="6078" spans="1:5">
      <c r="A6078" s="174">
        <f t="shared" si="87"/>
        <v>6077</v>
      </c>
      <c r="B6078" s="163">
        <v>45916</v>
      </c>
      <c r="C6078" s="164">
        <v>0.59361111111111109</v>
      </c>
      <c r="D6078" s="159">
        <v>10</v>
      </c>
      <c r="E6078" s="166" t="s">
        <v>5391</v>
      </c>
    </row>
    <row r="6079" spans="1:5">
      <c r="A6079" s="174">
        <f t="shared" si="87"/>
        <v>6078</v>
      </c>
      <c r="B6079" s="163">
        <v>45916</v>
      </c>
      <c r="C6079" s="164">
        <v>0.60739583333333336</v>
      </c>
      <c r="D6079" s="159">
        <v>10</v>
      </c>
      <c r="E6079" s="166" t="s">
        <v>1668</v>
      </c>
    </row>
    <row r="6080" spans="1:5">
      <c r="A6080" s="174">
        <f t="shared" si="87"/>
        <v>6079</v>
      </c>
      <c r="B6080" s="163">
        <v>45916</v>
      </c>
      <c r="C6080" s="164">
        <v>0.62935185185185183</v>
      </c>
      <c r="D6080" s="159">
        <v>10</v>
      </c>
      <c r="E6080" s="166" t="s">
        <v>5392</v>
      </c>
    </row>
    <row r="6081" spans="1:5">
      <c r="A6081" s="174">
        <f t="shared" si="87"/>
        <v>6080</v>
      </c>
      <c r="B6081" s="163">
        <v>45916</v>
      </c>
      <c r="C6081" s="164">
        <v>0.63447916666666659</v>
      </c>
      <c r="D6081" s="159">
        <v>10</v>
      </c>
      <c r="E6081" s="166" t="s">
        <v>132</v>
      </c>
    </row>
    <row r="6082" spans="1:5" ht="27">
      <c r="A6082" s="174">
        <f t="shared" si="87"/>
        <v>6081</v>
      </c>
      <c r="B6082" s="163">
        <v>45916</v>
      </c>
      <c r="C6082" s="164">
        <v>0.66424768518518518</v>
      </c>
      <c r="D6082" s="159">
        <v>10</v>
      </c>
      <c r="E6082" s="166" t="s">
        <v>5393</v>
      </c>
    </row>
    <row r="6083" spans="1:5">
      <c r="A6083" s="174">
        <f t="shared" si="87"/>
        <v>6082</v>
      </c>
      <c r="B6083" s="163">
        <v>45916</v>
      </c>
      <c r="C6083" s="164">
        <v>0.67498842592592589</v>
      </c>
      <c r="D6083" s="159">
        <v>10</v>
      </c>
      <c r="E6083" s="166" t="s">
        <v>5394</v>
      </c>
    </row>
    <row r="6084" spans="1:5">
      <c r="A6084" s="174">
        <f t="shared" si="87"/>
        <v>6083</v>
      </c>
      <c r="B6084" s="163">
        <v>45916</v>
      </c>
      <c r="C6084" s="164">
        <v>0.69415509259259256</v>
      </c>
      <c r="D6084" s="159">
        <v>10</v>
      </c>
      <c r="E6084" s="166" t="s">
        <v>5395</v>
      </c>
    </row>
    <row r="6085" spans="1:5">
      <c r="A6085" s="174">
        <f t="shared" si="87"/>
        <v>6084</v>
      </c>
      <c r="B6085" s="163">
        <v>45916</v>
      </c>
      <c r="C6085" s="164">
        <v>0.69601851851851848</v>
      </c>
      <c r="D6085" s="159">
        <v>10</v>
      </c>
      <c r="E6085" s="166" t="s">
        <v>5396</v>
      </c>
    </row>
    <row r="6086" spans="1:5">
      <c r="A6086" s="174">
        <f t="shared" si="87"/>
        <v>6085</v>
      </c>
      <c r="B6086" s="163">
        <v>45916</v>
      </c>
      <c r="C6086" s="164">
        <v>0.70586805555555554</v>
      </c>
      <c r="D6086" s="159">
        <v>10</v>
      </c>
      <c r="E6086" s="166" t="s">
        <v>5397</v>
      </c>
    </row>
    <row r="6087" spans="1:5">
      <c r="A6087" s="174">
        <f t="shared" si="87"/>
        <v>6086</v>
      </c>
      <c r="B6087" s="163">
        <v>45916</v>
      </c>
      <c r="C6087" s="164">
        <v>0.70641203703703714</v>
      </c>
      <c r="D6087" s="159">
        <v>10</v>
      </c>
      <c r="E6087" s="166" t="s">
        <v>5405</v>
      </c>
    </row>
    <row r="6088" spans="1:5">
      <c r="A6088" s="174">
        <f t="shared" si="87"/>
        <v>6087</v>
      </c>
      <c r="B6088" s="163">
        <v>45916</v>
      </c>
      <c r="C6088" s="164">
        <v>0.7085300925925927</v>
      </c>
      <c r="D6088" s="159">
        <v>10</v>
      </c>
      <c r="E6088" s="166" t="s">
        <v>5398</v>
      </c>
    </row>
    <row r="6089" spans="1:5">
      <c r="A6089" s="174">
        <f t="shared" si="87"/>
        <v>6088</v>
      </c>
      <c r="B6089" s="163">
        <v>45916</v>
      </c>
      <c r="C6089" s="164">
        <v>0.71423611111111107</v>
      </c>
      <c r="D6089" s="159">
        <v>10</v>
      </c>
      <c r="E6089" s="166" t="s">
        <v>5399</v>
      </c>
    </row>
    <row r="6090" spans="1:5">
      <c r="A6090" s="174">
        <f t="shared" si="87"/>
        <v>6089</v>
      </c>
      <c r="B6090" s="163">
        <v>45916</v>
      </c>
      <c r="C6090" s="164">
        <v>0.72543981481481479</v>
      </c>
      <c r="D6090" s="159">
        <v>10</v>
      </c>
      <c r="E6090" s="166" t="s">
        <v>5400</v>
      </c>
    </row>
    <row r="6091" spans="1:5">
      <c r="A6091" s="174">
        <f t="shared" si="87"/>
        <v>6090</v>
      </c>
      <c r="B6091" s="163">
        <v>45916</v>
      </c>
      <c r="C6091" s="164">
        <v>0.73060185185185189</v>
      </c>
      <c r="D6091" s="159">
        <v>10</v>
      </c>
      <c r="E6091" s="166" t="s">
        <v>5401</v>
      </c>
    </row>
    <row r="6092" spans="1:5">
      <c r="A6092" s="174">
        <f t="shared" si="87"/>
        <v>6091</v>
      </c>
      <c r="B6092" s="163">
        <v>45916</v>
      </c>
      <c r="C6092" s="164">
        <v>0.77846064814814808</v>
      </c>
      <c r="D6092" s="159">
        <v>9</v>
      </c>
      <c r="E6092" s="166" t="s">
        <v>5402</v>
      </c>
    </row>
    <row r="6093" spans="1:5">
      <c r="A6093" s="174">
        <f t="shared" si="87"/>
        <v>6092</v>
      </c>
      <c r="B6093" s="163">
        <v>45916</v>
      </c>
      <c r="C6093" s="164">
        <v>0.8089467592592593</v>
      </c>
      <c r="D6093" s="159">
        <v>10</v>
      </c>
      <c r="E6093" s="166" t="s">
        <v>5403</v>
      </c>
    </row>
    <row r="6094" spans="1:5">
      <c r="A6094" s="174">
        <f t="shared" si="87"/>
        <v>6093</v>
      </c>
      <c r="B6094" s="163">
        <v>45917</v>
      </c>
      <c r="C6094" s="164">
        <v>0.39717592592592593</v>
      </c>
      <c r="D6094" s="159">
        <v>10</v>
      </c>
      <c r="E6094" s="166" t="s">
        <v>5406</v>
      </c>
    </row>
    <row r="6095" spans="1:5">
      <c r="A6095" s="174">
        <f t="shared" si="87"/>
        <v>6094</v>
      </c>
      <c r="B6095" s="163">
        <v>45917</v>
      </c>
      <c r="C6095" s="164">
        <v>0.41490740740740745</v>
      </c>
      <c r="D6095" s="159">
        <v>10</v>
      </c>
      <c r="E6095" s="166" t="s">
        <v>132</v>
      </c>
    </row>
    <row r="6096" spans="1:5">
      <c r="A6096" s="174">
        <f t="shared" si="87"/>
        <v>6095</v>
      </c>
      <c r="B6096" s="163">
        <v>45917</v>
      </c>
      <c r="C6096" s="164">
        <v>0.4253703703703704</v>
      </c>
      <c r="D6096" s="159">
        <v>10</v>
      </c>
      <c r="E6096" s="166" t="s">
        <v>3713</v>
      </c>
    </row>
    <row r="6097" spans="1:5">
      <c r="A6097" s="174">
        <f t="shared" si="87"/>
        <v>6096</v>
      </c>
      <c r="B6097" s="163">
        <v>45917</v>
      </c>
      <c r="C6097" s="164">
        <v>0.4259722222222222</v>
      </c>
      <c r="D6097" s="159">
        <v>10</v>
      </c>
      <c r="E6097" s="166" t="s">
        <v>5407</v>
      </c>
    </row>
    <row r="6098" spans="1:5">
      <c r="A6098" s="174">
        <f t="shared" si="87"/>
        <v>6097</v>
      </c>
      <c r="B6098" s="163">
        <v>45917</v>
      </c>
      <c r="C6098" s="164">
        <v>0.42622685185185188</v>
      </c>
      <c r="D6098" s="159">
        <v>10</v>
      </c>
      <c r="E6098" s="166" t="s">
        <v>5408</v>
      </c>
    </row>
    <row r="6099" spans="1:5">
      <c r="A6099" s="174">
        <f t="shared" si="87"/>
        <v>6098</v>
      </c>
      <c r="B6099" s="163">
        <v>45917</v>
      </c>
      <c r="C6099" s="164">
        <v>0.47067129629629628</v>
      </c>
      <c r="D6099" s="159">
        <v>10</v>
      </c>
      <c r="E6099" s="166" t="s">
        <v>5409</v>
      </c>
    </row>
    <row r="6100" spans="1:5" ht="27">
      <c r="A6100" s="174">
        <f t="shared" si="87"/>
        <v>6099</v>
      </c>
      <c r="B6100" s="163">
        <v>45917</v>
      </c>
      <c r="C6100" s="164">
        <v>0.47134259259259265</v>
      </c>
      <c r="D6100" s="159">
        <v>10</v>
      </c>
      <c r="E6100" s="166" t="s">
        <v>5410</v>
      </c>
    </row>
    <row r="6101" spans="1:5">
      <c r="A6101" s="174">
        <f t="shared" si="87"/>
        <v>6100</v>
      </c>
      <c r="B6101" s="163">
        <v>45917</v>
      </c>
      <c r="C6101" s="164">
        <v>0.48026620370370371</v>
      </c>
      <c r="D6101" s="159">
        <v>10</v>
      </c>
      <c r="E6101" s="166" t="s">
        <v>5411</v>
      </c>
    </row>
    <row r="6102" spans="1:5">
      <c r="A6102" s="174">
        <f t="shared" si="87"/>
        <v>6101</v>
      </c>
      <c r="B6102" s="163">
        <v>45917</v>
      </c>
      <c r="C6102" s="164">
        <v>0.48121527777777778</v>
      </c>
      <c r="D6102" s="159">
        <v>10</v>
      </c>
      <c r="E6102" s="166" t="s">
        <v>5412</v>
      </c>
    </row>
    <row r="6103" spans="1:5">
      <c r="A6103" s="174">
        <f t="shared" si="87"/>
        <v>6102</v>
      </c>
      <c r="B6103" s="163">
        <v>45917</v>
      </c>
      <c r="C6103" s="164">
        <v>0.48798611111111106</v>
      </c>
      <c r="D6103" s="159">
        <v>10</v>
      </c>
      <c r="E6103" s="166" t="s">
        <v>1076</v>
      </c>
    </row>
    <row r="6104" spans="1:5">
      <c r="A6104" s="174">
        <f t="shared" si="87"/>
        <v>6103</v>
      </c>
      <c r="B6104" s="163">
        <v>45917</v>
      </c>
      <c r="C6104" s="164">
        <v>0.4913541666666667</v>
      </c>
      <c r="D6104" s="159">
        <v>10</v>
      </c>
      <c r="E6104" s="166" t="s">
        <v>5413</v>
      </c>
    </row>
    <row r="6105" spans="1:5">
      <c r="A6105" s="174">
        <f t="shared" si="87"/>
        <v>6104</v>
      </c>
      <c r="B6105" s="163">
        <v>45917</v>
      </c>
      <c r="C6105" s="164">
        <v>0.49517361111111113</v>
      </c>
      <c r="D6105" s="159">
        <v>10</v>
      </c>
      <c r="E6105" s="166" t="s">
        <v>5414</v>
      </c>
    </row>
    <row r="6106" spans="1:5">
      <c r="A6106" s="174">
        <f t="shared" si="87"/>
        <v>6105</v>
      </c>
      <c r="B6106" s="163">
        <v>45917</v>
      </c>
      <c r="C6106" s="164">
        <v>0.53409722222222222</v>
      </c>
      <c r="D6106" s="159">
        <v>10</v>
      </c>
      <c r="E6106" s="166" t="s">
        <v>5415</v>
      </c>
    </row>
    <row r="6107" spans="1:5">
      <c r="A6107" s="174">
        <f t="shared" si="87"/>
        <v>6106</v>
      </c>
      <c r="B6107" s="163">
        <v>45917</v>
      </c>
      <c r="C6107" s="164">
        <v>0.56412037037037044</v>
      </c>
      <c r="D6107" s="159">
        <v>10</v>
      </c>
      <c r="E6107" s="166" t="s">
        <v>5416</v>
      </c>
    </row>
    <row r="6108" spans="1:5">
      <c r="A6108" s="174">
        <f t="shared" si="87"/>
        <v>6107</v>
      </c>
      <c r="B6108" s="163">
        <v>45917</v>
      </c>
      <c r="C6108" s="164">
        <v>0.56663194444444442</v>
      </c>
      <c r="D6108" s="159">
        <v>10</v>
      </c>
      <c r="E6108" s="166" t="s">
        <v>5417</v>
      </c>
    </row>
    <row r="6109" spans="1:5">
      <c r="A6109" s="174">
        <f t="shared" si="87"/>
        <v>6108</v>
      </c>
      <c r="B6109" s="163">
        <v>45917</v>
      </c>
      <c r="C6109" s="164">
        <v>0.56769675925925933</v>
      </c>
      <c r="D6109" s="159">
        <v>10</v>
      </c>
      <c r="E6109" s="166" t="s">
        <v>5418</v>
      </c>
    </row>
    <row r="6110" spans="1:5">
      <c r="A6110" s="174">
        <f t="shared" si="87"/>
        <v>6109</v>
      </c>
      <c r="B6110" s="163">
        <v>45917</v>
      </c>
      <c r="C6110" s="164">
        <v>0.56959490740740748</v>
      </c>
      <c r="D6110" s="159">
        <v>10</v>
      </c>
      <c r="E6110" s="166" t="s">
        <v>288</v>
      </c>
    </row>
    <row r="6111" spans="1:5">
      <c r="A6111" s="174">
        <f t="shared" si="87"/>
        <v>6110</v>
      </c>
      <c r="B6111" s="163">
        <v>45917</v>
      </c>
      <c r="C6111" s="164">
        <v>0.57620370370370366</v>
      </c>
      <c r="D6111" s="159">
        <v>10</v>
      </c>
      <c r="E6111" s="166" t="s">
        <v>5419</v>
      </c>
    </row>
    <row r="6112" spans="1:5">
      <c r="A6112" s="174">
        <f t="shared" si="87"/>
        <v>6111</v>
      </c>
      <c r="B6112" s="163">
        <v>45917</v>
      </c>
      <c r="C6112" s="164">
        <v>0.58771990740740743</v>
      </c>
      <c r="D6112" s="159">
        <v>10</v>
      </c>
      <c r="E6112" s="166" t="s">
        <v>5420</v>
      </c>
    </row>
    <row r="6113" spans="1:5">
      <c r="A6113" s="174">
        <f t="shared" si="87"/>
        <v>6112</v>
      </c>
      <c r="B6113" s="163">
        <v>45917</v>
      </c>
      <c r="C6113" s="164">
        <v>0.58936342592592594</v>
      </c>
      <c r="D6113" s="159">
        <v>10</v>
      </c>
      <c r="E6113" s="166" t="s">
        <v>5421</v>
      </c>
    </row>
    <row r="6114" spans="1:5">
      <c r="A6114" s="174">
        <f t="shared" si="87"/>
        <v>6113</v>
      </c>
      <c r="B6114" s="163">
        <v>45917</v>
      </c>
      <c r="C6114" s="164">
        <v>0.5935879629629629</v>
      </c>
      <c r="D6114" s="159">
        <v>10</v>
      </c>
      <c r="E6114" s="166" t="s">
        <v>5422</v>
      </c>
    </row>
    <row r="6115" spans="1:5">
      <c r="A6115" s="174">
        <f t="shared" si="87"/>
        <v>6114</v>
      </c>
      <c r="B6115" s="163">
        <v>45917</v>
      </c>
      <c r="C6115" s="164">
        <v>0.59611111111111115</v>
      </c>
      <c r="D6115" s="159">
        <v>10</v>
      </c>
      <c r="E6115" s="166" t="s">
        <v>5423</v>
      </c>
    </row>
    <row r="6116" spans="1:5">
      <c r="A6116" s="174">
        <f t="shared" si="87"/>
        <v>6115</v>
      </c>
      <c r="B6116" s="163">
        <v>45917</v>
      </c>
      <c r="C6116" s="164">
        <v>0.62460648148148146</v>
      </c>
      <c r="D6116" s="159">
        <v>10</v>
      </c>
      <c r="E6116" s="166" t="s">
        <v>5424</v>
      </c>
    </row>
    <row r="6117" spans="1:5">
      <c r="A6117" s="174">
        <f t="shared" si="87"/>
        <v>6116</v>
      </c>
      <c r="B6117" s="163">
        <v>45917</v>
      </c>
      <c r="C6117" s="164">
        <v>0.6320486111111111</v>
      </c>
      <c r="D6117" s="159">
        <v>10</v>
      </c>
      <c r="E6117" s="166" t="s">
        <v>5425</v>
      </c>
    </row>
    <row r="6118" spans="1:5">
      <c r="A6118" s="174">
        <f t="shared" si="87"/>
        <v>6117</v>
      </c>
      <c r="B6118" s="163">
        <v>45917</v>
      </c>
      <c r="C6118" s="164">
        <v>0.63471064814814815</v>
      </c>
      <c r="D6118" s="159">
        <v>10</v>
      </c>
      <c r="E6118" s="166" t="s">
        <v>5426</v>
      </c>
    </row>
    <row r="6119" spans="1:5" ht="27">
      <c r="A6119" s="174">
        <f t="shared" si="87"/>
        <v>6118</v>
      </c>
      <c r="B6119" s="163">
        <v>45917</v>
      </c>
      <c r="C6119" s="164">
        <v>0.63836805555555554</v>
      </c>
      <c r="D6119" s="159">
        <v>10</v>
      </c>
      <c r="E6119" s="166" t="s">
        <v>5427</v>
      </c>
    </row>
    <row r="6120" spans="1:5">
      <c r="A6120" s="174">
        <f t="shared" si="87"/>
        <v>6119</v>
      </c>
      <c r="B6120" s="163">
        <v>45917</v>
      </c>
      <c r="C6120" s="164">
        <v>0.64184027777777775</v>
      </c>
      <c r="D6120" s="159">
        <v>10</v>
      </c>
      <c r="E6120" s="166" t="s">
        <v>5428</v>
      </c>
    </row>
    <row r="6121" spans="1:5">
      <c r="A6121" s="174">
        <f t="shared" si="87"/>
        <v>6120</v>
      </c>
      <c r="B6121" s="163">
        <v>45917</v>
      </c>
      <c r="C6121" s="164">
        <v>0.64717592592592588</v>
      </c>
      <c r="D6121" s="159">
        <v>10</v>
      </c>
      <c r="E6121" s="166" t="s">
        <v>5429</v>
      </c>
    </row>
    <row r="6122" spans="1:5">
      <c r="A6122" s="174">
        <f t="shared" si="87"/>
        <v>6121</v>
      </c>
      <c r="B6122" s="163">
        <v>45917</v>
      </c>
      <c r="C6122" s="164">
        <v>0.64945601851851853</v>
      </c>
      <c r="D6122" s="159">
        <v>10</v>
      </c>
      <c r="E6122" s="166" t="s">
        <v>5430</v>
      </c>
    </row>
    <row r="6123" spans="1:5">
      <c r="A6123" s="174">
        <f t="shared" si="87"/>
        <v>6122</v>
      </c>
      <c r="B6123" s="163">
        <v>45917</v>
      </c>
      <c r="C6123" s="164">
        <v>0.65092592592592591</v>
      </c>
      <c r="D6123" s="159">
        <v>10</v>
      </c>
      <c r="E6123" s="166" t="s">
        <v>5431</v>
      </c>
    </row>
    <row r="6124" spans="1:5">
      <c r="A6124" s="174">
        <f t="shared" si="87"/>
        <v>6123</v>
      </c>
      <c r="B6124" s="163">
        <v>45917</v>
      </c>
      <c r="C6124" s="164">
        <v>0.66399305555555554</v>
      </c>
      <c r="D6124" s="159">
        <v>10</v>
      </c>
      <c r="E6124" s="166" t="s">
        <v>5432</v>
      </c>
    </row>
    <row r="6125" spans="1:5">
      <c r="A6125" s="174">
        <f t="shared" si="87"/>
        <v>6124</v>
      </c>
      <c r="B6125" s="163">
        <v>45917</v>
      </c>
      <c r="C6125" s="164">
        <v>0.67297453703703702</v>
      </c>
      <c r="D6125" s="159">
        <v>10</v>
      </c>
      <c r="E6125" s="166" t="s">
        <v>5433</v>
      </c>
    </row>
    <row r="6126" spans="1:5">
      <c r="A6126" s="174">
        <f t="shared" si="87"/>
        <v>6125</v>
      </c>
      <c r="B6126" s="163">
        <v>45917</v>
      </c>
      <c r="C6126" s="164">
        <v>0.67575231481481479</v>
      </c>
      <c r="D6126" s="159">
        <v>8</v>
      </c>
      <c r="E6126" s="166" t="s">
        <v>426</v>
      </c>
    </row>
    <row r="6127" spans="1:5" ht="27">
      <c r="A6127" s="174">
        <f t="shared" si="87"/>
        <v>6126</v>
      </c>
      <c r="B6127" s="163">
        <v>45917</v>
      </c>
      <c r="C6127" s="164">
        <v>0.69976851851851851</v>
      </c>
      <c r="D6127" s="159">
        <v>10</v>
      </c>
      <c r="E6127" s="166" t="s">
        <v>5443</v>
      </c>
    </row>
    <row r="6128" spans="1:5">
      <c r="A6128" s="174">
        <f t="shared" si="87"/>
        <v>6127</v>
      </c>
      <c r="B6128" s="163">
        <v>45917</v>
      </c>
      <c r="C6128" s="164">
        <v>0.71410879629629631</v>
      </c>
      <c r="D6128" s="159">
        <v>10</v>
      </c>
      <c r="E6128" s="166" t="s">
        <v>5434</v>
      </c>
    </row>
    <row r="6129" spans="1:5" ht="27">
      <c r="A6129" s="174">
        <f t="shared" si="87"/>
        <v>6128</v>
      </c>
      <c r="B6129" s="163">
        <v>45917</v>
      </c>
      <c r="C6129" s="164">
        <v>0.72376157407407404</v>
      </c>
      <c r="D6129" s="159">
        <v>10</v>
      </c>
      <c r="E6129" s="166" t="s">
        <v>5445</v>
      </c>
    </row>
    <row r="6130" spans="1:5">
      <c r="A6130" s="174">
        <f t="shared" si="87"/>
        <v>6129</v>
      </c>
      <c r="B6130" s="163">
        <v>45917</v>
      </c>
      <c r="C6130" s="164">
        <v>0.73165509259259265</v>
      </c>
      <c r="D6130" s="159">
        <v>10</v>
      </c>
      <c r="E6130" s="166" t="s">
        <v>5444</v>
      </c>
    </row>
    <row r="6131" spans="1:5">
      <c r="A6131" s="174">
        <f t="shared" si="87"/>
        <v>6130</v>
      </c>
      <c r="B6131" s="163">
        <v>45917</v>
      </c>
      <c r="C6131" s="164">
        <v>0.73209490740740746</v>
      </c>
      <c r="D6131" s="159">
        <v>10</v>
      </c>
      <c r="E6131" s="166" t="s">
        <v>5435</v>
      </c>
    </row>
    <row r="6132" spans="1:5">
      <c r="A6132" s="174">
        <f t="shared" si="87"/>
        <v>6131</v>
      </c>
      <c r="B6132" s="163">
        <v>45917</v>
      </c>
      <c r="C6132" s="164">
        <v>0.7388541666666667</v>
      </c>
      <c r="D6132" s="159">
        <v>10</v>
      </c>
      <c r="E6132" s="166" t="s">
        <v>5436</v>
      </c>
    </row>
    <row r="6133" spans="1:5">
      <c r="A6133" s="174">
        <f t="shared" ref="A6133:A6196" si="88">ROW()-1</f>
        <v>6132</v>
      </c>
      <c r="B6133" s="163">
        <v>45917</v>
      </c>
      <c r="C6133" s="164">
        <v>0.74844907407407402</v>
      </c>
      <c r="D6133" s="159">
        <v>10</v>
      </c>
      <c r="E6133" s="166" t="s">
        <v>5437</v>
      </c>
    </row>
    <row r="6134" spans="1:5">
      <c r="A6134" s="174">
        <f t="shared" si="88"/>
        <v>6133</v>
      </c>
      <c r="B6134" s="163">
        <v>45917</v>
      </c>
      <c r="C6134" s="164">
        <v>0.75434027777777779</v>
      </c>
      <c r="D6134" s="159">
        <v>10</v>
      </c>
      <c r="E6134" s="166" t="s">
        <v>4179</v>
      </c>
    </row>
    <row r="6135" spans="1:5">
      <c r="A6135" s="174">
        <f t="shared" si="88"/>
        <v>6134</v>
      </c>
      <c r="B6135" s="163">
        <v>45917</v>
      </c>
      <c r="C6135" s="164">
        <v>0.75539351851851855</v>
      </c>
      <c r="D6135" s="159">
        <v>10</v>
      </c>
      <c r="E6135" s="166" t="s">
        <v>5438</v>
      </c>
    </row>
    <row r="6136" spans="1:5">
      <c r="A6136" s="174">
        <f t="shared" si="88"/>
        <v>6135</v>
      </c>
      <c r="B6136" s="163">
        <v>45917</v>
      </c>
      <c r="C6136" s="164">
        <v>0.76378472222222227</v>
      </c>
      <c r="D6136" s="159">
        <v>10</v>
      </c>
      <c r="E6136" s="166" t="s">
        <v>2398</v>
      </c>
    </row>
    <row r="6137" spans="1:5">
      <c r="A6137" s="174">
        <f t="shared" si="88"/>
        <v>6136</v>
      </c>
      <c r="B6137" s="163">
        <v>45917</v>
      </c>
      <c r="C6137" s="164">
        <v>0.76784722222222224</v>
      </c>
      <c r="D6137" s="159">
        <v>10</v>
      </c>
      <c r="E6137" s="166" t="s">
        <v>5439</v>
      </c>
    </row>
    <row r="6138" spans="1:5">
      <c r="A6138" s="174">
        <f t="shared" si="88"/>
        <v>6137</v>
      </c>
      <c r="B6138" s="163">
        <v>45917</v>
      </c>
      <c r="C6138" s="164">
        <v>0.78800925925925924</v>
      </c>
      <c r="D6138" s="159">
        <v>10</v>
      </c>
      <c r="E6138" s="166" t="s">
        <v>5440</v>
      </c>
    </row>
    <row r="6139" spans="1:5">
      <c r="A6139" s="174">
        <f t="shared" si="88"/>
        <v>6138</v>
      </c>
      <c r="B6139" s="163">
        <v>45917</v>
      </c>
      <c r="C6139" s="164">
        <v>0.80927083333333327</v>
      </c>
      <c r="D6139" s="159">
        <v>10</v>
      </c>
      <c r="E6139" s="166" t="s">
        <v>5441</v>
      </c>
    </row>
    <row r="6140" spans="1:5">
      <c r="A6140" s="174">
        <f t="shared" si="88"/>
        <v>6139</v>
      </c>
      <c r="B6140" s="163">
        <v>45917</v>
      </c>
      <c r="C6140" s="164">
        <v>0.86563657407407402</v>
      </c>
      <c r="D6140" s="159">
        <v>10</v>
      </c>
      <c r="E6140" s="166" t="s">
        <v>690</v>
      </c>
    </row>
    <row r="6141" spans="1:5">
      <c r="A6141" s="174">
        <f t="shared" si="88"/>
        <v>6140</v>
      </c>
      <c r="B6141" s="163">
        <v>45917</v>
      </c>
      <c r="C6141" s="164">
        <v>0.91440972222222217</v>
      </c>
      <c r="D6141" s="159">
        <v>10</v>
      </c>
      <c r="E6141" s="166" t="s">
        <v>5442</v>
      </c>
    </row>
    <row r="6142" spans="1:5">
      <c r="A6142" s="174">
        <f t="shared" si="88"/>
        <v>6141</v>
      </c>
      <c r="B6142" s="163">
        <v>45918</v>
      </c>
      <c r="C6142" s="164">
        <v>0.40392361111111108</v>
      </c>
      <c r="D6142" s="159">
        <v>10</v>
      </c>
      <c r="E6142" s="166" t="s">
        <v>5446</v>
      </c>
    </row>
    <row r="6143" spans="1:5">
      <c r="A6143" s="174">
        <f t="shared" si="88"/>
        <v>6142</v>
      </c>
      <c r="B6143" s="163">
        <v>45918</v>
      </c>
      <c r="C6143" s="164">
        <v>0.4137615740740741</v>
      </c>
      <c r="D6143" s="159">
        <v>10</v>
      </c>
      <c r="E6143" s="166" t="s">
        <v>5447</v>
      </c>
    </row>
    <row r="6144" spans="1:5">
      <c r="A6144" s="174">
        <f t="shared" si="88"/>
        <v>6143</v>
      </c>
      <c r="B6144" s="163">
        <v>45918</v>
      </c>
      <c r="C6144" s="164">
        <v>0.42450231481481482</v>
      </c>
      <c r="D6144" s="159">
        <v>10</v>
      </c>
      <c r="E6144" s="166" t="s">
        <v>5448</v>
      </c>
    </row>
    <row r="6145" spans="1:5">
      <c r="A6145" s="174">
        <f t="shared" si="88"/>
        <v>6144</v>
      </c>
      <c r="B6145" s="163">
        <v>45918</v>
      </c>
      <c r="C6145" s="164">
        <v>0.42714120370370368</v>
      </c>
      <c r="D6145" s="159">
        <v>10</v>
      </c>
      <c r="E6145" s="166" t="s">
        <v>5449</v>
      </c>
    </row>
    <row r="6146" spans="1:5">
      <c r="A6146" s="174">
        <f t="shared" si="88"/>
        <v>6145</v>
      </c>
      <c r="B6146" s="163">
        <v>45918</v>
      </c>
      <c r="C6146" s="164">
        <v>0.43151620370370369</v>
      </c>
      <c r="D6146" s="159">
        <v>10</v>
      </c>
      <c r="E6146" s="166" t="s">
        <v>5450</v>
      </c>
    </row>
    <row r="6147" spans="1:5" ht="27">
      <c r="A6147" s="174">
        <f t="shared" si="88"/>
        <v>6146</v>
      </c>
      <c r="B6147" s="163">
        <v>45918</v>
      </c>
      <c r="C6147" s="164">
        <v>0.44053240740740746</v>
      </c>
      <c r="D6147" s="159">
        <v>10</v>
      </c>
      <c r="E6147" s="166" t="s">
        <v>5451</v>
      </c>
    </row>
    <row r="6148" spans="1:5">
      <c r="A6148" s="174">
        <f t="shared" si="88"/>
        <v>6147</v>
      </c>
      <c r="B6148" s="163">
        <v>45918</v>
      </c>
      <c r="C6148" s="164">
        <v>0.44535879629629632</v>
      </c>
      <c r="D6148" s="159">
        <v>10</v>
      </c>
      <c r="E6148" s="166" t="s">
        <v>5452</v>
      </c>
    </row>
    <row r="6149" spans="1:5">
      <c r="A6149" s="174">
        <f t="shared" si="88"/>
        <v>6148</v>
      </c>
      <c r="B6149" s="163">
        <v>45918</v>
      </c>
      <c r="C6149" s="164">
        <v>0.44597222222222221</v>
      </c>
      <c r="D6149" s="159">
        <v>10</v>
      </c>
      <c r="E6149" s="166" t="s">
        <v>5453</v>
      </c>
    </row>
    <row r="6150" spans="1:5">
      <c r="A6150" s="174">
        <f t="shared" si="88"/>
        <v>6149</v>
      </c>
      <c r="B6150" s="163">
        <v>45918</v>
      </c>
      <c r="C6150" s="164">
        <v>0.47097222222222218</v>
      </c>
      <c r="D6150" s="159">
        <v>10</v>
      </c>
      <c r="E6150" s="166" t="s">
        <v>5454</v>
      </c>
    </row>
    <row r="6151" spans="1:5">
      <c r="A6151" s="174">
        <f t="shared" si="88"/>
        <v>6150</v>
      </c>
      <c r="B6151" s="163">
        <v>45918</v>
      </c>
      <c r="C6151" s="164">
        <v>0.48843750000000002</v>
      </c>
      <c r="D6151" s="159">
        <v>10</v>
      </c>
      <c r="E6151" s="166" t="s">
        <v>5455</v>
      </c>
    </row>
    <row r="6152" spans="1:5">
      <c r="A6152" s="174">
        <f t="shared" si="88"/>
        <v>6151</v>
      </c>
      <c r="B6152" s="163">
        <v>45918</v>
      </c>
      <c r="C6152" s="164">
        <v>0.49399305555555556</v>
      </c>
      <c r="D6152" s="159">
        <v>10</v>
      </c>
      <c r="E6152" s="166" t="s">
        <v>5456</v>
      </c>
    </row>
    <row r="6153" spans="1:5">
      <c r="A6153" s="174">
        <f t="shared" si="88"/>
        <v>6152</v>
      </c>
      <c r="B6153" s="163">
        <v>45918</v>
      </c>
      <c r="C6153" s="164">
        <v>0.49629629629629629</v>
      </c>
      <c r="D6153" s="159">
        <v>10</v>
      </c>
      <c r="E6153" s="166" t="s">
        <v>5457</v>
      </c>
    </row>
    <row r="6154" spans="1:5">
      <c r="A6154" s="174">
        <f t="shared" si="88"/>
        <v>6153</v>
      </c>
      <c r="B6154" s="163">
        <v>45918</v>
      </c>
      <c r="C6154" s="164">
        <v>0.59466435185185185</v>
      </c>
      <c r="D6154" s="159">
        <v>10</v>
      </c>
      <c r="E6154" s="166" t="s">
        <v>5458</v>
      </c>
    </row>
    <row r="6155" spans="1:5">
      <c r="A6155" s="174">
        <f t="shared" si="88"/>
        <v>6154</v>
      </c>
      <c r="B6155" s="163">
        <v>45918</v>
      </c>
      <c r="C6155" s="164">
        <v>0.59922453703703704</v>
      </c>
      <c r="D6155" s="159">
        <v>10</v>
      </c>
      <c r="E6155" s="166" t="s">
        <v>5459</v>
      </c>
    </row>
    <row r="6156" spans="1:5">
      <c r="A6156" s="174">
        <f t="shared" si="88"/>
        <v>6155</v>
      </c>
      <c r="B6156" s="163">
        <v>45918</v>
      </c>
      <c r="C6156" s="164">
        <v>0.60547453703703702</v>
      </c>
      <c r="D6156" s="159">
        <v>10</v>
      </c>
      <c r="E6156" s="166" t="s">
        <v>5460</v>
      </c>
    </row>
    <row r="6157" spans="1:5">
      <c r="A6157" s="174">
        <f t="shared" si="88"/>
        <v>6156</v>
      </c>
      <c r="B6157" s="163">
        <v>45918</v>
      </c>
      <c r="C6157" s="164">
        <v>0.61828703703703702</v>
      </c>
      <c r="D6157" s="159">
        <v>10</v>
      </c>
      <c r="E6157" s="166" t="s">
        <v>5461</v>
      </c>
    </row>
    <row r="6158" spans="1:5" ht="27">
      <c r="A6158" s="174">
        <f t="shared" si="88"/>
        <v>6157</v>
      </c>
      <c r="B6158" s="163">
        <v>45918</v>
      </c>
      <c r="C6158" s="164">
        <v>0.62964120370370369</v>
      </c>
      <c r="D6158" s="159">
        <v>10</v>
      </c>
      <c r="E6158" s="166" t="s">
        <v>5462</v>
      </c>
    </row>
    <row r="6159" spans="1:5">
      <c r="A6159" s="174">
        <f t="shared" si="88"/>
        <v>6158</v>
      </c>
      <c r="B6159" s="163">
        <v>45918</v>
      </c>
      <c r="C6159" s="164">
        <v>0.64134259259259263</v>
      </c>
      <c r="D6159" s="159">
        <v>10</v>
      </c>
      <c r="E6159" s="166" t="s">
        <v>657</v>
      </c>
    </row>
    <row r="6160" spans="1:5">
      <c r="A6160" s="174">
        <f t="shared" si="88"/>
        <v>6159</v>
      </c>
      <c r="B6160" s="163">
        <v>45918</v>
      </c>
      <c r="C6160" s="164">
        <v>0.64366898148148144</v>
      </c>
      <c r="D6160" s="159">
        <v>10</v>
      </c>
      <c r="E6160" s="166" t="s">
        <v>5463</v>
      </c>
    </row>
    <row r="6161" spans="1:5">
      <c r="A6161" s="174">
        <f t="shared" si="88"/>
        <v>6160</v>
      </c>
      <c r="B6161" s="163">
        <v>45918</v>
      </c>
      <c r="C6161" s="164">
        <v>0.64538194444444441</v>
      </c>
      <c r="D6161" s="159">
        <v>10</v>
      </c>
      <c r="E6161" s="166" t="s">
        <v>5464</v>
      </c>
    </row>
    <row r="6162" spans="1:5">
      <c r="A6162" s="174">
        <f t="shared" si="88"/>
        <v>6161</v>
      </c>
      <c r="B6162" s="163">
        <v>45918</v>
      </c>
      <c r="C6162" s="164">
        <v>0.6542013888888889</v>
      </c>
      <c r="D6162" s="159">
        <v>10</v>
      </c>
      <c r="E6162" s="166" t="s">
        <v>5465</v>
      </c>
    </row>
    <row r="6163" spans="1:5">
      <c r="A6163" s="174">
        <f t="shared" si="88"/>
        <v>6162</v>
      </c>
      <c r="B6163" s="163">
        <v>45918</v>
      </c>
      <c r="C6163" s="164">
        <v>0.66013888888888894</v>
      </c>
      <c r="D6163" s="159">
        <v>10</v>
      </c>
      <c r="E6163" s="166" t="s">
        <v>5466</v>
      </c>
    </row>
    <row r="6164" spans="1:5">
      <c r="A6164" s="174">
        <f t="shared" si="88"/>
        <v>6163</v>
      </c>
      <c r="B6164" s="163">
        <v>45918</v>
      </c>
      <c r="C6164" s="164">
        <v>0.66253472222222221</v>
      </c>
      <c r="D6164" s="159">
        <v>10</v>
      </c>
      <c r="E6164" s="166" t="s">
        <v>5467</v>
      </c>
    </row>
    <row r="6165" spans="1:5">
      <c r="A6165" s="174">
        <f t="shared" si="88"/>
        <v>6164</v>
      </c>
      <c r="B6165" s="163">
        <v>45918</v>
      </c>
      <c r="C6165" s="164">
        <v>0.68194444444444446</v>
      </c>
      <c r="D6165" s="159">
        <v>10</v>
      </c>
      <c r="E6165" s="166" t="s">
        <v>5468</v>
      </c>
    </row>
    <row r="6166" spans="1:5">
      <c r="A6166" s="174">
        <f t="shared" si="88"/>
        <v>6165</v>
      </c>
      <c r="B6166" s="163">
        <v>45918</v>
      </c>
      <c r="C6166" s="164">
        <v>0.68958333333333333</v>
      </c>
      <c r="D6166" s="159">
        <v>10</v>
      </c>
      <c r="E6166" s="166" t="s">
        <v>5469</v>
      </c>
    </row>
    <row r="6167" spans="1:5">
      <c r="A6167" s="174">
        <f t="shared" si="88"/>
        <v>6166</v>
      </c>
      <c r="B6167" s="163">
        <v>45918</v>
      </c>
      <c r="C6167" s="164">
        <v>0.70716435185185189</v>
      </c>
      <c r="D6167" s="159">
        <v>10</v>
      </c>
      <c r="E6167" s="166" t="s">
        <v>5470</v>
      </c>
    </row>
    <row r="6168" spans="1:5" ht="27">
      <c r="A6168" s="174">
        <f t="shared" si="88"/>
        <v>6167</v>
      </c>
      <c r="B6168" s="163">
        <v>45918</v>
      </c>
      <c r="C6168" s="164">
        <v>0.72196759259259258</v>
      </c>
      <c r="D6168" s="159">
        <v>10</v>
      </c>
      <c r="E6168" s="166" t="s">
        <v>5471</v>
      </c>
    </row>
    <row r="6169" spans="1:5">
      <c r="A6169" s="174">
        <f t="shared" si="88"/>
        <v>6168</v>
      </c>
      <c r="B6169" s="163">
        <v>45918</v>
      </c>
      <c r="C6169" s="164">
        <v>0.72675925925925933</v>
      </c>
      <c r="D6169" s="159">
        <v>10</v>
      </c>
      <c r="E6169" s="166" t="s">
        <v>5472</v>
      </c>
    </row>
    <row r="6170" spans="1:5">
      <c r="A6170" s="174">
        <f t="shared" si="88"/>
        <v>6169</v>
      </c>
      <c r="B6170" s="163">
        <v>45918</v>
      </c>
      <c r="C6170" s="164">
        <v>0.72826388888888882</v>
      </c>
      <c r="D6170" s="159">
        <v>10</v>
      </c>
      <c r="E6170" s="166" t="s">
        <v>5473</v>
      </c>
    </row>
    <row r="6171" spans="1:5">
      <c r="A6171" s="174">
        <f t="shared" si="88"/>
        <v>6170</v>
      </c>
      <c r="B6171" s="163">
        <v>45918</v>
      </c>
      <c r="C6171" s="164">
        <v>0.73101851851851851</v>
      </c>
      <c r="D6171" s="159">
        <v>10</v>
      </c>
      <c r="E6171" s="166" t="s">
        <v>5474</v>
      </c>
    </row>
    <row r="6172" spans="1:5">
      <c r="A6172" s="174">
        <f t="shared" si="88"/>
        <v>6171</v>
      </c>
      <c r="B6172" s="163">
        <v>45918</v>
      </c>
      <c r="C6172" s="164">
        <v>0.74403935185185188</v>
      </c>
      <c r="D6172" s="159">
        <v>10</v>
      </c>
      <c r="E6172" s="166" t="s">
        <v>5475</v>
      </c>
    </row>
    <row r="6173" spans="1:5">
      <c r="A6173" s="174">
        <f t="shared" si="88"/>
        <v>6172</v>
      </c>
      <c r="B6173" s="163">
        <v>45918</v>
      </c>
      <c r="C6173" s="164">
        <v>0.74824074074074076</v>
      </c>
      <c r="D6173" s="159">
        <v>10</v>
      </c>
      <c r="E6173" s="166" t="s">
        <v>5476</v>
      </c>
    </row>
    <row r="6174" spans="1:5">
      <c r="A6174" s="174">
        <f t="shared" si="88"/>
        <v>6173</v>
      </c>
      <c r="B6174" s="163">
        <v>45918</v>
      </c>
      <c r="C6174" s="164">
        <v>0.77105324074074078</v>
      </c>
      <c r="D6174" s="159">
        <v>10</v>
      </c>
      <c r="E6174" s="166" t="s">
        <v>5477</v>
      </c>
    </row>
    <row r="6175" spans="1:5" ht="27">
      <c r="A6175" s="174">
        <f t="shared" si="88"/>
        <v>6174</v>
      </c>
      <c r="B6175" s="163">
        <v>45918</v>
      </c>
      <c r="C6175" s="164">
        <v>0.79322916666666676</v>
      </c>
      <c r="D6175" s="159">
        <v>10</v>
      </c>
      <c r="E6175" s="166" t="s">
        <v>5478</v>
      </c>
    </row>
    <row r="6176" spans="1:5">
      <c r="A6176" s="174">
        <f t="shared" si="88"/>
        <v>6175</v>
      </c>
      <c r="B6176" s="163">
        <v>45918</v>
      </c>
      <c r="C6176" s="164">
        <v>0.80261574074074071</v>
      </c>
      <c r="D6176" s="159">
        <v>10</v>
      </c>
      <c r="E6176" s="166" t="s">
        <v>5479</v>
      </c>
    </row>
    <row r="6177" spans="1:5">
      <c r="A6177" s="174">
        <f t="shared" si="88"/>
        <v>6176</v>
      </c>
      <c r="B6177" s="163">
        <v>45918</v>
      </c>
      <c r="C6177" s="164">
        <v>0.83861111111111108</v>
      </c>
      <c r="D6177" s="159">
        <v>10</v>
      </c>
      <c r="E6177" s="166" t="s">
        <v>5480</v>
      </c>
    </row>
    <row r="6178" spans="1:5">
      <c r="A6178" s="174">
        <f t="shared" si="88"/>
        <v>6177</v>
      </c>
      <c r="B6178" s="163">
        <v>45918</v>
      </c>
      <c r="C6178" s="164">
        <v>0.91280092592592599</v>
      </c>
      <c r="D6178" s="159">
        <v>10</v>
      </c>
      <c r="E6178" s="166" t="s">
        <v>5481</v>
      </c>
    </row>
    <row r="6179" spans="1:5">
      <c r="A6179" s="174">
        <f t="shared" si="88"/>
        <v>6178</v>
      </c>
      <c r="B6179" s="163">
        <v>45919</v>
      </c>
      <c r="C6179" s="164">
        <v>0.38745370370370374</v>
      </c>
      <c r="D6179" s="159">
        <v>10</v>
      </c>
      <c r="E6179" s="166" t="s">
        <v>5482</v>
      </c>
    </row>
    <row r="6180" spans="1:5" ht="27">
      <c r="A6180" s="174">
        <f t="shared" si="88"/>
        <v>6179</v>
      </c>
      <c r="B6180" s="163">
        <v>45919</v>
      </c>
      <c r="C6180" s="164">
        <v>0.38806712962962964</v>
      </c>
      <c r="D6180" s="159">
        <v>10</v>
      </c>
      <c r="E6180" s="166" t="s">
        <v>5483</v>
      </c>
    </row>
    <row r="6181" spans="1:5">
      <c r="A6181" s="174">
        <f t="shared" si="88"/>
        <v>6180</v>
      </c>
      <c r="B6181" s="163">
        <v>45919</v>
      </c>
      <c r="C6181" s="164">
        <v>0.39012731481481483</v>
      </c>
      <c r="D6181" s="159">
        <v>10</v>
      </c>
      <c r="E6181" s="166" t="s">
        <v>5484</v>
      </c>
    </row>
    <row r="6182" spans="1:5">
      <c r="A6182" s="174">
        <f t="shared" si="88"/>
        <v>6181</v>
      </c>
      <c r="B6182" s="163">
        <v>45919</v>
      </c>
      <c r="C6182" s="164">
        <v>0.42670138888888887</v>
      </c>
      <c r="D6182" s="159">
        <v>10</v>
      </c>
      <c r="E6182" s="166" t="s">
        <v>132</v>
      </c>
    </row>
    <row r="6183" spans="1:5">
      <c r="A6183" s="174">
        <f t="shared" si="88"/>
        <v>6182</v>
      </c>
      <c r="B6183" s="163">
        <v>45919</v>
      </c>
      <c r="C6183" s="164">
        <v>0.42737268518518517</v>
      </c>
      <c r="D6183" s="159">
        <v>10</v>
      </c>
      <c r="E6183" s="166" t="s">
        <v>5485</v>
      </c>
    </row>
    <row r="6184" spans="1:5">
      <c r="A6184" s="174">
        <f t="shared" si="88"/>
        <v>6183</v>
      </c>
      <c r="B6184" s="163">
        <v>45919</v>
      </c>
      <c r="C6184" s="164">
        <v>0.43271990740740746</v>
      </c>
      <c r="D6184" s="159">
        <v>10</v>
      </c>
      <c r="E6184" s="166" t="s">
        <v>5486</v>
      </c>
    </row>
    <row r="6185" spans="1:5">
      <c r="A6185" s="174">
        <f t="shared" si="88"/>
        <v>6184</v>
      </c>
      <c r="B6185" s="163">
        <v>45919</v>
      </c>
      <c r="C6185" s="164">
        <v>0.43572916666666667</v>
      </c>
      <c r="D6185" s="159">
        <v>10</v>
      </c>
      <c r="E6185" s="166" t="s">
        <v>5487</v>
      </c>
    </row>
    <row r="6186" spans="1:5">
      <c r="A6186" s="174">
        <f t="shared" si="88"/>
        <v>6185</v>
      </c>
      <c r="B6186" s="163">
        <v>45919</v>
      </c>
      <c r="C6186" s="164">
        <v>0.43724537037037042</v>
      </c>
      <c r="D6186" s="159">
        <v>10</v>
      </c>
      <c r="E6186" s="166" t="s">
        <v>5488</v>
      </c>
    </row>
    <row r="6187" spans="1:5">
      <c r="A6187" s="174">
        <f t="shared" si="88"/>
        <v>6186</v>
      </c>
      <c r="B6187" s="163">
        <v>45919</v>
      </c>
      <c r="C6187" s="164">
        <v>0.43811342592592589</v>
      </c>
      <c r="D6187" s="159">
        <v>10</v>
      </c>
      <c r="E6187" s="166" t="s">
        <v>5489</v>
      </c>
    </row>
    <row r="6188" spans="1:5">
      <c r="A6188" s="174">
        <f t="shared" si="88"/>
        <v>6187</v>
      </c>
      <c r="B6188" s="163">
        <v>45919</v>
      </c>
      <c r="C6188" s="164">
        <v>0.4498032407407408</v>
      </c>
      <c r="D6188" s="159">
        <v>10</v>
      </c>
      <c r="E6188" s="166" t="s">
        <v>5490</v>
      </c>
    </row>
    <row r="6189" spans="1:5">
      <c r="A6189" s="174">
        <f t="shared" si="88"/>
        <v>6188</v>
      </c>
      <c r="B6189" s="163">
        <v>45919</v>
      </c>
      <c r="C6189" s="164">
        <v>0.4607060185185185</v>
      </c>
      <c r="D6189" s="159">
        <v>10</v>
      </c>
      <c r="E6189" s="166" t="s">
        <v>5491</v>
      </c>
    </row>
    <row r="6190" spans="1:5">
      <c r="A6190" s="174">
        <f t="shared" si="88"/>
        <v>6189</v>
      </c>
      <c r="B6190" s="163">
        <v>45919</v>
      </c>
      <c r="C6190" s="164">
        <v>0.46186342592592594</v>
      </c>
      <c r="D6190" s="159">
        <v>10</v>
      </c>
      <c r="E6190" s="166" t="s">
        <v>1364</v>
      </c>
    </row>
    <row r="6191" spans="1:5">
      <c r="A6191" s="174">
        <f t="shared" si="88"/>
        <v>6190</v>
      </c>
      <c r="B6191" s="163">
        <v>45919</v>
      </c>
      <c r="C6191" s="164">
        <v>0.46577546296296296</v>
      </c>
      <c r="D6191" s="159">
        <v>10</v>
      </c>
      <c r="E6191" s="166" t="s">
        <v>5492</v>
      </c>
    </row>
    <row r="6192" spans="1:5" ht="27">
      <c r="A6192" s="174">
        <f t="shared" si="88"/>
        <v>6191</v>
      </c>
      <c r="B6192" s="163">
        <v>45919</v>
      </c>
      <c r="C6192" s="164">
        <v>0.47405092592592596</v>
      </c>
      <c r="D6192" s="159">
        <v>10</v>
      </c>
      <c r="E6192" s="166" t="s">
        <v>5493</v>
      </c>
    </row>
    <row r="6193" spans="1:5">
      <c r="A6193" s="174">
        <f t="shared" si="88"/>
        <v>6192</v>
      </c>
      <c r="B6193" s="163">
        <v>45919</v>
      </c>
      <c r="C6193" s="164">
        <v>0.48453703703703704</v>
      </c>
      <c r="D6193" s="159">
        <v>10</v>
      </c>
      <c r="E6193" s="166" t="s">
        <v>1853</v>
      </c>
    </row>
    <row r="6194" spans="1:5">
      <c r="A6194" s="174">
        <f t="shared" si="88"/>
        <v>6193</v>
      </c>
      <c r="B6194" s="163">
        <v>45919</v>
      </c>
      <c r="C6194" s="164">
        <v>0.49675925925925929</v>
      </c>
      <c r="D6194" s="159">
        <v>10</v>
      </c>
      <c r="E6194" s="166" t="s">
        <v>5494</v>
      </c>
    </row>
    <row r="6195" spans="1:5">
      <c r="A6195" s="174">
        <f t="shared" si="88"/>
        <v>6194</v>
      </c>
      <c r="B6195" s="163">
        <v>45919</v>
      </c>
      <c r="C6195" s="164">
        <v>0.49783564814814812</v>
      </c>
      <c r="D6195" s="159">
        <v>10</v>
      </c>
      <c r="E6195" s="166" t="s">
        <v>5495</v>
      </c>
    </row>
    <row r="6196" spans="1:5">
      <c r="A6196" s="174">
        <f t="shared" si="88"/>
        <v>6195</v>
      </c>
      <c r="B6196" s="163">
        <v>45919</v>
      </c>
      <c r="C6196" s="164">
        <v>0.50045138888888896</v>
      </c>
      <c r="D6196" s="159">
        <v>10</v>
      </c>
      <c r="E6196" s="166" t="s">
        <v>5496</v>
      </c>
    </row>
    <row r="6197" spans="1:5">
      <c r="A6197" s="174">
        <f t="shared" ref="A6197:A6260" si="89">ROW()-1</f>
        <v>6196</v>
      </c>
      <c r="B6197" s="163">
        <v>45919</v>
      </c>
      <c r="C6197" s="164">
        <v>0.54195601851851849</v>
      </c>
      <c r="D6197" s="159">
        <v>10</v>
      </c>
      <c r="E6197" s="166" t="s">
        <v>179</v>
      </c>
    </row>
    <row r="6198" spans="1:5">
      <c r="A6198" s="174">
        <f t="shared" si="89"/>
        <v>6197</v>
      </c>
      <c r="B6198" s="163">
        <v>45919</v>
      </c>
      <c r="C6198" s="164">
        <v>0.55093749999999997</v>
      </c>
      <c r="D6198" s="159">
        <v>10</v>
      </c>
      <c r="E6198" s="166" t="s">
        <v>5497</v>
      </c>
    </row>
    <row r="6199" spans="1:5">
      <c r="A6199" s="174">
        <f t="shared" si="89"/>
        <v>6198</v>
      </c>
      <c r="B6199" s="163">
        <v>45919</v>
      </c>
      <c r="C6199" s="164">
        <v>0.55361111111111116</v>
      </c>
      <c r="D6199" s="159">
        <v>10</v>
      </c>
      <c r="E6199" s="166" t="s">
        <v>5498</v>
      </c>
    </row>
    <row r="6200" spans="1:5">
      <c r="A6200" s="174">
        <f t="shared" si="89"/>
        <v>6199</v>
      </c>
      <c r="B6200" s="163">
        <v>45919</v>
      </c>
      <c r="C6200" s="164">
        <v>0.56019675925925927</v>
      </c>
      <c r="D6200" s="159">
        <v>10</v>
      </c>
      <c r="E6200" s="166" t="s">
        <v>246</v>
      </c>
    </row>
    <row r="6201" spans="1:5">
      <c r="A6201" s="174">
        <f t="shared" si="89"/>
        <v>6200</v>
      </c>
      <c r="B6201" s="163">
        <v>45919</v>
      </c>
      <c r="C6201" s="164">
        <v>0.5628819444444445</v>
      </c>
      <c r="D6201" s="159">
        <v>10</v>
      </c>
      <c r="E6201" s="166" t="s">
        <v>5499</v>
      </c>
    </row>
    <row r="6202" spans="1:5">
      <c r="A6202" s="174">
        <f t="shared" si="89"/>
        <v>6201</v>
      </c>
      <c r="B6202" s="163">
        <v>45919</v>
      </c>
      <c r="C6202" s="164">
        <v>0.56353009259259257</v>
      </c>
      <c r="D6202" s="159">
        <v>10</v>
      </c>
      <c r="E6202" s="166" t="s">
        <v>246</v>
      </c>
    </row>
    <row r="6203" spans="1:5">
      <c r="A6203" s="174">
        <f t="shared" si="89"/>
        <v>6202</v>
      </c>
      <c r="B6203" s="163">
        <v>45919</v>
      </c>
      <c r="C6203" s="164">
        <v>0.56495370370370368</v>
      </c>
      <c r="D6203" s="159">
        <v>10</v>
      </c>
      <c r="E6203" s="166" t="s">
        <v>5500</v>
      </c>
    </row>
    <row r="6204" spans="1:5">
      <c r="A6204" s="174">
        <f t="shared" si="89"/>
        <v>6203</v>
      </c>
      <c r="B6204" s="163">
        <v>45919</v>
      </c>
      <c r="C6204" s="164">
        <v>0.57847222222222217</v>
      </c>
      <c r="D6204" s="159">
        <v>10</v>
      </c>
      <c r="E6204" s="166" t="s">
        <v>5501</v>
      </c>
    </row>
    <row r="6205" spans="1:5">
      <c r="A6205" s="174">
        <f t="shared" si="89"/>
        <v>6204</v>
      </c>
      <c r="B6205" s="163">
        <v>45919</v>
      </c>
      <c r="C6205" s="164">
        <v>0.57964120370370364</v>
      </c>
      <c r="D6205" s="159">
        <v>10</v>
      </c>
      <c r="E6205" s="166" t="s">
        <v>785</v>
      </c>
    </row>
    <row r="6206" spans="1:5">
      <c r="A6206" s="174">
        <f t="shared" si="89"/>
        <v>6205</v>
      </c>
      <c r="B6206" s="163">
        <v>45919</v>
      </c>
      <c r="C6206" s="164">
        <v>0.5910185185185185</v>
      </c>
      <c r="D6206" s="159">
        <v>10</v>
      </c>
      <c r="E6206" s="166" t="s">
        <v>4323</v>
      </c>
    </row>
    <row r="6207" spans="1:5">
      <c r="A6207" s="174">
        <f t="shared" si="89"/>
        <v>6206</v>
      </c>
      <c r="B6207" s="163">
        <v>45919</v>
      </c>
      <c r="C6207" s="164">
        <v>0.6071064814814815</v>
      </c>
      <c r="D6207" s="159">
        <v>10</v>
      </c>
      <c r="E6207" s="166" t="s">
        <v>5502</v>
      </c>
    </row>
    <row r="6208" spans="1:5">
      <c r="A6208" s="174">
        <f t="shared" si="89"/>
        <v>6207</v>
      </c>
      <c r="B6208" s="163">
        <v>45919</v>
      </c>
      <c r="C6208" s="164">
        <v>0.6131712962962963</v>
      </c>
      <c r="D6208" s="159">
        <v>10</v>
      </c>
      <c r="E6208" s="166" t="s">
        <v>5503</v>
      </c>
    </row>
    <row r="6209" spans="1:5" ht="27">
      <c r="A6209" s="174">
        <f t="shared" si="89"/>
        <v>6208</v>
      </c>
      <c r="B6209" s="163">
        <v>45919</v>
      </c>
      <c r="C6209" s="164">
        <v>0.62229166666666669</v>
      </c>
      <c r="D6209" s="159">
        <v>10</v>
      </c>
      <c r="E6209" s="166" t="s">
        <v>5504</v>
      </c>
    </row>
    <row r="6210" spans="1:5">
      <c r="A6210" s="174">
        <f t="shared" si="89"/>
        <v>6209</v>
      </c>
      <c r="B6210" s="163">
        <v>45919</v>
      </c>
      <c r="C6210" s="164">
        <v>0.62406249999999996</v>
      </c>
      <c r="D6210" s="159">
        <v>10</v>
      </c>
      <c r="E6210" s="166" t="s">
        <v>5505</v>
      </c>
    </row>
    <row r="6211" spans="1:5">
      <c r="A6211" s="174">
        <f t="shared" si="89"/>
        <v>6210</v>
      </c>
      <c r="B6211" s="163">
        <v>45919</v>
      </c>
      <c r="C6211" s="164">
        <v>0.62819444444444439</v>
      </c>
      <c r="D6211" s="159">
        <v>10</v>
      </c>
      <c r="E6211" s="166" t="s">
        <v>5506</v>
      </c>
    </row>
    <row r="6212" spans="1:5" ht="27">
      <c r="A6212" s="174">
        <f t="shared" si="89"/>
        <v>6211</v>
      </c>
      <c r="B6212" s="163">
        <v>45919</v>
      </c>
      <c r="C6212" s="164">
        <v>0.63916666666666666</v>
      </c>
      <c r="D6212" s="159">
        <v>10</v>
      </c>
      <c r="E6212" s="166" t="s">
        <v>5507</v>
      </c>
    </row>
    <row r="6213" spans="1:5">
      <c r="A6213" s="174">
        <f t="shared" si="89"/>
        <v>6212</v>
      </c>
      <c r="B6213" s="163">
        <v>45919</v>
      </c>
      <c r="C6213" s="164">
        <v>0.66263888888888889</v>
      </c>
      <c r="D6213" s="159">
        <v>10</v>
      </c>
      <c r="E6213" s="166" t="s">
        <v>5508</v>
      </c>
    </row>
    <row r="6214" spans="1:5">
      <c r="A6214" s="174">
        <f t="shared" si="89"/>
        <v>6213</v>
      </c>
      <c r="B6214" s="163">
        <v>45919</v>
      </c>
      <c r="C6214" s="164">
        <v>0.66348379629629628</v>
      </c>
      <c r="D6214" s="159">
        <v>10</v>
      </c>
      <c r="E6214" s="166" t="s">
        <v>5509</v>
      </c>
    </row>
    <row r="6215" spans="1:5">
      <c r="A6215" s="174">
        <f t="shared" si="89"/>
        <v>6214</v>
      </c>
      <c r="B6215" s="163">
        <v>45919</v>
      </c>
      <c r="C6215" s="164">
        <v>0.68853009259259268</v>
      </c>
      <c r="D6215" s="159">
        <v>10</v>
      </c>
      <c r="E6215" s="166" t="s">
        <v>5510</v>
      </c>
    </row>
    <row r="6216" spans="1:5">
      <c r="A6216" s="174">
        <f t="shared" si="89"/>
        <v>6215</v>
      </c>
      <c r="B6216" s="163">
        <v>45919</v>
      </c>
      <c r="C6216" s="164">
        <v>0.69870370370370372</v>
      </c>
      <c r="D6216" s="159">
        <v>10</v>
      </c>
      <c r="E6216" s="166" t="s">
        <v>273</v>
      </c>
    </row>
    <row r="6217" spans="1:5">
      <c r="A6217" s="174">
        <f t="shared" si="89"/>
        <v>6216</v>
      </c>
      <c r="B6217" s="163">
        <v>45919</v>
      </c>
      <c r="C6217" s="164">
        <v>0.70396990740740739</v>
      </c>
      <c r="D6217" s="159">
        <v>10</v>
      </c>
      <c r="E6217" s="166" t="s">
        <v>575</v>
      </c>
    </row>
    <row r="6218" spans="1:5">
      <c r="A6218" s="174">
        <f t="shared" si="89"/>
        <v>6217</v>
      </c>
      <c r="B6218" s="163">
        <v>45919</v>
      </c>
      <c r="C6218" s="164">
        <v>0.7044097222222222</v>
      </c>
      <c r="D6218" s="159">
        <v>10</v>
      </c>
      <c r="E6218" s="166" t="s">
        <v>5511</v>
      </c>
    </row>
    <row r="6219" spans="1:5">
      <c r="A6219" s="174">
        <f t="shared" si="89"/>
        <v>6218</v>
      </c>
      <c r="B6219" s="163">
        <v>45919</v>
      </c>
      <c r="C6219" s="164">
        <v>0.71400462962962974</v>
      </c>
      <c r="D6219" s="159">
        <v>10</v>
      </c>
      <c r="E6219" s="166" t="s">
        <v>5512</v>
      </c>
    </row>
    <row r="6220" spans="1:5">
      <c r="A6220" s="174">
        <f t="shared" si="89"/>
        <v>6219</v>
      </c>
      <c r="B6220" s="163">
        <v>45919</v>
      </c>
      <c r="C6220" s="164">
        <v>0.71732638888888889</v>
      </c>
      <c r="D6220" s="159">
        <v>10</v>
      </c>
      <c r="E6220" s="166" t="s">
        <v>5513</v>
      </c>
    </row>
    <row r="6221" spans="1:5">
      <c r="A6221" s="174">
        <f t="shared" si="89"/>
        <v>6220</v>
      </c>
      <c r="B6221" s="163">
        <v>45919</v>
      </c>
      <c r="C6221" s="164">
        <v>0.71954861111111112</v>
      </c>
      <c r="D6221" s="159">
        <v>10</v>
      </c>
      <c r="E6221" s="166" t="s">
        <v>132</v>
      </c>
    </row>
    <row r="6222" spans="1:5">
      <c r="A6222" s="174">
        <f t="shared" si="89"/>
        <v>6221</v>
      </c>
      <c r="B6222" s="163">
        <v>45919</v>
      </c>
      <c r="C6222" s="164">
        <v>0.7230092592592593</v>
      </c>
      <c r="D6222" s="159">
        <v>10</v>
      </c>
      <c r="E6222" s="166" t="s">
        <v>5514</v>
      </c>
    </row>
    <row r="6223" spans="1:5">
      <c r="A6223" s="174">
        <f t="shared" si="89"/>
        <v>6222</v>
      </c>
      <c r="B6223" s="163">
        <v>45919</v>
      </c>
      <c r="C6223" s="164">
        <v>0.7257407407407408</v>
      </c>
      <c r="D6223" s="159">
        <v>10</v>
      </c>
      <c r="E6223" s="166" t="s">
        <v>288</v>
      </c>
    </row>
    <row r="6224" spans="1:5">
      <c r="A6224" s="174">
        <f t="shared" si="89"/>
        <v>6223</v>
      </c>
      <c r="B6224" s="163">
        <v>45919</v>
      </c>
      <c r="C6224" s="164">
        <v>0.73059027777777785</v>
      </c>
      <c r="D6224" s="159">
        <v>10</v>
      </c>
      <c r="E6224" s="166" t="s">
        <v>273</v>
      </c>
    </row>
    <row r="6225" spans="1:5">
      <c r="A6225" s="174">
        <f t="shared" si="89"/>
        <v>6224</v>
      </c>
      <c r="B6225" s="163">
        <v>45919</v>
      </c>
      <c r="C6225" s="164">
        <v>0.7365856481481482</v>
      </c>
      <c r="D6225" s="159">
        <v>10</v>
      </c>
      <c r="E6225" s="166" t="s">
        <v>5515</v>
      </c>
    </row>
    <row r="6226" spans="1:5" ht="27">
      <c r="A6226" s="174">
        <f t="shared" si="89"/>
        <v>6225</v>
      </c>
      <c r="B6226" s="163">
        <v>45919</v>
      </c>
      <c r="C6226" s="164">
        <v>0.74614583333333329</v>
      </c>
      <c r="D6226" s="159">
        <v>10</v>
      </c>
      <c r="E6226" s="166" t="s">
        <v>5516</v>
      </c>
    </row>
    <row r="6227" spans="1:5">
      <c r="A6227" s="174">
        <f t="shared" si="89"/>
        <v>6226</v>
      </c>
      <c r="B6227" s="163">
        <v>45919</v>
      </c>
      <c r="C6227" s="164">
        <v>0.77127314814814818</v>
      </c>
      <c r="D6227" s="159">
        <v>10</v>
      </c>
      <c r="E6227" s="166" t="s">
        <v>5517</v>
      </c>
    </row>
    <row r="6228" spans="1:5">
      <c r="A6228" s="174">
        <f t="shared" si="89"/>
        <v>6227</v>
      </c>
      <c r="B6228" s="163">
        <v>45919</v>
      </c>
      <c r="C6228" s="164">
        <v>0.77780092592592587</v>
      </c>
      <c r="D6228" s="159">
        <v>10</v>
      </c>
      <c r="E6228" s="166" t="s">
        <v>5518</v>
      </c>
    </row>
    <row r="6229" spans="1:5">
      <c r="A6229" s="174">
        <f t="shared" si="89"/>
        <v>6228</v>
      </c>
      <c r="B6229" s="163">
        <v>45919</v>
      </c>
      <c r="C6229" s="164">
        <v>0.79298611111111106</v>
      </c>
      <c r="D6229" s="159">
        <v>10</v>
      </c>
      <c r="E6229" s="166" t="s">
        <v>5519</v>
      </c>
    </row>
    <row r="6230" spans="1:5" ht="27">
      <c r="A6230" s="174">
        <f t="shared" si="89"/>
        <v>6229</v>
      </c>
      <c r="B6230" s="163">
        <v>45919</v>
      </c>
      <c r="C6230" s="164">
        <v>0.80347222222222225</v>
      </c>
      <c r="D6230" s="159">
        <v>10</v>
      </c>
      <c r="E6230" s="166" t="s">
        <v>5520</v>
      </c>
    </row>
    <row r="6231" spans="1:5">
      <c r="A6231" s="174">
        <f t="shared" si="89"/>
        <v>6230</v>
      </c>
      <c r="B6231" s="163">
        <v>45919</v>
      </c>
      <c r="C6231" s="164">
        <v>0.81936342592592604</v>
      </c>
      <c r="D6231" s="159">
        <v>10</v>
      </c>
      <c r="E6231" s="166" t="s">
        <v>5521</v>
      </c>
    </row>
    <row r="6232" spans="1:5">
      <c r="A6232" s="174">
        <f t="shared" si="89"/>
        <v>6231</v>
      </c>
      <c r="B6232" s="163">
        <v>45919</v>
      </c>
      <c r="C6232" s="164">
        <v>0.85312500000000002</v>
      </c>
      <c r="D6232" s="159">
        <v>10</v>
      </c>
      <c r="E6232" s="166" t="s">
        <v>5522</v>
      </c>
    </row>
    <row r="6233" spans="1:5">
      <c r="A6233" s="174">
        <f t="shared" si="89"/>
        <v>6232</v>
      </c>
      <c r="B6233" s="163">
        <v>45919</v>
      </c>
      <c r="C6233" s="164">
        <v>0.85631944444444441</v>
      </c>
      <c r="D6233" s="159">
        <v>10</v>
      </c>
      <c r="E6233" s="166" t="s">
        <v>5523</v>
      </c>
    </row>
    <row r="6234" spans="1:5">
      <c r="A6234" s="174">
        <f t="shared" si="89"/>
        <v>6233</v>
      </c>
      <c r="B6234" s="163">
        <v>45919</v>
      </c>
      <c r="C6234" s="164">
        <v>0.86834490740740744</v>
      </c>
      <c r="D6234" s="159">
        <v>10</v>
      </c>
      <c r="E6234" s="166" t="s">
        <v>5524</v>
      </c>
    </row>
    <row r="6235" spans="1:5">
      <c r="A6235" s="174">
        <f t="shared" si="89"/>
        <v>6234</v>
      </c>
      <c r="B6235" s="163">
        <v>45919</v>
      </c>
      <c r="C6235" s="164">
        <v>0.87202546296296291</v>
      </c>
      <c r="D6235" s="159">
        <v>10</v>
      </c>
      <c r="E6235" s="166" t="s">
        <v>4375</v>
      </c>
    </row>
    <row r="6236" spans="1:5">
      <c r="A6236" s="174">
        <f t="shared" si="89"/>
        <v>6235</v>
      </c>
      <c r="B6236" s="163">
        <v>45919</v>
      </c>
      <c r="C6236" s="164">
        <v>0.90937499999999993</v>
      </c>
      <c r="D6236" s="159">
        <v>10</v>
      </c>
      <c r="E6236" s="166" t="s">
        <v>5525</v>
      </c>
    </row>
    <row r="6237" spans="1:5">
      <c r="A6237" s="174">
        <f t="shared" si="89"/>
        <v>6236</v>
      </c>
      <c r="B6237" s="163">
        <v>45920</v>
      </c>
      <c r="C6237" s="164">
        <v>0.38944444444444448</v>
      </c>
      <c r="D6237" s="159">
        <v>10</v>
      </c>
      <c r="E6237" s="166" t="s">
        <v>5526</v>
      </c>
    </row>
    <row r="6238" spans="1:5">
      <c r="A6238" s="174">
        <f t="shared" si="89"/>
        <v>6237</v>
      </c>
      <c r="B6238" s="163">
        <v>45920</v>
      </c>
      <c r="C6238" s="164">
        <v>0.43405092592592592</v>
      </c>
      <c r="D6238" s="159">
        <v>10</v>
      </c>
      <c r="E6238" s="166" t="s">
        <v>5527</v>
      </c>
    </row>
    <row r="6239" spans="1:5">
      <c r="A6239" s="174">
        <f t="shared" si="89"/>
        <v>6238</v>
      </c>
      <c r="B6239" s="163">
        <v>45920</v>
      </c>
      <c r="C6239" s="164">
        <v>0.4443981481481481</v>
      </c>
      <c r="D6239" s="159">
        <v>10</v>
      </c>
      <c r="E6239" s="166" t="s">
        <v>5528</v>
      </c>
    </row>
    <row r="6240" spans="1:5">
      <c r="A6240" s="174">
        <f t="shared" si="89"/>
        <v>6239</v>
      </c>
      <c r="B6240" s="163">
        <v>45920</v>
      </c>
      <c r="C6240" s="164">
        <v>0.44714120370370369</v>
      </c>
      <c r="D6240" s="159">
        <v>10</v>
      </c>
      <c r="E6240" s="166" t="s">
        <v>5529</v>
      </c>
    </row>
    <row r="6241" spans="1:5">
      <c r="A6241" s="174">
        <f t="shared" si="89"/>
        <v>6240</v>
      </c>
      <c r="B6241" s="163">
        <v>45920</v>
      </c>
      <c r="C6241" s="164">
        <v>0.45306712962962964</v>
      </c>
      <c r="D6241" s="159">
        <v>10</v>
      </c>
      <c r="E6241" s="166" t="s">
        <v>5530</v>
      </c>
    </row>
    <row r="6242" spans="1:5">
      <c r="A6242" s="174">
        <f t="shared" si="89"/>
        <v>6241</v>
      </c>
      <c r="B6242" s="163">
        <v>45920</v>
      </c>
      <c r="C6242" s="164">
        <v>0.46721064814814817</v>
      </c>
      <c r="D6242" s="159">
        <v>10</v>
      </c>
      <c r="E6242" s="166" t="s">
        <v>5531</v>
      </c>
    </row>
    <row r="6243" spans="1:5" ht="27">
      <c r="A6243" s="174">
        <f t="shared" si="89"/>
        <v>6242</v>
      </c>
      <c r="B6243" s="163">
        <v>45920</v>
      </c>
      <c r="C6243" s="164">
        <v>0.47843750000000002</v>
      </c>
      <c r="D6243" s="159">
        <v>10</v>
      </c>
      <c r="E6243" s="166" t="s">
        <v>5532</v>
      </c>
    </row>
    <row r="6244" spans="1:5">
      <c r="A6244" s="174">
        <f t="shared" si="89"/>
        <v>6243</v>
      </c>
      <c r="B6244" s="163">
        <v>45920</v>
      </c>
      <c r="C6244" s="164">
        <v>0.48660879629629633</v>
      </c>
      <c r="D6244" s="159">
        <v>10</v>
      </c>
      <c r="E6244" s="166" t="s">
        <v>5533</v>
      </c>
    </row>
    <row r="6245" spans="1:5">
      <c r="A6245" s="174">
        <f t="shared" si="89"/>
        <v>6244</v>
      </c>
      <c r="B6245" s="163">
        <v>45920</v>
      </c>
      <c r="C6245" s="164">
        <v>0.49124999999999996</v>
      </c>
      <c r="D6245" s="159">
        <v>10</v>
      </c>
      <c r="E6245" s="166" t="s">
        <v>5528</v>
      </c>
    </row>
    <row r="6246" spans="1:5">
      <c r="A6246" s="174">
        <f t="shared" si="89"/>
        <v>6245</v>
      </c>
      <c r="B6246" s="163">
        <v>45920</v>
      </c>
      <c r="C6246" s="164">
        <v>0.49526620370370367</v>
      </c>
      <c r="D6246" s="159">
        <v>10</v>
      </c>
      <c r="E6246" s="166" t="s">
        <v>5534</v>
      </c>
    </row>
    <row r="6247" spans="1:5">
      <c r="A6247" s="174">
        <f t="shared" si="89"/>
        <v>6246</v>
      </c>
      <c r="B6247" s="163">
        <v>45920</v>
      </c>
      <c r="C6247" s="164">
        <v>0.55978009259259254</v>
      </c>
      <c r="D6247" s="159">
        <v>10</v>
      </c>
      <c r="E6247" s="166" t="s">
        <v>5535</v>
      </c>
    </row>
    <row r="6248" spans="1:5">
      <c r="A6248" s="174">
        <f t="shared" si="89"/>
        <v>6247</v>
      </c>
      <c r="B6248" s="163">
        <v>45920</v>
      </c>
      <c r="C6248" s="164">
        <v>0.59204861111111107</v>
      </c>
      <c r="D6248" s="159">
        <v>10</v>
      </c>
      <c r="E6248" s="166" t="s">
        <v>5536</v>
      </c>
    </row>
    <row r="6249" spans="1:5">
      <c r="A6249" s="174">
        <f t="shared" si="89"/>
        <v>6248</v>
      </c>
      <c r="B6249" s="163">
        <v>45920</v>
      </c>
      <c r="C6249" s="164">
        <v>0.59561342592592592</v>
      </c>
      <c r="D6249" s="159">
        <v>10</v>
      </c>
      <c r="E6249" s="166" t="s">
        <v>5537</v>
      </c>
    </row>
    <row r="6250" spans="1:5">
      <c r="A6250" s="174">
        <f t="shared" si="89"/>
        <v>6249</v>
      </c>
      <c r="B6250" s="163">
        <v>45920</v>
      </c>
      <c r="C6250" s="164">
        <v>0.61133101851851845</v>
      </c>
      <c r="D6250" s="159">
        <v>10</v>
      </c>
      <c r="E6250" s="166" t="s">
        <v>690</v>
      </c>
    </row>
    <row r="6251" spans="1:5">
      <c r="A6251" s="174">
        <f t="shared" si="89"/>
        <v>6250</v>
      </c>
      <c r="B6251" s="163">
        <v>45920</v>
      </c>
      <c r="C6251" s="164">
        <v>0.63945601851851852</v>
      </c>
      <c r="D6251" s="159">
        <v>10</v>
      </c>
      <c r="E6251" s="166" t="s">
        <v>448</v>
      </c>
    </row>
    <row r="6252" spans="1:5">
      <c r="A6252" s="174">
        <f t="shared" si="89"/>
        <v>6251</v>
      </c>
      <c r="B6252" s="163">
        <v>45920</v>
      </c>
      <c r="C6252" s="164">
        <v>0.65288194444444447</v>
      </c>
      <c r="D6252" s="159">
        <v>10</v>
      </c>
      <c r="E6252" s="166" t="s">
        <v>1042</v>
      </c>
    </row>
    <row r="6253" spans="1:5" ht="27">
      <c r="A6253" s="174">
        <f t="shared" si="89"/>
        <v>6252</v>
      </c>
      <c r="B6253" s="163">
        <v>45920</v>
      </c>
      <c r="C6253" s="164">
        <v>0.6931018518518518</v>
      </c>
      <c r="D6253" s="159">
        <v>10</v>
      </c>
      <c r="E6253" s="166" t="s">
        <v>5541</v>
      </c>
    </row>
    <row r="6254" spans="1:5">
      <c r="A6254" s="174">
        <f t="shared" si="89"/>
        <v>6253</v>
      </c>
      <c r="B6254" s="163">
        <v>45920</v>
      </c>
      <c r="C6254" s="164">
        <v>0.71113425925925933</v>
      </c>
      <c r="D6254" s="159">
        <v>10</v>
      </c>
      <c r="E6254" s="166" t="s">
        <v>5538</v>
      </c>
    </row>
    <row r="6255" spans="1:5">
      <c r="A6255" s="174">
        <f t="shared" si="89"/>
        <v>6254</v>
      </c>
      <c r="B6255" s="163">
        <v>45920</v>
      </c>
      <c r="C6255" s="164">
        <v>0.72421296296296289</v>
      </c>
      <c r="D6255" s="159">
        <v>10</v>
      </c>
      <c r="E6255" s="166" t="s">
        <v>5539</v>
      </c>
    </row>
    <row r="6256" spans="1:5">
      <c r="A6256" s="174">
        <f t="shared" si="89"/>
        <v>6255</v>
      </c>
      <c r="B6256" s="163">
        <v>45920</v>
      </c>
      <c r="C6256" s="164">
        <v>0.72920138888888886</v>
      </c>
      <c r="D6256" s="159">
        <v>10</v>
      </c>
      <c r="E6256" s="166" t="s">
        <v>5540</v>
      </c>
    </row>
    <row r="6257" spans="1:5">
      <c r="A6257" s="174">
        <f t="shared" si="89"/>
        <v>6256</v>
      </c>
      <c r="B6257" s="163">
        <v>45922</v>
      </c>
      <c r="C6257" s="164">
        <v>0.38464120370370369</v>
      </c>
      <c r="D6257" s="159">
        <v>10</v>
      </c>
      <c r="E6257" s="166" t="s">
        <v>5542</v>
      </c>
    </row>
    <row r="6258" spans="1:5">
      <c r="A6258" s="174">
        <f t="shared" si="89"/>
        <v>6257</v>
      </c>
      <c r="B6258" s="163">
        <v>45922</v>
      </c>
      <c r="C6258" s="164">
        <v>0.39590277777777777</v>
      </c>
      <c r="D6258" s="159">
        <v>10</v>
      </c>
      <c r="E6258" s="166" t="s">
        <v>5543</v>
      </c>
    </row>
    <row r="6259" spans="1:5">
      <c r="A6259" s="174">
        <f t="shared" si="89"/>
        <v>6258</v>
      </c>
      <c r="B6259" s="163">
        <v>45922</v>
      </c>
      <c r="C6259" s="164">
        <v>0.39634259259259258</v>
      </c>
      <c r="D6259" s="159">
        <v>10</v>
      </c>
      <c r="E6259" s="166" t="s">
        <v>5544</v>
      </c>
    </row>
    <row r="6260" spans="1:5">
      <c r="A6260" s="174">
        <f t="shared" si="89"/>
        <v>6259</v>
      </c>
      <c r="B6260" s="163">
        <v>45922</v>
      </c>
      <c r="C6260" s="164">
        <v>0.41278935185185189</v>
      </c>
      <c r="D6260" s="159">
        <v>10</v>
      </c>
      <c r="E6260" s="166" t="s">
        <v>5545</v>
      </c>
    </row>
    <row r="6261" spans="1:5">
      <c r="A6261" s="174">
        <f t="shared" ref="A6261:A6324" si="90">ROW()-1</f>
        <v>6260</v>
      </c>
      <c r="B6261" s="163">
        <v>45922</v>
      </c>
      <c r="C6261" s="164">
        <v>0.41653935185185187</v>
      </c>
      <c r="D6261" s="159">
        <v>10</v>
      </c>
      <c r="E6261" s="166" t="s">
        <v>5546</v>
      </c>
    </row>
    <row r="6262" spans="1:5">
      <c r="A6262" s="174">
        <f t="shared" si="90"/>
        <v>6261</v>
      </c>
      <c r="B6262" s="163">
        <v>45922</v>
      </c>
      <c r="C6262" s="164">
        <v>0.42074074074074069</v>
      </c>
      <c r="D6262" s="159">
        <v>10</v>
      </c>
      <c r="E6262" s="166" t="s">
        <v>919</v>
      </c>
    </row>
    <row r="6263" spans="1:5">
      <c r="A6263" s="174">
        <f t="shared" si="90"/>
        <v>6262</v>
      </c>
      <c r="B6263" s="163">
        <v>45922</v>
      </c>
      <c r="C6263" s="164">
        <v>0.42530092592592594</v>
      </c>
      <c r="D6263" s="159">
        <v>10</v>
      </c>
      <c r="E6263" s="166" t="s">
        <v>5547</v>
      </c>
    </row>
    <row r="6264" spans="1:5">
      <c r="A6264" s="174">
        <f t="shared" si="90"/>
        <v>6263</v>
      </c>
      <c r="B6264" s="163">
        <v>45922</v>
      </c>
      <c r="C6264" s="164">
        <v>0.42925925925925923</v>
      </c>
      <c r="D6264" s="159">
        <v>10</v>
      </c>
      <c r="E6264" s="166" t="s">
        <v>5548</v>
      </c>
    </row>
    <row r="6265" spans="1:5">
      <c r="A6265" s="174">
        <f t="shared" si="90"/>
        <v>6264</v>
      </c>
      <c r="B6265" s="163">
        <v>45922</v>
      </c>
      <c r="C6265" s="164">
        <v>0.43818287037037035</v>
      </c>
      <c r="D6265" s="159">
        <v>10</v>
      </c>
      <c r="E6265" s="166" t="s">
        <v>5549</v>
      </c>
    </row>
    <row r="6266" spans="1:5">
      <c r="A6266" s="174">
        <f t="shared" si="90"/>
        <v>6265</v>
      </c>
      <c r="B6266" s="163">
        <v>45922</v>
      </c>
      <c r="C6266" s="164">
        <v>0.44246527777777778</v>
      </c>
      <c r="D6266" s="159">
        <v>10</v>
      </c>
      <c r="E6266" s="166" t="s">
        <v>5550</v>
      </c>
    </row>
    <row r="6267" spans="1:5">
      <c r="A6267" s="174">
        <f t="shared" si="90"/>
        <v>6266</v>
      </c>
      <c r="B6267" s="163">
        <v>45922</v>
      </c>
      <c r="C6267" s="164">
        <v>0.44555555555555554</v>
      </c>
      <c r="D6267" s="159">
        <v>10</v>
      </c>
      <c r="E6267" s="166" t="s">
        <v>5551</v>
      </c>
    </row>
    <row r="6268" spans="1:5">
      <c r="A6268" s="174">
        <f t="shared" si="90"/>
        <v>6267</v>
      </c>
      <c r="B6268" s="163">
        <v>45922</v>
      </c>
      <c r="C6268" s="164">
        <v>0.4576736111111111</v>
      </c>
      <c r="D6268" s="159">
        <v>10</v>
      </c>
      <c r="E6268" s="166" t="s">
        <v>5552</v>
      </c>
    </row>
    <row r="6269" spans="1:5" ht="27">
      <c r="A6269" s="174">
        <f t="shared" si="90"/>
        <v>6268</v>
      </c>
      <c r="B6269" s="163">
        <v>45922</v>
      </c>
      <c r="C6269" s="164">
        <v>0.45967592592592593</v>
      </c>
      <c r="D6269" s="159">
        <v>10</v>
      </c>
      <c r="E6269" s="166" t="s">
        <v>5553</v>
      </c>
    </row>
    <row r="6270" spans="1:5">
      <c r="A6270" s="174">
        <f t="shared" si="90"/>
        <v>6269</v>
      </c>
      <c r="B6270" s="163">
        <v>45922</v>
      </c>
      <c r="C6270" s="164">
        <v>0.46275462962962965</v>
      </c>
      <c r="D6270" s="159">
        <v>10</v>
      </c>
      <c r="E6270" s="166" t="s">
        <v>5554</v>
      </c>
    </row>
    <row r="6271" spans="1:5">
      <c r="A6271" s="174">
        <f t="shared" si="90"/>
        <v>6270</v>
      </c>
      <c r="B6271" s="163">
        <v>45922</v>
      </c>
      <c r="C6271" s="164">
        <v>0.46849537037037042</v>
      </c>
      <c r="D6271" s="159">
        <v>10</v>
      </c>
      <c r="E6271" s="166" t="s">
        <v>5555</v>
      </c>
    </row>
    <row r="6272" spans="1:5">
      <c r="A6272" s="174">
        <f t="shared" si="90"/>
        <v>6271</v>
      </c>
      <c r="B6272" s="163">
        <v>45922</v>
      </c>
      <c r="C6272" s="164">
        <v>0.47717592592592589</v>
      </c>
      <c r="D6272" s="159">
        <v>10</v>
      </c>
      <c r="E6272" s="166" t="s">
        <v>537</v>
      </c>
    </row>
    <row r="6273" spans="1:5">
      <c r="A6273" s="174">
        <f t="shared" si="90"/>
        <v>6272</v>
      </c>
      <c r="B6273" s="163">
        <v>45922</v>
      </c>
      <c r="C6273" s="164">
        <v>0.4808796296296296</v>
      </c>
      <c r="D6273" s="159">
        <v>10</v>
      </c>
      <c r="E6273" s="166" t="s">
        <v>5556</v>
      </c>
    </row>
    <row r="6274" spans="1:5">
      <c r="A6274" s="174">
        <f t="shared" si="90"/>
        <v>6273</v>
      </c>
      <c r="B6274" s="163">
        <v>45922</v>
      </c>
      <c r="C6274" s="164">
        <v>0.48138888888888887</v>
      </c>
      <c r="D6274" s="159">
        <v>10</v>
      </c>
      <c r="E6274" s="166" t="s">
        <v>244</v>
      </c>
    </row>
    <row r="6275" spans="1:5">
      <c r="A6275" s="174">
        <f t="shared" si="90"/>
        <v>6274</v>
      </c>
      <c r="B6275" s="163">
        <v>45922</v>
      </c>
      <c r="C6275" s="164">
        <v>0.50373842592592599</v>
      </c>
      <c r="D6275" s="159">
        <v>10</v>
      </c>
      <c r="E6275" s="166" t="s">
        <v>5557</v>
      </c>
    </row>
    <row r="6276" spans="1:5">
      <c r="A6276" s="174">
        <f t="shared" si="90"/>
        <v>6275</v>
      </c>
      <c r="B6276" s="163">
        <v>45922</v>
      </c>
      <c r="C6276" s="164">
        <v>0.50814814814814813</v>
      </c>
      <c r="D6276" s="159">
        <v>10</v>
      </c>
      <c r="E6276" s="166" t="s">
        <v>5558</v>
      </c>
    </row>
    <row r="6277" spans="1:5">
      <c r="A6277" s="174">
        <f t="shared" si="90"/>
        <v>6276</v>
      </c>
      <c r="B6277" s="163">
        <v>45922</v>
      </c>
      <c r="C6277" s="164">
        <v>0.54768518518518516</v>
      </c>
      <c r="D6277" s="159">
        <v>10</v>
      </c>
      <c r="E6277" s="166" t="s">
        <v>326</v>
      </c>
    </row>
    <row r="6278" spans="1:5">
      <c r="A6278" s="174">
        <f t="shared" si="90"/>
        <v>6277</v>
      </c>
      <c r="B6278" s="163">
        <v>45922</v>
      </c>
      <c r="C6278" s="164">
        <v>0.5496875</v>
      </c>
      <c r="D6278" s="159">
        <v>10</v>
      </c>
      <c r="E6278" s="166" t="s">
        <v>5559</v>
      </c>
    </row>
    <row r="6279" spans="1:5">
      <c r="A6279" s="174">
        <f t="shared" si="90"/>
        <v>6278</v>
      </c>
      <c r="B6279" s="163">
        <v>45922</v>
      </c>
      <c r="C6279" s="164">
        <v>0.61123842592592592</v>
      </c>
      <c r="D6279" s="159">
        <v>10</v>
      </c>
      <c r="E6279" s="166" t="s">
        <v>5560</v>
      </c>
    </row>
    <row r="6280" spans="1:5">
      <c r="A6280" s="174">
        <f t="shared" si="90"/>
        <v>6279</v>
      </c>
      <c r="B6280" s="163">
        <v>45922</v>
      </c>
      <c r="C6280" s="164">
        <v>0.61540509259259257</v>
      </c>
      <c r="D6280" s="159">
        <v>10</v>
      </c>
      <c r="E6280" s="166" t="s">
        <v>5561</v>
      </c>
    </row>
    <row r="6281" spans="1:5">
      <c r="A6281" s="174">
        <f t="shared" si="90"/>
        <v>6280</v>
      </c>
      <c r="B6281" s="163">
        <v>45922</v>
      </c>
      <c r="C6281" s="164">
        <v>0.62083333333333335</v>
      </c>
      <c r="D6281" s="159">
        <v>10</v>
      </c>
      <c r="E6281" s="166" t="s">
        <v>5562</v>
      </c>
    </row>
    <row r="6282" spans="1:5">
      <c r="A6282" s="174">
        <f t="shared" si="90"/>
        <v>6281</v>
      </c>
      <c r="B6282" s="163">
        <v>45922</v>
      </c>
      <c r="C6282" s="164">
        <v>0.63325231481481481</v>
      </c>
      <c r="D6282" s="159">
        <v>10</v>
      </c>
      <c r="E6282" s="166" t="s">
        <v>5563</v>
      </c>
    </row>
    <row r="6283" spans="1:5">
      <c r="A6283" s="174">
        <f t="shared" si="90"/>
        <v>6282</v>
      </c>
      <c r="B6283" s="163">
        <v>45922</v>
      </c>
      <c r="C6283" s="164">
        <v>0.63710648148148141</v>
      </c>
      <c r="D6283" s="159">
        <v>10</v>
      </c>
      <c r="E6283" s="166" t="s">
        <v>5564</v>
      </c>
    </row>
    <row r="6284" spans="1:5">
      <c r="A6284" s="174">
        <f t="shared" si="90"/>
        <v>6283</v>
      </c>
      <c r="B6284" s="163">
        <v>45922</v>
      </c>
      <c r="C6284" s="164">
        <v>0.64105324074074077</v>
      </c>
      <c r="D6284" s="159">
        <v>10</v>
      </c>
      <c r="E6284" s="166" t="s">
        <v>132</v>
      </c>
    </row>
    <row r="6285" spans="1:5">
      <c r="A6285" s="174">
        <f t="shared" si="90"/>
        <v>6284</v>
      </c>
      <c r="B6285" s="163">
        <v>45922</v>
      </c>
      <c r="C6285" s="164">
        <v>0.64665509259259257</v>
      </c>
      <c r="D6285" s="159">
        <v>10</v>
      </c>
      <c r="E6285" s="166" t="s">
        <v>5565</v>
      </c>
    </row>
    <row r="6286" spans="1:5">
      <c r="A6286" s="174">
        <f t="shared" si="90"/>
        <v>6285</v>
      </c>
      <c r="B6286" s="163">
        <v>45922</v>
      </c>
      <c r="C6286" s="164">
        <v>0.66984953703703709</v>
      </c>
      <c r="D6286" s="159">
        <v>9</v>
      </c>
      <c r="E6286" s="166" t="s">
        <v>5566</v>
      </c>
    </row>
    <row r="6287" spans="1:5">
      <c r="A6287" s="174">
        <f t="shared" si="90"/>
        <v>6286</v>
      </c>
      <c r="B6287" s="163">
        <v>45922</v>
      </c>
      <c r="C6287" s="164">
        <v>0.67616898148148152</v>
      </c>
      <c r="D6287" s="159">
        <v>10</v>
      </c>
      <c r="E6287" s="166" t="s">
        <v>5567</v>
      </c>
    </row>
    <row r="6288" spans="1:5">
      <c r="A6288" s="174">
        <f t="shared" si="90"/>
        <v>6287</v>
      </c>
      <c r="B6288" s="163">
        <v>45922</v>
      </c>
      <c r="C6288" s="164">
        <v>0.67847222222222225</v>
      </c>
      <c r="D6288" s="159">
        <v>10</v>
      </c>
      <c r="E6288" s="166" t="s">
        <v>5568</v>
      </c>
    </row>
    <row r="6289" spans="1:5">
      <c r="A6289" s="174">
        <f t="shared" si="90"/>
        <v>6288</v>
      </c>
      <c r="B6289" s="163">
        <v>45922</v>
      </c>
      <c r="C6289" s="164">
        <v>0.68571759259259257</v>
      </c>
      <c r="D6289" s="159">
        <v>10</v>
      </c>
      <c r="E6289" s="166" t="s">
        <v>5576</v>
      </c>
    </row>
    <row r="6290" spans="1:5">
      <c r="A6290" s="174">
        <f t="shared" si="90"/>
        <v>6289</v>
      </c>
      <c r="B6290" s="163">
        <v>45922</v>
      </c>
      <c r="C6290" s="164">
        <v>0.71305555555555555</v>
      </c>
      <c r="D6290" s="159">
        <v>10</v>
      </c>
      <c r="E6290" s="166" t="s">
        <v>492</v>
      </c>
    </row>
    <row r="6291" spans="1:5">
      <c r="A6291" s="174">
        <f t="shared" si="90"/>
        <v>6290</v>
      </c>
      <c r="B6291" s="163">
        <v>45922</v>
      </c>
      <c r="C6291" s="164">
        <v>0.72304398148148152</v>
      </c>
      <c r="D6291" s="159">
        <v>10</v>
      </c>
      <c r="E6291" s="166" t="s">
        <v>132</v>
      </c>
    </row>
    <row r="6292" spans="1:5">
      <c r="A6292" s="174">
        <f t="shared" si="90"/>
        <v>6291</v>
      </c>
      <c r="B6292" s="163">
        <v>45922</v>
      </c>
      <c r="C6292" s="164">
        <v>0.72883101851851861</v>
      </c>
      <c r="D6292" s="159">
        <v>10</v>
      </c>
      <c r="E6292" s="166" t="s">
        <v>5569</v>
      </c>
    </row>
    <row r="6293" spans="1:5">
      <c r="A6293" s="174">
        <f t="shared" si="90"/>
        <v>6292</v>
      </c>
      <c r="B6293" s="163">
        <v>45922</v>
      </c>
      <c r="C6293" s="164">
        <v>0.72883101851851861</v>
      </c>
      <c r="D6293" s="159">
        <v>10</v>
      </c>
      <c r="E6293" s="166" t="s">
        <v>5570</v>
      </c>
    </row>
    <row r="6294" spans="1:5">
      <c r="A6294" s="174">
        <f t="shared" si="90"/>
        <v>6293</v>
      </c>
      <c r="B6294" s="163">
        <v>45922</v>
      </c>
      <c r="C6294" s="164">
        <v>0.72976851851851843</v>
      </c>
      <c r="D6294" s="159">
        <v>10</v>
      </c>
      <c r="E6294" s="166" t="s">
        <v>5571</v>
      </c>
    </row>
    <row r="6295" spans="1:5">
      <c r="A6295" s="174">
        <f t="shared" si="90"/>
        <v>6294</v>
      </c>
      <c r="B6295" s="163">
        <v>45922</v>
      </c>
      <c r="C6295" s="164">
        <v>0.74806712962962962</v>
      </c>
      <c r="D6295" s="159">
        <v>10</v>
      </c>
      <c r="E6295" s="166" t="s">
        <v>313</v>
      </c>
    </row>
    <row r="6296" spans="1:5">
      <c r="A6296" s="174">
        <f t="shared" si="90"/>
        <v>6295</v>
      </c>
      <c r="B6296" s="163">
        <v>45922</v>
      </c>
      <c r="C6296" s="164">
        <v>0.79373842592592592</v>
      </c>
      <c r="D6296" s="159">
        <v>9</v>
      </c>
      <c r="E6296" s="166" t="s">
        <v>5572</v>
      </c>
    </row>
    <row r="6297" spans="1:5">
      <c r="A6297" s="174">
        <f t="shared" si="90"/>
        <v>6296</v>
      </c>
      <c r="B6297" s="163">
        <v>45922</v>
      </c>
      <c r="C6297" s="164">
        <v>0.79981481481481476</v>
      </c>
      <c r="D6297" s="159">
        <v>10</v>
      </c>
      <c r="E6297" s="166" t="s">
        <v>5573</v>
      </c>
    </row>
    <row r="6298" spans="1:5">
      <c r="A6298" s="174">
        <f t="shared" si="90"/>
        <v>6297</v>
      </c>
      <c r="B6298" s="163">
        <v>45922</v>
      </c>
      <c r="C6298" s="164">
        <v>0.85814814814814822</v>
      </c>
      <c r="D6298" s="159">
        <v>10</v>
      </c>
      <c r="E6298" s="166" t="s">
        <v>5574</v>
      </c>
    </row>
    <row r="6299" spans="1:5" ht="27">
      <c r="A6299" s="174">
        <f t="shared" si="90"/>
        <v>6298</v>
      </c>
      <c r="B6299" s="163">
        <v>45922</v>
      </c>
      <c r="C6299" s="164">
        <v>0.86181712962962964</v>
      </c>
      <c r="D6299" s="159">
        <v>10</v>
      </c>
      <c r="E6299" s="166" t="s">
        <v>5575</v>
      </c>
    </row>
    <row r="6300" spans="1:5">
      <c r="A6300" s="174">
        <f t="shared" si="90"/>
        <v>6299</v>
      </c>
      <c r="B6300" s="163">
        <v>45923</v>
      </c>
      <c r="C6300" s="164">
        <v>0.38366898148148149</v>
      </c>
      <c r="D6300" s="159">
        <v>10</v>
      </c>
      <c r="E6300" s="166" t="s">
        <v>5577</v>
      </c>
    </row>
    <row r="6301" spans="1:5">
      <c r="A6301" s="174">
        <f t="shared" si="90"/>
        <v>6300</v>
      </c>
      <c r="B6301" s="163">
        <v>45923</v>
      </c>
      <c r="C6301" s="164">
        <v>0.41359953703703706</v>
      </c>
      <c r="D6301" s="159">
        <v>10</v>
      </c>
      <c r="E6301" s="166" t="s">
        <v>5578</v>
      </c>
    </row>
    <row r="6302" spans="1:5">
      <c r="A6302" s="174">
        <f t="shared" si="90"/>
        <v>6301</v>
      </c>
      <c r="B6302" s="163">
        <v>45923</v>
      </c>
      <c r="C6302" s="164">
        <v>0.41474537037037035</v>
      </c>
      <c r="D6302" s="159">
        <v>10</v>
      </c>
      <c r="E6302" s="166" t="s">
        <v>5579</v>
      </c>
    </row>
    <row r="6303" spans="1:5">
      <c r="A6303" s="174">
        <f t="shared" si="90"/>
        <v>6302</v>
      </c>
      <c r="B6303" s="163">
        <v>45923</v>
      </c>
      <c r="C6303" s="164">
        <v>0.42281250000000004</v>
      </c>
      <c r="D6303" s="159">
        <v>10</v>
      </c>
      <c r="E6303" s="166" t="s">
        <v>5580</v>
      </c>
    </row>
    <row r="6304" spans="1:5">
      <c r="A6304" s="174">
        <f t="shared" si="90"/>
        <v>6303</v>
      </c>
      <c r="B6304" s="163">
        <v>45923</v>
      </c>
      <c r="C6304" s="164">
        <v>0.4418171296296296</v>
      </c>
      <c r="D6304" s="159">
        <v>10</v>
      </c>
      <c r="E6304" s="166" t="s">
        <v>5581</v>
      </c>
    </row>
    <row r="6305" spans="1:5" ht="27">
      <c r="A6305" s="174">
        <f t="shared" si="90"/>
        <v>6304</v>
      </c>
      <c r="B6305" s="163">
        <v>45923</v>
      </c>
      <c r="C6305" s="164">
        <v>0.44287037037037041</v>
      </c>
      <c r="D6305" s="159">
        <v>10</v>
      </c>
      <c r="E6305" s="166" t="s">
        <v>5604</v>
      </c>
    </row>
    <row r="6306" spans="1:5">
      <c r="A6306" s="174">
        <f t="shared" si="90"/>
        <v>6305</v>
      </c>
      <c r="B6306" s="163">
        <v>45923</v>
      </c>
      <c r="C6306" s="164">
        <v>0.44428240740740743</v>
      </c>
      <c r="D6306" s="159">
        <v>10</v>
      </c>
      <c r="E6306" s="166" t="s">
        <v>5582</v>
      </c>
    </row>
    <row r="6307" spans="1:5">
      <c r="A6307" s="174">
        <f t="shared" si="90"/>
        <v>6306</v>
      </c>
      <c r="B6307" s="163">
        <v>45923</v>
      </c>
      <c r="C6307" s="164">
        <v>0.4490277777777778</v>
      </c>
      <c r="D6307" s="159">
        <v>10</v>
      </c>
      <c r="E6307" s="166" t="s">
        <v>5583</v>
      </c>
    </row>
    <row r="6308" spans="1:5">
      <c r="A6308" s="174">
        <f t="shared" si="90"/>
        <v>6307</v>
      </c>
      <c r="B6308" s="163">
        <v>45923</v>
      </c>
      <c r="C6308" s="164">
        <v>0.45291666666666663</v>
      </c>
      <c r="D6308" s="159">
        <v>10</v>
      </c>
      <c r="E6308" s="166" t="s">
        <v>610</v>
      </c>
    </row>
    <row r="6309" spans="1:5">
      <c r="A6309" s="174">
        <f t="shared" si="90"/>
        <v>6308</v>
      </c>
      <c r="B6309" s="163">
        <v>45923</v>
      </c>
      <c r="C6309" s="164">
        <v>0.49004629629629631</v>
      </c>
      <c r="D6309" s="159">
        <v>10</v>
      </c>
      <c r="E6309" s="166" t="s">
        <v>3277</v>
      </c>
    </row>
    <row r="6310" spans="1:5">
      <c r="A6310" s="174">
        <f t="shared" si="90"/>
        <v>6309</v>
      </c>
      <c r="B6310" s="163">
        <v>45923</v>
      </c>
      <c r="C6310" s="164">
        <v>0.49474537037037036</v>
      </c>
      <c r="D6310" s="159">
        <v>10</v>
      </c>
      <c r="E6310" s="166" t="s">
        <v>5584</v>
      </c>
    </row>
    <row r="6311" spans="1:5">
      <c r="A6311" s="174">
        <f t="shared" si="90"/>
        <v>6310</v>
      </c>
      <c r="B6311" s="163">
        <v>45923</v>
      </c>
      <c r="C6311" s="164">
        <v>0.57125000000000004</v>
      </c>
      <c r="D6311" s="159">
        <v>10</v>
      </c>
      <c r="E6311" s="166" t="s">
        <v>5585</v>
      </c>
    </row>
    <row r="6312" spans="1:5">
      <c r="A6312" s="174">
        <f t="shared" si="90"/>
        <v>6311</v>
      </c>
      <c r="B6312" s="163">
        <v>45923</v>
      </c>
      <c r="C6312" s="164">
        <v>0.58531250000000001</v>
      </c>
      <c r="D6312" s="159">
        <v>10</v>
      </c>
      <c r="E6312" s="166" t="s">
        <v>5586</v>
      </c>
    </row>
    <row r="6313" spans="1:5">
      <c r="A6313" s="174">
        <f t="shared" si="90"/>
        <v>6312</v>
      </c>
      <c r="B6313" s="163">
        <v>45923</v>
      </c>
      <c r="C6313" s="164">
        <v>0.58765046296296297</v>
      </c>
      <c r="D6313" s="159">
        <v>10</v>
      </c>
      <c r="E6313" s="166" t="s">
        <v>5587</v>
      </c>
    </row>
    <row r="6314" spans="1:5">
      <c r="A6314" s="174">
        <f t="shared" si="90"/>
        <v>6313</v>
      </c>
      <c r="B6314" s="163">
        <v>45923</v>
      </c>
      <c r="C6314" s="164">
        <v>0.5958796296296297</v>
      </c>
      <c r="D6314" s="159">
        <v>10</v>
      </c>
      <c r="E6314" s="166" t="s">
        <v>5588</v>
      </c>
    </row>
    <row r="6315" spans="1:5">
      <c r="A6315" s="174">
        <f t="shared" si="90"/>
        <v>6314</v>
      </c>
      <c r="B6315" s="163">
        <v>45923</v>
      </c>
      <c r="C6315" s="164">
        <v>0.60180555555555559</v>
      </c>
      <c r="D6315" s="159">
        <v>10</v>
      </c>
      <c r="E6315" s="166" t="s">
        <v>5589</v>
      </c>
    </row>
    <row r="6316" spans="1:5">
      <c r="A6316" s="174">
        <f t="shared" si="90"/>
        <v>6315</v>
      </c>
      <c r="B6316" s="163">
        <v>45923</v>
      </c>
      <c r="C6316" s="164">
        <v>0.60550925925925925</v>
      </c>
      <c r="D6316" s="159">
        <v>10</v>
      </c>
      <c r="E6316" s="166" t="s">
        <v>5590</v>
      </c>
    </row>
    <row r="6317" spans="1:5">
      <c r="A6317" s="174">
        <f t="shared" si="90"/>
        <v>6316</v>
      </c>
      <c r="B6317" s="163">
        <v>45923</v>
      </c>
      <c r="C6317" s="164">
        <v>0.62222222222222223</v>
      </c>
      <c r="D6317" s="159">
        <v>10</v>
      </c>
      <c r="E6317" s="166" t="s">
        <v>5591</v>
      </c>
    </row>
    <row r="6318" spans="1:5">
      <c r="A6318" s="174">
        <f t="shared" si="90"/>
        <v>6317</v>
      </c>
      <c r="B6318" s="163">
        <v>45923</v>
      </c>
      <c r="C6318" s="164">
        <v>0.64679398148148148</v>
      </c>
      <c r="D6318" s="159">
        <v>10</v>
      </c>
      <c r="E6318" s="166" t="s">
        <v>879</v>
      </c>
    </row>
    <row r="6319" spans="1:5">
      <c r="A6319" s="174">
        <f t="shared" si="90"/>
        <v>6318</v>
      </c>
      <c r="B6319" s="163">
        <v>45923</v>
      </c>
      <c r="C6319" s="164">
        <v>0.64922453703703698</v>
      </c>
      <c r="D6319" s="159">
        <v>10</v>
      </c>
      <c r="E6319" s="166" t="s">
        <v>5592</v>
      </c>
    </row>
    <row r="6320" spans="1:5">
      <c r="A6320" s="174">
        <f t="shared" si="90"/>
        <v>6319</v>
      </c>
      <c r="B6320" s="163">
        <v>45923</v>
      </c>
      <c r="C6320" s="164">
        <v>0.66054398148148141</v>
      </c>
      <c r="D6320" s="159">
        <v>10</v>
      </c>
      <c r="E6320" s="166" t="s">
        <v>5593</v>
      </c>
    </row>
    <row r="6321" spans="1:5">
      <c r="A6321" s="174">
        <f t="shared" si="90"/>
        <v>6320</v>
      </c>
      <c r="B6321" s="163">
        <v>45923</v>
      </c>
      <c r="C6321" s="164">
        <v>0.66276620370370376</v>
      </c>
      <c r="D6321" s="159">
        <v>10</v>
      </c>
      <c r="E6321" s="166" t="s">
        <v>5594</v>
      </c>
    </row>
    <row r="6322" spans="1:5">
      <c r="A6322" s="174">
        <f t="shared" si="90"/>
        <v>6321</v>
      </c>
      <c r="B6322" s="163">
        <v>45923</v>
      </c>
      <c r="C6322" s="164">
        <v>0.66358796296296296</v>
      </c>
      <c r="D6322" s="159">
        <v>10</v>
      </c>
      <c r="E6322" s="166" t="s">
        <v>5595</v>
      </c>
    </row>
    <row r="6323" spans="1:5">
      <c r="A6323" s="174">
        <f t="shared" si="90"/>
        <v>6322</v>
      </c>
      <c r="B6323" s="163">
        <v>45923</v>
      </c>
      <c r="C6323" s="164">
        <v>0.67070601851851841</v>
      </c>
      <c r="D6323" s="159">
        <v>10</v>
      </c>
      <c r="E6323" s="166" t="s">
        <v>2252</v>
      </c>
    </row>
    <row r="6324" spans="1:5">
      <c r="A6324" s="174">
        <f t="shared" si="90"/>
        <v>6323</v>
      </c>
      <c r="B6324" s="163">
        <v>45923</v>
      </c>
      <c r="C6324" s="164">
        <v>0.67871527777777774</v>
      </c>
      <c r="D6324" s="159">
        <v>10</v>
      </c>
      <c r="E6324" s="166" t="s">
        <v>5596</v>
      </c>
    </row>
    <row r="6325" spans="1:5">
      <c r="A6325" s="174">
        <f t="shared" ref="A6325:A6388" si="91">ROW()-1</f>
        <v>6324</v>
      </c>
      <c r="B6325" s="163">
        <v>45923</v>
      </c>
      <c r="C6325" s="164">
        <v>0.68724537037037037</v>
      </c>
      <c r="D6325" s="159">
        <v>10</v>
      </c>
      <c r="E6325" s="166" t="s">
        <v>5597</v>
      </c>
    </row>
    <row r="6326" spans="1:5">
      <c r="A6326" s="174">
        <f t="shared" si="91"/>
        <v>6325</v>
      </c>
      <c r="B6326" s="163">
        <v>45923</v>
      </c>
      <c r="C6326" s="164">
        <v>0.69795138888888886</v>
      </c>
      <c r="D6326" s="159">
        <v>10</v>
      </c>
      <c r="E6326" s="166" t="s">
        <v>5598</v>
      </c>
    </row>
    <row r="6327" spans="1:5">
      <c r="A6327" s="174">
        <f t="shared" si="91"/>
        <v>6326</v>
      </c>
      <c r="B6327" s="163">
        <v>45923</v>
      </c>
      <c r="C6327" s="164">
        <v>0.70601851851851849</v>
      </c>
      <c r="D6327" s="159">
        <v>10</v>
      </c>
      <c r="E6327" s="166" t="s">
        <v>5599</v>
      </c>
    </row>
    <row r="6328" spans="1:5">
      <c r="A6328" s="174">
        <f t="shared" si="91"/>
        <v>6327</v>
      </c>
      <c r="B6328" s="163">
        <v>45923</v>
      </c>
      <c r="C6328" s="164">
        <v>0.70906249999999993</v>
      </c>
      <c r="D6328" s="159">
        <v>10</v>
      </c>
      <c r="E6328" s="166" t="s">
        <v>5600</v>
      </c>
    </row>
    <row r="6329" spans="1:5">
      <c r="A6329" s="174">
        <f t="shared" si="91"/>
        <v>6328</v>
      </c>
      <c r="B6329" s="163">
        <v>45923</v>
      </c>
      <c r="C6329" s="164">
        <v>0.73675925925925922</v>
      </c>
      <c r="D6329" s="159">
        <v>10</v>
      </c>
      <c r="E6329" s="166" t="s">
        <v>244</v>
      </c>
    </row>
    <row r="6330" spans="1:5">
      <c r="A6330" s="174">
        <f t="shared" si="91"/>
        <v>6329</v>
      </c>
      <c r="B6330" s="163">
        <v>45923</v>
      </c>
      <c r="C6330" s="164">
        <v>0.7442939814814814</v>
      </c>
      <c r="D6330" s="159">
        <v>10</v>
      </c>
      <c r="E6330" s="166" t="s">
        <v>5601</v>
      </c>
    </row>
    <row r="6331" spans="1:5">
      <c r="A6331" s="174">
        <f t="shared" si="91"/>
        <v>6330</v>
      </c>
      <c r="B6331" s="163">
        <v>45923</v>
      </c>
      <c r="C6331" s="164">
        <v>0.77630787037037041</v>
      </c>
      <c r="D6331" s="159">
        <v>10</v>
      </c>
      <c r="E6331" s="166" t="s">
        <v>5605</v>
      </c>
    </row>
    <row r="6332" spans="1:5">
      <c r="A6332" s="174">
        <f t="shared" si="91"/>
        <v>6331</v>
      </c>
      <c r="B6332" s="163">
        <v>45923</v>
      </c>
      <c r="C6332" s="164">
        <v>0.81717592592592592</v>
      </c>
      <c r="D6332" s="159">
        <v>10</v>
      </c>
      <c r="E6332" s="166" t="s">
        <v>5602</v>
      </c>
    </row>
    <row r="6333" spans="1:5" ht="27">
      <c r="A6333" s="174">
        <f t="shared" si="91"/>
        <v>6332</v>
      </c>
      <c r="B6333" s="163">
        <v>45923</v>
      </c>
      <c r="C6333" s="164">
        <v>0.87785879629629626</v>
      </c>
      <c r="D6333" s="159">
        <v>7</v>
      </c>
      <c r="E6333" s="166" t="s">
        <v>5606</v>
      </c>
    </row>
    <row r="6334" spans="1:5">
      <c r="A6334" s="174">
        <f t="shared" si="91"/>
        <v>6333</v>
      </c>
      <c r="B6334" s="163">
        <v>45923</v>
      </c>
      <c r="C6334" s="164">
        <v>0.88910879629629624</v>
      </c>
      <c r="D6334" s="159">
        <v>10</v>
      </c>
      <c r="E6334" s="166" t="s">
        <v>5603</v>
      </c>
    </row>
    <row r="6335" spans="1:5">
      <c r="A6335" s="174">
        <f t="shared" si="91"/>
        <v>6334</v>
      </c>
      <c r="B6335" s="163">
        <v>45924</v>
      </c>
      <c r="C6335" s="164">
        <v>0.38096064814814817</v>
      </c>
      <c r="D6335" s="159">
        <v>10</v>
      </c>
      <c r="E6335" s="166" t="s">
        <v>5607</v>
      </c>
    </row>
    <row r="6336" spans="1:5">
      <c r="A6336" s="174">
        <f t="shared" si="91"/>
        <v>6335</v>
      </c>
      <c r="B6336" s="163">
        <v>45924</v>
      </c>
      <c r="C6336" s="164">
        <v>0.39664351851851848</v>
      </c>
      <c r="D6336" s="159">
        <v>10</v>
      </c>
      <c r="E6336" s="166" t="s">
        <v>5608</v>
      </c>
    </row>
    <row r="6337" spans="1:5">
      <c r="A6337" s="174">
        <f t="shared" si="91"/>
        <v>6336</v>
      </c>
      <c r="B6337" s="163">
        <v>45924</v>
      </c>
      <c r="C6337" s="164">
        <v>0.42181712962962964</v>
      </c>
      <c r="D6337" s="159">
        <v>10</v>
      </c>
      <c r="E6337" s="166" t="s">
        <v>346</v>
      </c>
    </row>
    <row r="6338" spans="1:5">
      <c r="A6338" s="174">
        <f t="shared" si="91"/>
        <v>6337</v>
      </c>
      <c r="B6338" s="163">
        <v>45924</v>
      </c>
      <c r="C6338" s="164">
        <v>0.42296296296296299</v>
      </c>
      <c r="D6338" s="159">
        <v>10</v>
      </c>
      <c r="E6338" s="166" t="s">
        <v>5609</v>
      </c>
    </row>
    <row r="6339" spans="1:5">
      <c r="A6339" s="174">
        <f t="shared" si="91"/>
        <v>6338</v>
      </c>
      <c r="B6339" s="163">
        <v>45924</v>
      </c>
      <c r="C6339" s="164">
        <v>0.43210648148148145</v>
      </c>
      <c r="D6339" s="159">
        <v>10</v>
      </c>
      <c r="E6339" s="166" t="s">
        <v>5610</v>
      </c>
    </row>
    <row r="6340" spans="1:5">
      <c r="A6340" s="174">
        <f t="shared" si="91"/>
        <v>6339</v>
      </c>
      <c r="B6340" s="163">
        <v>45924</v>
      </c>
      <c r="C6340" s="164">
        <v>0.45048611111111114</v>
      </c>
      <c r="D6340" s="159">
        <v>10</v>
      </c>
      <c r="E6340" s="166" t="s">
        <v>5611</v>
      </c>
    </row>
    <row r="6341" spans="1:5">
      <c r="A6341" s="174">
        <f t="shared" si="91"/>
        <v>6340</v>
      </c>
      <c r="B6341" s="163">
        <v>45924</v>
      </c>
      <c r="C6341" s="164">
        <v>0.4573726851851852</v>
      </c>
      <c r="D6341" s="159">
        <v>10</v>
      </c>
      <c r="E6341" s="166" t="s">
        <v>5612</v>
      </c>
    </row>
    <row r="6342" spans="1:5">
      <c r="A6342" s="174">
        <f t="shared" si="91"/>
        <v>6341</v>
      </c>
      <c r="B6342" s="163">
        <v>45924</v>
      </c>
      <c r="C6342" s="164">
        <v>0.45859953703703704</v>
      </c>
      <c r="D6342" s="159">
        <v>10</v>
      </c>
      <c r="E6342" s="166" t="s">
        <v>1394</v>
      </c>
    </row>
    <row r="6343" spans="1:5">
      <c r="A6343" s="174">
        <f t="shared" si="91"/>
        <v>6342</v>
      </c>
      <c r="B6343" s="163">
        <v>45924</v>
      </c>
      <c r="C6343" s="164">
        <v>0.46824074074074074</v>
      </c>
      <c r="D6343" s="159">
        <v>10</v>
      </c>
      <c r="E6343" s="166" t="s">
        <v>5613</v>
      </c>
    </row>
    <row r="6344" spans="1:5">
      <c r="A6344" s="174">
        <f t="shared" si="91"/>
        <v>6343</v>
      </c>
      <c r="B6344" s="163">
        <v>45924</v>
      </c>
      <c r="C6344" s="164">
        <v>0.46850694444444446</v>
      </c>
      <c r="D6344" s="159">
        <v>10</v>
      </c>
      <c r="E6344" s="166" t="s">
        <v>1505</v>
      </c>
    </row>
    <row r="6345" spans="1:5">
      <c r="A6345" s="174">
        <f t="shared" si="91"/>
        <v>6344</v>
      </c>
      <c r="B6345" s="163">
        <v>45924</v>
      </c>
      <c r="C6345" s="164">
        <v>0.47905092592592591</v>
      </c>
      <c r="D6345" s="159">
        <v>10</v>
      </c>
      <c r="E6345" s="166" t="s">
        <v>5614</v>
      </c>
    </row>
    <row r="6346" spans="1:5">
      <c r="A6346" s="174">
        <f t="shared" si="91"/>
        <v>6345</v>
      </c>
      <c r="B6346" s="163">
        <v>45924</v>
      </c>
      <c r="C6346" s="164">
        <v>0.49153935185185182</v>
      </c>
      <c r="D6346" s="159">
        <v>10</v>
      </c>
      <c r="E6346" s="166" t="s">
        <v>179</v>
      </c>
    </row>
    <row r="6347" spans="1:5">
      <c r="A6347" s="174">
        <f t="shared" si="91"/>
        <v>6346</v>
      </c>
      <c r="B6347" s="163">
        <v>45924</v>
      </c>
      <c r="C6347" s="164">
        <v>0.4924884259259259</v>
      </c>
      <c r="D6347" s="159">
        <v>10</v>
      </c>
      <c r="E6347" s="166" t="s">
        <v>5615</v>
      </c>
    </row>
    <row r="6348" spans="1:5">
      <c r="A6348" s="174">
        <f t="shared" si="91"/>
        <v>6347</v>
      </c>
      <c r="B6348" s="163">
        <v>45924</v>
      </c>
      <c r="C6348" s="164">
        <v>0.49408564814814815</v>
      </c>
      <c r="D6348" s="159">
        <v>10</v>
      </c>
      <c r="E6348" s="166" t="s">
        <v>5616</v>
      </c>
    </row>
    <row r="6349" spans="1:5">
      <c r="A6349" s="174">
        <f t="shared" si="91"/>
        <v>6348</v>
      </c>
      <c r="B6349" s="163">
        <v>45924</v>
      </c>
      <c r="C6349" s="164">
        <v>0.53358796296296296</v>
      </c>
      <c r="D6349" s="159">
        <v>10</v>
      </c>
      <c r="E6349" s="166" t="s">
        <v>1668</v>
      </c>
    </row>
    <row r="6350" spans="1:5">
      <c r="A6350" s="174">
        <f t="shared" si="91"/>
        <v>6349</v>
      </c>
      <c r="B6350" s="163">
        <v>45924</v>
      </c>
      <c r="C6350" s="164">
        <v>0.56246527777777777</v>
      </c>
      <c r="D6350" s="159">
        <v>10</v>
      </c>
      <c r="E6350" s="166" t="s">
        <v>273</v>
      </c>
    </row>
    <row r="6351" spans="1:5">
      <c r="A6351" s="174">
        <f t="shared" si="91"/>
        <v>6350</v>
      </c>
      <c r="B6351" s="163">
        <v>45924</v>
      </c>
      <c r="C6351" s="164">
        <v>0.5805555555555556</v>
      </c>
      <c r="D6351" s="159">
        <v>10</v>
      </c>
      <c r="E6351" s="166" t="s">
        <v>5617</v>
      </c>
    </row>
    <row r="6352" spans="1:5">
      <c r="A6352" s="174">
        <f t="shared" si="91"/>
        <v>6351</v>
      </c>
      <c r="B6352" s="163">
        <v>45924</v>
      </c>
      <c r="C6352" s="164">
        <v>0.59157407407407414</v>
      </c>
      <c r="D6352" s="159">
        <v>3</v>
      </c>
      <c r="E6352" s="166" t="s">
        <v>5618</v>
      </c>
    </row>
    <row r="6353" spans="1:5">
      <c r="A6353" s="174">
        <f t="shared" si="91"/>
        <v>6352</v>
      </c>
      <c r="B6353" s="163">
        <v>45924</v>
      </c>
      <c r="C6353" s="164">
        <v>0.59598379629629628</v>
      </c>
      <c r="D6353" s="159">
        <v>10</v>
      </c>
      <c r="E6353" s="166" t="s">
        <v>5619</v>
      </c>
    </row>
    <row r="6354" spans="1:5">
      <c r="A6354" s="174">
        <f t="shared" si="91"/>
        <v>6353</v>
      </c>
      <c r="B6354" s="163">
        <v>45924</v>
      </c>
      <c r="C6354" s="164">
        <v>0.64613425925925927</v>
      </c>
      <c r="D6354" s="159">
        <v>10</v>
      </c>
      <c r="E6354" s="166" t="s">
        <v>537</v>
      </c>
    </row>
    <row r="6355" spans="1:5">
      <c r="A6355" s="174">
        <f t="shared" si="91"/>
        <v>6354</v>
      </c>
      <c r="B6355" s="163">
        <v>45924</v>
      </c>
      <c r="C6355" s="164">
        <v>0.67531249999999998</v>
      </c>
      <c r="D6355" s="159">
        <v>10</v>
      </c>
      <c r="E6355" s="166" t="s">
        <v>5620</v>
      </c>
    </row>
    <row r="6356" spans="1:5">
      <c r="A6356" s="174">
        <f t="shared" si="91"/>
        <v>6355</v>
      </c>
      <c r="B6356" s="163">
        <v>45924</v>
      </c>
      <c r="C6356" s="164">
        <v>0.68656249999999996</v>
      </c>
      <c r="D6356" s="159">
        <v>10</v>
      </c>
      <c r="E6356" s="166" t="s">
        <v>5621</v>
      </c>
    </row>
    <row r="6357" spans="1:5">
      <c r="A6357" s="174">
        <f t="shared" si="91"/>
        <v>6356</v>
      </c>
      <c r="B6357" s="163">
        <v>45924</v>
      </c>
      <c r="C6357" s="164">
        <v>0.69754629629629628</v>
      </c>
      <c r="D6357" s="159">
        <v>10</v>
      </c>
      <c r="E6357" s="166" t="s">
        <v>5622</v>
      </c>
    </row>
    <row r="6358" spans="1:5">
      <c r="A6358" s="174">
        <f t="shared" si="91"/>
        <v>6357</v>
      </c>
      <c r="B6358" s="163">
        <v>45924</v>
      </c>
      <c r="C6358" s="164">
        <v>0.69831018518518517</v>
      </c>
      <c r="D6358" s="159">
        <v>10</v>
      </c>
      <c r="E6358" s="166" t="s">
        <v>5623</v>
      </c>
    </row>
    <row r="6359" spans="1:5">
      <c r="A6359" s="174">
        <f t="shared" si="91"/>
        <v>6358</v>
      </c>
      <c r="B6359" s="163">
        <v>45924</v>
      </c>
      <c r="C6359" s="164">
        <v>0.70341435185185175</v>
      </c>
      <c r="D6359" s="159">
        <v>10</v>
      </c>
      <c r="E6359" s="166" t="s">
        <v>5369</v>
      </c>
    </row>
    <row r="6360" spans="1:5">
      <c r="A6360" s="174">
        <f t="shared" si="91"/>
        <v>6359</v>
      </c>
      <c r="B6360" s="163">
        <v>45924</v>
      </c>
      <c r="C6360" s="164">
        <v>0.70814814814814808</v>
      </c>
      <c r="D6360" s="159">
        <v>10</v>
      </c>
      <c r="E6360" s="166" t="s">
        <v>5635</v>
      </c>
    </row>
    <row r="6361" spans="1:5">
      <c r="A6361" s="174">
        <f t="shared" si="91"/>
        <v>6360</v>
      </c>
      <c r="B6361" s="163">
        <v>45924</v>
      </c>
      <c r="C6361" s="164">
        <v>0.70968749999999992</v>
      </c>
      <c r="D6361" s="159">
        <v>10</v>
      </c>
      <c r="E6361" s="166" t="s">
        <v>5624</v>
      </c>
    </row>
    <row r="6362" spans="1:5">
      <c r="A6362" s="174">
        <f t="shared" si="91"/>
        <v>6361</v>
      </c>
      <c r="B6362" s="163">
        <v>45924</v>
      </c>
      <c r="C6362" s="164">
        <v>0.71371527777777777</v>
      </c>
      <c r="D6362" s="159">
        <v>10</v>
      </c>
      <c r="E6362" s="166" t="s">
        <v>5625</v>
      </c>
    </row>
    <row r="6363" spans="1:5" ht="27">
      <c r="A6363" s="174">
        <f t="shared" si="91"/>
        <v>6362</v>
      </c>
      <c r="B6363" s="163">
        <v>45924</v>
      </c>
      <c r="C6363" s="164">
        <v>0.72140046296296301</v>
      </c>
      <c r="D6363" s="159">
        <v>10</v>
      </c>
      <c r="E6363" s="166" t="s">
        <v>5626</v>
      </c>
    </row>
    <row r="6364" spans="1:5">
      <c r="A6364" s="174">
        <f t="shared" si="91"/>
        <v>6363</v>
      </c>
      <c r="B6364" s="163">
        <v>45924</v>
      </c>
      <c r="C6364" s="164">
        <v>0.72927083333333342</v>
      </c>
      <c r="D6364" s="159">
        <v>10</v>
      </c>
      <c r="E6364" s="166" t="s">
        <v>5627</v>
      </c>
    </row>
    <row r="6365" spans="1:5">
      <c r="A6365" s="174">
        <f t="shared" si="91"/>
        <v>6364</v>
      </c>
      <c r="B6365" s="163">
        <v>45924</v>
      </c>
      <c r="C6365" s="164">
        <v>0.72987268518518522</v>
      </c>
      <c r="D6365" s="159">
        <v>10</v>
      </c>
      <c r="E6365" s="166" t="s">
        <v>2342</v>
      </c>
    </row>
    <row r="6366" spans="1:5">
      <c r="A6366" s="174">
        <f t="shared" si="91"/>
        <v>6365</v>
      </c>
      <c r="B6366" s="163">
        <v>45924</v>
      </c>
      <c r="C6366" s="164">
        <v>0.73842592592592593</v>
      </c>
      <c r="D6366" s="159">
        <v>10</v>
      </c>
      <c r="E6366" s="166" t="s">
        <v>5628</v>
      </c>
    </row>
    <row r="6367" spans="1:5">
      <c r="A6367" s="174">
        <f t="shared" si="91"/>
        <v>6366</v>
      </c>
      <c r="B6367" s="163">
        <v>45924</v>
      </c>
      <c r="C6367" s="164">
        <v>0.75737268518518519</v>
      </c>
      <c r="D6367" s="159">
        <v>10</v>
      </c>
      <c r="E6367" s="166" t="s">
        <v>5629</v>
      </c>
    </row>
    <row r="6368" spans="1:5">
      <c r="A6368" s="174">
        <f t="shared" si="91"/>
        <v>6367</v>
      </c>
      <c r="B6368" s="163">
        <v>45924</v>
      </c>
      <c r="C6368" s="164">
        <v>0.77086805555555549</v>
      </c>
      <c r="D6368" s="159">
        <v>10</v>
      </c>
      <c r="E6368" s="166" t="s">
        <v>5630</v>
      </c>
    </row>
    <row r="6369" spans="1:5">
      <c r="A6369" s="174">
        <f t="shared" si="91"/>
        <v>6368</v>
      </c>
      <c r="B6369" s="163">
        <v>45924</v>
      </c>
      <c r="C6369" s="164">
        <v>0.7833564814814814</v>
      </c>
      <c r="D6369" s="159">
        <v>10</v>
      </c>
      <c r="E6369" s="166" t="s">
        <v>536</v>
      </c>
    </row>
    <row r="6370" spans="1:5">
      <c r="A6370" s="174">
        <f t="shared" si="91"/>
        <v>6369</v>
      </c>
      <c r="B6370" s="163">
        <v>45924</v>
      </c>
      <c r="C6370" s="164">
        <v>0.81565972222222216</v>
      </c>
      <c r="D6370" s="159">
        <v>10</v>
      </c>
      <c r="E6370" s="166" t="s">
        <v>5631</v>
      </c>
    </row>
    <row r="6371" spans="1:5">
      <c r="A6371" s="174">
        <f t="shared" si="91"/>
        <v>6370</v>
      </c>
      <c r="B6371" s="163">
        <v>45924</v>
      </c>
      <c r="C6371" s="164">
        <v>0.82181712962962961</v>
      </c>
      <c r="D6371" s="159">
        <v>10</v>
      </c>
      <c r="E6371" s="166" t="s">
        <v>5632</v>
      </c>
    </row>
    <row r="6372" spans="1:5">
      <c r="A6372" s="174">
        <f t="shared" si="91"/>
        <v>6371</v>
      </c>
      <c r="B6372" s="163">
        <v>45924</v>
      </c>
      <c r="C6372" s="164">
        <v>0.8502777777777778</v>
      </c>
      <c r="D6372" s="159">
        <v>10</v>
      </c>
      <c r="E6372" s="166" t="s">
        <v>5633</v>
      </c>
    </row>
    <row r="6373" spans="1:5">
      <c r="A6373" s="174">
        <f t="shared" si="91"/>
        <v>6372</v>
      </c>
      <c r="B6373" s="163">
        <v>45924</v>
      </c>
      <c r="C6373" s="164">
        <v>0.86413194444444441</v>
      </c>
      <c r="D6373" s="159">
        <v>10</v>
      </c>
      <c r="E6373" s="166" t="s">
        <v>5634</v>
      </c>
    </row>
    <row r="6374" spans="1:5">
      <c r="A6374" s="174">
        <f t="shared" si="91"/>
        <v>6373</v>
      </c>
      <c r="B6374" s="163">
        <v>45924</v>
      </c>
      <c r="C6374" s="164">
        <v>0.88905092592592594</v>
      </c>
      <c r="D6374" s="159">
        <v>10</v>
      </c>
      <c r="E6374" s="166" t="s">
        <v>5636</v>
      </c>
    </row>
    <row r="6375" spans="1:5">
      <c r="A6375" s="174">
        <f t="shared" si="91"/>
        <v>6374</v>
      </c>
      <c r="B6375" s="163">
        <v>45925</v>
      </c>
      <c r="C6375" s="164">
        <v>0.38729166666666665</v>
      </c>
      <c r="D6375" s="159">
        <v>10</v>
      </c>
      <c r="E6375" s="166" t="s">
        <v>5637</v>
      </c>
    </row>
    <row r="6376" spans="1:5">
      <c r="A6376" s="174">
        <f t="shared" si="91"/>
        <v>6375</v>
      </c>
      <c r="B6376" s="163">
        <v>45925</v>
      </c>
      <c r="C6376" s="164">
        <v>0.39734953703703701</v>
      </c>
      <c r="D6376" s="159">
        <v>10</v>
      </c>
      <c r="E6376" s="166" t="s">
        <v>5638</v>
      </c>
    </row>
    <row r="6377" spans="1:5">
      <c r="A6377" s="174">
        <f t="shared" si="91"/>
        <v>6376</v>
      </c>
      <c r="B6377" s="163">
        <v>45925</v>
      </c>
      <c r="C6377" s="164">
        <v>0.40337962962962964</v>
      </c>
      <c r="D6377" s="159">
        <v>10</v>
      </c>
      <c r="E6377" s="166" t="s">
        <v>5639</v>
      </c>
    </row>
    <row r="6378" spans="1:5" ht="27">
      <c r="A6378" s="174">
        <f t="shared" si="91"/>
        <v>6377</v>
      </c>
      <c r="B6378" s="163">
        <v>45925</v>
      </c>
      <c r="C6378" s="164">
        <v>0.41258101851851853</v>
      </c>
      <c r="D6378" s="159">
        <v>10</v>
      </c>
      <c r="E6378" s="166" t="s">
        <v>5640</v>
      </c>
    </row>
    <row r="6379" spans="1:5">
      <c r="A6379" s="174">
        <f t="shared" si="91"/>
        <v>6378</v>
      </c>
      <c r="B6379" s="163">
        <v>45925</v>
      </c>
      <c r="C6379" s="164">
        <v>0.41893518518518519</v>
      </c>
      <c r="D6379" s="159">
        <v>10</v>
      </c>
      <c r="E6379" s="166" t="s">
        <v>4275</v>
      </c>
    </row>
    <row r="6380" spans="1:5">
      <c r="A6380" s="174">
        <f t="shared" si="91"/>
        <v>6379</v>
      </c>
      <c r="B6380" s="163">
        <v>45925</v>
      </c>
      <c r="C6380" s="164">
        <v>0.43909722222222225</v>
      </c>
      <c r="D6380" s="159">
        <v>10</v>
      </c>
      <c r="E6380" s="166" t="s">
        <v>5641</v>
      </c>
    </row>
    <row r="6381" spans="1:5">
      <c r="A6381" s="174">
        <f t="shared" si="91"/>
        <v>6380</v>
      </c>
      <c r="B6381" s="163">
        <v>45925</v>
      </c>
      <c r="C6381" s="164">
        <v>0.45954861111111112</v>
      </c>
      <c r="D6381" s="159">
        <v>10</v>
      </c>
      <c r="E6381" s="166" t="s">
        <v>5642</v>
      </c>
    </row>
    <row r="6382" spans="1:5">
      <c r="A6382" s="174">
        <f t="shared" si="91"/>
        <v>6381</v>
      </c>
      <c r="B6382" s="163">
        <v>45925</v>
      </c>
      <c r="C6382" s="164">
        <v>0.46535879629629634</v>
      </c>
      <c r="D6382" s="159">
        <v>10</v>
      </c>
      <c r="E6382" s="166" t="s">
        <v>5643</v>
      </c>
    </row>
    <row r="6383" spans="1:5">
      <c r="A6383" s="174">
        <f t="shared" si="91"/>
        <v>6382</v>
      </c>
      <c r="B6383" s="163">
        <v>45925</v>
      </c>
      <c r="C6383" s="164">
        <v>0.46689814814814817</v>
      </c>
      <c r="D6383" s="159">
        <v>10</v>
      </c>
      <c r="E6383" s="166" t="s">
        <v>5644</v>
      </c>
    </row>
    <row r="6384" spans="1:5" ht="27">
      <c r="A6384" s="174">
        <f t="shared" si="91"/>
        <v>6383</v>
      </c>
      <c r="B6384" s="163">
        <v>45925</v>
      </c>
      <c r="C6384" s="164">
        <v>0.47671296296296295</v>
      </c>
      <c r="D6384" s="159">
        <v>10</v>
      </c>
      <c r="E6384" s="166" t="s">
        <v>5645</v>
      </c>
    </row>
    <row r="6385" spans="1:5">
      <c r="A6385" s="174">
        <f t="shared" si="91"/>
        <v>6384</v>
      </c>
      <c r="B6385" s="163">
        <v>45925</v>
      </c>
      <c r="C6385" s="164">
        <v>0.47900462962962959</v>
      </c>
      <c r="D6385" s="159">
        <v>10</v>
      </c>
      <c r="E6385" s="166" t="s">
        <v>214</v>
      </c>
    </row>
    <row r="6386" spans="1:5">
      <c r="A6386" s="174">
        <f t="shared" si="91"/>
        <v>6385</v>
      </c>
      <c r="B6386" s="163">
        <v>45925</v>
      </c>
      <c r="C6386" s="164">
        <v>0.48306712962962961</v>
      </c>
      <c r="D6386" s="159">
        <v>10</v>
      </c>
      <c r="E6386" s="166" t="s">
        <v>565</v>
      </c>
    </row>
    <row r="6387" spans="1:5">
      <c r="A6387" s="174">
        <f t="shared" si="91"/>
        <v>6386</v>
      </c>
      <c r="B6387" s="163">
        <v>45925</v>
      </c>
      <c r="C6387" s="164">
        <v>0.48387731481481483</v>
      </c>
      <c r="D6387" s="159">
        <v>10</v>
      </c>
      <c r="E6387" s="166" t="s">
        <v>5646</v>
      </c>
    </row>
    <row r="6388" spans="1:5">
      <c r="A6388" s="174">
        <f t="shared" si="91"/>
        <v>6387</v>
      </c>
      <c r="B6388" s="163">
        <v>45925</v>
      </c>
      <c r="C6388" s="164">
        <v>0.52895833333333331</v>
      </c>
      <c r="D6388" s="159">
        <v>10</v>
      </c>
      <c r="E6388" s="166" t="s">
        <v>5647</v>
      </c>
    </row>
    <row r="6389" spans="1:5">
      <c r="A6389" s="174">
        <f t="shared" ref="A6389:A6452" si="92">ROW()-1</f>
        <v>6388</v>
      </c>
      <c r="B6389" s="163">
        <v>45925</v>
      </c>
      <c r="C6389" s="164">
        <v>0.54195601851851849</v>
      </c>
      <c r="D6389" s="159">
        <v>10</v>
      </c>
      <c r="E6389" s="166" t="s">
        <v>5648</v>
      </c>
    </row>
    <row r="6390" spans="1:5">
      <c r="A6390" s="174">
        <f t="shared" si="92"/>
        <v>6389</v>
      </c>
      <c r="B6390" s="163">
        <v>45925</v>
      </c>
      <c r="C6390" s="164">
        <v>0.54946759259259259</v>
      </c>
      <c r="D6390" s="159">
        <v>10</v>
      </c>
      <c r="E6390" s="166" t="s">
        <v>5649</v>
      </c>
    </row>
    <row r="6391" spans="1:5">
      <c r="A6391" s="174">
        <f t="shared" si="92"/>
        <v>6390</v>
      </c>
      <c r="B6391" s="163">
        <v>45925</v>
      </c>
      <c r="C6391" s="164">
        <v>0.55136574074074074</v>
      </c>
      <c r="D6391" s="159">
        <v>10</v>
      </c>
      <c r="E6391" s="166" t="s">
        <v>5650</v>
      </c>
    </row>
    <row r="6392" spans="1:5">
      <c r="A6392" s="174">
        <f t="shared" si="92"/>
        <v>6391</v>
      </c>
      <c r="B6392" s="163">
        <v>45925</v>
      </c>
      <c r="C6392" s="164">
        <v>0.55973379629629627</v>
      </c>
      <c r="D6392" s="159">
        <v>10</v>
      </c>
      <c r="E6392" s="166" t="s">
        <v>749</v>
      </c>
    </row>
    <row r="6393" spans="1:5">
      <c r="A6393" s="174">
        <f t="shared" si="92"/>
        <v>6392</v>
      </c>
      <c r="B6393" s="163">
        <v>45925</v>
      </c>
      <c r="C6393" s="164">
        <v>0.57793981481481482</v>
      </c>
      <c r="D6393" s="159">
        <v>10</v>
      </c>
      <c r="E6393" s="166" t="s">
        <v>5651</v>
      </c>
    </row>
    <row r="6394" spans="1:5">
      <c r="A6394" s="174">
        <f t="shared" si="92"/>
        <v>6393</v>
      </c>
      <c r="B6394" s="163">
        <v>45925</v>
      </c>
      <c r="C6394" s="164">
        <v>0.59376157407407404</v>
      </c>
      <c r="D6394" s="159">
        <v>10</v>
      </c>
      <c r="E6394" s="166" t="s">
        <v>5652</v>
      </c>
    </row>
    <row r="6395" spans="1:5">
      <c r="A6395" s="174">
        <f t="shared" si="92"/>
        <v>6394</v>
      </c>
      <c r="B6395" s="163">
        <v>45925</v>
      </c>
      <c r="C6395" s="164">
        <v>0.59383101851851849</v>
      </c>
      <c r="D6395" s="159">
        <v>10</v>
      </c>
      <c r="E6395" s="166" t="s">
        <v>5653</v>
      </c>
    </row>
    <row r="6396" spans="1:5">
      <c r="A6396" s="174">
        <f t="shared" si="92"/>
        <v>6395</v>
      </c>
      <c r="B6396" s="163">
        <v>45925</v>
      </c>
      <c r="C6396" s="164">
        <v>0.60697916666666674</v>
      </c>
      <c r="D6396" s="159">
        <v>10</v>
      </c>
      <c r="E6396" s="166" t="s">
        <v>1668</v>
      </c>
    </row>
    <row r="6397" spans="1:5">
      <c r="A6397" s="174">
        <f t="shared" si="92"/>
        <v>6396</v>
      </c>
      <c r="B6397" s="163">
        <v>45925</v>
      </c>
      <c r="C6397" s="164">
        <v>0.63833333333333331</v>
      </c>
      <c r="D6397" s="159">
        <v>10</v>
      </c>
      <c r="E6397" s="166" t="s">
        <v>5654</v>
      </c>
    </row>
    <row r="6398" spans="1:5">
      <c r="A6398" s="174">
        <f t="shared" si="92"/>
        <v>6397</v>
      </c>
      <c r="B6398" s="163">
        <v>45925</v>
      </c>
      <c r="C6398" s="164">
        <v>0.63962962962962966</v>
      </c>
      <c r="D6398" s="159">
        <v>10</v>
      </c>
      <c r="E6398" s="166" t="s">
        <v>5655</v>
      </c>
    </row>
    <row r="6399" spans="1:5">
      <c r="A6399" s="174">
        <f t="shared" si="92"/>
        <v>6398</v>
      </c>
      <c r="B6399" s="163">
        <v>45925</v>
      </c>
      <c r="C6399" s="164">
        <v>0.65230324074074075</v>
      </c>
      <c r="D6399" s="159">
        <v>10</v>
      </c>
      <c r="E6399" s="166" t="s">
        <v>5656</v>
      </c>
    </row>
    <row r="6400" spans="1:5">
      <c r="A6400" s="174">
        <f t="shared" si="92"/>
        <v>6399</v>
      </c>
      <c r="B6400" s="163">
        <v>45925</v>
      </c>
      <c r="C6400" s="164">
        <v>0.66378472222222229</v>
      </c>
      <c r="D6400" s="159">
        <v>10</v>
      </c>
      <c r="E6400" s="166" t="s">
        <v>5657</v>
      </c>
    </row>
    <row r="6401" spans="1:5">
      <c r="A6401" s="174">
        <f t="shared" si="92"/>
        <v>6400</v>
      </c>
      <c r="B6401" s="163">
        <v>45925</v>
      </c>
      <c r="C6401" s="164">
        <v>0.67646990740740742</v>
      </c>
      <c r="D6401" s="159">
        <v>10</v>
      </c>
      <c r="E6401" s="166" t="s">
        <v>5658</v>
      </c>
    </row>
    <row r="6402" spans="1:5">
      <c r="A6402" s="174">
        <f t="shared" si="92"/>
        <v>6401</v>
      </c>
      <c r="B6402" s="163">
        <v>45925</v>
      </c>
      <c r="C6402" s="164">
        <v>0.67833333333333334</v>
      </c>
      <c r="D6402" s="159">
        <v>10</v>
      </c>
      <c r="E6402" s="166" t="s">
        <v>5659</v>
      </c>
    </row>
    <row r="6403" spans="1:5">
      <c r="A6403" s="174">
        <f t="shared" si="92"/>
        <v>6402</v>
      </c>
      <c r="B6403" s="163">
        <v>45925</v>
      </c>
      <c r="C6403" s="164">
        <v>0.68798611111111108</v>
      </c>
      <c r="D6403" s="159">
        <v>10</v>
      </c>
      <c r="E6403" s="166" t="s">
        <v>5660</v>
      </c>
    </row>
    <row r="6404" spans="1:5">
      <c r="A6404" s="174">
        <f t="shared" si="92"/>
        <v>6403</v>
      </c>
      <c r="B6404" s="163">
        <v>45925</v>
      </c>
      <c r="C6404" s="164">
        <v>0.6896296296296297</v>
      </c>
      <c r="D6404" s="159">
        <v>10</v>
      </c>
      <c r="E6404" s="166" t="s">
        <v>5661</v>
      </c>
    </row>
    <row r="6405" spans="1:5">
      <c r="A6405" s="174">
        <f t="shared" si="92"/>
        <v>6404</v>
      </c>
      <c r="B6405" s="163">
        <v>45925</v>
      </c>
      <c r="C6405" s="164">
        <v>0.69281250000000005</v>
      </c>
      <c r="D6405" s="159">
        <v>10</v>
      </c>
      <c r="E6405" s="166" t="s">
        <v>5662</v>
      </c>
    </row>
    <row r="6406" spans="1:5">
      <c r="A6406" s="174">
        <f t="shared" si="92"/>
        <v>6405</v>
      </c>
      <c r="B6406" s="163">
        <v>45925</v>
      </c>
      <c r="C6406" s="164">
        <v>0.70414351851851853</v>
      </c>
      <c r="D6406" s="159">
        <v>10</v>
      </c>
      <c r="E6406" s="166" t="s">
        <v>5663</v>
      </c>
    </row>
    <row r="6407" spans="1:5">
      <c r="A6407" s="174">
        <f t="shared" si="92"/>
        <v>6406</v>
      </c>
      <c r="B6407" s="163">
        <v>45925</v>
      </c>
      <c r="C6407" s="164">
        <v>0.71197916666666661</v>
      </c>
      <c r="D6407" s="159">
        <v>10</v>
      </c>
      <c r="E6407" s="166" t="s">
        <v>5664</v>
      </c>
    </row>
    <row r="6408" spans="1:5">
      <c r="A6408" s="174">
        <f t="shared" si="92"/>
        <v>6407</v>
      </c>
      <c r="B6408" s="163">
        <v>45925</v>
      </c>
      <c r="C6408" s="164">
        <v>0.71841435185185187</v>
      </c>
      <c r="D6408" s="159">
        <v>10</v>
      </c>
      <c r="E6408" s="166" t="s">
        <v>5673</v>
      </c>
    </row>
    <row r="6409" spans="1:5">
      <c r="A6409" s="174">
        <f t="shared" si="92"/>
        <v>6408</v>
      </c>
      <c r="B6409" s="163">
        <v>45925</v>
      </c>
      <c r="C6409" s="164">
        <v>0.7299768518518519</v>
      </c>
      <c r="D6409" s="159">
        <v>10</v>
      </c>
      <c r="E6409" s="166" t="s">
        <v>5665</v>
      </c>
    </row>
    <row r="6410" spans="1:5">
      <c r="A6410" s="174">
        <f t="shared" si="92"/>
        <v>6409</v>
      </c>
      <c r="B6410" s="163">
        <v>45925</v>
      </c>
      <c r="C6410" s="164">
        <v>0.73712962962962969</v>
      </c>
      <c r="D6410" s="159">
        <v>10</v>
      </c>
      <c r="E6410" s="166" t="s">
        <v>5672</v>
      </c>
    </row>
    <row r="6411" spans="1:5">
      <c r="A6411" s="174">
        <f t="shared" si="92"/>
        <v>6410</v>
      </c>
      <c r="B6411" s="163">
        <v>45925</v>
      </c>
      <c r="C6411" s="164">
        <v>0.73884259259259266</v>
      </c>
      <c r="D6411" s="159">
        <v>10</v>
      </c>
      <c r="E6411" s="166" t="s">
        <v>5666</v>
      </c>
    </row>
    <row r="6412" spans="1:5">
      <c r="A6412" s="174">
        <f t="shared" si="92"/>
        <v>6411</v>
      </c>
      <c r="B6412" s="163">
        <v>45925</v>
      </c>
      <c r="C6412" s="164">
        <v>0.75278935185185192</v>
      </c>
      <c r="D6412" s="159">
        <v>10</v>
      </c>
      <c r="E6412" s="166" t="s">
        <v>5671</v>
      </c>
    </row>
    <row r="6413" spans="1:5">
      <c r="A6413" s="174">
        <f t="shared" si="92"/>
        <v>6412</v>
      </c>
      <c r="B6413" s="163">
        <v>45925</v>
      </c>
      <c r="C6413" s="164">
        <v>0.77822916666666664</v>
      </c>
      <c r="D6413" s="159">
        <v>10</v>
      </c>
      <c r="E6413" s="166" t="s">
        <v>246</v>
      </c>
    </row>
    <row r="6414" spans="1:5">
      <c r="A6414" s="174">
        <f t="shared" si="92"/>
        <v>6413</v>
      </c>
      <c r="B6414" s="163">
        <v>45925</v>
      </c>
      <c r="C6414" s="164">
        <v>0.78864583333333327</v>
      </c>
      <c r="D6414" s="159">
        <v>10</v>
      </c>
      <c r="E6414" s="166" t="s">
        <v>132</v>
      </c>
    </row>
    <row r="6415" spans="1:5">
      <c r="A6415" s="174">
        <f t="shared" si="92"/>
        <v>6414</v>
      </c>
      <c r="B6415" s="163">
        <v>45925</v>
      </c>
      <c r="C6415" s="164">
        <v>0.78930555555555559</v>
      </c>
      <c r="D6415" s="159">
        <v>10</v>
      </c>
      <c r="E6415" s="166" t="s">
        <v>5667</v>
      </c>
    </row>
    <row r="6416" spans="1:5">
      <c r="A6416" s="174">
        <f t="shared" si="92"/>
        <v>6415</v>
      </c>
      <c r="B6416" s="163">
        <v>45925</v>
      </c>
      <c r="C6416" s="164">
        <v>0.79306712962962955</v>
      </c>
      <c r="D6416" s="159">
        <v>10</v>
      </c>
      <c r="E6416" s="166" t="s">
        <v>5674</v>
      </c>
    </row>
    <row r="6417" spans="1:5">
      <c r="A6417" s="174">
        <f t="shared" si="92"/>
        <v>6416</v>
      </c>
      <c r="B6417" s="163">
        <v>45925</v>
      </c>
      <c r="C6417" s="164">
        <v>0.84787037037037039</v>
      </c>
      <c r="D6417" s="159">
        <v>10</v>
      </c>
      <c r="E6417" s="166" t="s">
        <v>5675</v>
      </c>
    </row>
    <row r="6418" spans="1:5">
      <c r="A6418" s="174">
        <f t="shared" si="92"/>
        <v>6417</v>
      </c>
      <c r="B6418" s="163">
        <v>45925</v>
      </c>
      <c r="C6418" s="164">
        <v>0.85135416666666675</v>
      </c>
      <c r="D6418" s="159">
        <v>10</v>
      </c>
      <c r="E6418" s="166" t="s">
        <v>5668</v>
      </c>
    </row>
    <row r="6419" spans="1:5">
      <c r="A6419" s="174">
        <f t="shared" si="92"/>
        <v>6418</v>
      </c>
      <c r="B6419" s="163">
        <v>45925</v>
      </c>
      <c r="C6419" s="164">
        <v>0.87089120370370365</v>
      </c>
      <c r="D6419" s="159">
        <v>10</v>
      </c>
      <c r="E6419" s="166" t="s">
        <v>5669</v>
      </c>
    </row>
    <row r="6420" spans="1:5">
      <c r="A6420" s="174">
        <f t="shared" si="92"/>
        <v>6419</v>
      </c>
      <c r="B6420" s="163">
        <v>45925</v>
      </c>
      <c r="C6420" s="164">
        <v>0.89362268518518517</v>
      </c>
      <c r="D6420" s="159">
        <v>10</v>
      </c>
      <c r="E6420" s="166" t="s">
        <v>5670</v>
      </c>
    </row>
    <row r="6421" spans="1:5">
      <c r="A6421" s="174">
        <f t="shared" si="92"/>
        <v>6420</v>
      </c>
      <c r="B6421" s="163">
        <v>45926</v>
      </c>
      <c r="C6421" s="164">
        <v>0.3815162037037037</v>
      </c>
      <c r="D6421" s="159">
        <v>10</v>
      </c>
      <c r="E6421" s="166" t="s">
        <v>179</v>
      </c>
    </row>
    <row r="6422" spans="1:5">
      <c r="A6422" s="174">
        <f t="shared" si="92"/>
        <v>6421</v>
      </c>
      <c r="B6422" s="163">
        <v>45926</v>
      </c>
      <c r="C6422" s="164">
        <v>0.38370370370370371</v>
      </c>
      <c r="D6422" s="159">
        <v>10</v>
      </c>
      <c r="E6422" s="166" t="s">
        <v>5676</v>
      </c>
    </row>
    <row r="6423" spans="1:5">
      <c r="A6423" s="174">
        <f t="shared" si="92"/>
        <v>6422</v>
      </c>
      <c r="B6423" s="163">
        <v>45926</v>
      </c>
      <c r="C6423" s="164">
        <v>0.38950231481481484</v>
      </c>
      <c r="D6423" s="159">
        <v>10</v>
      </c>
      <c r="E6423" s="166" t="s">
        <v>313</v>
      </c>
    </row>
    <row r="6424" spans="1:5">
      <c r="A6424" s="174">
        <f t="shared" si="92"/>
        <v>6423</v>
      </c>
      <c r="B6424" s="163">
        <v>45926</v>
      </c>
      <c r="C6424" s="164">
        <v>0.41605324074074074</v>
      </c>
      <c r="D6424" s="159">
        <v>10</v>
      </c>
      <c r="E6424" s="166" t="s">
        <v>5677</v>
      </c>
    </row>
    <row r="6425" spans="1:5" ht="27">
      <c r="A6425" s="174">
        <f t="shared" si="92"/>
        <v>6424</v>
      </c>
      <c r="B6425" s="163">
        <v>45926</v>
      </c>
      <c r="C6425" s="164">
        <v>0.43175925925925923</v>
      </c>
      <c r="D6425" s="159">
        <v>10</v>
      </c>
      <c r="E6425" s="166" t="s">
        <v>5678</v>
      </c>
    </row>
    <row r="6426" spans="1:5">
      <c r="A6426" s="174">
        <f t="shared" si="92"/>
        <v>6425</v>
      </c>
      <c r="B6426" s="163">
        <v>45926</v>
      </c>
      <c r="C6426" s="164">
        <v>0.44237268518518519</v>
      </c>
      <c r="D6426" s="159">
        <v>10</v>
      </c>
      <c r="E6426" s="166" t="s">
        <v>5679</v>
      </c>
    </row>
    <row r="6427" spans="1:5">
      <c r="A6427" s="174">
        <f t="shared" si="92"/>
        <v>6426</v>
      </c>
      <c r="B6427" s="163">
        <v>45926</v>
      </c>
      <c r="C6427" s="164">
        <v>0.45519675925925923</v>
      </c>
      <c r="D6427" s="159">
        <v>10</v>
      </c>
      <c r="E6427" s="166" t="s">
        <v>5680</v>
      </c>
    </row>
    <row r="6428" spans="1:5">
      <c r="A6428" s="174">
        <f t="shared" si="92"/>
        <v>6427</v>
      </c>
      <c r="B6428" s="163">
        <v>45926</v>
      </c>
      <c r="C6428" s="164">
        <v>0.45747685185185188</v>
      </c>
      <c r="D6428" s="159">
        <v>10</v>
      </c>
      <c r="E6428" s="166" t="s">
        <v>5681</v>
      </c>
    </row>
    <row r="6429" spans="1:5">
      <c r="A6429" s="174">
        <f t="shared" si="92"/>
        <v>6428</v>
      </c>
      <c r="B6429" s="163">
        <v>45926</v>
      </c>
      <c r="C6429" s="164">
        <v>0.4601041666666667</v>
      </c>
      <c r="D6429" s="159">
        <v>10</v>
      </c>
      <c r="E6429" s="166" t="s">
        <v>5682</v>
      </c>
    </row>
    <row r="6430" spans="1:5">
      <c r="A6430" s="174">
        <f t="shared" si="92"/>
        <v>6429</v>
      </c>
      <c r="B6430" s="163">
        <v>45926</v>
      </c>
      <c r="C6430" s="164">
        <v>0.46460648148148148</v>
      </c>
      <c r="D6430" s="159">
        <v>10</v>
      </c>
      <c r="E6430" s="166" t="s">
        <v>5683</v>
      </c>
    </row>
    <row r="6431" spans="1:5">
      <c r="A6431" s="174">
        <f t="shared" si="92"/>
        <v>6430</v>
      </c>
      <c r="B6431" s="163">
        <v>45926</v>
      </c>
      <c r="C6431" s="164">
        <v>0.47298611111111111</v>
      </c>
      <c r="D6431" s="159">
        <v>10</v>
      </c>
      <c r="E6431" s="166" t="s">
        <v>5684</v>
      </c>
    </row>
    <row r="6432" spans="1:5">
      <c r="A6432" s="174">
        <f t="shared" si="92"/>
        <v>6431</v>
      </c>
      <c r="B6432" s="163">
        <v>45926</v>
      </c>
      <c r="C6432" s="164">
        <v>0.48249999999999998</v>
      </c>
      <c r="D6432" s="159">
        <v>10</v>
      </c>
      <c r="E6432" s="166" t="s">
        <v>5685</v>
      </c>
    </row>
    <row r="6433" spans="1:5">
      <c r="A6433" s="174">
        <f t="shared" si="92"/>
        <v>6432</v>
      </c>
      <c r="B6433" s="163">
        <v>45926</v>
      </c>
      <c r="C6433" s="164">
        <v>0.4968981481481482</v>
      </c>
      <c r="D6433" s="159">
        <v>10</v>
      </c>
      <c r="E6433" s="166" t="s">
        <v>5686</v>
      </c>
    </row>
    <row r="6434" spans="1:5">
      <c r="A6434" s="174">
        <f t="shared" si="92"/>
        <v>6433</v>
      </c>
      <c r="B6434" s="163">
        <v>45926</v>
      </c>
      <c r="C6434" s="164">
        <v>0.50124999999999997</v>
      </c>
      <c r="D6434" s="159">
        <v>10</v>
      </c>
      <c r="E6434" s="166" t="s">
        <v>5687</v>
      </c>
    </row>
    <row r="6435" spans="1:5">
      <c r="A6435" s="174">
        <f t="shared" si="92"/>
        <v>6434</v>
      </c>
      <c r="B6435" s="163">
        <v>45926</v>
      </c>
      <c r="C6435" s="164">
        <v>0.50427083333333333</v>
      </c>
      <c r="D6435" s="159">
        <v>10</v>
      </c>
      <c r="E6435" s="166" t="s">
        <v>5688</v>
      </c>
    </row>
    <row r="6436" spans="1:5">
      <c r="A6436" s="174">
        <f t="shared" si="92"/>
        <v>6435</v>
      </c>
      <c r="B6436" s="163">
        <v>45926</v>
      </c>
      <c r="C6436" s="164">
        <v>0.54756944444444444</v>
      </c>
      <c r="D6436" s="159">
        <v>10</v>
      </c>
      <c r="E6436" s="166" t="s">
        <v>5689</v>
      </c>
    </row>
    <row r="6437" spans="1:5" ht="27">
      <c r="A6437" s="174">
        <f t="shared" si="92"/>
        <v>6436</v>
      </c>
      <c r="B6437" s="163">
        <v>45926</v>
      </c>
      <c r="C6437" s="164">
        <v>0.56361111111111117</v>
      </c>
      <c r="D6437" s="159">
        <v>10</v>
      </c>
      <c r="E6437" s="166" t="s">
        <v>5719</v>
      </c>
    </row>
    <row r="6438" spans="1:5">
      <c r="A6438" s="174">
        <f t="shared" si="92"/>
        <v>6437</v>
      </c>
      <c r="B6438" s="163">
        <v>45926</v>
      </c>
      <c r="C6438" s="164">
        <v>0.59923611111111108</v>
      </c>
      <c r="D6438" s="159">
        <v>10</v>
      </c>
      <c r="E6438" s="166" t="s">
        <v>5690</v>
      </c>
    </row>
    <row r="6439" spans="1:5">
      <c r="A6439" s="174">
        <f t="shared" si="92"/>
        <v>6438</v>
      </c>
      <c r="B6439" s="163">
        <v>45926</v>
      </c>
      <c r="C6439" s="164">
        <v>0.60165509259259264</v>
      </c>
      <c r="D6439" s="159">
        <v>10</v>
      </c>
      <c r="E6439" s="166" t="s">
        <v>5691</v>
      </c>
    </row>
    <row r="6440" spans="1:5">
      <c r="A6440" s="174">
        <f t="shared" si="92"/>
        <v>6439</v>
      </c>
      <c r="B6440" s="163">
        <v>45926</v>
      </c>
      <c r="C6440" s="164">
        <v>0.60929398148148151</v>
      </c>
      <c r="D6440" s="159">
        <v>10</v>
      </c>
      <c r="E6440" s="166" t="s">
        <v>5692</v>
      </c>
    </row>
    <row r="6441" spans="1:5">
      <c r="A6441" s="174">
        <f t="shared" si="92"/>
        <v>6440</v>
      </c>
      <c r="B6441" s="163">
        <v>45926</v>
      </c>
      <c r="C6441" s="164">
        <v>0.61836805555555563</v>
      </c>
      <c r="D6441" s="159">
        <v>10</v>
      </c>
      <c r="E6441" s="166" t="s">
        <v>5693</v>
      </c>
    </row>
    <row r="6442" spans="1:5">
      <c r="A6442" s="174">
        <f t="shared" si="92"/>
        <v>6441</v>
      </c>
      <c r="B6442" s="163">
        <v>45926</v>
      </c>
      <c r="C6442" s="164">
        <v>0.62528935185185186</v>
      </c>
      <c r="D6442" s="159">
        <v>10</v>
      </c>
      <c r="E6442" s="166" t="s">
        <v>5694</v>
      </c>
    </row>
    <row r="6443" spans="1:5">
      <c r="A6443" s="174">
        <f t="shared" si="92"/>
        <v>6442</v>
      </c>
      <c r="B6443" s="163">
        <v>45926</v>
      </c>
      <c r="C6443" s="164">
        <v>0.62655092592592598</v>
      </c>
      <c r="D6443" s="159">
        <v>10</v>
      </c>
      <c r="E6443" s="166" t="s">
        <v>5695</v>
      </c>
    </row>
    <row r="6444" spans="1:5">
      <c r="A6444" s="174">
        <f t="shared" si="92"/>
        <v>6443</v>
      </c>
      <c r="B6444" s="163">
        <v>45926</v>
      </c>
      <c r="C6444" s="164">
        <v>0.63721064814814821</v>
      </c>
      <c r="D6444" s="159">
        <v>10</v>
      </c>
      <c r="E6444" s="166" t="s">
        <v>5696</v>
      </c>
    </row>
    <row r="6445" spans="1:5">
      <c r="A6445" s="174">
        <f t="shared" si="92"/>
        <v>6444</v>
      </c>
      <c r="B6445" s="163">
        <v>45926</v>
      </c>
      <c r="C6445" s="164">
        <v>0.64857638888888891</v>
      </c>
      <c r="D6445" s="159">
        <v>10</v>
      </c>
      <c r="E6445" s="166" t="s">
        <v>5697</v>
      </c>
    </row>
    <row r="6446" spans="1:5">
      <c r="A6446" s="174">
        <f t="shared" si="92"/>
        <v>6445</v>
      </c>
      <c r="B6446" s="163">
        <v>45926</v>
      </c>
      <c r="C6446" s="164">
        <v>0.67287037037037034</v>
      </c>
      <c r="D6446" s="159">
        <v>10</v>
      </c>
      <c r="E6446" s="166" t="s">
        <v>5698</v>
      </c>
    </row>
    <row r="6447" spans="1:5">
      <c r="A6447" s="174">
        <f t="shared" si="92"/>
        <v>6446</v>
      </c>
      <c r="B6447" s="163">
        <v>45926</v>
      </c>
      <c r="C6447" s="164">
        <v>0.68243055555555554</v>
      </c>
      <c r="D6447" s="159">
        <v>10</v>
      </c>
      <c r="E6447" s="166" t="s">
        <v>284</v>
      </c>
    </row>
    <row r="6448" spans="1:5">
      <c r="A6448" s="174">
        <f t="shared" si="92"/>
        <v>6447</v>
      </c>
      <c r="B6448" s="163">
        <v>45926</v>
      </c>
      <c r="C6448" s="164">
        <v>0.68258101851851849</v>
      </c>
      <c r="D6448" s="159">
        <v>10</v>
      </c>
      <c r="E6448" s="166" t="s">
        <v>5578</v>
      </c>
    </row>
    <row r="6449" spans="1:5">
      <c r="A6449" s="174">
        <f t="shared" si="92"/>
        <v>6448</v>
      </c>
      <c r="B6449" s="163">
        <v>45926</v>
      </c>
      <c r="C6449" s="164">
        <v>0.69187500000000002</v>
      </c>
      <c r="D6449" s="159">
        <v>10</v>
      </c>
      <c r="E6449" s="166" t="s">
        <v>5699</v>
      </c>
    </row>
    <row r="6450" spans="1:5">
      <c r="A6450" s="174">
        <f t="shared" si="92"/>
        <v>6449</v>
      </c>
      <c r="B6450" s="163">
        <v>45926</v>
      </c>
      <c r="C6450" s="164">
        <v>0.70023148148148151</v>
      </c>
      <c r="D6450" s="159">
        <v>10</v>
      </c>
      <c r="E6450" s="166" t="s">
        <v>5700</v>
      </c>
    </row>
    <row r="6451" spans="1:5">
      <c r="A6451" s="174">
        <f t="shared" si="92"/>
        <v>6450</v>
      </c>
      <c r="B6451" s="163">
        <v>45926</v>
      </c>
      <c r="C6451" s="164">
        <v>0.71825231481481477</v>
      </c>
      <c r="D6451" s="159">
        <v>10</v>
      </c>
      <c r="E6451" s="166" t="s">
        <v>5701</v>
      </c>
    </row>
    <row r="6452" spans="1:5">
      <c r="A6452" s="174">
        <f t="shared" si="92"/>
        <v>6451</v>
      </c>
      <c r="B6452" s="163">
        <v>45926</v>
      </c>
      <c r="C6452" s="164">
        <v>0.72391203703703699</v>
      </c>
      <c r="D6452" s="159">
        <v>10</v>
      </c>
      <c r="E6452" s="166" t="s">
        <v>5702</v>
      </c>
    </row>
    <row r="6453" spans="1:5">
      <c r="A6453" s="174">
        <f t="shared" ref="A6453:A6516" si="93">ROW()-1</f>
        <v>6452</v>
      </c>
      <c r="B6453" s="163">
        <v>45926</v>
      </c>
      <c r="C6453" s="164">
        <v>0.72681712962962963</v>
      </c>
      <c r="D6453" s="159">
        <v>10</v>
      </c>
      <c r="E6453" s="166" t="s">
        <v>1579</v>
      </c>
    </row>
    <row r="6454" spans="1:5">
      <c r="A6454" s="174">
        <f t="shared" si="93"/>
        <v>6453</v>
      </c>
      <c r="B6454" s="163">
        <v>45926</v>
      </c>
      <c r="C6454" s="164">
        <v>0.73016203703703697</v>
      </c>
      <c r="D6454" s="159">
        <v>10</v>
      </c>
      <c r="E6454" s="166" t="s">
        <v>5703</v>
      </c>
    </row>
    <row r="6455" spans="1:5">
      <c r="A6455" s="174">
        <f t="shared" si="93"/>
        <v>6454</v>
      </c>
      <c r="B6455" s="163">
        <v>45926</v>
      </c>
      <c r="C6455" s="164">
        <v>0.73188657407407398</v>
      </c>
      <c r="D6455" s="159">
        <v>10</v>
      </c>
      <c r="E6455" s="166" t="s">
        <v>5704</v>
      </c>
    </row>
    <row r="6456" spans="1:5">
      <c r="A6456" s="174">
        <f t="shared" si="93"/>
        <v>6455</v>
      </c>
      <c r="B6456" s="163">
        <v>45926</v>
      </c>
      <c r="C6456" s="164">
        <v>0.73502314814814806</v>
      </c>
      <c r="D6456" s="159">
        <v>10</v>
      </c>
      <c r="E6456" s="166" t="s">
        <v>5705</v>
      </c>
    </row>
    <row r="6457" spans="1:5">
      <c r="A6457" s="174">
        <f t="shared" si="93"/>
        <v>6456</v>
      </c>
      <c r="B6457" s="163">
        <v>45926</v>
      </c>
      <c r="C6457" s="164">
        <v>0.73572916666666666</v>
      </c>
      <c r="D6457" s="159">
        <v>10</v>
      </c>
      <c r="E6457" s="166" t="s">
        <v>5706</v>
      </c>
    </row>
    <row r="6458" spans="1:5">
      <c r="A6458" s="174">
        <f t="shared" si="93"/>
        <v>6457</v>
      </c>
      <c r="B6458" s="163">
        <v>45926</v>
      </c>
      <c r="C6458" s="164">
        <v>0.73824074074074064</v>
      </c>
      <c r="D6458" s="159">
        <v>10</v>
      </c>
      <c r="E6458" s="166" t="s">
        <v>5707</v>
      </c>
    </row>
    <row r="6459" spans="1:5">
      <c r="A6459" s="174">
        <f t="shared" si="93"/>
        <v>6458</v>
      </c>
      <c r="B6459" s="163">
        <v>45926</v>
      </c>
      <c r="C6459" s="164">
        <v>0.7612268518518519</v>
      </c>
      <c r="D6459" s="159">
        <v>10</v>
      </c>
      <c r="E6459" s="166" t="s">
        <v>5708</v>
      </c>
    </row>
    <row r="6460" spans="1:5">
      <c r="A6460" s="174">
        <f t="shared" si="93"/>
        <v>6459</v>
      </c>
      <c r="B6460" s="163">
        <v>45926</v>
      </c>
      <c r="C6460" s="164">
        <v>0.78028935185185189</v>
      </c>
      <c r="D6460" s="159">
        <v>10</v>
      </c>
      <c r="E6460" s="166" t="s">
        <v>132</v>
      </c>
    </row>
    <row r="6461" spans="1:5">
      <c r="A6461" s="174">
        <f t="shared" si="93"/>
        <v>6460</v>
      </c>
      <c r="B6461" s="163">
        <v>45926</v>
      </c>
      <c r="C6461" s="164">
        <v>0.88458333333333339</v>
      </c>
      <c r="D6461" s="159">
        <v>10</v>
      </c>
      <c r="E6461" s="166" t="s">
        <v>5709</v>
      </c>
    </row>
    <row r="6462" spans="1:5" ht="27">
      <c r="A6462" s="174">
        <f t="shared" si="93"/>
        <v>6461</v>
      </c>
      <c r="B6462" s="163">
        <v>45926</v>
      </c>
      <c r="C6462" s="164">
        <v>0.89667824074074076</v>
      </c>
      <c r="D6462" s="159">
        <v>10</v>
      </c>
      <c r="E6462" s="166" t="s">
        <v>5720</v>
      </c>
    </row>
    <row r="6463" spans="1:5">
      <c r="A6463" s="174">
        <f t="shared" si="93"/>
        <v>6462</v>
      </c>
      <c r="B6463" s="163">
        <v>45927</v>
      </c>
      <c r="C6463" s="164">
        <v>0.41486111111111112</v>
      </c>
      <c r="D6463" s="159">
        <v>10</v>
      </c>
      <c r="E6463" s="166" t="s">
        <v>5710</v>
      </c>
    </row>
    <row r="6464" spans="1:5">
      <c r="A6464" s="174">
        <f t="shared" si="93"/>
        <v>6463</v>
      </c>
      <c r="B6464" s="163">
        <v>45927</v>
      </c>
      <c r="C6464" s="164">
        <v>0.41540509259259256</v>
      </c>
      <c r="D6464" s="159">
        <v>10</v>
      </c>
      <c r="E6464" s="166" t="s">
        <v>5711</v>
      </c>
    </row>
    <row r="6465" spans="1:5">
      <c r="A6465" s="174">
        <f t="shared" si="93"/>
        <v>6464</v>
      </c>
      <c r="B6465" s="163">
        <v>45927</v>
      </c>
      <c r="C6465" s="164">
        <v>0.43940972222222219</v>
      </c>
      <c r="D6465" s="159">
        <v>10</v>
      </c>
      <c r="E6465" s="166" t="s">
        <v>5712</v>
      </c>
    </row>
    <row r="6466" spans="1:5">
      <c r="A6466" s="174">
        <f t="shared" si="93"/>
        <v>6465</v>
      </c>
      <c r="B6466" s="163">
        <v>45927</v>
      </c>
      <c r="C6466" s="164">
        <v>0.47531250000000003</v>
      </c>
      <c r="D6466" s="159">
        <v>10</v>
      </c>
      <c r="E6466" s="166" t="s">
        <v>4881</v>
      </c>
    </row>
    <row r="6467" spans="1:5">
      <c r="A6467" s="174">
        <f t="shared" si="93"/>
        <v>6466</v>
      </c>
      <c r="B6467" s="163">
        <v>45927</v>
      </c>
      <c r="C6467" s="164">
        <v>0.497037037037037</v>
      </c>
      <c r="D6467" s="159">
        <v>10</v>
      </c>
      <c r="E6467" s="166" t="s">
        <v>132</v>
      </c>
    </row>
    <row r="6468" spans="1:5">
      <c r="A6468" s="174">
        <f t="shared" si="93"/>
        <v>6467</v>
      </c>
      <c r="B6468" s="163">
        <v>45927</v>
      </c>
      <c r="C6468" s="164">
        <v>0.50627314814814817</v>
      </c>
      <c r="D6468" s="159">
        <v>10</v>
      </c>
      <c r="E6468" s="166" t="s">
        <v>5713</v>
      </c>
    </row>
    <row r="6469" spans="1:5">
      <c r="A6469" s="174">
        <f t="shared" si="93"/>
        <v>6468</v>
      </c>
      <c r="B6469" s="163">
        <v>45927</v>
      </c>
      <c r="C6469" s="164">
        <v>0.51277777777777778</v>
      </c>
      <c r="D6469" s="159">
        <v>10</v>
      </c>
      <c r="E6469" s="166" t="s">
        <v>5714</v>
      </c>
    </row>
    <row r="6470" spans="1:5">
      <c r="A6470" s="174">
        <f t="shared" si="93"/>
        <v>6469</v>
      </c>
      <c r="B6470" s="163">
        <v>45927</v>
      </c>
      <c r="C6470" s="164">
        <v>0.57516203703703705</v>
      </c>
      <c r="D6470" s="159">
        <v>10</v>
      </c>
      <c r="E6470" s="166" t="s">
        <v>313</v>
      </c>
    </row>
    <row r="6471" spans="1:5">
      <c r="A6471" s="174">
        <f t="shared" si="93"/>
        <v>6470</v>
      </c>
      <c r="B6471" s="163">
        <v>45927</v>
      </c>
      <c r="C6471" s="164">
        <v>0.61232638888888891</v>
      </c>
      <c r="D6471" s="159">
        <v>10</v>
      </c>
      <c r="E6471" s="166" t="s">
        <v>5715</v>
      </c>
    </row>
    <row r="6472" spans="1:5">
      <c r="A6472" s="174">
        <f t="shared" si="93"/>
        <v>6471</v>
      </c>
      <c r="B6472" s="163">
        <v>45927</v>
      </c>
      <c r="C6472" s="164">
        <v>0.63807870370370368</v>
      </c>
      <c r="D6472" s="159">
        <v>10</v>
      </c>
      <c r="E6472" s="166" t="s">
        <v>5716</v>
      </c>
    </row>
    <row r="6473" spans="1:5">
      <c r="A6473" s="174">
        <f t="shared" si="93"/>
        <v>6472</v>
      </c>
      <c r="B6473" s="163">
        <v>45927</v>
      </c>
      <c r="C6473" s="164">
        <v>0.65894675925925927</v>
      </c>
      <c r="D6473" s="159">
        <v>10</v>
      </c>
      <c r="E6473" s="166" t="s">
        <v>5717</v>
      </c>
    </row>
    <row r="6474" spans="1:5">
      <c r="A6474" s="174">
        <f t="shared" si="93"/>
        <v>6473</v>
      </c>
      <c r="B6474" s="163">
        <v>45927</v>
      </c>
      <c r="C6474" s="164">
        <v>0.69418981481481479</v>
      </c>
      <c r="D6474" s="159">
        <v>10</v>
      </c>
      <c r="E6474" s="166" t="s">
        <v>5718</v>
      </c>
    </row>
    <row r="6475" spans="1:5">
      <c r="A6475" s="174">
        <f t="shared" si="93"/>
        <v>6474</v>
      </c>
      <c r="B6475" s="163">
        <v>45929</v>
      </c>
      <c r="C6475" s="164">
        <v>0.38263888888888892</v>
      </c>
      <c r="D6475" s="159">
        <v>10</v>
      </c>
      <c r="E6475" s="166" t="s">
        <v>5721</v>
      </c>
    </row>
    <row r="6476" spans="1:5">
      <c r="A6476" s="174">
        <f t="shared" si="93"/>
        <v>6475</v>
      </c>
      <c r="B6476" s="163">
        <v>45929</v>
      </c>
      <c r="C6476" s="164">
        <v>0.38831018518518517</v>
      </c>
      <c r="D6476" s="159">
        <v>10</v>
      </c>
      <c r="E6476" s="166" t="s">
        <v>443</v>
      </c>
    </row>
    <row r="6477" spans="1:5">
      <c r="A6477" s="174">
        <f t="shared" si="93"/>
        <v>6476</v>
      </c>
      <c r="B6477" s="163">
        <v>45929</v>
      </c>
      <c r="C6477" s="164">
        <v>0.40265046296296297</v>
      </c>
      <c r="D6477" s="159">
        <v>10</v>
      </c>
      <c r="E6477" s="166" t="s">
        <v>5722</v>
      </c>
    </row>
    <row r="6478" spans="1:5">
      <c r="A6478" s="174">
        <f t="shared" si="93"/>
        <v>6477</v>
      </c>
      <c r="B6478" s="163">
        <v>45929</v>
      </c>
      <c r="C6478" s="164">
        <v>0.4069444444444445</v>
      </c>
      <c r="D6478" s="159">
        <v>10</v>
      </c>
      <c r="E6478" s="166" t="s">
        <v>1668</v>
      </c>
    </row>
    <row r="6479" spans="1:5">
      <c r="A6479" s="174">
        <f t="shared" si="93"/>
        <v>6478</v>
      </c>
      <c r="B6479" s="163">
        <v>45929</v>
      </c>
      <c r="C6479" s="164">
        <v>0.40870370370370374</v>
      </c>
      <c r="D6479" s="159">
        <v>10</v>
      </c>
      <c r="E6479" s="166" t="s">
        <v>5723</v>
      </c>
    </row>
    <row r="6480" spans="1:5">
      <c r="A6480" s="174">
        <f t="shared" si="93"/>
        <v>6479</v>
      </c>
      <c r="B6480" s="163">
        <v>45929</v>
      </c>
      <c r="C6480" s="164">
        <v>0.41658564814814819</v>
      </c>
      <c r="D6480" s="159">
        <v>10</v>
      </c>
      <c r="E6480" s="166" t="s">
        <v>5724</v>
      </c>
    </row>
    <row r="6481" spans="1:5" ht="67.5">
      <c r="A6481" s="174">
        <f t="shared" si="93"/>
        <v>6480</v>
      </c>
      <c r="B6481" s="163">
        <v>45929</v>
      </c>
      <c r="C6481" s="164">
        <v>0.42454861111111114</v>
      </c>
      <c r="D6481" s="159">
        <v>10</v>
      </c>
      <c r="E6481" s="166" t="s">
        <v>5754</v>
      </c>
    </row>
    <row r="6482" spans="1:5">
      <c r="A6482" s="174">
        <f t="shared" si="93"/>
        <v>6481</v>
      </c>
      <c r="B6482" s="163">
        <v>45929</v>
      </c>
      <c r="C6482" s="164">
        <v>0.44343749999999998</v>
      </c>
      <c r="D6482" s="159">
        <v>10</v>
      </c>
      <c r="E6482" s="166" t="s">
        <v>5725</v>
      </c>
    </row>
    <row r="6483" spans="1:5">
      <c r="A6483" s="174">
        <f t="shared" si="93"/>
        <v>6482</v>
      </c>
      <c r="B6483" s="163">
        <v>45929</v>
      </c>
      <c r="C6483" s="164">
        <v>0.45230324074074074</v>
      </c>
      <c r="D6483" s="159">
        <v>10</v>
      </c>
      <c r="E6483" s="166" t="s">
        <v>5726</v>
      </c>
    </row>
    <row r="6484" spans="1:5">
      <c r="A6484" s="174">
        <f t="shared" si="93"/>
        <v>6483</v>
      </c>
      <c r="B6484" s="163">
        <v>45929</v>
      </c>
      <c r="C6484" s="164">
        <v>0.45695601851851847</v>
      </c>
      <c r="D6484" s="159">
        <v>10</v>
      </c>
      <c r="E6484" s="166" t="s">
        <v>5727</v>
      </c>
    </row>
    <row r="6485" spans="1:5">
      <c r="A6485" s="174">
        <f t="shared" si="93"/>
        <v>6484</v>
      </c>
      <c r="B6485" s="163">
        <v>45929</v>
      </c>
      <c r="C6485" s="164">
        <v>0.45825231481481482</v>
      </c>
      <c r="D6485" s="159">
        <v>10</v>
      </c>
      <c r="E6485" s="166" t="s">
        <v>5728</v>
      </c>
    </row>
    <row r="6486" spans="1:5">
      <c r="A6486" s="174">
        <f t="shared" si="93"/>
        <v>6485</v>
      </c>
      <c r="B6486" s="163">
        <v>45929</v>
      </c>
      <c r="C6486" s="164">
        <v>0.47150462962962963</v>
      </c>
      <c r="D6486" s="159">
        <v>10</v>
      </c>
      <c r="E6486" s="166" t="s">
        <v>5729</v>
      </c>
    </row>
    <row r="6487" spans="1:5">
      <c r="A6487" s="174">
        <f t="shared" si="93"/>
        <v>6486</v>
      </c>
      <c r="B6487" s="163">
        <v>45929</v>
      </c>
      <c r="C6487" s="164">
        <v>0.47769675925925931</v>
      </c>
      <c r="D6487" s="159">
        <v>10</v>
      </c>
      <c r="E6487" s="166" t="s">
        <v>5730</v>
      </c>
    </row>
    <row r="6488" spans="1:5">
      <c r="A6488" s="174">
        <f t="shared" si="93"/>
        <v>6487</v>
      </c>
      <c r="B6488" s="163">
        <v>45929</v>
      </c>
      <c r="C6488" s="164">
        <v>0.47873842592592591</v>
      </c>
      <c r="D6488" s="159">
        <v>10</v>
      </c>
      <c r="E6488" s="166" t="s">
        <v>5731</v>
      </c>
    </row>
    <row r="6489" spans="1:5">
      <c r="A6489" s="174">
        <f t="shared" si="93"/>
        <v>6488</v>
      </c>
      <c r="B6489" s="163">
        <v>45929</v>
      </c>
      <c r="C6489" s="164">
        <v>0.48480324074074077</v>
      </c>
      <c r="D6489" s="159">
        <v>10</v>
      </c>
      <c r="E6489" s="166" t="s">
        <v>5732</v>
      </c>
    </row>
    <row r="6490" spans="1:5">
      <c r="A6490" s="174">
        <f t="shared" si="93"/>
        <v>6489</v>
      </c>
      <c r="B6490" s="163">
        <v>45929</v>
      </c>
      <c r="C6490" s="164">
        <v>0.4880902777777778</v>
      </c>
      <c r="D6490" s="159">
        <v>10</v>
      </c>
      <c r="E6490" s="166" t="s">
        <v>5733</v>
      </c>
    </row>
    <row r="6491" spans="1:5" ht="27">
      <c r="A6491" s="174">
        <f t="shared" si="93"/>
        <v>6490</v>
      </c>
      <c r="B6491" s="163">
        <v>45929</v>
      </c>
      <c r="C6491" s="164">
        <v>0.50259259259259259</v>
      </c>
      <c r="D6491" s="159">
        <v>10</v>
      </c>
      <c r="E6491" s="166" t="s">
        <v>5734</v>
      </c>
    </row>
    <row r="6492" spans="1:5">
      <c r="A6492" s="174">
        <f t="shared" si="93"/>
        <v>6491</v>
      </c>
      <c r="B6492" s="163">
        <v>45929</v>
      </c>
      <c r="C6492" s="164">
        <v>0.55813657407407413</v>
      </c>
      <c r="D6492" s="159">
        <v>7</v>
      </c>
      <c r="E6492" s="166" t="s">
        <v>5735</v>
      </c>
    </row>
    <row r="6493" spans="1:5">
      <c r="A6493" s="174">
        <f t="shared" si="93"/>
        <v>6492</v>
      </c>
      <c r="B6493" s="163">
        <v>45929</v>
      </c>
      <c r="C6493" s="164">
        <v>0.58401620370370366</v>
      </c>
      <c r="D6493" s="159">
        <v>10</v>
      </c>
      <c r="E6493" s="166" t="s">
        <v>5736</v>
      </c>
    </row>
    <row r="6494" spans="1:5">
      <c r="A6494" s="174">
        <f t="shared" si="93"/>
        <v>6493</v>
      </c>
      <c r="B6494" s="163">
        <v>45929</v>
      </c>
      <c r="C6494" s="164">
        <v>0.60406250000000006</v>
      </c>
      <c r="D6494" s="159">
        <v>10</v>
      </c>
      <c r="E6494" s="166" t="s">
        <v>5737</v>
      </c>
    </row>
    <row r="6495" spans="1:5">
      <c r="A6495" s="174">
        <f t="shared" si="93"/>
        <v>6494</v>
      </c>
      <c r="B6495" s="163">
        <v>45929</v>
      </c>
      <c r="C6495" s="164">
        <v>0.60832175925925924</v>
      </c>
      <c r="D6495" s="159">
        <v>10</v>
      </c>
      <c r="E6495" s="166" t="s">
        <v>5738</v>
      </c>
    </row>
    <row r="6496" spans="1:5" ht="40.5">
      <c r="A6496" s="174">
        <f t="shared" si="93"/>
        <v>6495</v>
      </c>
      <c r="B6496" s="163">
        <v>45929</v>
      </c>
      <c r="C6496" s="164">
        <v>0.62982638888888887</v>
      </c>
      <c r="D6496" s="159">
        <v>10</v>
      </c>
      <c r="E6496" s="166" t="s">
        <v>5739</v>
      </c>
    </row>
    <row r="6497" spans="1:5">
      <c r="A6497" s="174">
        <f t="shared" si="93"/>
        <v>6496</v>
      </c>
      <c r="B6497" s="163">
        <v>45929</v>
      </c>
      <c r="C6497" s="164">
        <v>0.63432870370370364</v>
      </c>
      <c r="D6497" s="159">
        <v>10</v>
      </c>
      <c r="E6497" s="166" t="s">
        <v>5740</v>
      </c>
    </row>
    <row r="6498" spans="1:5">
      <c r="A6498" s="174">
        <f t="shared" si="93"/>
        <v>6497</v>
      </c>
      <c r="B6498" s="163">
        <v>45929</v>
      </c>
      <c r="C6498" s="164">
        <v>0.64041666666666663</v>
      </c>
      <c r="D6498" s="159">
        <v>10</v>
      </c>
      <c r="E6498" s="166" t="s">
        <v>5741</v>
      </c>
    </row>
    <row r="6499" spans="1:5">
      <c r="A6499" s="174">
        <f t="shared" si="93"/>
        <v>6498</v>
      </c>
      <c r="B6499" s="163">
        <v>45929</v>
      </c>
      <c r="C6499" s="164">
        <v>0.65568287037037043</v>
      </c>
      <c r="D6499" s="159">
        <v>10</v>
      </c>
      <c r="E6499" s="166" t="s">
        <v>5742</v>
      </c>
    </row>
    <row r="6500" spans="1:5">
      <c r="A6500" s="174">
        <f t="shared" si="93"/>
        <v>6499</v>
      </c>
      <c r="B6500" s="163">
        <v>45929</v>
      </c>
      <c r="C6500" s="164">
        <v>0.66454861111111108</v>
      </c>
      <c r="D6500" s="159">
        <v>10</v>
      </c>
      <c r="E6500" s="166" t="s">
        <v>5743</v>
      </c>
    </row>
    <row r="6501" spans="1:5">
      <c r="A6501" s="174">
        <f t="shared" si="93"/>
        <v>6500</v>
      </c>
      <c r="B6501" s="163">
        <v>45929</v>
      </c>
      <c r="C6501" s="164">
        <v>0.67010416666666661</v>
      </c>
      <c r="D6501" s="159">
        <v>10</v>
      </c>
      <c r="E6501" s="166" t="s">
        <v>1579</v>
      </c>
    </row>
    <row r="6502" spans="1:5">
      <c r="A6502" s="174">
        <f t="shared" si="93"/>
        <v>6501</v>
      </c>
      <c r="B6502" s="163">
        <v>45929</v>
      </c>
      <c r="C6502" s="164">
        <v>0.67577546296296298</v>
      </c>
      <c r="D6502" s="159">
        <v>10</v>
      </c>
      <c r="E6502" s="166" t="s">
        <v>5744</v>
      </c>
    </row>
    <row r="6503" spans="1:5">
      <c r="A6503" s="174">
        <f t="shared" si="93"/>
        <v>6502</v>
      </c>
      <c r="B6503" s="163">
        <v>45929</v>
      </c>
      <c r="C6503" s="164">
        <v>0.68396990740740737</v>
      </c>
      <c r="D6503" s="159">
        <v>10</v>
      </c>
      <c r="E6503" s="166" t="s">
        <v>5745</v>
      </c>
    </row>
    <row r="6504" spans="1:5">
      <c r="A6504" s="174">
        <f t="shared" si="93"/>
        <v>6503</v>
      </c>
      <c r="B6504" s="163">
        <v>45929</v>
      </c>
      <c r="C6504" s="164">
        <v>0.68422453703703701</v>
      </c>
      <c r="D6504" s="159">
        <v>10</v>
      </c>
      <c r="E6504" s="166" t="s">
        <v>5746</v>
      </c>
    </row>
    <row r="6505" spans="1:5">
      <c r="A6505" s="174">
        <f t="shared" si="93"/>
        <v>6504</v>
      </c>
      <c r="B6505" s="163">
        <v>45929</v>
      </c>
      <c r="C6505" s="164">
        <v>0.68887731481481485</v>
      </c>
      <c r="D6505" s="159">
        <v>10</v>
      </c>
      <c r="E6505" s="166" t="s">
        <v>5747</v>
      </c>
    </row>
    <row r="6506" spans="1:5">
      <c r="A6506" s="174">
        <f t="shared" si="93"/>
        <v>6505</v>
      </c>
      <c r="B6506" s="163">
        <v>45929</v>
      </c>
      <c r="C6506" s="164">
        <v>0.69362268518518511</v>
      </c>
      <c r="D6506" s="159">
        <v>10</v>
      </c>
      <c r="E6506" s="166" t="s">
        <v>3015</v>
      </c>
    </row>
    <row r="6507" spans="1:5">
      <c r="A6507" s="174">
        <f t="shared" si="93"/>
        <v>6506</v>
      </c>
      <c r="B6507" s="163">
        <v>45929</v>
      </c>
      <c r="C6507" s="164">
        <v>0.70251157407407405</v>
      </c>
      <c r="D6507" s="159">
        <v>10</v>
      </c>
      <c r="E6507" s="166" t="s">
        <v>5748</v>
      </c>
    </row>
    <row r="6508" spans="1:5">
      <c r="A6508" s="174">
        <f t="shared" si="93"/>
        <v>6507</v>
      </c>
      <c r="B6508" s="163">
        <v>45929</v>
      </c>
      <c r="C6508" s="164">
        <v>0.70725694444444442</v>
      </c>
      <c r="D6508" s="159">
        <v>10</v>
      </c>
      <c r="E6508" s="166" t="s">
        <v>5749</v>
      </c>
    </row>
    <row r="6509" spans="1:5">
      <c r="A6509" s="174">
        <f t="shared" si="93"/>
        <v>6508</v>
      </c>
      <c r="B6509" s="163">
        <v>45929</v>
      </c>
      <c r="C6509" s="164">
        <v>0.71287037037037038</v>
      </c>
      <c r="D6509" s="159">
        <v>10</v>
      </c>
      <c r="E6509" s="166" t="s">
        <v>5750</v>
      </c>
    </row>
    <row r="6510" spans="1:5">
      <c r="A6510" s="174">
        <f t="shared" si="93"/>
        <v>6509</v>
      </c>
      <c r="B6510" s="163">
        <v>45929</v>
      </c>
      <c r="C6510" s="164">
        <v>0.72457175925925921</v>
      </c>
      <c r="D6510" s="159">
        <v>10</v>
      </c>
      <c r="E6510" s="166" t="s">
        <v>679</v>
      </c>
    </row>
    <row r="6511" spans="1:5">
      <c r="A6511" s="174">
        <f t="shared" si="93"/>
        <v>6510</v>
      </c>
      <c r="B6511" s="163">
        <v>45929</v>
      </c>
      <c r="C6511" s="164">
        <v>0.74145833333333344</v>
      </c>
      <c r="D6511" s="159">
        <v>10</v>
      </c>
      <c r="E6511" s="166" t="s">
        <v>5755</v>
      </c>
    </row>
    <row r="6512" spans="1:5">
      <c r="A6512" s="174">
        <f t="shared" si="93"/>
        <v>6511</v>
      </c>
      <c r="B6512" s="163">
        <v>45929</v>
      </c>
      <c r="C6512" s="164">
        <v>0.76453703703703713</v>
      </c>
      <c r="D6512" s="159">
        <v>10</v>
      </c>
      <c r="E6512" s="166" t="s">
        <v>5751</v>
      </c>
    </row>
    <row r="6513" spans="1:5">
      <c r="A6513" s="174">
        <f t="shared" si="93"/>
        <v>6512</v>
      </c>
      <c r="B6513" s="163">
        <v>45929</v>
      </c>
      <c r="C6513" s="164">
        <v>0.81672453703703696</v>
      </c>
      <c r="D6513" s="159">
        <v>10</v>
      </c>
      <c r="E6513" s="166" t="s">
        <v>5752</v>
      </c>
    </row>
    <row r="6514" spans="1:5">
      <c r="A6514" s="174">
        <f t="shared" si="93"/>
        <v>6513</v>
      </c>
      <c r="B6514" s="163">
        <v>45929</v>
      </c>
      <c r="C6514" s="164">
        <v>0.91016203703703702</v>
      </c>
      <c r="D6514" s="159">
        <v>10</v>
      </c>
      <c r="E6514" s="166" t="s">
        <v>5753</v>
      </c>
    </row>
    <row r="6515" spans="1:5">
      <c r="A6515" s="174">
        <f t="shared" si="93"/>
        <v>6514</v>
      </c>
      <c r="B6515" s="163">
        <v>45930</v>
      </c>
      <c r="C6515" s="164">
        <v>0.4067013888888889</v>
      </c>
      <c r="D6515" s="159">
        <v>10</v>
      </c>
      <c r="E6515" s="166" t="s">
        <v>5756</v>
      </c>
    </row>
    <row r="6516" spans="1:5">
      <c r="A6516" s="174">
        <f t="shared" si="93"/>
        <v>6515</v>
      </c>
      <c r="B6516" s="163">
        <v>45930</v>
      </c>
      <c r="C6516" s="164">
        <v>0.42572916666666666</v>
      </c>
      <c r="D6516" s="159">
        <v>10</v>
      </c>
      <c r="E6516" s="166" t="s">
        <v>5757</v>
      </c>
    </row>
    <row r="6517" spans="1:5" ht="27">
      <c r="A6517" s="174">
        <f t="shared" ref="A6517:A6580" si="94">ROW()-1</f>
        <v>6516</v>
      </c>
      <c r="B6517" s="163">
        <v>45930</v>
      </c>
      <c r="C6517" s="164">
        <v>0.43429398148148146</v>
      </c>
      <c r="D6517" s="159">
        <v>10</v>
      </c>
      <c r="E6517" s="166" t="s">
        <v>5774</v>
      </c>
    </row>
    <row r="6518" spans="1:5">
      <c r="A6518" s="174">
        <f t="shared" si="94"/>
        <v>6517</v>
      </c>
      <c r="B6518" s="163">
        <v>45930</v>
      </c>
      <c r="C6518" s="164">
        <v>0.45208333333333334</v>
      </c>
      <c r="D6518" s="159">
        <v>10</v>
      </c>
      <c r="E6518" s="166" t="s">
        <v>5758</v>
      </c>
    </row>
    <row r="6519" spans="1:5">
      <c r="A6519" s="174">
        <f t="shared" si="94"/>
        <v>6518</v>
      </c>
      <c r="B6519" s="163">
        <v>45930</v>
      </c>
      <c r="C6519" s="164">
        <v>0.47995370370370366</v>
      </c>
      <c r="D6519" s="159">
        <v>10</v>
      </c>
      <c r="E6519" s="166" t="s">
        <v>4804</v>
      </c>
    </row>
    <row r="6520" spans="1:5">
      <c r="A6520" s="174">
        <f t="shared" si="94"/>
        <v>6519</v>
      </c>
      <c r="B6520" s="163">
        <v>45930</v>
      </c>
      <c r="C6520" s="164">
        <v>0.50062499999999999</v>
      </c>
      <c r="D6520" s="159">
        <v>10</v>
      </c>
      <c r="E6520" s="166" t="s">
        <v>5759</v>
      </c>
    </row>
    <row r="6521" spans="1:5">
      <c r="A6521" s="174">
        <f t="shared" si="94"/>
        <v>6520</v>
      </c>
      <c r="B6521" s="163">
        <v>45930</v>
      </c>
      <c r="C6521" s="164">
        <v>0.54896990740740736</v>
      </c>
      <c r="D6521" s="159">
        <v>10</v>
      </c>
      <c r="E6521" s="166" t="s">
        <v>5760</v>
      </c>
    </row>
    <row r="6522" spans="1:5">
      <c r="A6522" s="174">
        <f t="shared" si="94"/>
        <v>6521</v>
      </c>
      <c r="B6522" s="163">
        <v>45930</v>
      </c>
      <c r="C6522" s="164">
        <v>0.57010416666666663</v>
      </c>
      <c r="D6522" s="159">
        <v>10</v>
      </c>
      <c r="E6522" s="166" t="s">
        <v>3227</v>
      </c>
    </row>
    <row r="6523" spans="1:5">
      <c r="A6523" s="174">
        <f t="shared" si="94"/>
        <v>6522</v>
      </c>
      <c r="B6523" s="163">
        <v>45930</v>
      </c>
      <c r="C6523" s="164">
        <v>0.58813657407407405</v>
      </c>
      <c r="D6523" s="159">
        <v>10</v>
      </c>
      <c r="E6523" s="166" t="s">
        <v>5761</v>
      </c>
    </row>
    <row r="6524" spans="1:5">
      <c r="A6524" s="174">
        <f t="shared" si="94"/>
        <v>6523</v>
      </c>
      <c r="B6524" s="163">
        <v>45930</v>
      </c>
      <c r="C6524" s="164">
        <v>0.61085648148148153</v>
      </c>
      <c r="D6524" s="159">
        <v>10</v>
      </c>
      <c r="E6524" s="166" t="s">
        <v>5762</v>
      </c>
    </row>
    <row r="6525" spans="1:5">
      <c r="A6525" s="174">
        <f t="shared" si="94"/>
        <v>6524</v>
      </c>
      <c r="B6525" s="163">
        <v>45930</v>
      </c>
      <c r="C6525" s="164">
        <v>0.6118865740740741</v>
      </c>
      <c r="D6525" s="159">
        <v>10</v>
      </c>
      <c r="E6525" s="166" t="s">
        <v>5763</v>
      </c>
    </row>
    <row r="6526" spans="1:5">
      <c r="A6526" s="174">
        <f t="shared" si="94"/>
        <v>6525</v>
      </c>
      <c r="B6526" s="163">
        <v>45930</v>
      </c>
      <c r="C6526" s="164">
        <v>0.61516203703703709</v>
      </c>
      <c r="D6526" s="159">
        <v>10</v>
      </c>
      <c r="E6526" s="166" t="s">
        <v>5764</v>
      </c>
    </row>
    <row r="6527" spans="1:5">
      <c r="A6527" s="174">
        <f t="shared" si="94"/>
        <v>6526</v>
      </c>
      <c r="B6527" s="163">
        <v>45930</v>
      </c>
      <c r="C6527" s="164">
        <v>0.61753472222222217</v>
      </c>
      <c r="D6527" s="159">
        <v>10</v>
      </c>
      <c r="E6527" s="166" t="s">
        <v>500</v>
      </c>
    </row>
    <row r="6528" spans="1:5">
      <c r="A6528" s="174">
        <f t="shared" si="94"/>
        <v>6527</v>
      </c>
      <c r="B6528" s="163">
        <v>45930</v>
      </c>
      <c r="C6528" s="164">
        <v>0.62258101851851855</v>
      </c>
      <c r="D6528" s="159">
        <v>10</v>
      </c>
      <c r="E6528" s="166" t="s">
        <v>5765</v>
      </c>
    </row>
    <row r="6529" spans="1:5">
      <c r="A6529" s="174">
        <f t="shared" si="94"/>
        <v>6528</v>
      </c>
      <c r="B6529" s="163">
        <v>45930</v>
      </c>
      <c r="C6529" s="164">
        <v>0.63688657407407401</v>
      </c>
      <c r="D6529" s="159">
        <v>10</v>
      </c>
      <c r="E6529" s="166" t="s">
        <v>5766</v>
      </c>
    </row>
    <row r="6530" spans="1:5">
      <c r="A6530" s="174">
        <f t="shared" si="94"/>
        <v>6529</v>
      </c>
      <c r="B6530" s="163">
        <v>45930</v>
      </c>
      <c r="C6530" s="164">
        <v>0.63774305555555555</v>
      </c>
      <c r="D6530" s="159">
        <v>10</v>
      </c>
      <c r="E6530" s="166" t="s">
        <v>5767</v>
      </c>
    </row>
    <row r="6531" spans="1:5">
      <c r="A6531" s="174">
        <f t="shared" si="94"/>
        <v>6530</v>
      </c>
      <c r="B6531" s="163">
        <v>45930</v>
      </c>
      <c r="C6531" s="164">
        <v>0.68349537037037045</v>
      </c>
      <c r="D6531" s="159">
        <v>10</v>
      </c>
      <c r="E6531" s="166" t="s">
        <v>5768</v>
      </c>
    </row>
    <row r="6532" spans="1:5">
      <c r="A6532" s="174">
        <f t="shared" si="94"/>
        <v>6531</v>
      </c>
      <c r="B6532" s="163">
        <v>45930</v>
      </c>
      <c r="C6532" s="164">
        <v>0.68660879629629623</v>
      </c>
      <c r="D6532" s="159">
        <v>10</v>
      </c>
      <c r="E6532" s="166" t="s">
        <v>5769</v>
      </c>
    </row>
    <row r="6533" spans="1:5">
      <c r="A6533" s="174">
        <f t="shared" si="94"/>
        <v>6532</v>
      </c>
      <c r="B6533" s="163">
        <v>45930</v>
      </c>
      <c r="C6533" s="164">
        <v>0.69335648148148143</v>
      </c>
      <c r="D6533" s="159">
        <v>10</v>
      </c>
      <c r="E6533" s="166" t="s">
        <v>5775</v>
      </c>
    </row>
    <row r="6534" spans="1:5">
      <c r="A6534" s="174">
        <f t="shared" si="94"/>
        <v>6533</v>
      </c>
      <c r="B6534" s="163">
        <v>45930</v>
      </c>
      <c r="C6534" s="164">
        <v>0.70138888888888884</v>
      </c>
      <c r="D6534" s="159">
        <v>10</v>
      </c>
      <c r="E6534" s="166" t="s">
        <v>5770</v>
      </c>
    </row>
    <row r="6535" spans="1:5">
      <c r="A6535" s="174">
        <f t="shared" si="94"/>
        <v>6534</v>
      </c>
      <c r="B6535" s="163">
        <v>45930</v>
      </c>
      <c r="C6535" s="164">
        <v>0.72578703703703706</v>
      </c>
      <c r="D6535" s="159">
        <v>10</v>
      </c>
      <c r="E6535" s="166" t="s">
        <v>5771</v>
      </c>
    </row>
    <row r="6536" spans="1:5">
      <c r="A6536" s="174">
        <f t="shared" si="94"/>
        <v>6535</v>
      </c>
      <c r="B6536" s="163">
        <v>45930</v>
      </c>
      <c r="C6536" s="164">
        <v>0.75263888888888886</v>
      </c>
      <c r="D6536" s="159">
        <v>10</v>
      </c>
      <c r="E6536" s="166" t="s">
        <v>1579</v>
      </c>
    </row>
    <row r="6537" spans="1:5">
      <c r="A6537" s="174">
        <f t="shared" si="94"/>
        <v>6536</v>
      </c>
      <c r="B6537" s="163">
        <v>45930</v>
      </c>
      <c r="C6537" s="164">
        <v>0.75989583333333333</v>
      </c>
      <c r="D6537" s="159">
        <v>10</v>
      </c>
      <c r="E6537" s="166" t="s">
        <v>5776</v>
      </c>
    </row>
    <row r="6538" spans="1:5">
      <c r="A6538" s="174">
        <f t="shared" si="94"/>
        <v>6537</v>
      </c>
      <c r="B6538" s="163">
        <v>45930</v>
      </c>
      <c r="C6538" s="164">
        <v>0.77446759259259268</v>
      </c>
      <c r="D6538" s="159">
        <v>10</v>
      </c>
      <c r="E6538" s="166" t="s">
        <v>1495</v>
      </c>
    </row>
    <row r="6539" spans="1:5">
      <c r="A6539" s="174">
        <f t="shared" si="94"/>
        <v>6538</v>
      </c>
      <c r="B6539" s="163">
        <v>45930</v>
      </c>
      <c r="C6539" s="164">
        <v>0.83861111111111108</v>
      </c>
      <c r="D6539" s="159">
        <v>10</v>
      </c>
      <c r="E6539" s="166" t="s">
        <v>5772</v>
      </c>
    </row>
    <row r="6540" spans="1:5">
      <c r="A6540" s="174">
        <f t="shared" si="94"/>
        <v>6539</v>
      </c>
      <c r="B6540" s="163">
        <v>45930</v>
      </c>
      <c r="C6540" s="164">
        <v>0.8587731481481482</v>
      </c>
      <c r="D6540" s="159">
        <v>10</v>
      </c>
      <c r="E6540" s="166" t="s">
        <v>5773</v>
      </c>
    </row>
    <row r="6541" spans="1:5">
      <c r="A6541" s="174">
        <f t="shared" si="94"/>
        <v>6540</v>
      </c>
      <c r="B6541" s="163">
        <v>45931</v>
      </c>
      <c r="C6541" s="188">
        <v>0.40063657407407405</v>
      </c>
      <c r="D6541" s="159">
        <v>10</v>
      </c>
      <c r="E6541" s="166" t="s">
        <v>5777</v>
      </c>
    </row>
    <row r="6542" spans="1:5">
      <c r="A6542" s="174">
        <f t="shared" si="94"/>
        <v>6541</v>
      </c>
      <c r="B6542" s="163">
        <v>45931</v>
      </c>
      <c r="C6542" s="188">
        <v>0.42141203703703706</v>
      </c>
      <c r="D6542" s="159">
        <v>10</v>
      </c>
      <c r="E6542" s="166" t="s">
        <v>5778</v>
      </c>
    </row>
    <row r="6543" spans="1:5">
      <c r="A6543" s="174">
        <f t="shared" si="94"/>
        <v>6542</v>
      </c>
      <c r="B6543" s="163">
        <v>45931</v>
      </c>
      <c r="C6543" s="188">
        <v>0.42219907407407403</v>
      </c>
      <c r="D6543" s="159">
        <v>10</v>
      </c>
      <c r="E6543" s="166" t="s">
        <v>5779</v>
      </c>
    </row>
    <row r="6544" spans="1:5">
      <c r="A6544" s="174">
        <f t="shared" si="94"/>
        <v>6543</v>
      </c>
      <c r="B6544" s="163">
        <v>45931</v>
      </c>
      <c r="C6544" s="188">
        <v>0.43062500000000004</v>
      </c>
      <c r="D6544" s="159">
        <v>10</v>
      </c>
      <c r="E6544" s="166" t="s">
        <v>5780</v>
      </c>
    </row>
    <row r="6545" spans="1:5">
      <c r="A6545" s="174">
        <f t="shared" si="94"/>
        <v>6544</v>
      </c>
      <c r="B6545" s="163">
        <v>45931</v>
      </c>
      <c r="C6545" s="188">
        <v>0.44144675925925925</v>
      </c>
      <c r="D6545" s="159">
        <v>10</v>
      </c>
      <c r="E6545" s="166" t="s">
        <v>5781</v>
      </c>
    </row>
    <row r="6546" spans="1:5">
      <c r="A6546" s="174">
        <f t="shared" si="94"/>
        <v>6545</v>
      </c>
      <c r="B6546" s="163">
        <v>45931</v>
      </c>
      <c r="C6546" s="188">
        <v>0.44511574074074073</v>
      </c>
      <c r="D6546" s="159">
        <v>10</v>
      </c>
      <c r="E6546" s="166" t="s">
        <v>679</v>
      </c>
    </row>
    <row r="6547" spans="1:5">
      <c r="A6547" s="174">
        <f t="shared" si="94"/>
        <v>6546</v>
      </c>
      <c r="B6547" s="163">
        <v>45931</v>
      </c>
      <c r="C6547" s="188">
        <v>0.44797453703703699</v>
      </c>
      <c r="D6547" s="159">
        <v>10</v>
      </c>
      <c r="E6547" s="166" t="s">
        <v>5782</v>
      </c>
    </row>
    <row r="6548" spans="1:5">
      <c r="A6548" s="174">
        <f t="shared" si="94"/>
        <v>6547</v>
      </c>
      <c r="B6548" s="163">
        <v>45931</v>
      </c>
      <c r="C6548" s="188">
        <v>0.4558680555555556</v>
      </c>
      <c r="D6548" s="159">
        <v>10</v>
      </c>
      <c r="E6548" s="166" t="s">
        <v>5783</v>
      </c>
    </row>
    <row r="6549" spans="1:5">
      <c r="A6549" s="174">
        <f t="shared" si="94"/>
        <v>6548</v>
      </c>
      <c r="B6549" s="163">
        <v>45931</v>
      </c>
      <c r="C6549" s="188">
        <v>0.45703703703703707</v>
      </c>
      <c r="D6549" s="159">
        <v>10</v>
      </c>
      <c r="E6549" s="166" t="s">
        <v>132</v>
      </c>
    </row>
    <row r="6550" spans="1:5" ht="27">
      <c r="A6550" s="174">
        <f t="shared" si="94"/>
        <v>6549</v>
      </c>
      <c r="B6550" s="163">
        <v>45931</v>
      </c>
      <c r="C6550" s="188">
        <v>0.46597222222222223</v>
      </c>
      <c r="D6550" s="159">
        <v>10</v>
      </c>
      <c r="E6550" s="166" t="s">
        <v>5824</v>
      </c>
    </row>
    <row r="6551" spans="1:5">
      <c r="A6551" s="174">
        <f t="shared" si="94"/>
        <v>6550</v>
      </c>
      <c r="B6551" s="163">
        <v>45931</v>
      </c>
      <c r="C6551" s="188">
        <v>0.47790509259259256</v>
      </c>
      <c r="D6551" s="159">
        <v>10</v>
      </c>
      <c r="E6551" s="166" t="s">
        <v>5784</v>
      </c>
    </row>
    <row r="6552" spans="1:5">
      <c r="A6552" s="174">
        <f t="shared" si="94"/>
        <v>6551</v>
      </c>
      <c r="B6552" s="163">
        <v>45931</v>
      </c>
      <c r="C6552" s="188">
        <v>0.48491898148148144</v>
      </c>
      <c r="D6552" s="159">
        <v>10</v>
      </c>
      <c r="E6552" s="166" t="s">
        <v>5785</v>
      </c>
    </row>
    <row r="6553" spans="1:5">
      <c r="A6553" s="174">
        <f t="shared" si="94"/>
        <v>6552</v>
      </c>
      <c r="B6553" s="163">
        <v>45931</v>
      </c>
      <c r="C6553" s="188">
        <v>0.49783564814814812</v>
      </c>
      <c r="D6553" s="159">
        <v>10</v>
      </c>
      <c r="E6553" s="166" t="s">
        <v>5786</v>
      </c>
    </row>
    <row r="6554" spans="1:5">
      <c r="A6554" s="174">
        <f t="shared" si="94"/>
        <v>6553</v>
      </c>
      <c r="B6554" s="163">
        <v>45931</v>
      </c>
      <c r="C6554" s="188">
        <v>0.49866898148148148</v>
      </c>
      <c r="D6554" s="159">
        <v>10</v>
      </c>
      <c r="E6554" s="166" t="s">
        <v>5787</v>
      </c>
    </row>
    <row r="6555" spans="1:5">
      <c r="A6555" s="174">
        <f t="shared" si="94"/>
        <v>6554</v>
      </c>
      <c r="B6555" s="163">
        <v>45931</v>
      </c>
      <c r="C6555" s="188">
        <v>0.49895833333333334</v>
      </c>
      <c r="D6555" s="159">
        <v>10</v>
      </c>
      <c r="E6555" s="166" t="s">
        <v>5788</v>
      </c>
    </row>
    <row r="6556" spans="1:5">
      <c r="A6556" s="174">
        <f t="shared" si="94"/>
        <v>6555</v>
      </c>
      <c r="B6556" s="163">
        <v>45931</v>
      </c>
      <c r="C6556" s="188">
        <v>0.55240740740740735</v>
      </c>
      <c r="D6556" s="159">
        <v>10</v>
      </c>
      <c r="E6556" s="166" t="s">
        <v>5789</v>
      </c>
    </row>
    <row r="6557" spans="1:5">
      <c r="A6557" s="174">
        <f t="shared" si="94"/>
        <v>6556</v>
      </c>
      <c r="B6557" s="163">
        <v>45931</v>
      </c>
      <c r="C6557" s="188">
        <v>0.55510416666666662</v>
      </c>
      <c r="D6557" s="159">
        <v>10</v>
      </c>
      <c r="E6557" s="166" t="s">
        <v>5790</v>
      </c>
    </row>
    <row r="6558" spans="1:5">
      <c r="A6558" s="174">
        <f t="shared" si="94"/>
        <v>6557</v>
      </c>
      <c r="B6558" s="163">
        <v>45931</v>
      </c>
      <c r="C6558" s="188">
        <v>0.55582175925925925</v>
      </c>
      <c r="D6558" s="159">
        <v>10</v>
      </c>
      <c r="E6558" s="166" t="s">
        <v>5791</v>
      </c>
    </row>
    <row r="6559" spans="1:5">
      <c r="A6559" s="174">
        <f t="shared" si="94"/>
        <v>6558</v>
      </c>
      <c r="B6559" s="163">
        <v>45931</v>
      </c>
      <c r="C6559" s="188">
        <v>0.55966435185185182</v>
      </c>
      <c r="D6559" s="159">
        <v>10</v>
      </c>
      <c r="E6559" s="166" t="s">
        <v>5792</v>
      </c>
    </row>
    <row r="6560" spans="1:5">
      <c r="A6560" s="174">
        <f t="shared" si="94"/>
        <v>6559</v>
      </c>
      <c r="B6560" s="163">
        <v>45931</v>
      </c>
      <c r="C6560" s="188">
        <v>0.57343749999999993</v>
      </c>
      <c r="D6560" s="159">
        <v>10</v>
      </c>
      <c r="E6560" s="166" t="s">
        <v>5793</v>
      </c>
    </row>
    <row r="6561" spans="1:5">
      <c r="A6561" s="174">
        <f t="shared" si="94"/>
        <v>6560</v>
      </c>
      <c r="B6561" s="163">
        <v>45931</v>
      </c>
      <c r="C6561" s="188">
        <v>0.57465277777777779</v>
      </c>
      <c r="D6561" s="159">
        <v>10</v>
      </c>
      <c r="E6561" s="166" t="s">
        <v>5794</v>
      </c>
    </row>
    <row r="6562" spans="1:5">
      <c r="A6562" s="174">
        <f t="shared" si="94"/>
        <v>6561</v>
      </c>
      <c r="B6562" s="163">
        <v>45931</v>
      </c>
      <c r="C6562" s="188">
        <v>0.59854166666666664</v>
      </c>
      <c r="D6562" s="159">
        <v>10</v>
      </c>
      <c r="E6562" s="166" t="s">
        <v>5795</v>
      </c>
    </row>
    <row r="6563" spans="1:5">
      <c r="A6563" s="174">
        <f t="shared" si="94"/>
        <v>6562</v>
      </c>
      <c r="B6563" s="163">
        <v>45931</v>
      </c>
      <c r="C6563" s="188">
        <v>0.59865740740740747</v>
      </c>
      <c r="D6563" s="159">
        <v>10</v>
      </c>
      <c r="E6563" s="166" t="s">
        <v>5796</v>
      </c>
    </row>
    <row r="6564" spans="1:5">
      <c r="A6564" s="174">
        <f t="shared" si="94"/>
        <v>6563</v>
      </c>
      <c r="B6564" s="163">
        <v>45931</v>
      </c>
      <c r="C6564" s="188">
        <v>0.59993055555555552</v>
      </c>
      <c r="D6564" s="159">
        <v>10</v>
      </c>
      <c r="E6564" s="166" t="s">
        <v>5797</v>
      </c>
    </row>
    <row r="6565" spans="1:5">
      <c r="A6565" s="174">
        <f t="shared" si="94"/>
        <v>6564</v>
      </c>
      <c r="B6565" s="163">
        <v>45931</v>
      </c>
      <c r="C6565" s="188">
        <v>0.60465277777777782</v>
      </c>
      <c r="D6565" s="159">
        <v>10</v>
      </c>
      <c r="E6565" s="166" t="s">
        <v>5798</v>
      </c>
    </row>
    <row r="6566" spans="1:5">
      <c r="A6566" s="174">
        <f t="shared" si="94"/>
        <v>6565</v>
      </c>
      <c r="B6566" s="163">
        <v>45931</v>
      </c>
      <c r="C6566" s="188">
        <v>0.61869212962962961</v>
      </c>
      <c r="D6566" s="159">
        <v>10</v>
      </c>
      <c r="E6566" s="166" t="s">
        <v>5799</v>
      </c>
    </row>
    <row r="6567" spans="1:5">
      <c r="A6567" s="174">
        <f t="shared" si="94"/>
        <v>6566</v>
      </c>
      <c r="B6567" s="163">
        <v>45931</v>
      </c>
      <c r="C6567" s="188">
        <v>0.62452546296296296</v>
      </c>
      <c r="D6567" s="159">
        <v>10</v>
      </c>
      <c r="E6567" s="166" t="s">
        <v>5800</v>
      </c>
    </row>
    <row r="6568" spans="1:5">
      <c r="A6568" s="174">
        <f t="shared" si="94"/>
        <v>6567</v>
      </c>
      <c r="B6568" s="163">
        <v>45931</v>
      </c>
      <c r="C6568" s="188">
        <v>0.62693287037037038</v>
      </c>
      <c r="D6568" s="159">
        <v>10</v>
      </c>
      <c r="E6568" s="166" t="s">
        <v>5801</v>
      </c>
    </row>
    <row r="6569" spans="1:5">
      <c r="A6569" s="174">
        <f t="shared" si="94"/>
        <v>6568</v>
      </c>
      <c r="B6569" s="163">
        <v>45931</v>
      </c>
      <c r="C6569" s="188">
        <v>0.62697916666666664</v>
      </c>
      <c r="D6569" s="159">
        <v>10</v>
      </c>
      <c r="E6569" s="166" t="s">
        <v>5802</v>
      </c>
    </row>
    <row r="6570" spans="1:5">
      <c r="A6570" s="174">
        <f t="shared" si="94"/>
        <v>6569</v>
      </c>
      <c r="B6570" s="163">
        <v>45931</v>
      </c>
      <c r="C6570" s="188">
        <v>0.63635416666666667</v>
      </c>
      <c r="D6570" s="159">
        <v>10</v>
      </c>
      <c r="E6570" s="166" t="s">
        <v>5803</v>
      </c>
    </row>
    <row r="6571" spans="1:5">
      <c r="A6571" s="174">
        <f t="shared" si="94"/>
        <v>6570</v>
      </c>
      <c r="B6571" s="163">
        <v>45931</v>
      </c>
      <c r="C6571" s="188">
        <v>0.64055555555555554</v>
      </c>
      <c r="D6571" s="159">
        <v>10</v>
      </c>
      <c r="E6571" s="166" t="s">
        <v>5804</v>
      </c>
    </row>
    <row r="6572" spans="1:5">
      <c r="A6572" s="174">
        <f t="shared" si="94"/>
        <v>6571</v>
      </c>
      <c r="B6572" s="163">
        <v>45931</v>
      </c>
      <c r="C6572" s="188">
        <v>0.65099537037037036</v>
      </c>
      <c r="D6572" s="159">
        <v>10</v>
      </c>
      <c r="E6572" s="166" t="s">
        <v>5805</v>
      </c>
    </row>
    <row r="6573" spans="1:5" ht="27">
      <c r="A6573" s="174">
        <f t="shared" si="94"/>
        <v>6572</v>
      </c>
      <c r="B6573" s="163">
        <v>45931</v>
      </c>
      <c r="C6573" s="188">
        <v>0.65684027777777776</v>
      </c>
      <c r="D6573" s="159">
        <v>10</v>
      </c>
      <c r="E6573" s="166" t="s">
        <v>5806</v>
      </c>
    </row>
    <row r="6574" spans="1:5">
      <c r="A6574" s="174">
        <f t="shared" si="94"/>
        <v>6573</v>
      </c>
      <c r="B6574" s="163">
        <v>45931</v>
      </c>
      <c r="C6574" s="188">
        <v>0.66100694444444441</v>
      </c>
      <c r="D6574" s="159">
        <v>10</v>
      </c>
      <c r="E6574" s="166" t="s">
        <v>5807</v>
      </c>
    </row>
    <row r="6575" spans="1:5">
      <c r="A6575" s="174">
        <f t="shared" si="94"/>
        <v>6574</v>
      </c>
      <c r="B6575" s="163">
        <v>45931</v>
      </c>
      <c r="C6575" s="188">
        <v>0.66305555555555562</v>
      </c>
      <c r="D6575" s="159">
        <v>10</v>
      </c>
      <c r="E6575" s="166" t="s">
        <v>5808</v>
      </c>
    </row>
    <row r="6576" spans="1:5">
      <c r="A6576" s="174">
        <f t="shared" si="94"/>
        <v>6575</v>
      </c>
      <c r="B6576" s="163">
        <v>45931</v>
      </c>
      <c r="C6576" s="188">
        <v>0.66442129629629632</v>
      </c>
      <c r="D6576" s="159">
        <v>10</v>
      </c>
      <c r="E6576" s="166" t="s">
        <v>5809</v>
      </c>
    </row>
    <row r="6577" spans="1:5">
      <c r="A6577" s="174">
        <f t="shared" si="94"/>
        <v>6576</v>
      </c>
      <c r="B6577" s="163">
        <v>45931</v>
      </c>
      <c r="C6577" s="188">
        <v>0.69130787037037045</v>
      </c>
      <c r="D6577" s="159">
        <v>10</v>
      </c>
      <c r="E6577" s="166" t="s">
        <v>5810</v>
      </c>
    </row>
    <row r="6578" spans="1:5">
      <c r="A6578" s="174">
        <f t="shared" si="94"/>
        <v>6577</v>
      </c>
      <c r="B6578" s="163">
        <v>45931</v>
      </c>
      <c r="C6578" s="188">
        <v>0.69282407407407398</v>
      </c>
      <c r="D6578" s="159">
        <v>10</v>
      </c>
      <c r="E6578" s="166" t="s">
        <v>5811</v>
      </c>
    </row>
    <row r="6579" spans="1:5">
      <c r="A6579" s="174">
        <f t="shared" si="94"/>
        <v>6578</v>
      </c>
      <c r="B6579" s="163">
        <v>45931</v>
      </c>
      <c r="C6579" s="188">
        <v>0.70079861111111119</v>
      </c>
      <c r="D6579" s="159">
        <v>10</v>
      </c>
      <c r="E6579" s="166" t="s">
        <v>5812</v>
      </c>
    </row>
    <row r="6580" spans="1:5">
      <c r="A6580" s="174">
        <f t="shared" si="94"/>
        <v>6579</v>
      </c>
      <c r="B6580" s="163">
        <v>45931</v>
      </c>
      <c r="C6580" s="188">
        <v>0.70305555555555566</v>
      </c>
      <c r="D6580" s="159">
        <v>10</v>
      </c>
      <c r="E6580" s="166" t="s">
        <v>5813</v>
      </c>
    </row>
    <row r="6581" spans="1:5">
      <c r="A6581" s="174">
        <f t="shared" ref="A6581:A6644" si="95">ROW()-1</f>
        <v>6580</v>
      </c>
      <c r="B6581" s="163">
        <v>45931</v>
      </c>
      <c r="C6581" s="188">
        <v>0.70791666666666664</v>
      </c>
      <c r="D6581" s="159">
        <v>10</v>
      </c>
      <c r="E6581" s="166" t="s">
        <v>5814</v>
      </c>
    </row>
    <row r="6582" spans="1:5">
      <c r="A6582" s="174">
        <f t="shared" si="95"/>
        <v>6581</v>
      </c>
      <c r="B6582" s="163">
        <v>45931</v>
      </c>
      <c r="C6582" s="188">
        <v>0.72097222222222224</v>
      </c>
      <c r="D6582" s="159">
        <v>10</v>
      </c>
      <c r="E6582" s="166" t="s">
        <v>5815</v>
      </c>
    </row>
    <row r="6583" spans="1:5">
      <c r="A6583" s="174">
        <f t="shared" si="95"/>
        <v>6582</v>
      </c>
      <c r="B6583" s="163">
        <v>45931</v>
      </c>
      <c r="C6583" s="188">
        <v>0.72283564814814805</v>
      </c>
      <c r="D6583" s="159">
        <v>10</v>
      </c>
      <c r="E6583" s="166" t="s">
        <v>5816</v>
      </c>
    </row>
    <row r="6584" spans="1:5">
      <c r="A6584" s="174">
        <f t="shared" si="95"/>
        <v>6583</v>
      </c>
      <c r="B6584" s="163">
        <v>45931</v>
      </c>
      <c r="C6584" s="188">
        <v>0.72983796296296299</v>
      </c>
      <c r="D6584" s="159">
        <v>10</v>
      </c>
      <c r="E6584" s="166" t="s">
        <v>5825</v>
      </c>
    </row>
    <row r="6585" spans="1:5">
      <c r="A6585" s="174">
        <f t="shared" si="95"/>
        <v>6584</v>
      </c>
      <c r="B6585" s="163">
        <v>45931</v>
      </c>
      <c r="C6585" s="188">
        <v>0.73454861111111114</v>
      </c>
      <c r="D6585" s="159">
        <v>10</v>
      </c>
      <c r="E6585" s="166" t="s">
        <v>5817</v>
      </c>
    </row>
    <row r="6586" spans="1:5">
      <c r="A6586" s="174">
        <f t="shared" si="95"/>
        <v>6585</v>
      </c>
      <c r="B6586" s="163">
        <v>45931</v>
      </c>
      <c r="C6586" s="188">
        <v>0.7354398148148148</v>
      </c>
      <c r="D6586" s="159">
        <v>10</v>
      </c>
      <c r="E6586" s="166" t="s">
        <v>5818</v>
      </c>
    </row>
    <row r="6587" spans="1:5">
      <c r="A6587" s="174">
        <f t="shared" si="95"/>
        <v>6586</v>
      </c>
      <c r="B6587" s="163">
        <v>45931</v>
      </c>
      <c r="C6587" s="188">
        <v>0.74079861111111101</v>
      </c>
      <c r="D6587" s="159">
        <v>10</v>
      </c>
      <c r="E6587" s="166" t="s">
        <v>5819</v>
      </c>
    </row>
    <row r="6588" spans="1:5">
      <c r="A6588" s="174">
        <f t="shared" si="95"/>
        <v>6587</v>
      </c>
      <c r="B6588" s="163">
        <v>45931</v>
      </c>
      <c r="C6588" s="188">
        <v>0.75300925925925932</v>
      </c>
      <c r="D6588" s="159">
        <v>10</v>
      </c>
      <c r="E6588" s="166" t="s">
        <v>5820</v>
      </c>
    </row>
    <row r="6589" spans="1:5">
      <c r="A6589" s="174">
        <f t="shared" si="95"/>
        <v>6588</v>
      </c>
      <c r="B6589" s="163">
        <v>45931</v>
      </c>
      <c r="C6589" s="188">
        <v>0.78243055555555552</v>
      </c>
      <c r="D6589" s="159">
        <v>10</v>
      </c>
      <c r="E6589" s="166" t="s">
        <v>5821</v>
      </c>
    </row>
    <row r="6590" spans="1:5">
      <c r="A6590" s="174">
        <f t="shared" si="95"/>
        <v>6589</v>
      </c>
      <c r="B6590" s="163">
        <v>45931</v>
      </c>
      <c r="C6590" s="188">
        <v>0.83756944444444448</v>
      </c>
      <c r="D6590" s="159">
        <v>10</v>
      </c>
      <c r="E6590" s="166" t="s">
        <v>5822</v>
      </c>
    </row>
    <row r="6591" spans="1:5">
      <c r="A6591" s="174">
        <f t="shared" si="95"/>
        <v>6590</v>
      </c>
      <c r="B6591" s="163">
        <v>45931</v>
      </c>
      <c r="C6591" s="188">
        <v>0.85591435185185183</v>
      </c>
      <c r="D6591" s="159">
        <v>10</v>
      </c>
      <c r="E6591" s="166" t="s">
        <v>5823</v>
      </c>
    </row>
    <row r="6592" spans="1:5">
      <c r="A6592" s="174">
        <f t="shared" si="95"/>
        <v>6591</v>
      </c>
      <c r="B6592" s="163">
        <v>45931</v>
      </c>
      <c r="C6592" s="188">
        <v>0.86988425925925927</v>
      </c>
      <c r="D6592" s="159">
        <v>10</v>
      </c>
      <c r="E6592" s="166" t="s">
        <v>132</v>
      </c>
    </row>
    <row r="6593" spans="1:5">
      <c r="A6593" s="174">
        <f t="shared" si="95"/>
        <v>6592</v>
      </c>
      <c r="B6593" s="163">
        <v>45932</v>
      </c>
      <c r="C6593" s="164">
        <v>0.38710648148148147</v>
      </c>
      <c r="D6593" s="159">
        <v>10</v>
      </c>
      <c r="E6593" s="166" t="s">
        <v>5826</v>
      </c>
    </row>
    <row r="6594" spans="1:5">
      <c r="A6594" s="174">
        <f t="shared" si="95"/>
        <v>6593</v>
      </c>
      <c r="B6594" s="163">
        <v>45932</v>
      </c>
      <c r="C6594" s="164">
        <v>0.41357638888888887</v>
      </c>
      <c r="D6594" s="159">
        <v>10</v>
      </c>
      <c r="E6594" s="166" t="s">
        <v>5827</v>
      </c>
    </row>
    <row r="6595" spans="1:5">
      <c r="A6595" s="174">
        <f t="shared" si="95"/>
        <v>6594</v>
      </c>
      <c r="B6595" s="163">
        <v>45932</v>
      </c>
      <c r="C6595" s="164">
        <v>0.41685185185185186</v>
      </c>
      <c r="D6595" s="159">
        <v>10</v>
      </c>
      <c r="E6595" s="166" t="s">
        <v>5677</v>
      </c>
    </row>
    <row r="6596" spans="1:5">
      <c r="A6596" s="174">
        <f t="shared" si="95"/>
        <v>6595</v>
      </c>
      <c r="B6596" s="163">
        <v>45932</v>
      </c>
      <c r="C6596" s="164">
        <v>0.42598379629629629</v>
      </c>
      <c r="D6596" s="159">
        <v>10</v>
      </c>
      <c r="E6596" s="166" t="s">
        <v>5828</v>
      </c>
    </row>
    <row r="6597" spans="1:5">
      <c r="A6597" s="174">
        <f t="shared" si="95"/>
        <v>6596</v>
      </c>
      <c r="B6597" s="163">
        <v>45932</v>
      </c>
      <c r="C6597" s="164">
        <v>0.43913194444444442</v>
      </c>
      <c r="D6597" s="159">
        <v>10</v>
      </c>
      <c r="E6597" s="166" t="s">
        <v>5829</v>
      </c>
    </row>
    <row r="6598" spans="1:5">
      <c r="A6598" s="174">
        <f t="shared" si="95"/>
        <v>6597</v>
      </c>
      <c r="B6598" s="163">
        <v>45932</v>
      </c>
      <c r="C6598" s="164">
        <v>0.44792824074074072</v>
      </c>
      <c r="D6598" s="159">
        <v>10</v>
      </c>
      <c r="E6598" s="166" t="s">
        <v>4590</v>
      </c>
    </row>
    <row r="6599" spans="1:5">
      <c r="A6599" s="174">
        <f t="shared" si="95"/>
        <v>6598</v>
      </c>
      <c r="B6599" s="163">
        <v>45932</v>
      </c>
      <c r="C6599" s="164">
        <v>0.45516203703703706</v>
      </c>
      <c r="D6599" s="159">
        <v>10</v>
      </c>
      <c r="E6599" s="166" t="s">
        <v>5830</v>
      </c>
    </row>
    <row r="6600" spans="1:5">
      <c r="A6600" s="174">
        <f t="shared" si="95"/>
        <v>6599</v>
      </c>
      <c r="B6600" s="163">
        <v>45932</v>
      </c>
      <c r="C6600" s="164">
        <v>0.47012731481481485</v>
      </c>
      <c r="D6600" s="159">
        <v>10</v>
      </c>
      <c r="E6600" s="166" t="s">
        <v>5831</v>
      </c>
    </row>
    <row r="6601" spans="1:5">
      <c r="A6601" s="174">
        <f t="shared" si="95"/>
        <v>6600</v>
      </c>
      <c r="B6601" s="163">
        <v>45932</v>
      </c>
      <c r="C6601" s="164">
        <v>0.48284722222222221</v>
      </c>
      <c r="D6601" s="159">
        <v>10</v>
      </c>
      <c r="E6601" s="166" t="s">
        <v>5832</v>
      </c>
    </row>
    <row r="6602" spans="1:5">
      <c r="A6602" s="174">
        <f t="shared" si="95"/>
        <v>6601</v>
      </c>
      <c r="B6602" s="163">
        <v>45932</v>
      </c>
      <c r="C6602" s="164">
        <v>0.48309027777777774</v>
      </c>
      <c r="D6602" s="159">
        <v>10</v>
      </c>
      <c r="E6602" s="166" t="s">
        <v>5833</v>
      </c>
    </row>
    <row r="6603" spans="1:5">
      <c r="A6603" s="174">
        <f t="shared" si="95"/>
        <v>6602</v>
      </c>
      <c r="B6603" s="163">
        <v>45932</v>
      </c>
      <c r="C6603" s="164">
        <v>0.48603009259259261</v>
      </c>
      <c r="D6603" s="159">
        <v>10</v>
      </c>
      <c r="E6603" s="166" t="s">
        <v>5834</v>
      </c>
    </row>
    <row r="6604" spans="1:5">
      <c r="A6604" s="174">
        <f t="shared" si="95"/>
        <v>6603</v>
      </c>
      <c r="B6604" s="163">
        <v>45932</v>
      </c>
      <c r="C6604" s="164">
        <v>0.49509259259259258</v>
      </c>
      <c r="D6604" s="159">
        <v>10</v>
      </c>
      <c r="E6604" s="166" t="s">
        <v>5835</v>
      </c>
    </row>
    <row r="6605" spans="1:5">
      <c r="A6605" s="174">
        <f t="shared" si="95"/>
        <v>6604</v>
      </c>
      <c r="B6605" s="163">
        <v>45932</v>
      </c>
      <c r="C6605" s="164">
        <v>0.54556712962962961</v>
      </c>
      <c r="D6605" s="159">
        <v>10</v>
      </c>
      <c r="E6605" s="166" t="s">
        <v>5836</v>
      </c>
    </row>
    <row r="6606" spans="1:5">
      <c r="A6606" s="174">
        <f t="shared" si="95"/>
        <v>6605</v>
      </c>
      <c r="B6606" s="163">
        <v>45932</v>
      </c>
      <c r="C6606" s="164">
        <v>0.55775462962962963</v>
      </c>
      <c r="D6606" s="159">
        <v>10</v>
      </c>
      <c r="E6606" s="166" t="s">
        <v>5837</v>
      </c>
    </row>
    <row r="6607" spans="1:5">
      <c r="A6607" s="174">
        <f t="shared" si="95"/>
        <v>6606</v>
      </c>
      <c r="B6607" s="163">
        <v>45932</v>
      </c>
      <c r="C6607" s="164">
        <v>0.56024305555555554</v>
      </c>
      <c r="D6607" s="159">
        <v>10</v>
      </c>
      <c r="E6607" s="166" t="s">
        <v>5838</v>
      </c>
    </row>
    <row r="6608" spans="1:5">
      <c r="A6608" s="174">
        <f t="shared" si="95"/>
        <v>6607</v>
      </c>
      <c r="B6608" s="163">
        <v>45932</v>
      </c>
      <c r="C6608" s="164">
        <v>0.57589120370370372</v>
      </c>
      <c r="D6608" s="159">
        <v>10</v>
      </c>
      <c r="E6608" s="166" t="s">
        <v>5839</v>
      </c>
    </row>
    <row r="6609" spans="1:5">
      <c r="A6609" s="174">
        <f t="shared" si="95"/>
        <v>6608</v>
      </c>
      <c r="B6609" s="163">
        <v>45932</v>
      </c>
      <c r="C6609" s="164">
        <v>0.58728009259259262</v>
      </c>
      <c r="D6609" s="159">
        <v>10</v>
      </c>
      <c r="E6609" s="166" t="s">
        <v>5840</v>
      </c>
    </row>
    <row r="6610" spans="1:5">
      <c r="A6610" s="174">
        <f t="shared" si="95"/>
        <v>6609</v>
      </c>
      <c r="B6610" s="163">
        <v>45932</v>
      </c>
      <c r="C6610" s="164">
        <v>0.58872685185185192</v>
      </c>
      <c r="D6610" s="159">
        <v>10</v>
      </c>
      <c r="E6610" s="166" t="s">
        <v>5841</v>
      </c>
    </row>
    <row r="6611" spans="1:5">
      <c r="A6611" s="174">
        <f t="shared" si="95"/>
        <v>6610</v>
      </c>
      <c r="B6611" s="163">
        <v>45932</v>
      </c>
      <c r="C6611" s="164">
        <v>0.59295138888888888</v>
      </c>
      <c r="D6611" s="159">
        <v>10</v>
      </c>
      <c r="E6611" s="166" t="s">
        <v>5842</v>
      </c>
    </row>
    <row r="6612" spans="1:5">
      <c r="A6612" s="174">
        <f t="shared" si="95"/>
        <v>6611</v>
      </c>
      <c r="B6612" s="163">
        <v>45932</v>
      </c>
      <c r="C6612" s="164">
        <v>0.59586805555555555</v>
      </c>
      <c r="D6612" s="159">
        <v>10</v>
      </c>
      <c r="E6612" s="166" t="s">
        <v>5843</v>
      </c>
    </row>
    <row r="6613" spans="1:5">
      <c r="A6613" s="174">
        <f t="shared" si="95"/>
        <v>6612</v>
      </c>
      <c r="B6613" s="163">
        <v>45932</v>
      </c>
      <c r="C6613" s="164">
        <v>0.59873842592592597</v>
      </c>
      <c r="D6613" s="159">
        <v>10</v>
      </c>
      <c r="E6613" s="166" t="s">
        <v>5844</v>
      </c>
    </row>
    <row r="6614" spans="1:5">
      <c r="A6614" s="174">
        <f t="shared" si="95"/>
        <v>6613</v>
      </c>
      <c r="B6614" s="163">
        <v>45932</v>
      </c>
      <c r="C6614" s="164">
        <v>0.61241898148148144</v>
      </c>
      <c r="D6614" s="159">
        <v>10</v>
      </c>
      <c r="E6614" s="166" t="s">
        <v>5845</v>
      </c>
    </row>
    <row r="6615" spans="1:5">
      <c r="A6615" s="174">
        <f t="shared" si="95"/>
        <v>6614</v>
      </c>
      <c r="B6615" s="163">
        <v>45932</v>
      </c>
      <c r="C6615" s="164">
        <v>0.62263888888888885</v>
      </c>
      <c r="D6615" s="159">
        <v>10</v>
      </c>
      <c r="E6615" s="166" t="s">
        <v>5846</v>
      </c>
    </row>
    <row r="6616" spans="1:5">
      <c r="A6616" s="174">
        <f t="shared" si="95"/>
        <v>6615</v>
      </c>
      <c r="B6616" s="163">
        <v>45932</v>
      </c>
      <c r="C6616" s="164">
        <v>0.62990740740740747</v>
      </c>
      <c r="D6616" s="159">
        <v>10</v>
      </c>
      <c r="E6616" s="166" t="s">
        <v>5847</v>
      </c>
    </row>
    <row r="6617" spans="1:5">
      <c r="A6617" s="174">
        <f t="shared" si="95"/>
        <v>6616</v>
      </c>
      <c r="B6617" s="163">
        <v>45932</v>
      </c>
      <c r="C6617" s="164">
        <v>0.63078703703703709</v>
      </c>
      <c r="D6617" s="159">
        <v>10</v>
      </c>
      <c r="E6617" s="166" t="s">
        <v>5848</v>
      </c>
    </row>
    <row r="6618" spans="1:5" ht="27">
      <c r="A6618" s="174">
        <f t="shared" si="95"/>
        <v>6617</v>
      </c>
      <c r="B6618" s="163">
        <v>45932</v>
      </c>
      <c r="C6618" s="164">
        <v>0.63444444444444448</v>
      </c>
      <c r="D6618" s="159">
        <v>10</v>
      </c>
      <c r="E6618" s="166" t="s">
        <v>5849</v>
      </c>
    </row>
    <row r="6619" spans="1:5">
      <c r="A6619" s="174">
        <f t="shared" si="95"/>
        <v>6618</v>
      </c>
      <c r="B6619" s="163">
        <v>45932</v>
      </c>
      <c r="C6619" s="164">
        <v>0.65021990740740743</v>
      </c>
      <c r="D6619" s="159">
        <v>10</v>
      </c>
      <c r="E6619" s="166" t="s">
        <v>5850</v>
      </c>
    </row>
    <row r="6620" spans="1:5">
      <c r="A6620" s="174">
        <f t="shared" si="95"/>
        <v>6619</v>
      </c>
      <c r="B6620" s="163">
        <v>45932</v>
      </c>
      <c r="C6620" s="164">
        <v>0.65510416666666671</v>
      </c>
      <c r="D6620" s="159">
        <v>10</v>
      </c>
      <c r="E6620" s="166" t="s">
        <v>5851</v>
      </c>
    </row>
    <row r="6621" spans="1:5">
      <c r="A6621" s="174">
        <f t="shared" si="95"/>
        <v>6620</v>
      </c>
      <c r="B6621" s="163">
        <v>45932</v>
      </c>
      <c r="C6621" s="164">
        <v>0.69027777777777777</v>
      </c>
      <c r="D6621" s="159">
        <v>10</v>
      </c>
      <c r="E6621" s="166" t="s">
        <v>2500</v>
      </c>
    </row>
    <row r="6622" spans="1:5">
      <c r="A6622" s="174">
        <f t="shared" si="95"/>
        <v>6621</v>
      </c>
      <c r="B6622" s="163">
        <v>45932</v>
      </c>
      <c r="C6622" s="164">
        <v>0.69027777777777777</v>
      </c>
      <c r="D6622" s="159">
        <v>10</v>
      </c>
      <c r="E6622" s="166" t="s">
        <v>5852</v>
      </c>
    </row>
    <row r="6623" spans="1:5">
      <c r="A6623" s="174">
        <f t="shared" si="95"/>
        <v>6622</v>
      </c>
      <c r="B6623" s="163">
        <v>45932</v>
      </c>
      <c r="C6623" s="164">
        <v>0.69075231481481481</v>
      </c>
      <c r="D6623" s="159">
        <v>10</v>
      </c>
      <c r="E6623" s="166" t="s">
        <v>2500</v>
      </c>
    </row>
    <row r="6624" spans="1:5">
      <c r="A6624" s="174">
        <f t="shared" si="95"/>
        <v>6623</v>
      </c>
      <c r="B6624" s="163">
        <v>45932</v>
      </c>
      <c r="C6624" s="164">
        <v>0.70094907407407403</v>
      </c>
      <c r="D6624" s="159">
        <v>10</v>
      </c>
      <c r="E6624" s="166" t="s">
        <v>5853</v>
      </c>
    </row>
    <row r="6625" spans="1:5" ht="27">
      <c r="A6625" s="174">
        <f t="shared" si="95"/>
        <v>6624</v>
      </c>
      <c r="B6625" s="163">
        <v>45932</v>
      </c>
      <c r="C6625" s="164">
        <v>0.71490740740740744</v>
      </c>
      <c r="D6625" s="159">
        <v>10</v>
      </c>
      <c r="E6625" s="166" t="s">
        <v>5873</v>
      </c>
    </row>
    <row r="6626" spans="1:5">
      <c r="A6626" s="174">
        <f t="shared" si="95"/>
        <v>6625</v>
      </c>
      <c r="B6626" s="163">
        <v>45932</v>
      </c>
      <c r="C6626" s="164">
        <v>0.71701388888888884</v>
      </c>
      <c r="D6626" s="159">
        <v>10</v>
      </c>
      <c r="E6626" s="166" t="s">
        <v>5854</v>
      </c>
    </row>
    <row r="6627" spans="1:5">
      <c r="A6627" s="174">
        <f t="shared" si="95"/>
        <v>6626</v>
      </c>
      <c r="B6627" s="163">
        <v>45932</v>
      </c>
      <c r="C6627" s="164">
        <v>0.72517361111111101</v>
      </c>
      <c r="D6627" s="159">
        <v>10</v>
      </c>
      <c r="E6627" s="166" t="s">
        <v>500</v>
      </c>
    </row>
    <row r="6628" spans="1:5">
      <c r="A6628" s="174">
        <f t="shared" si="95"/>
        <v>6627</v>
      </c>
      <c r="B6628" s="163">
        <v>45932</v>
      </c>
      <c r="C6628" s="164">
        <v>0.73936342592592597</v>
      </c>
      <c r="D6628" s="159">
        <v>10</v>
      </c>
      <c r="E6628" s="166" t="s">
        <v>5855</v>
      </c>
    </row>
    <row r="6629" spans="1:5">
      <c r="A6629" s="174">
        <f t="shared" si="95"/>
        <v>6628</v>
      </c>
      <c r="B6629" s="163">
        <v>45932</v>
      </c>
      <c r="C6629" s="164">
        <v>0.7742592592592592</v>
      </c>
      <c r="D6629" s="159">
        <v>10</v>
      </c>
      <c r="E6629" s="166" t="s">
        <v>5856</v>
      </c>
    </row>
    <row r="6630" spans="1:5">
      <c r="A6630" s="174">
        <f t="shared" si="95"/>
        <v>6629</v>
      </c>
      <c r="B6630" s="163">
        <v>45932</v>
      </c>
      <c r="C6630" s="164">
        <v>0.84982638888888884</v>
      </c>
      <c r="D6630" s="159">
        <v>10</v>
      </c>
      <c r="E6630" s="166" t="s">
        <v>5857</v>
      </c>
    </row>
    <row r="6631" spans="1:5">
      <c r="A6631" s="174">
        <f t="shared" si="95"/>
        <v>6630</v>
      </c>
      <c r="B6631" s="163">
        <v>45932</v>
      </c>
      <c r="C6631" s="164">
        <v>0.87659722222222225</v>
      </c>
      <c r="D6631" s="159">
        <v>10</v>
      </c>
      <c r="E6631" s="166" t="s">
        <v>5858</v>
      </c>
    </row>
    <row r="6632" spans="1:5">
      <c r="A6632" s="174">
        <f t="shared" si="95"/>
        <v>6631</v>
      </c>
      <c r="B6632" s="163">
        <v>45934</v>
      </c>
      <c r="C6632" s="164">
        <v>0.43609953703703702</v>
      </c>
      <c r="D6632" s="159">
        <v>10</v>
      </c>
      <c r="E6632" s="166" t="s">
        <v>5859</v>
      </c>
    </row>
    <row r="6633" spans="1:5">
      <c r="A6633" s="174">
        <f t="shared" si="95"/>
        <v>6632</v>
      </c>
      <c r="B6633" s="163">
        <v>45934</v>
      </c>
      <c r="C6633" s="164">
        <v>0.44467592592592592</v>
      </c>
      <c r="D6633" s="159">
        <v>10</v>
      </c>
      <c r="E6633" s="166" t="s">
        <v>5860</v>
      </c>
    </row>
    <row r="6634" spans="1:5">
      <c r="A6634" s="174">
        <f t="shared" si="95"/>
        <v>6633</v>
      </c>
      <c r="B6634" s="163">
        <v>45934</v>
      </c>
      <c r="C6634" s="164">
        <v>0.44723379629629628</v>
      </c>
      <c r="D6634" s="159">
        <v>10</v>
      </c>
      <c r="E6634" s="166" t="s">
        <v>5861</v>
      </c>
    </row>
    <row r="6635" spans="1:5">
      <c r="A6635" s="174">
        <f t="shared" si="95"/>
        <v>6634</v>
      </c>
      <c r="B6635" s="163">
        <v>45934</v>
      </c>
      <c r="C6635" s="164">
        <v>0.47460648148148149</v>
      </c>
      <c r="D6635" s="159">
        <v>10</v>
      </c>
      <c r="E6635" s="166" t="s">
        <v>5862</v>
      </c>
    </row>
    <row r="6636" spans="1:5">
      <c r="A6636" s="174">
        <f t="shared" si="95"/>
        <v>6635</v>
      </c>
      <c r="B6636" s="163">
        <v>45934</v>
      </c>
      <c r="C6636" s="164">
        <v>0.48410879629629627</v>
      </c>
      <c r="D6636" s="159">
        <v>10</v>
      </c>
      <c r="E6636" s="166" t="s">
        <v>5863</v>
      </c>
    </row>
    <row r="6637" spans="1:5">
      <c r="A6637" s="174">
        <f t="shared" si="95"/>
        <v>6636</v>
      </c>
      <c r="B6637" s="163">
        <v>45934</v>
      </c>
      <c r="C6637" s="164">
        <v>0.49593749999999998</v>
      </c>
      <c r="D6637" s="159">
        <v>10</v>
      </c>
      <c r="E6637" s="166" t="s">
        <v>5864</v>
      </c>
    </row>
    <row r="6638" spans="1:5">
      <c r="A6638" s="174">
        <f t="shared" si="95"/>
        <v>6637</v>
      </c>
      <c r="B6638" s="163">
        <v>45934</v>
      </c>
      <c r="C6638" s="164">
        <v>0.50093750000000004</v>
      </c>
      <c r="D6638" s="159">
        <v>10</v>
      </c>
      <c r="E6638" s="166" t="s">
        <v>5865</v>
      </c>
    </row>
    <row r="6639" spans="1:5">
      <c r="A6639" s="174">
        <f t="shared" si="95"/>
        <v>6638</v>
      </c>
      <c r="B6639" s="163">
        <v>45934</v>
      </c>
      <c r="C6639" s="164">
        <v>0.55783564814814812</v>
      </c>
      <c r="D6639" s="159">
        <v>10</v>
      </c>
      <c r="E6639" s="166" t="s">
        <v>5866</v>
      </c>
    </row>
    <row r="6640" spans="1:5">
      <c r="A6640" s="174">
        <f t="shared" si="95"/>
        <v>6639</v>
      </c>
      <c r="B6640" s="163">
        <v>45934</v>
      </c>
      <c r="C6640" s="164">
        <v>0.5655324074074074</v>
      </c>
      <c r="D6640" s="159">
        <v>10</v>
      </c>
      <c r="E6640" s="166" t="s">
        <v>5867</v>
      </c>
    </row>
    <row r="6641" spans="1:5" ht="27">
      <c r="A6641" s="174">
        <f t="shared" si="95"/>
        <v>6640</v>
      </c>
      <c r="B6641" s="163">
        <v>45934</v>
      </c>
      <c r="C6641" s="164">
        <v>0.58253472222222225</v>
      </c>
      <c r="D6641" s="159">
        <v>10</v>
      </c>
      <c r="E6641" s="166" t="s">
        <v>5868</v>
      </c>
    </row>
    <row r="6642" spans="1:5">
      <c r="A6642" s="174">
        <f t="shared" si="95"/>
        <v>6641</v>
      </c>
      <c r="B6642" s="163">
        <v>45934</v>
      </c>
      <c r="C6642" s="164">
        <v>0.6227893518518518</v>
      </c>
      <c r="D6642" s="159">
        <v>10</v>
      </c>
      <c r="E6642" s="166" t="s">
        <v>5869</v>
      </c>
    </row>
    <row r="6643" spans="1:5">
      <c r="A6643" s="174">
        <f t="shared" si="95"/>
        <v>6642</v>
      </c>
      <c r="B6643" s="163">
        <v>45934</v>
      </c>
      <c r="C6643" s="164">
        <v>0.63350694444444444</v>
      </c>
      <c r="D6643" s="159">
        <v>10</v>
      </c>
      <c r="E6643" s="166" t="s">
        <v>5870</v>
      </c>
    </row>
    <row r="6644" spans="1:5">
      <c r="A6644" s="174">
        <f t="shared" si="95"/>
        <v>6643</v>
      </c>
      <c r="B6644" s="163">
        <v>45934</v>
      </c>
      <c r="C6644" s="164">
        <v>0.66486111111111112</v>
      </c>
      <c r="D6644" s="159">
        <v>10</v>
      </c>
      <c r="E6644" s="166" t="s">
        <v>5871</v>
      </c>
    </row>
    <row r="6645" spans="1:5">
      <c r="A6645" s="174">
        <f t="shared" ref="A6645:A6708" si="96">ROW()-1</f>
        <v>6644</v>
      </c>
      <c r="B6645" s="163">
        <v>45934</v>
      </c>
      <c r="C6645" s="164">
        <v>0.66521990740740744</v>
      </c>
      <c r="D6645" s="159">
        <v>10</v>
      </c>
      <c r="E6645" s="166" t="s">
        <v>5872</v>
      </c>
    </row>
    <row r="6646" spans="1:5">
      <c r="A6646" s="174">
        <f t="shared" si="96"/>
        <v>6645</v>
      </c>
      <c r="B6646" s="163">
        <v>45940</v>
      </c>
      <c r="C6646" s="164">
        <v>0.39406249999999998</v>
      </c>
      <c r="D6646" s="159">
        <v>10</v>
      </c>
      <c r="E6646" s="166" t="s">
        <v>5874</v>
      </c>
    </row>
    <row r="6647" spans="1:5">
      <c r="A6647" s="174">
        <f t="shared" si="96"/>
        <v>6646</v>
      </c>
      <c r="B6647" s="163">
        <v>45940</v>
      </c>
      <c r="C6647" s="164">
        <v>0.39819444444444446</v>
      </c>
      <c r="D6647" s="159">
        <v>10</v>
      </c>
      <c r="E6647" s="166" t="s">
        <v>5875</v>
      </c>
    </row>
    <row r="6648" spans="1:5">
      <c r="A6648" s="174">
        <f t="shared" si="96"/>
        <v>6647</v>
      </c>
      <c r="B6648" s="163">
        <v>45940</v>
      </c>
      <c r="C6648" s="164">
        <v>0.40432870370370372</v>
      </c>
      <c r="D6648" s="159">
        <v>10</v>
      </c>
      <c r="E6648" s="166" t="s">
        <v>690</v>
      </c>
    </row>
    <row r="6649" spans="1:5">
      <c r="A6649" s="174">
        <f t="shared" si="96"/>
        <v>6648</v>
      </c>
      <c r="B6649" s="163">
        <v>45940</v>
      </c>
      <c r="C6649" s="164">
        <v>0.42782407407407402</v>
      </c>
      <c r="D6649" s="159">
        <v>10</v>
      </c>
      <c r="E6649" s="166" t="s">
        <v>288</v>
      </c>
    </row>
    <row r="6650" spans="1:5" ht="27">
      <c r="A6650" s="174">
        <f t="shared" si="96"/>
        <v>6649</v>
      </c>
      <c r="B6650" s="163">
        <v>45940</v>
      </c>
      <c r="C6650" s="164">
        <v>0.42996527777777777</v>
      </c>
      <c r="D6650" s="159">
        <v>10</v>
      </c>
      <c r="E6650" s="166" t="s">
        <v>5876</v>
      </c>
    </row>
    <row r="6651" spans="1:5">
      <c r="A6651" s="174">
        <f t="shared" si="96"/>
        <v>6650</v>
      </c>
      <c r="B6651" s="163">
        <v>45940</v>
      </c>
      <c r="C6651" s="164">
        <v>0.43261574074074072</v>
      </c>
      <c r="D6651" s="159">
        <v>10</v>
      </c>
      <c r="E6651" s="166" t="s">
        <v>5877</v>
      </c>
    </row>
    <row r="6652" spans="1:5">
      <c r="A6652" s="174">
        <f t="shared" si="96"/>
        <v>6651</v>
      </c>
      <c r="B6652" s="163">
        <v>45940</v>
      </c>
      <c r="C6652" s="164">
        <v>0.43695601851851856</v>
      </c>
      <c r="D6652" s="159">
        <v>10</v>
      </c>
      <c r="E6652" s="166" t="s">
        <v>5878</v>
      </c>
    </row>
    <row r="6653" spans="1:5">
      <c r="A6653" s="174">
        <f t="shared" si="96"/>
        <v>6652</v>
      </c>
      <c r="B6653" s="163">
        <v>45940</v>
      </c>
      <c r="C6653" s="164">
        <v>0.44063657407407408</v>
      </c>
      <c r="D6653" s="159">
        <v>10</v>
      </c>
      <c r="E6653" s="166" t="s">
        <v>5879</v>
      </c>
    </row>
    <row r="6654" spans="1:5">
      <c r="A6654" s="174">
        <f t="shared" si="96"/>
        <v>6653</v>
      </c>
      <c r="B6654" s="163">
        <v>45940</v>
      </c>
      <c r="C6654" s="164">
        <v>0.44950231481481479</v>
      </c>
      <c r="D6654" s="159">
        <v>10</v>
      </c>
      <c r="E6654" s="166" t="s">
        <v>5880</v>
      </c>
    </row>
    <row r="6655" spans="1:5">
      <c r="A6655" s="174">
        <f t="shared" si="96"/>
        <v>6654</v>
      </c>
      <c r="B6655" s="163">
        <v>45940</v>
      </c>
      <c r="C6655" s="164">
        <v>0.45708333333333334</v>
      </c>
      <c r="D6655" s="159">
        <v>10</v>
      </c>
      <c r="E6655" s="166" t="s">
        <v>5881</v>
      </c>
    </row>
    <row r="6656" spans="1:5">
      <c r="A6656" s="174">
        <f t="shared" si="96"/>
        <v>6655</v>
      </c>
      <c r="B6656" s="163">
        <v>45940</v>
      </c>
      <c r="C6656" s="164">
        <v>0.46369212962962963</v>
      </c>
      <c r="D6656" s="159">
        <v>10</v>
      </c>
      <c r="E6656" s="166" t="s">
        <v>5882</v>
      </c>
    </row>
    <row r="6657" spans="1:5">
      <c r="A6657" s="174">
        <f t="shared" si="96"/>
        <v>6656</v>
      </c>
      <c r="B6657" s="163">
        <v>45940</v>
      </c>
      <c r="C6657" s="164">
        <v>0.46863425925925922</v>
      </c>
      <c r="D6657" s="159">
        <v>10</v>
      </c>
      <c r="E6657" s="166" t="s">
        <v>5883</v>
      </c>
    </row>
    <row r="6658" spans="1:5" ht="27">
      <c r="A6658" s="174">
        <f t="shared" si="96"/>
        <v>6657</v>
      </c>
      <c r="B6658" s="163">
        <v>45940</v>
      </c>
      <c r="C6658" s="164">
        <v>0.48077546296296297</v>
      </c>
      <c r="D6658" s="159">
        <v>10</v>
      </c>
      <c r="E6658" s="166" t="s">
        <v>5884</v>
      </c>
    </row>
    <row r="6659" spans="1:5">
      <c r="A6659" s="174">
        <f t="shared" si="96"/>
        <v>6658</v>
      </c>
      <c r="B6659" s="163">
        <v>45940</v>
      </c>
      <c r="C6659" s="164">
        <v>0.48398148148148151</v>
      </c>
      <c r="D6659" s="159">
        <v>10</v>
      </c>
      <c r="E6659" s="166" t="s">
        <v>132</v>
      </c>
    </row>
    <row r="6660" spans="1:5">
      <c r="A6660" s="174">
        <f t="shared" si="96"/>
        <v>6659</v>
      </c>
      <c r="B6660" s="163">
        <v>45940</v>
      </c>
      <c r="C6660" s="164">
        <v>0.48504629629629631</v>
      </c>
      <c r="D6660" s="159">
        <v>10</v>
      </c>
      <c r="E6660" s="166" t="s">
        <v>5885</v>
      </c>
    </row>
    <row r="6661" spans="1:5">
      <c r="A6661" s="174">
        <f t="shared" si="96"/>
        <v>6660</v>
      </c>
      <c r="B6661" s="163">
        <v>45940</v>
      </c>
      <c r="C6661" s="164">
        <v>0.48899305555555556</v>
      </c>
      <c r="D6661" s="159">
        <v>10</v>
      </c>
      <c r="E6661" s="166" t="s">
        <v>5886</v>
      </c>
    </row>
    <row r="6662" spans="1:5">
      <c r="A6662" s="174">
        <f t="shared" si="96"/>
        <v>6661</v>
      </c>
      <c r="B6662" s="163">
        <v>45940</v>
      </c>
      <c r="C6662" s="164">
        <v>0.48979166666666668</v>
      </c>
      <c r="D6662" s="159">
        <v>10</v>
      </c>
      <c r="E6662" s="166" t="s">
        <v>5887</v>
      </c>
    </row>
    <row r="6663" spans="1:5" ht="27">
      <c r="A6663" s="174">
        <f t="shared" si="96"/>
        <v>6662</v>
      </c>
      <c r="B6663" s="163">
        <v>45940</v>
      </c>
      <c r="C6663" s="164">
        <v>0.49115740740740743</v>
      </c>
      <c r="D6663" s="159">
        <v>10</v>
      </c>
      <c r="E6663" s="166" t="s">
        <v>5888</v>
      </c>
    </row>
    <row r="6664" spans="1:5">
      <c r="A6664" s="174">
        <f t="shared" si="96"/>
        <v>6663</v>
      </c>
      <c r="B6664" s="163">
        <v>45940</v>
      </c>
      <c r="C6664" s="164">
        <v>0.49296296296296299</v>
      </c>
      <c r="D6664" s="159">
        <v>10</v>
      </c>
      <c r="E6664" s="166" t="s">
        <v>5889</v>
      </c>
    </row>
    <row r="6665" spans="1:5" ht="27">
      <c r="A6665" s="174">
        <f t="shared" si="96"/>
        <v>6664</v>
      </c>
      <c r="B6665" s="163">
        <v>45940</v>
      </c>
      <c r="C6665" s="164">
        <v>0.49747685185185181</v>
      </c>
      <c r="D6665" s="159">
        <v>10</v>
      </c>
      <c r="E6665" s="166" t="s">
        <v>5890</v>
      </c>
    </row>
    <row r="6666" spans="1:5">
      <c r="A6666" s="174">
        <f t="shared" si="96"/>
        <v>6665</v>
      </c>
      <c r="B6666" s="163">
        <v>45940</v>
      </c>
      <c r="C6666" s="164">
        <v>0.51211805555555556</v>
      </c>
      <c r="D6666" s="159">
        <v>10</v>
      </c>
      <c r="E6666" s="166" t="s">
        <v>5891</v>
      </c>
    </row>
    <row r="6667" spans="1:5">
      <c r="A6667" s="174">
        <f t="shared" si="96"/>
        <v>6666</v>
      </c>
      <c r="B6667" s="163">
        <v>45940</v>
      </c>
      <c r="C6667" s="164">
        <v>0.53270833333333334</v>
      </c>
      <c r="D6667" s="159">
        <v>10</v>
      </c>
      <c r="E6667" s="166" t="s">
        <v>5892</v>
      </c>
    </row>
    <row r="6668" spans="1:5">
      <c r="A6668" s="174">
        <f t="shared" si="96"/>
        <v>6667</v>
      </c>
      <c r="B6668" s="163">
        <v>45940</v>
      </c>
      <c r="C6668" s="164">
        <v>0.54986111111111113</v>
      </c>
      <c r="D6668" s="159">
        <v>10</v>
      </c>
      <c r="E6668" s="166" t="s">
        <v>313</v>
      </c>
    </row>
    <row r="6669" spans="1:5">
      <c r="A6669" s="174">
        <f t="shared" si="96"/>
        <v>6668</v>
      </c>
      <c r="B6669" s="163">
        <v>45940</v>
      </c>
      <c r="C6669" s="164">
        <v>0.55533564814814818</v>
      </c>
      <c r="D6669" s="159">
        <v>10</v>
      </c>
      <c r="E6669" s="166" t="s">
        <v>5893</v>
      </c>
    </row>
    <row r="6670" spans="1:5">
      <c r="A6670" s="174">
        <f t="shared" si="96"/>
        <v>6669</v>
      </c>
      <c r="B6670" s="163">
        <v>45940</v>
      </c>
      <c r="C6670" s="164">
        <v>0.56277777777777771</v>
      </c>
      <c r="D6670" s="159">
        <v>10</v>
      </c>
      <c r="E6670" s="166" t="s">
        <v>5894</v>
      </c>
    </row>
    <row r="6671" spans="1:5">
      <c r="A6671" s="174">
        <f t="shared" si="96"/>
        <v>6670</v>
      </c>
      <c r="B6671" s="163">
        <v>45940</v>
      </c>
      <c r="C6671" s="164">
        <v>0.56418981481481478</v>
      </c>
      <c r="D6671" s="159">
        <v>10</v>
      </c>
      <c r="E6671" s="166" t="s">
        <v>5895</v>
      </c>
    </row>
    <row r="6672" spans="1:5">
      <c r="A6672" s="174">
        <f t="shared" si="96"/>
        <v>6671</v>
      </c>
      <c r="B6672" s="163">
        <v>45940</v>
      </c>
      <c r="C6672" s="164">
        <v>0.5733449074074074</v>
      </c>
      <c r="D6672" s="159">
        <v>10</v>
      </c>
      <c r="E6672" s="166" t="s">
        <v>5896</v>
      </c>
    </row>
    <row r="6673" spans="1:5">
      <c r="A6673" s="174">
        <f t="shared" si="96"/>
        <v>6672</v>
      </c>
      <c r="B6673" s="163">
        <v>45940</v>
      </c>
      <c r="C6673" s="164">
        <v>0.57340277777777782</v>
      </c>
      <c r="D6673" s="159">
        <v>10</v>
      </c>
      <c r="E6673" s="166" t="s">
        <v>5897</v>
      </c>
    </row>
    <row r="6674" spans="1:5">
      <c r="A6674" s="174">
        <f t="shared" si="96"/>
        <v>6673</v>
      </c>
      <c r="B6674" s="163">
        <v>45940</v>
      </c>
      <c r="C6674" s="164">
        <v>0.57439814814814816</v>
      </c>
      <c r="D6674" s="159">
        <v>10</v>
      </c>
      <c r="E6674" s="166" t="s">
        <v>5898</v>
      </c>
    </row>
    <row r="6675" spans="1:5">
      <c r="A6675" s="174">
        <f t="shared" si="96"/>
        <v>6674</v>
      </c>
      <c r="B6675" s="163">
        <v>45940</v>
      </c>
      <c r="C6675" s="164">
        <v>0.57446759259259261</v>
      </c>
      <c r="D6675" s="159">
        <v>10</v>
      </c>
      <c r="E6675" s="166" t="s">
        <v>5899</v>
      </c>
    </row>
    <row r="6676" spans="1:5">
      <c r="A6676" s="174">
        <f t="shared" si="96"/>
        <v>6675</v>
      </c>
      <c r="B6676" s="163">
        <v>45940</v>
      </c>
      <c r="C6676" s="164">
        <v>0.57565972222222228</v>
      </c>
      <c r="D6676" s="159">
        <v>10</v>
      </c>
      <c r="E6676" s="166" t="s">
        <v>5900</v>
      </c>
    </row>
    <row r="6677" spans="1:5">
      <c r="A6677" s="174">
        <f t="shared" si="96"/>
        <v>6676</v>
      </c>
      <c r="B6677" s="163">
        <v>45940</v>
      </c>
      <c r="C6677" s="164">
        <v>0.5779629629629629</v>
      </c>
      <c r="D6677" s="159">
        <v>10</v>
      </c>
      <c r="E6677" s="166" t="s">
        <v>690</v>
      </c>
    </row>
    <row r="6678" spans="1:5">
      <c r="A6678" s="174">
        <f t="shared" si="96"/>
        <v>6677</v>
      </c>
      <c r="B6678" s="163">
        <v>45940</v>
      </c>
      <c r="C6678" s="164">
        <v>0.57799768518518524</v>
      </c>
      <c r="D6678" s="159">
        <v>10</v>
      </c>
      <c r="E6678" s="166" t="s">
        <v>5901</v>
      </c>
    </row>
    <row r="6679" spans="1:5">
      <c r="A6679" s="174">
        <f t="shared" si="96"/>
        <v>6678</v>
      </c>
      <c r="B6679" s="163">
        <v>45940</v>
      </c>
      <c r="C6679" s="164">
        <v>0.61686342592592591</v>
      </c>
      <c r="D6679" s="159">
        <v>10</v>
      </c>
      <c r="E6679" s="166" t="s">
        <v>5902</v>
      </c>
    </row>
    <row r="6680" spans="1:5">
      <c r="A6680" s="174">
        <f t="shared" si="96"/>
        <v>6679</v>
      </c>
      <c r="B6680" s="163">
        <v>45940</v>
      </c>
      <c r="C6680" s="164">
        <v>0.61695601851851845</v>
      </c>
      <c r="D6680" s="159">
        <v>10</v>
      </c>
      <c r="E6680" s="166" t="s">
        <v>5903</v>
      </c>
    </row>
    <row r="6681" spans="1:5">
      <c r="A6681" s="174">
        <f t="shared" si="96"/>
        <v>6680</v>
      </c>
      <c r="B6681" s="163">
        <v>45940</v>
      </c>
      <c r="C6681" s="164">
        <v>0.62062499999999998</v>
      </c>
      <c r="D6681" s="159">
        <v>10</v>
      </c>
      <c r="E6681" s="166" t="s">
        <v>5904</v>
      </c>
    </row>
    <row r="6682" spans="1:5">
      <c r="A6682" s="174">
        <f t="shared" si="96"/>
        <v>6681</v>
      </c>
      <c r="B6682" s="163">
        <v>45940</v>
      </c>
      <c r="C6682" s="164">
        <v>0.62075231481481474</v>
      </c>
      <c r="D6682" s="159">
        <v>10</v>
      </c>
      <c r="E6682" s="166" t="s">
        <v>5905</v>
      </c>
    </row>
    <row r="6683" spans="1:5">
      <c r="A6683" s="174">
        <f t="shared" si="96"/>
        <v>6682</v>
      </c>
      <c r="B6683" s="163">
        <v>45940</v>
      </c>
      <c r="C6683" s="164">
        <v>0.62395833333333328</v>
      </c>
      <c r="D6683" s="159">
        <v>10</v>
      </c>
      <c r="E6683" s="166" t="s">
        <v>5906</v>
      </c>
    </row>
    <row r="6684" spans="1:5">
      <c r="A6684" s="174">
        <f t="shared" si="96"/>
        <v>6683</v>
      </c>
      <c r="B6684" s="163">
        <v>45940</v>
      </c>
      <c r="C6684" s="164">
        <v>0.62443287037037043</v>
      </c>
      <c r="D6684" s="159">
        <v>10</v>
      </c>
      <c r="E6684" s="166" t="s">
        <v>5907</v>
      </c>
    </row>
    <row r="6685" spans="1:5">
      <c r="A6685" s="174">
        <f t="shared" si="96"/>
        <v>6684</v>
      </c>
      <c r="B6685" s="163">
        <v>45940</v>
      </c>
      <c r="C6685" s="164">
        <v>0.62572916666666667</v>
      </c>
      <c r="D6685" s="159">
        <v>10</v>
      </c>
      <c r="E6685" s="166" t="s">
        <v>5908</v>
      </c>
    </row>
    <row r="6686" spans="1:5">
      <c r="A6686" s="174">
        <f t="shared" si="96"/>
        <v>6685</v>
      </c>
      <c r="B6686" s="163">
        <v>45940</v>
      </c>
      <c r="C6686" s="164">
        <v>0.63535879629629632</v>
      </c>
      <c r="D6686" s="159">
        <v>10</v>
      </c>
      <c r="E6686" s="166" t="s">
        <v>5909</v>
      </c>
    </row>
    <row r="6687" spans="1:5">
      <c r="A6687" s="174">
        <f t="shared" si="96"/>
        <v>6686</v>
      </c>
      <c r="B6687" s="163">
        <v>45940</v>
      </c>
      <c r="C6687" s="164">
        <v>0.63619212962962968</v>
      </c>
      <c r="D6687" s="159">
        <v>10</v>
      </c>
      <c r="E6687" s="166" t="s">
        <v>5910</v>
      </c>
    </row>
    <row r="6688" spans="1:5">
      <c r="A6688" s="174">
        <f t="shared" si="96"/>
        <v>6687</v>
      </c>
      <c r="B6688" s="163">
        <v>45940</v>
      </c>
      <c r="C6688" s="164">
        <v>0.64238425925925924</v>
      </c>
      <c r="D6688" s="159">
        <v>8</v>
      </c>
      <c r="E6688" s="166" t="s">
        <v>5911</v>
      </c>
    </row>
    <row r="6689" spans="1:5">
      <c r="A6689" s="174">
        <f t="shared" si="96"/>
        <v>6688</v>
      </c>
      <c r="B6689" s="163">
        <v>45940</v>
      </c>
      <c r="C6689" s="164">
        <v>0.64594907407407409</v>
      </c>
      <c r="D6689" s="159">
        <v>10</v>
      </c>
      <c r="E6689" s="166" t="s">
        <v>785</v>
      </c>
    </row>
    <row r="6690" spans="1:5">
      <c r="A6690" s="174">
        <f t="shared" si="96"/>
        <v>6689</v>
      </c>
      <c r="B6690" s="163">
        <v>45940</v>
      </c>
      <c r="C6690" s="164">
        <v>0.64719907407407407</v>
      </c>
      <c r="D6690" s="159">
        <v>10</v>
      </c>
      <c r="E6690" s="166" t="s">
        <v>5912</v>
      </c>
    </row>
    <row r="6691" spans="1:5">
      <c r="A6691" s="174">
        <f t="shared" si="96"/>
        <v>6690</v>
      </c>
      <c r="B6691" s="163">
        <v>45940</v>
      </c>
      <c r="C6691" s="164">
        <v>0.64731481481481479</v>
      </c>
      <c r="D6691" s="159">
        <v>10</v>
      </c>
      <c r="E6691" s="166" t="s">
        <v>5913</v>
      </c>
    </row>
    <row r="6692" spans="1:5">
      <c r="A6692" s="174">
        <f t="shared" si="96"/>
        <v>6691</v>
      </c>
      <c r="B6692" s="163">
        <v>45940</v>
      </c>
      <c r="C6692" s="164">
        <v>0.66181712962962969</v>
      </c>
      <c r="D6692" s="159">
        <v>10</v>
      </c>
      <c r="E6692" s="166" t="s">
        <v>5914</v>
      </c>
    </row>
    <row r="6693" spans="1:5">
      <c r="A6693" s="174">
        <f t="shared" si="96"/>
        <v>6692</v>
      </c>
      <c r="B6693" s="163">
        <v>45940</v>
      </c>
      <c r="C6693" s="164">
        <v>0.66261574074074081</v>
      </c>
      <c r="D6693" s="159">
        <v>10</v>
      </c>
      <c r="E6693" s="166" t="s">
        <v>5915</v>
      </c>
    </row>
    <row r="6694" spans="1:5">
      <c r="A6694" s="174">
        <f t="shared" si="96"/>
        <v>6693</v>
      </c>
      <c r="B6694" s="163">
        <v>45940</v>
      </c>
      <c r="C6694" s="164">
        <v>0.66843750000000002</v>
      </c>
      <c r="D6694" s="159">
        <v>10</v>
      </c>
      <c r="E6694" s="166" t="s">
        <v>5916</v>
      </c>
    </row>
    <row r="6695" spans="1:5">
      <c r="A6695" s="174">
        <f t="shared" si="96"/>
        <v>6694</v>
      </c>
      <c r="B6695" s="163">
        <v>45940</v>
      </c>
      <c r="C6695" s="164">
        <v>0.67393518518518514</v>
      </c>
      <c r="D6695" s="159">
        <v>10</v>
      </c>
      <c r="E6695" s="166" t="s">
        <v>5917</v>
      </c>
    </row>
    <row r="6696" spans="1:5">
      <c r="A6696" s="174">
        <f t="shared" si="96"/>
        <v>6695</v>
      </c>
      <c r="B6696" s="163">
        <v>45940</v>
      </c>
      <c r="C6696" s="164">
        <v>0.67487268518518517</v>
      </c>
      <c r="D6696" s="159">
        <v>10</v>
      </c>
      <c r="E6696" s="166" t="s">
        <v>5918</v>
      </c>
    </row>
    <row r="6697" spans="1:5">
      <c r="A6697" s="174">
        <f t="shared" si="96"/>
        <v>6696</v>
      </c>
      <c r="B6697" s="163">
        <v>45940</v>
      </c>
      <c r="C6697" s="164">
        <v>0.67540509259259263</v>
      </c>
      <c r="D6697" s="159">
        <v>10</v>
      </c>
      <c r="E6697" s="166" t="s">
        <v>5919</v>
      </c>
    </row>
    <row r="6698" spans="1:5">
      <c r="A6698" s="174">
        <f t="shared" si="96"/>
        <v>6697</v>
      </c>
      <c r="B6698" s="163">
        <v>45940</v>
      </c>
      <c r="C6698" s="164">
        <v>0.68096064814814816</v>
      </c>
      <c r="D6698" s="159">
        <v>10</v>
      </c>
      <c r="E6698" s="166" t="s">
        <v>5920</v>
      </c>
    </row>
    <row r="6699" spans="1:5">
      <c r="A6699" s="174">
        <f t="shared" si="96"/>
        <v>6698</v>
      </c>
      <c r="B6699" s="163">
        <v>45940</v>
      </c>
      <c r="C6699" s="164">
        <v>0.68804398148148149</v>
      </c>
      <c r="D6699" s="159">
        <v>10</v>
      </c>
      <c r="E6699" s="166" t="s">
        <v>5921</v>
      </c>
    </row>
    <row r="6700" spans="1:5">
      <c r="A6700" s="174">
        <f t="shared" si="96"/>
        <v>6699</v>
      </c>
      <c r="B6700" s="163">
        <v>45940</v>
      </c>
      <c r="C6700" s="164">
        <v>0.69138888888888894</v>
      </c>
      <c r="D6700" s="159">
        <v>10</v>
      </c>
      <c r="E6700" s="166" t="s">
        <v>2584</v>
      </c>
    </row>
    <row r="6701" spans="1:5">
      <c r="A6701" s="174">
        <f t="shared" si="96"/>
        <v>6700</v>
      </c>
      <c r="B6701" s="163">
        <v>45940</v>
      </c>
      <c r="C6701" s="164">
        <v>0.69261574074074073</v>
      </c>
      <c r="D6701" s="159">
        <v>10</v>
      </c>
      <c r="E6701" s="166" t="s">
        <v>5922</v>
      </c>
    </row>
    <row r="6702" spans="1:5">
      <c r="A6702" s="174">
        <f t="shared" si="96"/>
        <v>6701</v>
      </c>
      <c r="B6702" s="163">
        <v>45940</v>
      </c>
      <c r="C6702" s="164">
        <v>0.69505787037037037</v>
      </c>
      <c r="D6702" s="159">
        <v>10</v>
      </c>
      <c r="E6702" s="166" t="s">
        <v>5923</v>
      </c>
    </row>
    <row r="6703" spans="1:5">
      <c r="A6703" s="174">
        <f t="shared" si="96"/>
        <v>6702</v>
      </c>
      <c r="B6703" s="163">
        <v>45940</v>
      </c>
      <c r="C6703" s="164">
        <v>0.7007175925925927</v>
      </c>
      <c r="D6703" s="159">
        <v>10</v>
      </c>
      <c r="E6703" s="166" t="s">
        <v>5924</v>
      </c>
    </row>
    <row r="6704" spans="1:5">
      <c r="A6704" s="174">
        <f t="shared" si="96"/>
        <v>6703</v>
      </c>
      <c r="B6704" s="163">
        <v>45940</v>
      </c>
      <c r="C6704" s="164">
        <v>0.70421296296296287</v>
      </c>
      <c r="D6704" s="159">
        <v>10</v>
      </c>
      <c r="E6704" s="166" t="s">
        <v>5925</v>
      </c>
    </row>
    <row r="6705" spans="1:5">
      <c r="A6705" s="174">
        <f t="shared" si="96"/>
        <v>6704</v>
      </c>
      <c r="B6705" s="163">
        <v>45940</v>
      </c>
      <c r="C6705" s="164">
        <v>0.72285879629629635</v>
      </c>
      <c r="D6705" s="159">
        <v>10</v>
      </c>
      <c r="E6705" s="166" t="s">
        <v>5926</v>
      </c>
    </row>
    <row r="6706" spans="1:5">
      <c r="A6706" s="174">
        <f t="shared" si="96"/>
        <v>6705</v>
      </c>
      <c r="B6706" s="163">
        <v>45940</v>
      </c>
      <c r="C6706" s="164">
        <v>0.72649305555555566</v>
      </c>
      <c r="D6706" s="159">
        <v>10</v>
      </c>
      <c r="E6706" s="166" t="s">
        <v>5927</v>
      </c>
    </row>
    <row r="6707" spans="1:5">
      <c r="A6707" s="174">
        <f t="shared" si="96"/>
        <v>6706</v>
      </c>
      <c r="B6707" s="163">
        <v>45940</v>
      </c>
      <c r="C6707" s="164">
        <v>0.72668981481481476</v>
      </c>
      <c r="D6707" s="159">
        <v>10</v>
      </c>
      <c r="E6707" s="166" t="s">
        <v>5928</v>
      </c>
    </row>
    <row r="6708" spans="1:5" ht="27">
      <c r="A6708" s="174">
        <f t="shared" si="96"/>
        <v>6707</v>
      </c>
      <c r="B6708" s="163">
        <v>45940</v>
      </c>
      <c r="C6708" s="164">
        <v>0.73179398148148145</v>
      </c>
      <c r="D6708" s="159">
        <v>10</v>
      </c>
      <c r="E6708" s="166" t="s">
        <v>5945</v>
      </c>
    </row>
    <row r="6709" spans="1:5">
      <c r="A6709" s="174">
        <f t="shared" ref="A6709:A6772" si="97">ROW()-1</f>
        <v>6708</v>
      </c>
      <c r="B6709" s="163">
        <v>45940</v>
      </c>
      <c r="C6709" s="164">
        <v>0.74879629629629629</v>
      </c>
      <c r="D6709" s="159">
        <v>10</v>
      </c>
      <c r="E6709" s="166" t="s">
        <v>5929</v>
      </c>
    </row>
    <row r="6710" spans="1:5">
      <c r="A6710" s="174">
        <f t="shared" si="97"/>
        <v>6709</v>
      </c>
      <c r="B6710" s="163">
        <v>45940</v>
      </c>
      <c r="C6710" s="164">
        <v>0.7505208333333333</v>
      </c>
      <c r="D6710" s="159">
        <v>10</v>
      </c>
      <c r="E6710" s="166" t="s">
        <v>5930</v>
      </c>
    </row>
    <row r="6711" spans="1:5">
      <c r="A6711" s="174">
        <f t="shared" si="97"/>
        <v>6710</v>
      </c>
      <c r="B6711" s="163">
        <v>45940</v>
      </c>
      <c r="C6711" s="164">
        <v>0.77762731481481484</v>
      </c>
      <c r="D6711" s="159">
        <v>10</v>
      </c>
      <c r="E6711" s="166" t="s">
        <v>4752</v>
      </c>
    </row>
    <row r="6712" spans="1:5">
      <c r="A6712" s="174">
        <f t="shared" si="97"/>
        <v>6711</v>
      </c>
      <c r="B6712" s="163">
        <v>45940</v>
      </c>
      <c r="C6712" s="164">
        <v>0.79364583333333327</v>
      </c>
      <c r="D6712" s="159">
        <v>10</v>
      </c>
      <c r="E6712" s="166" t="s">
        <v>5931</v>
      </c>
    </row>
    <row r="6713" spans="1:5">
      <c r="A6713" s="174">
        <f t="shared" si="97"/>
        <v>6712</v>
      </c>
      <c r="B6713" s="163">
        <v>45940</v>
      </c>
      <c r="C6713" s="164">
        <v>0.86750000000000005</v>
      </c>
      <c r="D6713" s="159">
        <v>10</v>
      </c>
      <c r="E6713" s="166" t="s">
        <v>5932</v>
      </c>
    </row>
    <row r="6714" spans="1:5">
      <c r="A6714" s="174">
        <f t="shared" si="97"/>
        <v>6713</v>
      </c>
      <c r="B6714" s="163">
        <v>45940</v>
      </c>
      <c r="C6714" s="164">
        <v>0.87337962962962967</v>
      </c>
      <c r="D6714" s="159">
        <v>10</v>
      </c>
      <c r="E6714" s="166" t="s">
        <v>5933</v>
      </c>
    </row>
    <row r="6715" spans="1:5">
      <c r="A6715" s="174">
        <f t="shared" si="97"/>
        <v>6714</v>
      </c>
      <c r="B6715" s="163">
        <v>45940</v>
      </c>
      <c r="C6715" s="164">
        <v>0.87968750000000007</v>
      </c>
      <c r="D6715" s="159">
        <v>10</v>
      </c>
      <c r="E6715" s="166" t="s">
        <v>5934</v>
      </c>
    </row>
    <row r="6716" spans="1:5">
      <c r="A6716" s="174">
        <f t="shared" si="97"/>
        <v>6715</v>
      </c>
      <c r="B6716" s="163">
        <v>45940</v>
      </c>
      <c r="C6716" s="164">
        <v>0.90504629629629629</v>
      </c>
      <c r="D6716" s="159">
        <v>10</v>
      </c>
      <c r="E6716" s="166" t="s">
        <v>5935</v>
      </c>
    </row>
    <row r="6717" spans="1:5">
      <c r="A6717" s="174">
        <f t="shared" si="97"/>
        <v>6716</v>
      </c>
      <c r="B6717" s="163">
        <v>45941</v>
      </c>
      <c r="C6717" s="164">
        <v>0.38828703703703704</v>
      </c>
      <c r="D6717" s="159">
        <v>10</v>
      </c>
      <c r="E6717" s="166" t="s">
        <v>5936</v>
      </c>
    </row>
    <row r="6718" spans="1:5">
      <c r="A6718" s="174">
        <f t="shared" si="97"/>
        <v>6717</v>
      </c>
      <c r="B6718" s="163">
        <v>45941</v>
      </c>
      <c r="C6718" s="164">
        <v>0.41190972222222227</v>
      </c>
      <c r="D6718" s="159">
        <v>10</v>
      </c>
      <c r="E6718" s="166" t="s">
        <v>5937</v>
      </c>
    </row>
    <row r="6719" spans="1:5">
      <c r="A6719" s="174">
        <f t="shared" si="97"/>
        <v>6718</v>
      </c>
      <c r="B6719" s="163">
        <v>45941</v>
      </c>
      <c r="C6719" s="164">
        <v>0.43574074074074076</v>
      </c>
      <c r="D6719" s="159">
        <v>10</v>
      </c>
      <c r="E6719" s="166" t="s">
        <v>5938</v>
      </c>
    </row>
    <row r="6720" spans="1:5">
      <c r="A6720" s="174">
        <f t="shared" si="97"/>
        <v>6719</v>
      </c>
      <c r="B6720" s="163">
        <v>45941</v>
      </c>
      <c r="C6720" s="164">
        <v>0.47287037037037033</v>
      </c>
      <c r="D6720" s="159">
        <v>10</v>
      </c>
      <c r="E6720" s="166" t="s">
        <v>5939</v>
      </c>
    </row>
    <row r="6721" spans="1:5">
      <c r="A6721" s="174">
        <f t="shared" si="97"/>
        <v>6720</v>
      </c>
      <c r="B6721" s="163">
        <v>45941</v>
      </c>
      <c r="C6721" s="164">
        <v>0.51800925925925922</v>
      </c>
      <c r="D6721" s="159">
        <v>10</v>
      </c>
      <c r="E6721" s="166" t="s">
        <v>5940</v>
      </c>
    </row>
    <row r="6722" spans="1:5">
      <c r="A6722" s="174">
        <f t="shared" si="97"/>
        <v>6721</v>
      </c>
      <c r="B6722" s="163">
        <v>45941</v>
      </c>
      <c r="C6722" s="164">
        <v>0.52907407407407414</v>
      </c>
      <c r="D6722" s="159">
        <v>10</v>
      </c>
      <c r="E6722" s="166" t="s">
        <v>5941</v>
      </c>
    </row>
    <row r="6723" spans="1:5">
      <c r="A6723" s="174">
        <f t="shared" si="97"/>
        <v>6722</v>
      </c>
      <c r="B6723" s="163">
        <v>45941</v>
      </c>
      <c r="C6723" s="164">
        <v>0.53427083333333336</v>
      </c>
      <c r="D6723" s="159">
        <v>10</v>
      </c>
      <c r="E6723" s="166" t="s">
        <v>5942</v>
      </c>
    </row>
    <row r="6724" spans="1:5">
      <c r="A6724" s="174">
        <f t="shared" si="97"/>
        <v>6723</v>
      </c>
      <c r="B6724" s="163">
        <v>45941</v>
      </c>
      <c r="C6724" s="164">
        <v>0.54240740740740734</v>
      </c>
      <c r="D6724" s="159">
        <v>10</v>
      </c>
      <c r="E6724" s="166" t="s">
        <v>494</v>
      </c>
    </row>
    <row r="6725" spans="1:5">
      <c r="A6725" s="174">
        <f t="shared" si="97"/>
        <v>6724</v>
      </c>
      <c r="B6725" s="163">
        <v>45941</v>
      </c>
      <c r="C6725" s="164">
        <v>0.54628472222222224</v>
      </c>
      <c r="D6725" s="159">
        <v>10</v>
      </c>
      <c r="E6725" s="166" t="s">
        <v>2771</v>
      </c>
    </row>
    <row r="6726" spans="1:5">
      <c r="A6726" s="174">
        <f t="shared" si="97"/>
        <v>6725</v>
      </c>
      <c r="B6726" s="163">
        <v>45941</v>
      </c>
      <c r="C6726" s="164">
        <v>0.56552083333333336</v>
      </c>
      <c r="D6726" s="159">
        <v>10</v>
      </c>
      <c r="E6726" s="166" t="s">
        <v>5943</v>
      </c>
    </row>
    <row r="6727" spans="1:5">
      <c r="A6727" s="174">
        <f t="shared" si="97"/>
        <v>6726</v>
      </c>
      <c r="B6727" s="163">
        <v>45941</v>
      </c>
      <c r="C6727" s="164">
        <v>0.64593749999999994</v>
      </c>
      <c r="D6727" s="159">
        <v>10</v>
      </c>
      <c r="E6727" s="166" t="s">
        <v>5944</v>
      </c>
    </row>
    <row r="6728" spans="1:5">
      <c r="A6728" s="174">
        <f t="shared" si="97"/>
        <v>6727</v>
      </c>
      <c r="B6728" s="163">
        <v>45941</v>
      </c>
      <c r="C6728" s="164">
        <v>0.68873842592592593</v>
      </c>
      <c r="D6728" s="159">
        <v>10</v>
      </c>
      <c r="E6728" s="166" t="s">
        <v>537</v>
      </c>
    </row>
    <row r="6729" spans="1:5">
      <c r="A6729" s="174">
        <f t="shared" si="97"/>
        <v>6728</v>
      </c>
      <c r="B6729" s="163">
        <v>45943</v>
      </c>
      <c r="C6729" s="164">
        <v>0.40204861111111106</v>
      </c>
      <c r="D6729" s="159">
        <v>10</v>
      </c>
      <c r="E6729" s="166" t="s">
        <v>5946</v>
      </c>
    </row>
    <row r="6730" spans="1:5">
      <c r="A6730" s="174">
        <f t="shared" si="97"/>
        <v>6729</v>
      </c>
      <c r="B6730" s="163">
        <v>45943</v>
      </c>
      <c r="C6730" s="164">
        <v>0.41268518518518515</v>
      </c>
      <c r="D6730" s="159">
        <v>10</v>
      </c>
      <c r="E6730" s="166" t="s">
        <v>5947</v>
      </c>
    </row>
    <row r="6731" spans="1:5">
      <c r="A6731" s="174">
        <f t="shared" si="97"/>
        <v>6730</v>
      </c>
      <c r="B6731" s="163">
        <v>45943</v>
      </c>
      <c r="C6731" s="164">
        <v>0.41555555555555551</v>
      </c>
      <c r="D6731" s="159">
        <v>10</v>
      </c>
      <c r="E6731" s="166" t="s">
        <v>5948</v>
      </c>
    </row>
    <row r="6732" spans="1:5">
      <c r="A6732" s="174">
        <f t="shared" si="97"/>
        <v>6731</v>
      </c>
      <c r="B6732" s="163">
        <v>45943</v>
      </c>
      <c r="C6732" s="164">
        <v>0.42020833333333335</v>
      </c>
      <c r="D6732" s="159">
        <v>10</v>
      </c>
      <c r="E6732" s="166" t="s">
        <v>5949</v>
      </c>
    </row>
    <row r="6733" spans="1:5">
      <c r="A6733" s="174">
        <f t="shared" si="97"/>
        <v>6732</v>
      </c>
      <c r="B6733" s="163">
        <v>45943</v>
      </c>
      <c r="C6733" s="164">
        <v>0.42197916666666663</v>
      </c>
      <c r="D6733" s="159">
        <v>10</v>
      </c>
      <c r="E6733" s="166" t="s">
        <v>5950</v>
      </c>
    </row>
    <row r="6734" spans="1:5">
      <c r="A6734" s="174">
        <f t="shared" si="97"/>
        <v>6733</v>
      </c>
      <c r="B6734" s="163">
        <v>45943</v>
      </c>
      <c r="C6734" s="164">
        <v>0.42484953703703704</v>
      </c>
      <c r="D6734" s="159">
        <v>10</v>
      </c>
      <c r="E6734" s="166" t="s">
        <v>5951</v>
      </c>
    </row>
    <row r="6735" spans="1:5">
      <c r="A6735" s="174">
        <f t="shared" si="97"/>
        <v>6734</v>
      </c>
      <c r="B6735" s="163">
        <v>45943</v>
      </c>
      <c r="C6735" s="164">
        <v>0.42702546296296301</v>
      </c>
      <c r="D6735" s="159">
        <v>10</v>
      </c>
      <c r="E6735" s="166" t="s">
        <v>5952</v>
      </c>
    </row>
    <row r="6736" spans="1:5">
      <c r="A6736" s="174">
        <f t="shared" si="97"/>
        <v>6735</v>
      </c>
      <c r="B6736" s="163">
        <v>45943</v>
      </c>
      <c r="C6736" s="164">
        <v>0.42989583333333337</v>
      </c>
      <c r="D6736" s="159">
        <v>10</v>
      </c>
      <c r="E6736" s="166" t="s">
        <v>5953</v>
      </c>
    </row>
    <row r="6737" spans="1:5">
      <c r="A6737" s="174">
        <f t="shared" si="97"/>
        <v>6736</v>
      </c>
      <c r="B6737" s="163">
        <v>45943</v>
      </c>
      <c r="C6737" s="164">
        <v>0.43487268518518518</v>
      </c>
      <c r="D6737" s="159">
        <v>10</v>
      </c>
      <c r="E6737" s="166" t="s">
        <v>5954</v>
      </c>
    </row>
    <row r="6738" spans="1:5">
      <c r="A6738" s="174">
        <f t="shared" si="97"/>
        <v>6737</v>
      </c>
      <c r="B6738" s="163">
        <v>45943</v>
      </c>
      <c r="C6738" s="164">
        <v>0.4384143518518519</v>
      </c>
      <c r="D6738" s="159">
        <v>10</v>
      </c>
      <c r="E6738" s="166" t="s">
        <v>5955</v>
      </c>
    </row>
    <row r="6739" spans="1:5">
      <c r="A6739" s="174">
        <f t="shared" si="97"/>
        <v>6738</v>
      </c>
      <c r="B6739" s="163">
        <v>45943</v>
      </c>
      <c r="C6739" s="164">
        <v>0.43921296296296292</v>
      </c>
      <c r="D6739" s="159">
        <v>10</v>
      </c>
      <c r="E6739" s="166" t="s">
        <v>5956</v>
      </c>
    </row>
    <row r="6740" spans="1:5">
      <c r="A6740" s="174">
        <f t="shared" si="97"/>
        <v>6739</v>
      </c>
      <c r="B6740" s="163">
        <v>45943</v>
      </c>
      <c r="C6740" s="164">
        <v>0.43979166666666664</v>
      </c>
      <c r="D6740" s="159">
        <v>10</v>
      </c>
      <c r="E6740" s="166" t="s">
        <v>2017</v>
      </c>
    </row>
    <row r="6741" spans="1:5">
      <c r="A6741" s="174">
        <f t="shared" si="97"/>
        <v>6740</v>
      </c>
      <c r="B6741" s="163">
        <v>45943</v>
      </c>
      <c r="C6741" s="164">
        <v>0.45998842592592593</v>
      </c>
      <c r="D6741" s="159">
        <v>10</v>
      </c>
      <c r="E6741" s="166" t="s">
        <v>5957</v>
      </c>
    </row>
    <row r="6742" spans="1:5" ht="27">
      <c r="A6742" s="174">
        <f t="shared" si="97"/>
        <v>6741</v>
      </c>
      <c r="B6742" s="163">
        <v>45943</v>
      </c>
      <c r="C6742" s="164">
        <v>0.46953703703703703</v>
      </c>
      <c r="D6742" s="159">
        <v>10</v>
      </c>
      <c r="E6742" s="166" t="s">
        <v>5958</v>
      </c>
    </row>
    <row r="6743" spans="1:5">
      <c r="A6743" s="174">
        <f t="shared" si="97"/>
        <v>6742</v>
      </c>
      <c r="B6743" s="163">
        <v>45943</v>
      </c>
      <c r="C6743" s="164">
        <v>0.47436342592592595</v>
      </c>
      <c r="D6743" s="159">
        <v>10</v>
      </c>
      <c r="E6743" s="166" t="s">
        <v>5959</v>
      </c>
    </row>
    <row r="6744" spans="1:5">
      <c r="A6744" s="174">
        <f t="shared" si="97"/>
        <v>6743</v>
      </c>
      <c r="B6744" s="163">
        <v>45943</v>
      </c>
      <c r="C6744" s="164">
        <v>0.48660879629629633</v>
      </c>
      <c r="D6744" s="159">
        <v>10</v>
      </c>
      <c r="E6744" s="166" t="s">
        <v>5960</v>
      </c>
    </row>
    <row r="6745" spans="1:5">
      <c r="A6745" s="174">
        <f t="shared" si="97"/>
        <v>6744</v>
      </c>
      <c r="B6745" s="163">
        <v>45943</v>
      </c>
      <c r="C6745" s="164">
        <v>0.48800925925925925</v>
      </c>
      <c r="D6745" s="159">
        <v>10</v>
      </c>
      <c r="E6745" s="166" t="s">
        <v>5961</v>
      </c>
    </row>
    <row r="6746" spans="1:5">
      <c r="A6746" s="174">
        <f t="shared" si="97"/>
        <v>6745</v>
      </c>
      <c r="B6746" s="163">
        <v>45943</v>
      </c>
      <c r="C6746" s="164">
        <v>0.51170138888888894</v>
      </c>
      <c r="D6746" s="159">
        <v>10</v>
      </c>
      <c r="E6746" s="166" t="s">
        <v>5962</v>
      </c>
    </row>
    <row r="6747" spans="1:5">
      <c r="A6747" s="174">
        <f t="shared" si="97"/>
        <v>6746</v>
      </c>
      <c r="B6747" s="163">
        <v>45943</v>
      </c>
      <c r="C6747" s="164">
        <v>0.58771990740740743</v>
      </c>
      <c r="D6747" s="159">
        <v>8</v>
      </c>
      <c r="E6747" s="166" t="s">
        <v>925</v>
      </c>
    </row>
    <row r="6748" spans="1:5">
      <c r="A6748" s="174">
        <f t="shared" si="97"/>
        <v>6747</v>
      </c>
      <c r="B6748" s="163">
        <v>45943</v>
      </c>
      <c r="C6748" s="164">
        <v>0.61526620370370366</v>
      </c>
      <c r="D6748" s="159">
        <v>10</v>
      </c>
      <c r="E6748" s="166" t="s">
        <v>5963</v>
      </c>
    </row>
    <row r="6749" spans="1:5">
      <c r="A6749" s="174">
        <f t="shared" si="97"/>
        <v>6748</v>
      </c>
      <c r="B6749" s="163">
        <v>45943</v>
      </c>
      <c r="C6749" s="164">
        <v>0.62348379629629636</v>
      </c>
      <c r="D6749" s="159">
        <v>10</v>
      </c>
      <c r="E6749" s="166" t="s">
        <v>5964</v>
      </c>
    </row>
    <row r="6750" spans="1:5">
      <c r="A6750" s="174">
        <f t="shared" si="97"/>
        <v>6749</v>
      </c>
      <c r="B6750" s="163">
        <v>45943</v>
      </c>
      <c r="C6750" s="164">
        <v>0.62614583333333329</v>
      </c>
      <c r="D6750" s="159">
        <v>10</v>
      </c>
      <c r="E6750" s="166" t="s">
        <v>5965</v>
      </c>
    </row>
    <row r="6751" spans="1:5">
      <c r="A6751" s="174">
        <f t="shared" si="97"/>
        <v>6750</v>
      </c>
      <c r="B6751" s="163">
        <v>45943</v>
      </c>
      <c r="C6751" s="164">
        <v>0.62775462962962958</v>
      </c>
      <c r="D6751" s="159">
        <v>10</v>
      </c>
      <c r="E6751" s="166" t="s">
        <v>5966</v>
      </c>
    </row>
    <row r="6752" spans="1:5">
      <c r="A6752" s="174">
        <f t="shared" si="97"/>
        <v>6751</v>
      </c>
      <c r="B6752" s="163">
        <v>45943</v>
      </c>
      <c r="C6752" s="164">
        <v>0.63225694444444447</v>
      </c>
      <c r="D6752" s="159">
        <v>10</v>
      </c>
      <c r="E6752" s="166" t="s">
        <v>5967</v>
      </c>
    </row>
    <row r="6753" spans="1:5">
      <c r="A6753" s="174">
        <f t="shared" si="97"/>
        <v>6752</v>
      </c>
      <c r="B6753" s="163">
        <v>45943</v>
      </c>
      <c r="C6753" s="164">
        <v>0.65289351851851851</v>
      </c>
      <c r="D6753" s="159">
        <v>10</v>
      </c>
      <c r="E6753" s="166" t="s">
        <v>5968</v>
      </c>
    </row>
    <row r="6754" spans="1:5">
      <c r="A6754" s="174">
        <f t="shared" si="97"/>
        <v>6753</v>
      </c>
      <c r="B6754" s="163">
        <v>45943</v>
      </c>
      <c r="C6754" s="164">
        <v>0.66394675925925928</v>
      </c>
      <c r="D6754" s="159">
        <v>10</v>
      </c>
      <c r="E6754" s="166" t="s">
        <v>5969</v>
      </c>
    </row>
    <row r="6755" spans="1:5">
      <c r="A6755" s="174">
        <f t="shared" si="97"/>
        <v>6754</v>
      </c>
      <c r="B6755" s="163">
        <v>45943</v>
      </c>
      <c r="C6755" s="164">
        <v>0.6683217592592593</v>
      </c>
      <c r="D6755" s="159">
        <v>10</v>
      </c>
      <c r="E6755" s="166" t="s">
        <v>5970</v>
      </c>
    </row>
    <row r="6756" spans="1:5">
      <c r="A6756" s="174">
        <f t="shared" si="97"/>
        <v>6755</v>
      </c>
      <c r="B6756" s="163">
        <v>45943</v>
      </c>
      <c r="C6756" s="164">
        <v>0.67019675925925926</v>
      </c>
      <c r="D6756" s="159">
        <v>10</v>
      </c>
      <c r="E6756" s="166" t="s">
        <v>5971</v>
      </c>
    </row>
    <row r="6757" spans="1:5">
      <c r="A6757" s="174">
        <f t="shared" si="97"/>
        <v>6756</v>
      </c>
      <c r="B6757" s="163">
        <v>45943</v>
      </c>
      <c r="C6757" s="164">
        <v>0.68678240740740737</v>
      </c>
      <c r="D6757" s="159">
        <v>10</v>
      </c>
      <c r="E6757" s="166" t="s">
        <v>5972</v>
      </c>
    </row>
    <row r="6758" spans="1:5">
      <c r="A6758" s="174">
        <f t="shared" si="97"/>
        <v>6757</v>
      </c>
      <c r="B6758" s="163">
        <v>45943</v>
      </c>
      <c r="C6758" s="164">
        <v>0.7007175925925927</v>
      </c>
      <c r="D6758" s="159">
        <v>10</v>
      </c>
      <c r="E6758" s="166" t="s">
        <v>5973</v>
      </c>
    </row>
    <row r="6759" spans="1:5">
      <c r="A6759" s="174">
        <f t="shared" si="97"/>
        <v>6758</v>
      </c>
      <c r="B6759" s="163">
        <v>45943</v>
      </c>
      <c r="C6759" s="164">
        <v>0.70644675925925926</v>
      </c>
      <c r="D6759" s="159">
        <v>10</v>
      </c>
      <c r="E6759" s="166" t="s">
        <v>5974</v>
      </c>
    </row>
    <row r="6760" spans="1:5">
      <c r="A6760" s="174">
        <f t="shared" si="97"/>
        <v>6759</v>
      </c>
      <c r="B6760" s="163">
        <v>45943</v>
      </c>
      <c r="C6760" s="164">
        <v>0.71248842592592598</v>
      </c>
      <c r="D6760" s="159">
        <v>10</v>
      </c>
      <c r="E6760" s="166" t="s">
        <v>2094</v>
      </c>
    </row>
    <row r="6761" spans="1:5">
      <c r="A6761" s="174">
        <f t="shared" si="97"/>
        <v>6760</v>
      </c>
      <c r="B6761" s="163">
        <v>45943</v>
      </c>
      <c r="C6761" s="164">
        <v>0.73850694444444442</v>
      </c>
      <c r="D6761" s="159">
        <v>10</v>
      </c>
      <c r="E6761" s="166" t="s">
        <v>5975</v>
      </c>
    </row>
    <row r="6762" spans="1:5">
      <c r="A6762" s="174">
        <f t="shared" si="97"/>
        <v>6761</v>
      </c>
      <c r="B6762" s="163">
        <v>45943</v>
      </c>
      <c r="C6762" s="164">
        <v>0.7424074074074074</v>
      </c>
      <c r="D6762" s="159">
        <v>10</v>
      </c>
      <c r="E6762" s="166" t="s">
        <v>5980</v>
      </c>
    </row>
    <row r="6763" spans="1:5">
      <c r="A6763" s="174">
        <f t="shared" si="97"/>
        <v>6762</v>
      </c>
      <c r="B6763" s="163">
        <v>45943</v>
      </c>
      <c r="C6763" s="164">
        <v>0.75061342592592595</v>
      </c>
      <c r="D6763" s="159">
        <v>10</v>
      </c>
      <c r="E6763" s="166" t="s">
        <v>5976</v>
      </c>
    </row>
    <row r="6764" spans="1:5">
      <c r="A6764" s="174">
        <f t="shared" si="97"/>
        <v>6763</v>
      </c>
      <c r="B6764" s="163">
        <v>45943</v>
      </c>
      <c r="C6764" s="164">
        <v>0.78017361111111105</v>
      </c>
      <c r="D6764" s="159">
        <v>10</v>
      </c>
      <c r="E6764" s="166" t="s">
        <v>5981</v>
      </c>
    </row>
    <row r="6765" spans="1:5">
      <c r="A6765" s="174">
        <f t="shared" si="97"/>
        <v>6764</v>
      </c>
      <c r="B6765" s="163">
        <v>45943</v>
      </c>
      <c r="C6765" s="164">
        <v>0.83508101851851846</v>
      </c>
      <c r="D6765" s="159">
        <v>10</v>
      </c>
      <c r="E6765" s="166" t="s">
        <v>5977</v>
      </c>
    </row>
    <row r="6766" spans="1:5">
      <c r="A6766" s="174">
        <f t="shared" si="97"/>
        <v>6765</v>
      </c>
      <c r="B6766" s="163">
        <v>45943</v>
      </c>
      <c r="C6766" s="164">
        <v>0.83979166666666671</v>
      </c>
      <c r="D6766" s="159">
        <v>10</v>
      </c>
      <c r="E6766" s="166" t="s">
        <v>5978</v>
      </c>
    </row>
    <row r="6767" spans="1:5">
      <c r="A6767" s="174">
        <f t="shared" si="97"/>
        <v>6766</v>
      </c>
      <c r="B6767" s="163">
        <v>45943</v>
      </c>
      <c r="C6767" s="164">
        <v>0.85515046296296304</v>
      </c>
      <c r="D6767" s="159">
        <v>10</v>
      </c>
      <c r="E6767" s="166" t="s">
        <v>5050</v>
      </c>
    </row>
    <row r="6768" spans="1:5">
      <c r="A6768" s="174">
        <f t="shared" si="97"/>
        <v>6767</v>
      </c>
      <c r="B6768" s="163">
        <v>45943</v>
      </c>
      <c r="C6768" s="164">
        <v>0.89101851851851854</v>
      </c>
      <c r="D6768" s="159">
        <v>10</v>
      </c>
      <c r="E6768" s="166" t="s">
        <v>5979</v>
      </c>
    </row>
    <row r="6769" spans="1:5">
      <c r="A6769" s="174">
        <f t="shared" si="97"/>
        <v>6768</v>
      </c>
      <c r="B6769" s="163">
        <v>45944</v>
      </c>
      <c r="C6769" s="164">
        <v>0.38655092592592594</v>
      </c>
      <c r="D6769" s="159">
        <v>10</v>
      </c>
      <c r="E6769" s="166" t="s">
        <v>5982</v>
      </c>
    </row>
    <row r="6770" spans="1:5">
      <c r="A6770" s="174">
        <f t="shared" si="97"/>
        <v>6769</v>
      </c>
      <c r="B6770" s="163">
        <v>45944</v>
      </c>
      <c r="C6770" s="164">
        <v>0.38906250000000003</v>
      </c>
      <c r="D6770" s="159">
        <v>10</v>
      </c>
      <c r="E6770" s="166" t="s">
        <v>313</v>
      </c>
    </row>
    <row r="6771" spans="1:5">
      <c r="A6771" s="174">
        <f t="shared" si="97"/>
        <v>6770</v>
      </c>
      <c r="B6771" s="163">
        <v>45944</v>
      </c>
      <c r="C6771" s="164">
        <v>0.40628472222222217</v>
      </c>
      <c r="D6771" s="159">
        <v>10</v>
      </c>
      <c r="E6771" s="166" t="s">
        <v>5983</v>
      </c>
    </row>
    <row r="6772" spans="1:5">
      <c r="A6772" s="174">
        <f t="shared" si="97"/>
        <v>6771</v>
      </c>
      <c r="B6772" s="163">
        <v>45944</v>
      </c>
      <c r="C6772" s="164">
        <v>0.42571759259259262</v>
      </c>
      <c r="D6772" s="159">
        <v>10</v>
      </c>
      <c r="E6772" s="166" t="s">
        <v>5984</v>
      </c>
    </row>
    <row r="6773" spans="1:5">
      <c r="A6773" s="174">
        <f t="shared" ref="A6773:A6836" si="98">ROW()-1</f>
        <v>6772</v>
      </c>
      <c r="B6773" s="163">
        <v>45944</v>
      </c>
      <c r="C6773" s="164">
        <v>0.42699074074074073</v>
      </c>
      <c r="D6773" s="159">
        <v>10</v>
      </c>
      <c r="E6773" s="166" t="s">
        <v>5985</v>
      </c>
    </row>
    <row r="6774" spans="1:5">
      <c r="A6774" s="174">
        <f t="shared" si="98"/>
        <v>6773</v>
      </c>
      <c r="B6774" s="163">
        <v>45944</v>
      </c>
      <c r="C6774" s="164">
        <v>0.44878472222222227</v>
      </c>
      <c r="D6774" s="159">
        <v>10</v>
      </c>
      <c r="E6774" s="166" t="s">
        <v>5986</v>
      </c>
    </row>
    <row r="6775" spans="1:5">
      <c r="A6775" s="174">
        <f t="shared" si="98"/>
        <v>6774</v>
      </c>
      <c r="B6775" s="163">
        <v>45944</v>
      </c>
      <c r="C6775" s="164">
        <v>0.46500000000000002</v>
      </c>
      <c r="D6775" s="159">
        <v>10</v>
      </c>
      <c r="E6775" s="166" t="s">
        <v>5987</v>
      </c>
    </row>
    <row r="6776" spans="1:5">
      <c r="A6776" s="174">
        <f t="shared" si="98"/>
        <v>6775</v>
      </c>
      <c r="B6776" s="163">
        <v>45944</v>
      </c>
      <c r="C6776" s="164">
        <v>0.46942129629629631</v>
      </c>
      <c r="D6776" s="159">
        <v>10</v>
      </c>
      <c r="E6776" s="166" t="s">
        <v>5988</v>
      </c>
    </row>
    <row r="6777" spans="1:5">
      <c r="A6777" s="174">
        <f t="shared" si="98"/>
        <v>6776</v>
      </c>
      <c r="B6777" s="163">
        <v>45944</v>
      </c>
      <c r="C6777" s="164">
        <v>0.47230324074074076</v>
      </c>
      <c r="D6777" s="159">
        <v>10</v>
      </c>
      <c r="E6777" s="166" t="s">
        <v>5989</v>
      </c>
    </row>
    <row r="6778" spans="1:5">
      <c r="A6778" s="174">
        <f t="shared" si="98"/>
        <v>6777</v>
      </c>
      <c r="B6778" s="163">
        <v>45944</v>
      </c>
      <c r="C6778" s="164">
        <v>0.4803472222222222</v>
      </c>
      <c r="D6778" s="159">
        <v>10</v>
      </c>
      <c r="E6778" s="166" t="s">
        <v>6013</v>
      </c>
    </row>
    <row r="6779" spans="1:5">
      <c r="A6779" s="174">
        <f t="shared" si="98"/>
        <v>6778</v>
      </c>
      <c r="B6779" s="163">
        <v>45944</v>
      </c>
      <c r="C6779" s="164">
        <v>0.51378472222222216</v>
      </c>
      <c r="D6779" s="159">
        <v>10</v>
      </c>
      <c r="E6779" s="166" t="s">
        <v>5990</v>
      </c>
    </row>
    <row r="6780" spans="1:5">
      <c r="A6780" s="174">
        <f t="shared" si="98"/>
        <v>6779</v>
      </c>
      <c r="B6780" s="163">
        <v>45944</v>
      </c>
      <c r="C6780" s="164">
        <v>0.56376157407407412</v>
      </c>
      <c r="D6780" s="159">
        <v>10</v>
      </c>
      <c r="E6780" s="166" t="s">
        <v>5991</v>
      </c>
    </row>
    <row r="6781" spans="1:5">
      <c r="A6781" s="174">
        <f t="shared" si="98"/>
        <v>6780</v>
      </c>
      <c r="B6781" s="163">
        <v>45944</v>
      </c>
      <c r="C6781" s="164">
        <v>0.57216435185185188</v>
      </c>
      <c r="D6781" s="159">
        <v>10</v>
      </c>
      <c r="E6781" s="166" t="s">
        <v>5992</v>
      </c>
    </row>
    <row r="6782" spans="1:5">
      <c r="A6782" s="174">
        <f t="shared" si="98"/>
        <v>6781</v>
      </c>
      <c r="B6782" s="163">
        <v>45944</v>
      </c>
      <c r="C6782" s="164">
        <v>0.58365740740740735</v>
      </c>
      <c r="D6782" s="159">
        <v>10</v>
      </c>
      <c r="E6782" s="166" t="s">
        <v>5993</v>
      </c>
    </row>
    <row r="6783" spans="1:5">
      <c r="A6783" s="174">
        <f t="shared" si="98"/>
        <v>6782</v>
      </c>
      <c r="B6783" s="163">
        <v>45944</v>
      </c>
      <c r="C6783" s="164">
        <v>0.59160879629629626</v>
      </c>
      <c r="D6783" s="159">
        <v>10</v>
      </c>
      <c r="E6783" s="166" t="s">
        <v>5994</v>
      </c>
    </row>
    <row r="6784" spans="1:5">
      <c r="A6784" s="174">
        <f t="shared" si="98"/>
        <v>6783</v>
      </c>
      <c r="B6784" s="163">
        <v>45944</v>
      </c>
      <c r="C6784" s="164">
        <v>0.61307870370370365</v>
      </c>
      <c r="D6784" s="159">
        <v>10</v>
      </c>
      <c r="E6784" s="166" t="s">
        <v>5995</v>
      </c>
    </row>
    <row r="6785" spans="1:5">
      <c r="A6785" s="174">
        <f t="shared" si="98"/>
        <v>6784</v>
      </c>
      <c r="B6785" s="163">
        <v>45944</v>
      </c>
      <c r="C6785" s="164">
        <v>0.61531250000000004</v>
      </c>
      <c r="D6785" s="159">
        <v>10</v>
      </c>
      <c r="E6785" s="166" t="s">
        <v>5996</v>
      </c>
    </row>
    <row r="6786" spans="1:5">
      <c r="A6786" s="174">
        <f t="shared" si="98"/>
        <v>6785</v>
      </c>
      <c r="B6786" s="163">
        <v>45944</v>
      </c>
      <c r="C6786" s="164">
        <v>0.62033564814814812</v>
      </c>
      <c r="D6786" s="159">
        <v>10</v>
      </c>
      <c r="E6786" s="166" t="s">
        <v>5997</v>
      </c>
    </row>
    <row r="6787" spans="1:5">
      <c r="A6787" s="174">
        <f t="shared" si="98"/>
        <v>6786</v>
      </c>
      <c r="B6787" s="163">
        <v>45944</v>
      </c>
      <c r="C6787" s="164">
        <v>0.64752314814814815</v>
      </c>
      <c r="D6787" s="159">
        <v>10</v>
      </c>
      <c r="E6787" s="166" t="s">
        <v>5998</v>
      </c>
    </row>
    <row r="6788" spans="1:5">
      <c r="A6788" s="174">
        <f t="shared" si="98"/>
        <v>6787</v>
      </c>
      <c r="B6788" s="163">
        <v>45944</v>
      </c>
      <c r="C6788" s="164">
        <v>0.64875000000000005</v>
      </c>
      <c r="D6788" s="159">
        <v>10</v>
      </c>
      <c r="E6788" s="166" t="s">
        <v>5999</v>
      </c>
    </row>
    <row r="6789" spans="1:5">
      <c r="A6789" s="174">
        <f t="shared" si="98"/>
        <v>6788</v>
      </c>
      <c r="B6789" s="163">
        <v>45944</v>
      </c>
      <c r="C6789" s="164">
        <v>0.64903935185185191</v>
      </c>
      <c r="D6789" s="159">
        <v>10</v>
      </c>
      <c r="E6789" s="166" t="s">
        <v>6000</v>
      </c>
    </row>
    <row r="6790" spans="1:5">
      <c r="A6790" s="174">
        <f t="shared" si="98"/>
        <v>6789</v>
      </c>
      <c r="B6790" s="163">
        <v>45944</v>
      </c>
      <c r="C6790" s="164">
        <v>0.6566319444444445</v>
      </c>
      <c r="D6790" s="159">
        <v>10</v>
      </c>
      <c r="E6790" s="166" t="s">
        <v>6001</v>
      </c>
    </row>
    <row r="6791" spans="1:5">
      <c r="A6791" s="174">
        <f t="shared" si="98"/>
        <v>6790</v>
      </c>
      <c r="B6791" s="163">
        <v>45944</v>
      </c>
      <c r="C6791" s="164">
        <v>0.65946759259259258</v>
      </c>
      <c r="D6791" s="159">
        <v>8</v>
      </c>
      <c r="E6791" s="166" t="s">
        <v>6002</v>
      </c>
    </row>
    <row r="6792" spans="1:5">
      <c r="A6792" s="174">
        <f t="shared" si="98"/>
        <v>6791</v>
      </c>
      <c r="B6792" s="163">
        <v>45944</v>
      </c>
      <c r="C6792" s="164">
        <v>0.65947916666666673</v>
      </c>
      <c r="D6792" s="159">
        <v>10</v>
      </c>
      <c r="E6792" s="166" t="s">
        <v>1042</v>
      </c>
    </row>
    <row r="6793" spans="1:5">
      <c r="A6793" s="174">
        <f t="shared" si="98"/>
        <v>6792</v>
      </c>
      <c r="B6793" s="163">
        <v>45944</v>
      </c>
      <c r="C6793" s="164">
        <v>0.6648263888888889</v>
      </c>
      <c r="D6793" s="159">
        <v>10</v>
      </c>
      <c r="E6793" s="166" t="s">
        <v>6003</v>
      </c>
    </row>
    <row r="6794" spans="1:5">
      <c r="A6794" s="174">
        <f t="shared" si="98"/>
        <v>6793</v>
      </c>
      <c r="B6794" s="163">
        <v>45944</v>
      </c>
      <c r="C6794" s="164">
        <v>0.68222222222222229</v>
      </c>
      <c r="D6794" s="159">
        <v>10</v>
      </c>
      <c r="E6794" s="166" t="s">
        <v>6004</v>
      </c>
    </row>
    <row r="6795" spans="1:5">
      <c r="A6795" s="174">
        <f t="shared" si="98"/>
        <v>6794</v>
      </c>
      <c r="B6795" s="163">
        <v>45944</v>
      </c>
      <c r="C6795" s="164">
        <v>0.71718749999999998</v>
      </c>
      <c r="D6795" s="159">
        <v>10</v>
      </c>
      <c r="E6795" s="166" t="s">
        <v>6005</v>
      </c>
    </row>
    <row r="6796" spans="1:5">
      <c r="A6796" s="174">
        <f t="shared" si="98"/>
        <v>6795</v>
      </c>
      <c r="B6796" s="163">
        <v>45944</v>
      </c>
      <c r="C6796" s="164">
        <v>0.71811342592592586</v>
      </c>
      <c r="D6796" s="159">
        <v>10</v>
      </c>
      <c r="E6796" s="166" t="s">
        <v>6006</v>
      </c>
    </row>
    <row r="6797" spans="1:5">
      <c r="A6797" s="174">
        <f t="shared" si="98"/>
        <v>6796</v>
      </c>
      <c r="B6797" s="163">
        <v>45944</v>
      </c>
      <c r="C6797" s="164">
        <v>0.71918981481481481</v>
      </c>
      <c r="D6797" s="159">
        <v>10</v>
      </c>
      <c r="E6797" s="166" t="s">
        <v>6007</v>
      </c>
    </row>
    <row r="6798" spans="1:5">
      <c r="A6798" s="174">
        <f t="shared" si="98"/>
        <v>6797</v>
      </c>
      <c r="B6798" s="163">
        <v>45944</v>
      </c>
      <c r="C6798" s="164">
        <v>0.72960648148148144</v>
      </c>
      <c r="D6798" s="159">
        <v>10</v>
      </c>
      <c r="E6798" s="166" t="s">
        <v>6008</v>
      </c>
    </row>
    <row r="6799" spans="1:5">
      <c r="A6799" s="174">
        <f t="shared" si="98"/>
        <v>6798</v>
      </c>
      <c r="B6799" s="163">
        <v>45944</v>
      </c>
      <c r="C6799" s="164">
        <v>0.74938657407407405</v>
      </c>
      <c r="D6799" s="159">
        <v>10</v>
      </c>
      <c r="E6799" s="166" t="s">
        <v>6009</v>
      </c>
    </row>
    <row r="6800" spans="1:5" ht="27">
      <c r="A6800" s="174">
        <f t="shared" si="98"/>
        <v>6799</v>
      </c>
      <c r="B6800" s="163">
        <v>45944</v>
      </c>
      <c r="C6800" s="164">
        <v>0.77493055555555557</v>
      </c>
      <c r="D6800" s="159">
        <v>10</v>
      </c>
      <c r="E6800" s="166" t="s">
        <v>6014</v>
      </c>
    </row>
    <row r="6801" spans="1:5">
      <c r="A6801" s="174">
        <f t="shared" si="98"/>
        <v>6800</v>
      </c>
      <c r="B6801" s="163">
        <v>45944</v>
      </c>
      <c r="C6801" s="164">
        <v>0.77848379629629638</v>
      </c>
      <c r="D6801" s="159">
        <v>10</v>
      </c>
      <c r="E6801" s="166" t="s">
        <v>6010</v>
      </c>
    </row>
    <row r="6802" spans="1:5">
      <c r="A6802" s="174">
        <f t="shared" si="98"/>
        <v>6801</v>
      </c>
      <c r="B6802" s="163">
        <v>45944</v>
      </c>
      <c r="C6802" s="164">
        <v>0.80011574074074077</v>
      </c>
      <c r="D6802" s="159">
        <v>10</v>
      </c>
      <c r="E6802" s="166" t="s">
        <v>132</v>
      </c>
    </row>
    <row r="6803" spans="1:5">
      <c r="A6803" s="174">
        <f t="shared" si="98"/>
        <v>6802</v>
      </c>
      <c r="B6803" s="163">
        <v>45944</v>
      </c>
      <c r="C6803" s="164">
        <v>0.83758101851851852</v>
      </c>
      <c r="D6803" s="159">
        <v>10</v>
      </c>
      <c r="E6803" s="166" t="s">
        <v>6011</v>
      </c>
    </row>
    <row r="6804" spans="1:5">
      <c r="A6804" s="174">
        <f t="shared" si="98"/>
        <v>6803</v>
      </c>
      <c r="B6804" s="163">
        <v>45944</v>
      </c>
      <c r="C6804" s="164">
        <v>0.86398148148148157</v>
      </c>
      <c r="D6804" s="159">
        <v>10</v>
      </c>
      <c r="E6804" s="166" t="s">
        <v>6015</v>
      </c>
    </row>
    <row r="6805" spans="1:5">
      <c r="A6805" s="174">
        <f t="shared" si="98"/>
        <v>6804</v>
      </c>
      <c r="B6805" s="163">
        <v>45944</v>
      </c>
      <c r="C6805" s="164">
        <v>0.88246527777777783</v>
      </c>
      <c r="D6805" s="159">
        <v>10</v>
      </c>
      <c r="E6805" s="166" t="s">
        <v>6012</v>
      </c>
    </row>
    <row r="6806" spans="1:5">
      <c r="A6806" s="174">
        <f t="shared" si="98"/>
        <v>6805</v>
      </c>
      <c r="B6806" s="163">
        <v>45945</v>
      </c>
      <c r="C6806" s="164">
        <v>0.39127314814814818</v>
      </c>
      <c r="D6806" s="159">
        <v>10</v>
      </c>
      <c r="E6806" s="166" t="s">
        <v>6016</v>
      </c>
    </row>
    <row r="6807" spans="1:5" ht="27">
      <c r="A6807" s="174">
        <f t="shared" si="98"/>
        <v>6806</v>
      </c>
      <c r="B6807" s="163">
        <v>45945</v>
      </c>
      <c r="C6807" s="164">
        <v>0.39631944444444445</v>
      </c>
      <c r="D6807" s="159">
        <v>10</v>
      </c>
      <c r="E6807" s="166" t="s">
        <v>6017</v>
      </c>
    </row>
    <row r="6808" spans="1:5">
      <c r="A6808" s="174">
        <f t="shared" si="98"/>
        <v>6807</v>
      </c>
      <c r="B6808" s="163">
        <v>45945</v>
      </c>
      <c r="C6808" s="164">
        <v>0.40545138888888888</v>
      </c>
      <c r="D6808" s="159">
        <v>10</v>
      </c>
      <c r="E6808" s="166" t="s">
        <v>6018</v>
      </c>
    </row>
    <row r="6809" spans="1:5">
      <c r="A6809" s="174">
        <f t="shared" si="98"/>
        <v>6808</v>
      </c>
      <c r="B6809" s="163">
        <v>45945</v>
      </c>
      <c r="C6809" s="164">
        <v>0.41471064814814818</v>
      </c>
      <c r="D6809" s="159">
        <v>10</v>
      </c>
      <c r="E6809" s="166" t="s">
        <v>6019</v>
      </c>
    </row>
    <row r="6810" spans="1:5">
      <c r="A6810" s="174">
        <f t="shared" si="98"/>
        <v>6809</v>
      </c>
      <c r="B6810" s="163">
        <v>45945</v>
      </c>
      <c r="C6810" s="164">
        <v>0.41781249999999998</v>
      </c>
      <c r="D6810" s="159">
        <v>10</v>
      </c>
      <c r="E6810" s="166" t="s">
        <v>6020</v>
      </c>
    </row>
    <row r="6811" spans="1:5">
      <c r="A6811" s="174">
        <f t="shared" si="98"/>
        <v>6810</v>
      </c>
      <c r="B6811" s="163">
        <v>45945</v>
      </c>
      <c r="C6811" s="164">
        <v>0.4233912037037037</v>
      </c>
      <c r="D6811" s="159">
        <v>10</v>
      </c>
      <c r="E6811" s="166" t="s">
        <v>2632</v>
      </c>
    </row>
    <row r="6812" spans="1:5">
      <c r="A6812" s="174">
        <f t="shared" si="98"/>
        <v>6811</v>
      </c>
      <c r="B6812" s="163">
        <v>45945</v>
      </c>
      <c r="C6812" s="164">
        <v>0.43962962962962965</v>
      </c>
      <c r="D6812" s="159">
        <v>10</v>
      </c>
      <c r="E6812" s="166" t="s">
        <v>6021</v>
      </c>
    </row>
    <row r="6813" spans="1:5">
      <c r="A6813" s="174">
        <f t="shared" si="98"/>
        <v>6812</v>
      </c>
      <c r="B6813" s="163">
        <v>45945</v>
      </c>
      <c r="C6813" s="164">
        <v>0.44369212962962962</v>
      </c>
      <c r="D6813" s="159">
        <v>10</v>
      </c>
      <c r="E6813" s="166" t="s">
        <v>6022</v>
      </c>
    </row>
    <row r="6814" spans="1:5">
      <c r="A6814" s="174">
        <f t="shared" si="98"/>
        <v>6813</v>
      </c>
      <c r="B6814" s="163">
        <v>45945</v>
      </c>
      <c r="C6814" s="164">
        <v>0.45101851851851849</v>
      </c>
      <c r="D6814" s="159">
        <v>10</v>
      </c>
      <c r="E6814" s="166" t="s">
        <v>6023</v>
      </c>
    </row>
    <row r="6815" spans="1:5">
      <c r="A6815" s="174">
        <f t="shared" si="98"/>
        <v>6814</v>
      </c>
      <c r="B6815" s="163">
        <v>45945</v>
      </c>
      <c r="C6815" s="164">
        <v>0.46280092592592598</v>
      </c>
      <c r="D6815" s="159">
        <v>10</v>
      </c>
      <c r="E6815" s="166" t="s">
        <v>6024</v>
      </c>
    </row>
    <row r="6816" spans="1:5">
      <c r="A6816" s="174">
        <f t="shared" si="98"/>
        <v>6815</v>
      </c>
      <c r="B6816" s="163">
        <v>45945</v>
      </c>
      <c r="C6816" s="164">
        <v>0.47560185185185189</v>
      </c>
      <c r="D6816" s="159">
        <v>10</v>
      </c>
      <c r="E6816" s="166" t="s">
        <v>6025</v>
      </c>
    </row>
    <row r="6817" spans="1:5">
      <c r="A6817" s="174">
        <f t="shared" si="98"/>
        <v>6816</v>
      </c>
      <c r="B6817" s="163">
        <v>45945</v>
      </c>
      <c r="C6817" s="164">
        <v>0.49460648148148145</v>
      </c>
      <c r="D6817" s="159">
        <v>10</v>
      </c>
      <c r="E6817" s="166" t="s">
        <v>1488</v>
      </c>
    </row>
    <row r="6818" spans="1:5">
      <c r="A6818" s="174">
        <f t="shared" si="98"/>
        <v>6817</v>
      </c>
      <c r="B6818" s="163">
        <v>45945</v>
      </c>
      <c r="C6818" s="164">
        <v>0.50502314814814808</v>
      </c>
      <c r="D6818" s="159">
        <v>10</v>
      </c>
      <c r="E6818" s="166" t="s">
        <v>6026</v>
      </c>
    </row>
    <row r="6819" spans="1:5">
      <c r="A6819" s="174">
        <f t="shared" si="98"/>
        <v>6818</v>
      </c>
      <c r="B6819" s="163">
        <v>45945</v>
      </c>
      <c r="C6819" s="164">
        <v>0.56730324074074068</v>
      </c>
      <c r="D6819" s="159">
        <v>10</v>
      </c>
      <c r="E6819" s="166" t="s">
        <v>6027</v>
      </c>
    </row>
    <row r="6820" spans="1:5">
      <c r="A6820" s="174">
        <f t="shared" si="98"/>
        <v>6819</v>
      </c>
      <c r="B6820" s="163">
        <v>45945</v>
      </c>
      <c r="C6820" s="164">
        <v>0.57614583333333336</v>
      </c>
      <c r="D6820" s="159">
        <v>10</v>
      </c>
      <c r="E6820" s="166" t="s">
        <v>6050</v>
      </c>
    </row>
    <row r="6821" spans="1:5">
      <c r="A6821" s="174">
        <f t="shared" si="98"/>
        <v>6820</v>
      </c>
      <c r="B6821" s="163">
        <v>45945</v>
      </c>
      <c r="C6821" s="164">
        <v>0.5805555555555556</v>
      </c>
      <c r="D6821" s="159">
        <v>10</v>
      </c>
      <c r="E6821" s="166" t="s">
        <v>6028</v>
      </c>
    </row>
    <row r="6822" spans="1:5">
      <c r="A6822" s="174">
        <f t="shared" si="98"/>
        <v>6821</v>
      </c>
      <c r="B6822" s="163">
        <v>45945</v>
      </c>
      <c r="C6822" s="164">
        <v>0.58884259259259253</v>
      </c>
      <c r="D6822" s="159">
        <v>10</v>
      </c>
      <c r="E6822" s="166" t="s">
        <v>6029</v>
      </c>
    </row>
    <row r="6823" spans="1:5">
      <c r="A6823" s="174">
        <f t="shared" si="98"/>
        <v>6822</v>
      </c>
      <c r="B6823" s="163">
        <v>45945</v>
      </c>
      <c r="C6823" s="164">
        <v>0.59174768518518517</v>
      </c>
      <c r="D6823" s="159">
        <v>10</v>
      </c>
      <c r="E6823" s="166" t="s">
        <v>3687</v>
      </c>
    </row>
    <row r="6824" spans="1:5">
      <c r="A6824" s="174">
        <f t="shared" si="98"/>
        <v>6823</v>
      </c>
      <c r="B6824" s="163">
        <v>45945</v>
      </c>
      <c r="C6824" s="164">
        <v>0.59614583333333326</v>
      </c>
      <c r="D6824" s="159">
        <v>10</v>
      </c>
      <c r="E6824" s="166" t="s">
        <v>6030</v>
      </c>
    </row>
    <row r="6825" spans="1:5">
      <c r="A6825" s="174">
        <f t="shared" si="98"/>
        <v>6824</v>
      </c>
      <c r="B6825" s="163">
        <v>45945</v>
      </c>
      <c r="C6825" s="164">
        <v>0.6028472222222222</v>
      </c>
      <c r="D6825" s="159">
        <v>10</v>
      </c>
      <c r="E6825" s="166" t="s">
        <v>6031</v>
      </c>
    </row>
    <row r="6826" spans="1:5">
      <c r="A6826" s="174">
        <f t="shared" si="98"/>
        <v>6825</v>
      </c>
      <c r="B6826" s="163">
        <v>45945</v>
      </c>
      <c r="C6826" s="164">
        <v>0.60640046296296302</v>
      </c>
      <c r="D6826" s="159">
        <v>10</v>
      </c>
      <c r="E6826" s="166" t="s">
        <v>6032</v>
      </c>
    </row>
    <row r="6827" spans="1:5">
      <c r="A6827" s="174">
        <f t="shared" si="98"/>
        <v>6826</v>
      </c>
      <c r="B6827" s="163">
        <v>45945</v>
      </c>
      <c r="C6827" s="164">
        <v>0.64524305555555561</v>
      </c>
      <c r="D6827" s="159">
        <v>10</v>
      </c>
      <c r="E6827" s="166" t="s">
        <v>433</v>
      </c>
    </row>
    <row r="6828" spans="1:5">
      <c r="A6828" s="174">
        <f t="shared" si="98"/>
        <v>6827</v>
      </c>
      <c r="B6828" s="163">
        <v>45945</v>
      </c>
      <c r="C6828" s="164">
        <v>0.65503472222222225</v>
      </c>
      <c r="D6828" s="159">
        <v>10</v>
      </c>
      <c r="E6828" s="166" t="s">
        <v>6033</v>
      </c>
    </row>
    <row r="6829" spans="1:5" ht="27">
      <c r="A6829" s="174">
        <f t="shared" si="98"/>
        <v>6828</v>
      </c>
      <c r="B6829" s="163">
        <v>45945</v>
      </c>
      <c r="C6829" s="164">
        <v>0.66641203703703711</v>
      </c>
      <c r="D6829" s="159">
        <v>10</v>
      </c>
      <c r="E6829" s="166" t="s">
        <v>6051</v>
      </c>
    </row>
    <row r="6830" spans="1:5">
      <c r="A6830" s="174">
        <f t="shared" si="98"/>
        <v>6829</v>
      </c>
      <c r="B6830" s="163">
        <v>45945</v>
      </c>
      <c r="C6830" s="164">
        <v>0.66917824074074073</v>
      </c>
      <c r="D6830" s="159">
        <v>10</v>
      </c>
      <c r="E6830" s="166" t="s">
        <v>6034</v>
      </c>
    </row>
    <row r="6831" spans="1:5">
      <c r="A6831" s="174">
        <f t="shared" si="98"/>
        <v>6830</v>
      </c>
      <c r="B6831" s="163">
        <v>45945</v>
      </c>
      <c r="C6831" s="164">
        <v>0.67086805555555562</v>
      </c>
      <c r="D6831" s="159">
        <v>10</v>
      </c>
      <c r="E6831" s="166" t="s">
        <v>6035</v>
      </c>
    </row>
    <row r="6832" spans="1:5">
      <c r="A6832" s="174">
        <f t="shared" si="98"/>
        <v>6831</v>
      </c>
      <c r="B6832" s="163">
        <v>45945</v>
      </c>
      <c r="C6832" s="164">
        <v>0.6749074074074074</v>
      </c>
      <c r="D6832" s="159">
        <v>10</v>
      </c>
      <c r="E6832" s="166" t="s">
        <v>6036</v>
      </c>
    </row>
    <row r="6833" spans="1:5">
      <c r="A6833" s="174">
        <f t="shared" si="98"/>
        <v>6832</v>
      </c>
      <c r="B6833" s="163">
        <v>45945</v>
      </c>
      <c r="C6833" s="164">
        <v>0.67759259259259252</v>
      </c>
      <c r="D6833" s="159">
        <v>10</v>
      </c>
      <c r="E6833" s="166" t="s">
        <v>3732</v>
      </c>
    </row>
    <row r="6834" spans="1:5">
      <c r="A6834" s="174">
        <f t="shared" si="98"/>
        <v>6833</v>
      </c>
      <c r="B6834" s="163">
        <v>45945</v>
      </c>
      <c r="C6834" s="164">
        <v>0.68388888888888888</v>
      </c>
      <c r="D6834" s="159">
        <v>10</v>
      </c>
      <c r="E6834" s="166" t="s">
        <v>6037</v>
      </c>
    </row>
    <row r="6835" spans="1:5">
      <c r="A6835" s="174">
        <f t="shared" si="98"/>
        <v>6834</v>
      </c>
      <c r="B6835" s="163">
        <v>45945</v>
      </c>
      <c r="C6835" s="164">
        <v>0.68862268518518521</v>
      </c>
      <c r="D6835" s="159">
        <v>10</v>
      </c>
      <c r="E6835" s="166" t="s">
        <v>6038</v>
      </c>
    </row>
    <row r="6836" spans="1:5">
      <c r="A6836" s="174">
        <f t="shared" si="98"/>
        <v>6835</v>
      </c>
      <c r="B6836" s="163">
        <v>45945</v>
      </c>
      <c r="C6836" s="164">
        <v>0.69111111111111112</v>
      </c>
      <c r="D6836" s="159">
        <v>5</v>
      </c>
      <c r="E6836" s="166" t="s">
        <v>6039</v>
      </c>
    </row>
    <row r="6837" spans="1:5">
      <c r="A6837" s="174">
        <f t="shared" ref="A6837:A6900" si="99">ROW()-1</f>
        <v>6836</v>
      </c>
      <c r="B6837" s="163">
        <v>45945</v>
      </c>
      <c r="C6837" s="164">
        <v>0.69118055555555558</v>
      </c>
      <c r="D6837" s="159">
        <v>10</v>
      </c>
      <c r="E6837" s="166" t="s">
        <v>565</v>
      </c>
    </row>
    <row r="6838" spans="1:5">
      <c r="A6838" s="174">
        <f t="shared" si="99"/>
        <v>6837</v>
      </c>
      <c r="B6838" s="163">
        <v>45945</v>
      </c>
      <c r="C6838" s="164">
        <v>0.69399305555555557</v>
      </c>
      <c r="D6838" s="159">
        <v>10</v>
      </c>
      <c r="E6838" s="166" t="s">
        <v>6040</v>
      </c>
    </row>
    <row r="6839" spans="1:5">
      <c r="A6839" s="174">
        <f t="shared" si="99"/>
        <v>6838</v>
      </c>
      <c r="B6839" s="163">
        <v>45945</v>
      </c>
      <c r="C6839" s="164">
        <v>0.69581018518518523</v>
      </c>
      <c r="D6839" s="159">
        <v>10</v>
      </c>
      <c r="E6839" s="166" t="s">
        <v>6041</v>
      </c>
    </row>
    <row r="6840" spans="1:5">
      <c r="A6840" s="174">
        <f t="shared" si="99"/>
        <v>6839</v>
      </c>
      <c r="B6840" s="163">
        <v>45945</v>
      </c>
      <c r="C6840" s="164">
        <v>0.70421296296296287</v>
      </c>
      <c r="D6840" s="159">
        <v>10</v>
      </c>
      <c r="E6840" s="166" t="s">
        <v>6042</v>
      </c>
    </row>
    <row r="6841" spans="1:5">
      <c r="A6841" s="174">
        <f t="shared" si="99"/>
        <v>6840</v>
      </c>
      <c r="B6841" s="163">
        <v>45945</v>
      </c>
      <c r="C6841" s="164">
        <v>0.70716435185185189</v>
      </c>
      <c r="D6841" s="159">
        <v>10</v>
      </c>
      <c r="E6841" s="166" t="s">
        <v>6043</v>
      </c>
    </row>
    <row r="6842" spans="1:5">
      <c r="A6842" s="174">
        <f t="shared" si="99"/>
        <v>6841</v>
      </c>
      <c r="B6842" s="163">
        <v>45945</v>
      </c>
      <c r="C6842" s="164">
        <v>0.74229166666666668</v>
      </c>
      <c r="D6842" s="159">
        <v>10</v>
      </c>
      <c r="E6842" s="166" t="s">
        <v>6044</v>
      </c>
    </row>
    <row r="6843" spans="1:5">
      <c r="A6843" s="174">
        <f t="shared" si="99"/>
        <v>6842</v>
      </c>
      <c r="B6843" s="163">
        <v>45945</v>
      </c>
      <c r="C6843" s="164">
        <v>0.76586805555555559</v>
      </c>
      <c r="D6843" s="159">
        <v>10</v>
      </c>
      <c r="E6843" s="166" t="s">
        <v>6045</v>
      </c>
    </row>
    <row r="6844" spans="1:5">
      <c r="A6844" s="174">
        <f t="shared" si="99"/>
        <v>6843</v>
      </c>
      <c r="B6844" s="163">
        <v>45945</v>
      </c>
      <c r="C6844" s="164">
        <v>0.82378472222222221</v>
      </c>
      <c r="D6844" s="159">
        <v>10</v>
      </c>
      <c r="E6844" s="166" t="s">
        <v>6046</v>
      </c>
    </row>
    <row r="6845" spans="1:5">
      <c r="A6845" s="174">
        <f t="shared" si="99"/>
        <v>6844</v>
      </c>
      <c r="B6845" s="163">
        <v>45945</v>
      </c>
      <c r="C6845" s="164">
        <v>0.82773148148148146</v>
      </c>
      <c r="D6845" s="159">
        <v>10</v>
      </c>
      <c r="E6845" s="166" t="s">
        <v>6047</v>
      </c>
    </row>
    <row r="6846" spans="1:5" ht="27">
      <c r="A6846" s="174">
        <f t="shared" si="99"/>
        <v>6845</v>
      </c>
      <c r="B6846" s="163">
        <v>45945</v>
      </c>
      <c r="C6846" s="164">
        <v>0.8303124999999999</v>
      </c>
      <c r="D6846" s="159">
        <v>10</v>
      </c>
      <c r="E6846" s="166" t="s">
        <v>6052</v>
      </c>
    </row>
    <row r="6847" spans="1:5">
      <c r="A6847" s="174">
        <f t="shared" si="99"/>
        <v>6846</v>
      </c>
      <c r="B6847" s="163">
        <v>45945</v>
      </c>
      <c r="C6847" s="164">
        <v>0.87396990740740732</v>
      </c>
      <c r="D6847" s="159">
        <v>10</v>
      </c>
      <c r="E6847" s="166" t="s">
        <v>6048</v>
      </c>
    </row>
    <row r="6848" spans="1:5">
      <c r="A6848" s="174">
        <f t="shared" si="99"/>
        <v>6847</v>
      </c>
      <c r="B6848" s="163">
        <v>45945</v>
      </c>
      <c r="C6848" s="164">
        <v>0.87550925925925915</v>
      </c>
      <c r="D6848" s="159">
        <v>10</v>
      </c>
      <c r="E6848" s="166" t="s">
        <v>6049</v>
      </c>
    </row>
    <row r="6849" spans="1:5">
      <c r="A6849" s="174">
        <f t="shared" si="99"/>
        <v>6848</v>
      </c>
      <c r="B6849" s="163">
        <v>45946</v>
      </c>
      <c r="C6849" s="164">
        <v>0.37918981481481479</v>
      </c>
      <c r="D6849" s="159">
        <v>10</v>
      </c>
      <c r="E6849" s="166" t="s">
        <v>6053</v>
      </c>
    </row>
    <row r="6850" spans="1:5">
      <c r="A6850" s="174">
        <f t="shared" si="99"/>
        <v>6849</v>
      </c>
      <c r="B6850" s="163">
        <v>45946</v>
      </c>
      <c r="C6850" s="164">
        <v>0.38186342592592593</v>
      </c>
      <c r="D6850" s="159">
        <v>10</v>
      </c>
      <c r="E6850" s="166" t="s">
        <v>6054</v>
      </c>
    </row>
    <row r="6851" spans="1:5">
      <c r="A6851" s="174">
        <f t="shared" si="99"/>
        <v>6850</v>
      </c>
      <c r="B6851" s="163">
        <v>45946</v>
      </c>
      <c r="C6851" s="164">
        <v>0.39204861111111117</v>
      </c>
      <c r="D6851" s="159">
        <v>10</v>
      </c>
      <c r="E6851" s="166" t="s">
        <v>6055</v>
      </c>
    </row>
    <row r="6852" spans="1:5">
      <c r="A6852" s="174">
        <f t="shared" si="99"/>
        <v>6851</v>
      </c>
      <c r="B6852" s="163">
        <v>45946</v>
      </c>
      <c r="C6852" s="164">
        <v>0.39855324074074078</v>
      </c>
      <c r="D6852" s="159">
        <v>10</v>
      </c>
      <c r="E6852" s="166" t="s">
        <v>6056</v>
      </c>
    </row>
    <row r="6853" spans="1:5">
      <c r="A6853" s="174">
        <f t="shared" si="99"/>
        <v>6852</v>
      </c>
      <c r="B6853" s="163">
        <v>45946</v>
      </c>
      <c r="C6853" s="164">
        <v>0.40179398148148149</v>
      </c>
      <c r="D6853" s="159">
        <v>10</v>
      </c>
      <c r="E6853" s="166" t="s">
        <v>6057</v>
      </c>
    </row>
    <row r="6854" spans="1:5">
      <c r="A6854" s="174">
        <f t="shared" si="99"/>
        <v>6853</v>
      </c>
      <c r="B6854" s="163">
        <v>45946</v>
      </c>
      <c r="C6854" s="164">
        <v>0.40277777777777773</v>
      </c>
      <c r="D6854" s="159">
        <v>10</v>
      </c>
      <c r="E6854" s="166" t="s">
        <v>6058</v>
      </c>
    </row>
    <row r="6855" spans="1:5">
      <c r="A6855" s="174">
        <f t="shared" si="99"/>
        <v>6854</v>
      </c>
      <c r="B6855" s="163">
        <v>45946</v>
      </c>
      <c r="C6855" s="164">
        <v>0.41596064814814815</v>
      </c>
      <c r="D6855" s="159">
        <v>10</v>
      </c>
      <c r="E6855" s="166" t="s">
        <v>6059</v>
      </c>
    </row>
    <row r="6856" spans="1:5">
      <c r="A6856" s="174">
        <f t="shared" si="99"/>
        <v>6855</v>
      </c>
      <c r="B6856" s="163">
        <v>45946</v>
      </c>
      <c r="C6856" s="164">
        <v>0.43851851851851853</v>
      </c>
      <c r="D6856" s="159">
        <v>10</v>
      </c>
      <c r="E6856" s="166" t="s">
        <v>6060</v>
      </c>
    </row>
    <row r="6857" spans="1:5" ht="27">
      <c r="A6857" s="174">
        <f t="shared" si="99"/>
        <v>6856</v>
      </c>
      <c r="B6857" s="163">
        <v>45946</v>
      </c>
      <c r="C6857" s="164">
        <v>0.48541666666666666</v>
      </c>
      <c r="D6857" s="159">
        <v>10</v>
      </c>
      <c r="E6857" s="166" t="s">
        <v>6073</v>
      </c>
    </row>
    <row r="6858" spans="1:5">
      <c r="A6858" s="174">
        <f t="shared" si="99"/>
        <v>6857</v>
      </c>
      <c r="B6858" s="163">
        <v>45946</v>
      </c>
      <c r="C6858" s="164">
        <v>0.48730324074074072</v>
      </c>
      <c r="D6858" s="159">
        <v>10</v>
      </c>
      <c r="E6858" s="166" t="s">
        <v>6061</v>
      </c>
    </row>
    <row r="6859" spans="1:5">
      <c r="A6859" s="174">
        <f t="shared" si="99"/>
        <v>6858</v>
      </c>
      <c r="B6859" s="163">
        <v>45946</v>
      </c>
      <c r="C6859" s="164">
        <v>0.55414351851851851</v>
      </c>
      <c r="D6859" s="159">
        <v>10</v>
      </c>
      <c r="E6859" s="166" t="s">
        <v>6062</v>
      </c>
    </row>
    <row r="6860" spans="1:5">
      <c r="A6860" s="174">
        <f t="shared" si="99"/>
        <v>6859</v>
      </c>
      <c r="B6860" s="163">
        <v>45946</v>
      </c>
      <c r="C6860" s="164">
        <v>0.56024305555555554</v>
      </c>
      <c r="D6860" s="159">
        <v>10</v>
      </c>
      <c r="E6860" s="166" t="s">
        <v>6063</v>
      </c>
    </row>
    <row r="6861" spans="1:5">
      <c r="A6861" s="174">
        <f t="shared" si="99"/>
        <v>6860</v>
      </c>
      <c r="B6861" s="163">
        <v>45946</v>
      </c>
      <c r="C6861" s="164">
        <v>0.58480324074074075</v>
      </c>
      <c r="D6861" s="159">
        <v>10</v>
      </c>
      <c r="E6861" s="166" t="s">
        <v>6064</v>
      </c>
    </row>
    <row r="6862" spans="1:5">
      <c r="A6862" s="174">
        <f t="shared" si="99"/>
        <v>6861</v>
      </c>
      <c r="B6862" s="163">
        <v>45946</v>
      </c>
      <c r="C6862" s="164">
        <v>0.59456018518518516</v>
      </c>
      <c r="D6862" s="159">
        <v>10</v>
      </c>
      <c r="E6862" s="166" t="s">
        <v>6065</v>
      </c>
    </row>
    <row r="6863" spans="1:5">
      <c r="A6863" s="174">
        <f t="shared" si="99"/>
        <v>6862</v>
      </c>
      <c r="B6863" s="163">
        <v>45946</v>
      </c>
      <c r="C6863" s="164">
        <v>0.60425925925925927</v>
      </c>
      <c r="D6863" s="159">
        <v>10</v>
      </c>
      <c r="E6863" s="166" t="s">
        <v>6066</v>
      </c>
    </row>
    <row r="6864" spans="1:5">
      <c r="A6864" s="174">
        <f t="shared" si="99"/>
        <v>6863</v>
      </c>
      <c r="B6864" s="163">
        <v>45946</v>
      </c>
      <c r="C6864" s="164">
        <v>0.60509259259259263</v>
      </c>
      <c r="D6864" s="159">
        <v>10</v>
      </c>
      <c r="E6864" s="166" t="s">
        <v>132</v>
      </c>
    </row>
    <row r="6865" spans="1:5">
      <c r="A6865" s="174">
        <f t="shared" si="99"/>
        <v>6864</v>
      </c>
      <c r="B6865" s="163">
        <v>45946</v>
      </c>
      <c r="C6865" s="164">
        <v>0.61386574074074074</v>
      </c>
      <c r="D6865" s="159">
        <v>9</v>
      </c>
      <c r="E6865" s="166" t="s">
        <v>6067</v>
      </c>
    </row>
    <row r="6866" spans="1:5">
      <c r="A6866" s="174">
        <f t="shared" si="99"/>
        <v>6865</v>
      </c>
      <c r="B6866" s="163">
        <v>45946</v>
      </c>
      <c r="C6866" s="164">
        <v>0.63081018518518517</v>
      </c>
      <c r="D6866" s="159">
        <v>10</v>
      </c>
      <c r="E6866" s="166" t="s">
        <v>6068</v>
      </c>
    </row>
    <row r="6867" spans="1:5">
      <c r="A6867" s="174">
        <f t="shared" si="99"/>
        <v>6866</v>
      </c>
      <c r="B6867" s="163">
        <v>45946</v>
      </c>
      <c r="C6867" s="164">
        <v>0.66312499999999996</v>
      </c>
      <c r="D6867" s="159">
        <v>10</v>
      </c>
      <c r="E6867" s="166" t="s">
        <v>6069</v>
      </c>
    </row>
    <row r="6868" spans="1:5">
      <c r="A6868" s="174">
        <f t="shared" si="99"/>
        <v>6867</v>
      </c>
      <c r="B6868" s="163">
        <v>45946</v>
      </c>
      <c r="C6868" s="164">
        <v>0.66410879629629627</v>
      </c>
      <c r="D6868" s="159">
        <v>10</v>
      </c>
      <c r="E6868" s="166" t="s">
        <v>6070</v>
      </c>
    </row>
    <row r="6869" spans="1:5">
      <c r="A6869" s="174">
        <f t="shared" si="99"/>
        <v>6868</v>
      </c>
      <c r="B6869" s="163">
        <v>45946</v>
      </c>
      <c r="C6869" s="164">
        <v>0.67590277777777785</v>
      </c>
      <c r="D6869" s="159">
        <v>10</v>
      </c>
      <c r="E6869" s="166" t="s">
        <v>6071</v>
      </c>
    </row>
    <row r="6870" spans="1:5" ht="27">
      <c r="A6870" s="174">
        <f t="shared" si="99"/>
        <v>6869</v>
      </c>
      <c r="B6870" s="163">
        <v>45946</v>
      </c>
      <c r="C6870" s="164">
        <v>0.68887731481481485</v>
      </c>
      <c r="D6870" s="159">
        <v>10</v>
      </c>
      <c r="E6870" s="166" t="s">
        <v>6074</v>
      </c>
    </row>
    <row r="6871" spans="1:5">
      <c r="A6871" s="174">
        <f t="shared" si="99"/>
        <v>6870</v>
      </c>
      <c r="B6871" s="163">
        <v>45946</v>
      </c>
      <c r="C6871" s="164">
        <v>0.72721064814814806</v>
      </c>
      <c r="D6871" s="159">
        <v>10</v>
      </c>
      <c r="E6871" s="166" t="s">
        <v>1407</v>
      </c>
    </row>
    <row r="6872" spans="1:5">
      <c r="A6872" s="174">
        <f t="shared" si="99"/>
        <v>6871</v>
      </c>
      <c r="B6872" s="163">
        <v>45946</v>
      </c>
      <c r="C6872" s="164">
        <v>0.73337962962962966</v>
      </c>
      <c r="D6872" s="159">
        <v>10</v>
      </c>
      <c r="E6872" s="166" t="s">
        <v>6072</v>
      </c>
    </row>
    <row r="6873" spans="1:5">
      <c r="A6873" s="174">
        <f t="shared" si="99"/>
        <v>6872</v>
      </c>
      <c r="B6873" s="163">
        <v>45946</v>
      </c>
      <c r="C6873" s="164">
        <v>0.85418981481481471</v>
      </c>
      <c r="D6873" s="159">
        <v>10</v>
      </c>
      <c r="E6873" s="166" t="s">
        <v>6075</v>
      </c>
    </row>
    <row r="6874" spans="1:5">
      <c r="A6874" s="174">
        <f t="shared" si="99"/>
        <v>6873</v>
      </c>
      <c r="B6874" s="163">
        <v>45947</v>
      </c>
      <c r="C6874" s="164">
        <v>0.3913773148148148</v>
      </c>
      <c r="D6874" s="159">
        <v>10</v>
      </c>
      <c r="E6874" s="166" t="s">
        <v>6076</v>
      </c>
    </row>
    <row r="6875" spans="1:5">
      <c r="A6875" s="174">
        <f t="shared" si="99"/>
        <v>6874</v>
      </c>
      <c r="B6875" s="163">
        <v>45947</v>
      </c>
      <c r="C6875" s="164">
        <v>0.39250000000000002</v>
      </c>
      <c r="D6875" s="159">
        <v>10</v>
      </c>
      <c r="E6875" s="166" t="s">
        <v>6077</v>
      </c>
    </row>
    <row r="6876" spans="1:5">
      <c r="A6876" s="174">
        <f t="shared" si="99"/>
        <v>6875</v>
      </c>
      <c r="B6876" s="163">
        <v>45947</v>
      </c>
      <c r="C6876" s="164">
        <v>0.40388888888888891</v>
      </c>
      <c r="D6876" s="159">
        <v>10</v>
      </c>
      <c r="E6876" s="166" t="s">
        <v>6078</v>
      </c>
    </row>
    <row r="6877" spans="1:5" ht="27">
      <c r="A6877" s="174">
        <f t="shared" si="99"/>
        <v>6876</v>
      </c>
      <c r="B6877" s="163">
        <v>45947</v>
      </c>
      <c r="C6877" s="164">
        <v>0.41825231481481479</v>
      </c>
      <c r="D6877" s="159">
        <v>10</v>
      </c>
      <c r="E6877" s="166" t="s">
        <v>6079</v>
      </c>
    </row>
    <row r="6878" spans="1:5">
      <c r="A6878" s="174">
        <f t="shared" si="99"/>
        <v>6877</v>
      </c>
      <c r="B6878" s="163">
        <v>45947</v>
      </c>
      <c r="C6878" s="164">
        <v>0.42434027777777777</v>
      </c>
      <c r="D6878" s="159">
        <v>10</v>
      </c>
      <c r="E6878" s="166" t="s">
        <v>6080</v>
      </c>
    </row>
    <row r="6879" spans="1:5">
      <c r="A6879" s="174">
        <f t="shared" si="99"/>
        <v>6878</v>
      </c>
      <c r="B6879" s="163">
        <v>45947</v>
      </c>
      <c r="C6879" s="164">
        <v>0.43211805555555555</v>
      </c>
      <c r="D6879" s="159">
        <v>10</v>
      </c>
      <c r="E6879" s="166" t="s">
        <v>6081</v>
      </c>
    </row>
    <row r="6880" spans="1:5">
      <c r="A6880" s="174">
        <f t="shared" si="99"/>
        <v>6879</v>
      </c>
      <c r="B6880" s="163">
        <v>45947</v>
      </c>
      <c r="C6880" s="164">
        <v>0.44089120370370366</v>
      </c>
      <c r="D6880" s="159">
        <v>10</v>
      </c>
      <c r="E6880" s="166" t="s">
        <v>6082</v>
      </c>
    </row>
    <row r="6881" spans="1:5" ht="27">
      <c r="A6881" s="174">
        <f t="shared" si="99"/>
        <v>6880</v>
      </c>
      <c r="B6881" s="163">
        <v>45947</v>
      </c>
      <c r="C6881" s="164">
        <v>0.44524305555555554</v>
      </c>
      <c r="D6881" s="159">
        <v>10</v>
      </c>
      <c r="E6881" s="166" t="s">
        <v>6083</v>
      </c>
    </row>
    <row r="6882" spans="1:5">
      <c r="A6882" s="174">
        <f t="shared" si="99"/>
        <v>6881</v>
      </c>
      <c r="B6882" s="163">
        <v>45947</v>
      </c>
      <c r="C6882" s="164">
        <v>0.44621527777777775</v>
      </c>
      <c r="D6882" s="159">
        <v>10</v>
      </c>
      <c r="E6882" s="166" t="s">
        <v>6084</v>
      </c>
    </row>
    <row r="6883" spans="1:5">
      <c r="A6883" s="174">
        <f t="shared" si="99"/>
        <v>6882</v>
      </c>
      <c r="B6883" s="163">
        <v>45947</v>
      </c>
      <c r="C6883" s="164">
        <v>0.48377314814814815</v>
      </c>
      <c r="D6883" s="159">
        <v>10</v>
      </c>
      <c r="E6883" s="166" t="s">
        <v>6085</v>
      </c>
    </row>
    <row r="6884" spans="1:5">
      <c r="A6884" s="174">
        <f t="shared" si="99"/>
        <v>6883</v>
      </c>
      <c r="B6884" s="163">
        <v>45947</v>
      </c>
      <c r="C6884" s="164">
        <v>0.48613425925925924</v>
      </c>
      <c r="D6884" s="159">
        <v>10</v>
      </c>
      <c r="E6884" s="166" t="s">
        <v>6086</v>
      </c>
    </row>
    <row r="6885" spans="1:5">
      <c r="A6885" s="174">
        <f t="shared" si="99"/>
        <v>6884</v>
      </c>
      <c r="B6885" s="163">
        <v>45947</v>
      </c>
      <c r="C6885" s="164">
        <v>0.48925925925925928</v>
      </c>
      <c r="D6885" s="159">
        <v>10</v>
      </c>
      <c r="E6885" s="166" t="s">
        <v>6087</v>
      </c>
    </row>
    <row r="6886" spans="1:5">
      <c r="A6886" s="174">
        <f t="shared" si="99"/>
        <v>6885</v>
      </c>
      <c r="B6886" s="163">
        <v>45947</v>
      </c>
      <c r="C6886" s="164">
        <v>0.50788194444444446</v>
      </c>
      <c r="D6886" s="159">
        <v>10</v>
      </c>
      <c r="E6886" s="166" t="s">
        <v>6088</v>
      </c>
    </row>
    <row r="6887" spans="1:5">
      <c r="A6887" s="174">
        <f t="shared" si="99"/>
        <v>6886</v>
      </c>
      <c r="B6887" s="163">
        <v>45947</v>
      </c>
      <c r="C6887" s="164">
        <v>0.55085648148148147</v>
      </c>
      <c r="D6887" s="159">
        <v>10</v>
      </c>
      <c r="E6887" s="166" t="s">
        <v>179</v>
      </c>
    </row>
    <row r="6888" spans="1:5">
      <c r="A6888" s="174">
        <f t="shared" si="99"/>
        <v>6887</v>
      </c>
      <c r="B6888" s="163">
        <v>45947</v>
      </c>
      <c r="C6888" s="164">
        <v>0.56803240740740735</v>
      </c>
      <c r="D6888" s="159">
        <v>10</v>
      </c>
      <c r="E6888" s="166" t="s">
        <v>6089</v>
      </c>
    </row>
    <row r="6889" spans="1:5">
      <c r="A6889" s="174">
        <f t="shared" si="99"/>
        <v>6888</v>
      </c>
      <c r="B6889" s="163">
        <v>45947</v>
      </c>
      <c r="C6889" s="164">
        <v>0.57393518518518516</v>
      </c>
      <c r="D6889" s="159">
        <v>10</v>
      </c>
      <c r="E6889" s="166" t="s">
        <v>6090</v>
      </c>
    </row>
    <row r="6890" spans="1:5">
      <c r="A6890" s="174">
        <f t="shared" si="99"/>
        <v>6889</v>
      </c>
      <c r="B6890" s="163">
        <v>45947</v>
      </c>
      <c r="C6890" s="164">
        <v>0.58861111111111108</v>
      </c>
      <c r="D6890" s="159">
        <v>10</v>
      </c>
      <c r="E6890" s="166" t="s">
        <v>6091</v>
      </c>
    </row>
    <row r="6891" spans="1:5">
      <c r="A6891" s="174">
        <f t="shared" si="99"/>
        <v>6890</v>
      </c>
      <c r="B6891" s="163">
        <v>45947</v>
      </c>
      <c r="C6891" s="164">
        <v>0.5916203703703703</v>
      </c>
      <c r="D6891" s="159">
        <v>10</v>
      </c>
      <c r="E6891" s="166" t="s">
        <v>2500</v>
      </c>
    </row>
    <row r="6892" spans="1:5">
      <c r="A6892" s="174">
        <f t="shared" si="99"/>
        <v>6891</v>
      </c>
      <c r="B6892" s="163">
        <v>45947</v>
      </c>
      <c r="C6892" s="164">
        <v>0.62734953703703711</v>
      </c>
      <c r="D6892" s="159">
        <v>10</v>
      </c>
      <c r="E6892" s="166" t="s">
        <v>6092</v>
      </c>
    </row>
    <row r="6893" spans="1:5">
      <c r="A6893" s="174">
        <f t="shared" si="99"/>
        <v>6892</v>
      </c>
      <c r="B6893" s="163">
        <v>45947</v>
      </c>
      <c r="C6893" s="164">
        <v>0.63256944444444441</v>
      </c>
      <c r="D6893" s="159">
        <v>10</v>
      </c>
      <c r="E6893" s="166" t="s">
        <v>6093</v>
      </c>
    </row>
    <row r="6894" spans="1:5">
      <c r="A6894" s="174">
        <f t="shared" si="99"/>
        <v>6893</v>
      </c>
      <c r="B6894" s="163">
        <v>45947</v>
      </c>
      <c r="C6894" s="164">
        <v>0.63597222222222227</v>
      </c>
      <c r="D6894" s="159">
        <v>10</v>
      </c>
      <c r="E6894" s="166" t="s">
        <v>6094</v>
      </c>
    </row>
    <row r="6895" spans="1:5">
      <c r="A6895" s="174">
        <f t="shared" si="99"/>
        <v>6894</v>
      </c>
      <c r="B6895" s="163">
        <v>45947</v>
      </c>
      <c r="C6895" s="164">
        <v>0.64019675925925923</v>
      </c>
      <c r="D6895" s="159">
        <v>10</v>
      </c>
      <c r="E6895" s="166" t="s">
        <v>6095</v>
      </c>
    </row>
    <row r="6896" spans="1:5">
      <c r="A6896" s="174">
        <f t="shared" si="99"/>
        <v>6895</v>
      </c>
      <c r="B6896" s="163">
        <v>45947</v>
      </c>
      <c r="C6896" s="164">
        <v>0.65734953703703702</v>
      </c>
      <c r="D6896" s="159">
        <v>10</v>
      </c>
      <c r="E6896" s="166" t="s">
        <v>132</v>
      </c>
    </row>
    <row r="6897" spans="1:5">
      <c r="A6897" s="174">
        <f t="shared" si="99"/>
        <v>6896</v>
      </c>
      <c r="B6897" s="163">
        <v>45947</v>
      </c>
      <c r="C6897" s="164">
        <v>0.65854166666666669</v>
      </c>
      <c r="D6897" s="159">
        <v>10</v>
      </c>
      <c r="E6897" s="166" t="s">
        <v>6096</v>
      </c>
    </row>
    <row r="6898" spans="1:5">
      <c r="A6898" s="174">
        <f t="shared" si="99"/>
        <v>6897</v>
      </c>
      <c r="B6898" s="163">
        <v>45947</v>
      </c>
      <c r="C6898" s="164">
        <v>0.66358796296296296</v>
      </c>
      <c r="D6898" s="159">
        <v>10</v>
      </c>
      <c r="E6898" s="166" t="s">
        <v>6097</v>
      </c>
    </row>
    <row r="6899" spans="1:5">
      <c r="A6899" s="174">
        <f t="shared" si="99"/>
        <v>6898</v>
      </c>
      <c r="B6899" s="163">
        <v>45947</v>
      </c>
      <c r="C6899" s="164">
        <v>0.66616898148148151</v>
      </c>
      <c r="D6899" s="159">
        <v>10</v>
      </c>
      <c r="E6899" s="166" t="s">
        <v>6098</v>
      </c>
    </row>
    <row r="6900" spans="1:5">
      <c r="A6900" s="174">
        <f t="shared" si="99"/>
        <v>6899</v>
      </c>
      <c r="B6900" s="163">
        <v>45947</v>
      </c>
      <c r="C6900" s="164">
        <v>0.69157407407407412</v>
      </c>
      <c r="D6900" s="159">
        <v>10</v>
      </c>
      <c r="E6900" s="166" t="s">
        <v>6099</v>
      </c>
    </row>
    <row r="6901" spans="1:5">
      <c r="A6901" s="174">
        <f t="shared" ref="A6901:A6964" si="100">ROW()-1</f>
        <v>6900</v>
      </c>
      <c r="B6901" s="163">
        <v>45947</v>
      </c>
      <c r="C6901" s="164">
        <v>0.70336805555555559</v>
      </c>
      <c r="D6901" s="159">
        <v>10</v>
      </c>
      <c r="E6901" s="166" t="s">
        <v>6100</v>
      </c>
    </row>
    <row r="6902" spans="1:5">
      <c r="A6902" s="174">
        <f t="shared" si="100"/>
        <v>6901</v>
      </c>
      <c r="B6902" s="163">
        <v>45947</v>
      </c>
      <c r="C6902" s="164">
        <v>0.70437500000000008</v>
      </c>
      <c r="D6902" s="159">
        <v>10</v>
      </c>
      <c r="E6902" s="166" t="s">
        <v>6101</v>
      </c>
    </row>
    <row r="6903" spans="1:5">
      <c r="A6903" s="174">
        <f t="shared" si="100"/>
        <v>6902</v>
      </c>
      <c r="B6903" s="163">
        <v>45947</v>
      </c>
      <c r="C6903" s="164">
        <v>0.70725694444444442</v>
      </c>
      <c r="D6903" s="159">
        <v>10</v>
      </c>
      <c r="E6903" s="166" t="s">
        <v>6102</v>
      </c>
    </row>
    <row r="6904" spans="1:5">
      <c r="A6904" s="174">
        <f t="shared" si="100"/>
        <v>6903</v>
      </c>
      <c r="B6904" s="163">
        <v>45947</v>
      </c>
      <c r="C6904" s="164">
        <v>0.71218750000000008</v>
      </c>
      <c r="D6904" s="159">
        <v>10</v>
      </c>
      <c r="E6904" s="166" t="s">
        <v>6103</v>
      </c>
    </row>
    <row r="6905" spans="1:5">
      <c r="A6905" s="174">
        <f t="shared" si="100"/>
        <v>6904</v>
      </c>
      <c r="B6905" s="163">
        <v>45947</v>
      </c>
      <c r="C6905" s="164">
        <v>0.72293981481481484</v>
      </c>
      <c r="D6905" s="159">
        <v>10</v>
      </c>
      <c r="E6905" s="166" t="s">
        <v>6104</v>
      </c>
    </row>
    <row r="6906" spans="1:5">
      <c r="A6906" s="174">
        <f t="shared" si="100"/>
        <v>6905</v>
      </c>
      <c r="B6906" s="163">
        <v>45947</v>
      </c>
      <c r="C6906" s="164">
        <v>0.72459490740740751</v>
      </c>
      <c r="D6906" s="159">
        <v>10</v>
      </c>
      <c r="E6906" s="166" t="s">
        <v>2584</v>
      </c>
    </row>
    <row r="6907" spans="1:5">
      <c r="A6907" s="174">
        <f t="shared" si="100"/>
        <v>6906</v>
      </c>
      <c r="B6907" s="163">
        <v>45947</v>
      </c>
      <c r="C6907" s="164">
        <v>0.73177083333333337</v>
      </c>
      <c r="D6907" s="159">
        <v>10</v>
      </c>
      <c r="E6907" s="166" t="s">
        <v>1579</v>
      </c>
    </row>
    <row r="6908" spans="1:5">
      <c r="A6908" s="174">
        <f t="shared" si="100"/>
        <v>6907</v>
      </c>
      <c r="B6908" s="163">
        <v>45947</v>
      </c>
      <c r="C6908" s="164">
        <v>0.73842592592592593</v>
      </c>
      <c r="D6908" s="159">
        <v>10</v>
      </c>
      <c r="E6908" s="166" t="s">
        <v>6105</v>
      </c>
    </row>
    <row r="6909" spans="1:5">
      <c r="A6909" s="174">
        <f t="shared" si="100"/>
        <v>6908</v>
      </c>
      <c r="B6909" s="163">
        <v>45947</v>
      </c>
      <c r="C6909" s="164">
        <v>0.74086805555555557</v>
      </c>
      <c r="D6909" s="159">
        <v>10</v>
      </c>
      <c r="E6909" s="166" t="s">
        <v>6106</v>
      </c>
    </row>
    <row r="6910" spans="1:5">
      <c r="A6910" s="174">
        <f t="shared" si="100"/>
        <v>6909</v>
      </c>
      <c r="B6910" s="163">
        <v>45947</v>
      </c>
      <c r="C6910" s="164">
        <v>0.74144675925925929</v>
      </c>
      <c r="D6910" s="159">
        <v>10</v>
      </c>
      <c r="E6910" s="166" t="s">
        <v>4275</v>
      </c>
    </row>
    <row r="6911" spans="1:5">
      <c r="A6911" s="174">
        <f t="shared" si="100"/>
        <v>6910</v>
      </c>
      <c r="B6911" s="163">
        <v>45947</v>
      </c>
      <c r="C6911" s="164">
        <v>0.83228009259259261</v>
      </c>
      <c r="D6911" s="159">
        <v>10</v>
      </c>
      <c r="E6911" s="166" t="s">
        <v>313</v>
      </c>
    </row>
    <row r="6912" spans="1:5">
      <c r="A6912" s="174">
        <f t="shared" si="100"/>
        <v>6911</v>
      </c>
      <c r="B6912" s="163">
        <v>45948</v>
      </c>
      <c r="C6912" s="164">
        <v>0.43542824074074077</v>
      </c>
      <c r="D6912" s="159">
        <v>10</v>
      </c>
      <c r="E6912" s="166" t="s">
        <v>6107</v>
      </c>
    </row>
    <row r="6913" spans="1:5">
      <c r="A6913" s="174">
        <f t="shared" si="100"/>
        <v>6912</v>
      </c>
      <c r="B6913" s="163">
        <v>45948</v>
      </c>
      <c r="C6913" s="164">
        <v>0.44656249999999997</v>
      </c>
      <c r="D6913" s="159">
        <v>10</v>
      </c>
      <c r="E6913" s="166" t="s">
        <v>6108</v>
      </c>
    </row>
    <row r="6914" spans="1:5">
      <c r="A6914" s="174">
        <f t="shared" si="100"/>
        <v>6913</v>
      </c>
      <c r="B6914" s="163">
        <v>45948</v>
      </c>
      <c r="C6914" s="164">
        <v>0.48603009259259261</v>
      </c>
      <c r="D6914" s="159">
        <v>10</v>
      </c>
      <c r="E6914" s="166" t="s">
        <v>6109</v>
      </c>
    </row>
    <row r="6915" spans="1:5">
      <c r="A6915" s="174">
        <f t="shared" si="100"/>
        <v>6914</v>
      </c>
      <c r="B6915" s="163">
        <v>45948</v>
      </c>
      <c r="C6915" s="164">
        <v>0.51255787037037037</v>
      </c>
      <c r="D6915" s="159">
        <v>10</v>
      </c>
      <c r="E6915" s="166" t="s">
        <v>6110</v>
      </c>
    </row>
    <row r="6916" spans="1:5">
      <c r="A6916" s="174">
        <f t="shared" si="100"/>
        <v>6915</v>
      </c>
      <c r="B6916" s="163">
        <v>45948</v>
      </c>
      <c r="C6916" s="164">
        <v>0.52644675925925932</v>
      </c>
      <c r="D6916" s="159">
        <v>10</v>
      </c>
      <c r="E6916" s="166" t="s">
        <v>6111</v>
      </c>
    </row>
    <row r="6917" spans="1:5">
      <c r="A6917" s="174">
        <f t="shared" si="100"/>
        <v>6916</v>
      </c>
      <c r="B6917" s="163">
        <v>45948</v>
      </c>
      <c r="C6917" s="164">
        <v>0.5357291666666667</v>
      </c>
      <c r="D6917" s="159">
        <v>10</v>
      </c>
      <c r="E6917" s="166" t="s">
        <v>6112</v>
      </c>
    </row>
    <row r="6918" spans="1:5">
      <c r="A6918" s="174">
        <f t="shared" si="100"/>
        <v>6917</v>
      </c>
      <c r="B6918" s="163">
        <v>45948</v>
      </c>
      <c r="C6918" s="164">
        <v>0.53607638888888887</v>
      </c>
      <c r="D6918" s="159">
        <v>10</v>
      </c>
      <c r="E6918" s="166" t="s">
        <v>6113</v>
      </c>
    </row>
    <row r="6919" spans="1:5">
      <c r="A6919" s="174">
        <f t="shared" si="100"/>
        <v>6918</v>
      </c>
      <c r="B6919" s="163">
        <v>45948</v>
      </c>
      <c r="C6919" s="164">
        <v>0.54318287037037039</v>
      </c>
      <c r="D6919" s="159">
        <v>10</v>
      </c>
      <c r="E6919" s="166" t="s">
        <v>6114</v>
      </c>
    </row>
    <row r="6920" spans="1:5">
      <c r="A6920" s="174">
        <f t="shared" si="100"/>
        <v>6919</v>
      </c>
      <c r="B6920" s="163">
        <v>45948</v>
      </c>
      <c r="C6920" s="164">
        <v>0.54523148148148148</v>
      </c>
      <c r="D6920" s="159">
        <v>10</v>
      </c>
      <c r="E6920" s="166" t="s">
        <v>6115</v>
      </c>
    </row>
    <row r="6921" spans="1:5">
      <c r="A6921" s="174">
        <f t="shared" si="100"/>
        <v>6920</v>
      </c>
      <c r="B6921" s="163">
        <v>45948</v>
      </c>
      <c r="C6921" s="164">
        <v>0.61556712962962956</v>
      </c>
      <c r="D6921" s="159">
        <v>10</v>
      </c>
      <c r="E6921" s="166" t="s">
        <v>6116</v>
      </c>
    </row>
    <row r="6922" spans="1:5">
      <c r="A6922" s="174">
        <f t="shared" si="100"/>
        <v>6921</v>
      </c>
      <c r="B6922" s="163">
        <v>45948</v>
      </c>
      <c r="C6922" s="164">
        <v>0.6263657407407407</v>
      </c>
      <c r="D6922" s="159">
        <v>10</v>
      </c>
      <c r="E6922" s="166" t="s">
        <v>6117</v>
      </c>
    </row>
    <row r="6923" spans="1:5">
      <c r="A6923" s="174">
        <f t="shared" si="100"/>
        <v>6922</v>
      </c>
      <c r="B6923" s="163">
        <v>45948</v>
      </c>
      <c r="C6923" s="164">
        <v>0.63870370370370366</v>
      </c>
      <c r="D6923" s="159">
        <v>10</v>
      </c>
      <c r="E6923" s="166" t="s">
        <v>6118</v>
      </c>
    </row>
    <row r="6924" spans="1:5">
      <c r="A6924" s="174">
        <f t="shared" si="100"/>
        <v>6923</v>
      </c>
      <c r="B6924" s="163">
        <v>45948</v>
      </c>
      <c r="C6924" s="164">
        <v>0.67046296296296293</v>
      </c>
      <c r="D6924" s="159">
        <v>10</v>
      </c>
      <c r="E6924" s="166" t="s">
        <v>6119</v>
      </c>
    </row>
    <row r="6925" spans="1:5" ht="27">
      <c r="A6925" s="174">
        <f t="shared" si="100"/>
        <v>6924</v>
      </c>
      <c r="B6925" s="163">
        <v>45948</v>
      </c>
      <c r="C6925" s="164">
        <v>0.73122685185185177</v>
      </c>
      <c r="D6925" s="159">
        <v>10</v>
      </c>
      <c r="E6925" s="166" t="s">
        <v>6120</v>
      </c>
    </row>
    <row r="6926" spans="1:5">
      <c r="A6926" s="174">
        <f t="shared" si="100"/>
        <v>6925</v>
      </c>
      <c r="B6926" s="163">
        <v>45950</v>
      </c>
      <c r="C6926" s="164">
        <v>0.3843287037037037</v>
      </c>
      <c r="D6926" s="159">
        <v>10</v>
      </c>
      <c r="E6926" s="166" t="s">
        <v>6121</v>
      </c>
    </row>
    <row r="6927" spans="1:5">
      <c r="A6927" s="174">
        <f t="shared" si="100"/>
        <v>6926</v>
      </c>
      <c r="B6927" s="163">
        <v>45950</v>
      </c>
      <c r="C6927" s="164">
        <v>0.38594907407407408</v>
      </c>
      <c r="D6927" s="159">
        <v>10</v>
      </c>
      <c r="E6927" s="166" t="s">
        <v>6122</v>
      </c>
    </row>
    <row r="6928" spans="1:5">
      <c r="A6928" s="174">
        <f t="shared" si="100"/>
        <v>6927</v>
      </c>
      <c r="B6928" s="163">
        <v>45950</v>
      </c>
      <c r="C6928" s="164">
        <v>0.40361111111111114</v>
      </c>
      <c r="D6928" s="159">
        <v>10</v>
      </c>
      <c r="E6928" s="166" t="s">
        <v>6123</v>
      </c>
    </row>
    <row r="6929" spans="1:5">
      <c r="A6929" s="174">
        <f t="shared" si="100"/>
        <v>6928</v>
      </c>
      <c r="B6929" s="163">
        <v>45950</v>
      </c>
      <c r="C6929" s="164">
        <v>0.40452546296296293</v>
      </c>
      <c r="D6929" s="159">
        <v>10</v>
      </c>
      <c r="E6929" s="166" t="s">
        <v>6124</v>
      </c>
    </row>
    <row r="6930" spans="1:5" ht="27">
      <c r="A6930" s="174">
        <f t="shared" si="100"/>
        <v>6929</v>
      </c>
      <c r="B6930" s="163">
        <v>45950</v>
      </c>
      <c r="C6930" s="164">
        <v>0.41193287037037035</v>
      </c>
      <c r="D6930" s="159">
        <v>10</v>
      </c>
      <c r="E6930" s="166" t="s">
        <v>6159</v>
      </c>
    </row>
    <row r="6931" spans="1:5">
      <c r="A6931" s="174">
        <f t="shared" si="100"/>
        <v>6930</v>
      </c>
      <c r="B6931" s="163">
        <v>45950</v>
      </c>
      <c r="C6931" s="164">
        <v>0.41302083333333334</v>
      </c>
      <c r="D6931" s="159">
        <v>10</v>
      </c>
      <c r="E6931" s="166" t="s">
        <v>6125</v>
      </c>
    </row>
    <row r="6932" spans="1:5">
      <c r="A6932" s="174">
        <f t="shared" si="100"/>
        <v>6931</v>
      </c>
      <c r="B6932" s="163">
        <v>45950</v>
      </c>
      <c r="C6932" s="164">
        <v>0.42799768518518522</v>
      </c>
      <c r="D6932" s="159">
        <v>10</v>
      </c>
      <c r="E6932" s="166" t="s">
        <v>6126</v>
      </c>
    </row>
    <row r="6933" spans="1:5">
      <c r="A6933" s="174">
        <f t="shared" si="100"/>
        <v>6932</v>
      </c>
      <c r="B6933" s="163">
        <v>45950</v>
      </c>
      <c r="C6933" s="164">
        <v>0.43223379629629632</v>
      </c>
      <c r="D6933" s="159">
        <v>10</v>
      </c>
      <c r="E6933" s="166" t="s">
        <v>6127</v>
      </c>
    </row>
    <row r="6934" spans="1:5">
      <c r="A6934" s="174">
        <f t="shared" si="100"/>
        <v>6933</v>
      </c>
      <c r="B6934" s="163">
        <v>45950</v>
      </c>
      <c r="C6934" s="164">
        <v>0.43366898148148153</v>
      </c>
      <c r="D6934" s="159">
        <v>10</v>
      </c>
      <c r="E6934" s="166" t="s">
        <v>6128</v>
      </c>
    </row>
    <row r="6935" spans="1:5">
      <c r="A6935" s="174">
        <f t="shared" si="100"/>
        <v>6934</v>
      </c>
      <c r="B6935" s="163">
        <v>45950</v>
      </c>
      <c r="C6935" s="164">
        <v>0.4337152777777778</v>
      </c>
      <c r="D6935" s="159">
        <v>10</v>
      </c>
      <c r="E6935" s="166" t="s">
        <v>6128</v>
      </c>
    </row>
    <row r="6936" spans="1:5">
      <c r="A6936" s="174">
        <f t="shared" si="100"/>
        <v>6935</v>
      </c>
      <c r="B6936" s="163">
        <v>45950</v>
      </c>
      <c r="C6936" s="164">
        <v>0.43377314814814816</v>
      </c>
      <c r="D6936" s="159">
        <v>10</v>
      </c>
      <c r="E6936" s="166" t="s">
        <v>6128</v>
      </c>
    </row>
    <row r="6937" spans="1:5">
      <c r="A6937" s="174">
        <f t="shared" si="100"/>
        <v>6936</v>
      </c>
      <c r="B6937" s="163">
        <v>45950</v>
      </c>
      <c r="C6937" s="164">
        <v>0.43767361111111108</v>
      </c>
      <c r="D6937" s="159">
        <v>10</v>
      </c>
      <c r="E6937" s="166" t="s">
        <v>6129</v>
      </c>
    </row>
    <row r="6938" spans="1:5">
      <c r="A6938" s="174">
        <f t="shared" si="100"/>
        <v>6937</v>
      </c>
      <c r="B6938" s="163">
        <v>45950</v>
      </c>
      <c r="C6938" s="164">
        <v>0.44189814814814815</v>
      </c>
      <c r="D6938" s="159">
        <v>10</v>
      </c>
      <c r="E6938" s="166" t="s">
        <v>6130</v>
      </c>
    </row>
    <row r="6939" spans="1:5">
      <c r="A6939" s="174">
        <f t="shared" si="100"/>
        <v>6938</v>
      </c>
      <c r="B6939" s="163">
        <v>45950</v>
      </c>
      <c r="C6939" s="164">
        <v>0.45939814814814817</v>
      </c>
      <c r="D6939" s="159">
        <v>10</v>
      </c>
      <c r="E6939" s="166" t="s">
        <v>6131</v>
      </c>
    </row>
    <row r="6940" spans="1:5">
      <c r="A6940" s="174">
        <f t="shared" si="100"/>
        <v>6939</v>
      </c>
      <c r="B6940" s="163">
        <v>45950</v>
      </c>
      <c r="C6940" s="164">
        <v>0.47403935185185181</v>
      </c>
      <c r="D6940" s="159">
        <v>10</v>
      </c>
      <c r="E6940" s="166" t="s">
        <v>6132</v>
      </c>
    </row>
    <row r="6941" spans="1:5">
      <c r="A6941" s="174">
        <f t="shared" si="100"/>
        <v>6940</v>
      </c>
      <c r="B6941" s="163">
        <v>45950</v>
      </c>
      <c r="C6941" s="164">
        <v>0.48552083333333335</v>
      </c>
      <c r="D6941" s="159">
        <v>10</v>
      </c>
      <c r="E6941" s="166" t="s">
        <v>6133</v>
      </c>
    </row>
    <row r="6942" spans="1:5">
      <c r="A6942" s="174">
        <f t="shared" si="100"/>
        <v>6941</v>
      </c>
      <c r="B6942" s="163">
        <v>45950</v>
      </c>
      <c r="C6942" s="164">
        <v>0.48658564814814814</v>
      </c>
      <c r="D6942" s="159">
        <v>10</v>
      </c>
      <c r="E6942" s="166" t="s">
        <v>2500</v>
      </c>
    </row>
    <row r="6943" spans="1:5">
      <c r="A6943" s="174">
        <f t="shared" si="100"/>
        <v>6942</v>
      </c>
      <c r="B6943" s="163">
        <v>45950</v>
      </c>
      <c r="C6943" s="164">
        <v>0.50354166666666667</v>
      </c>
      <c r="D6943" s="159">
        <v>10</v>
      </c>
      <c r="E6943" s="166" t="s">
        <v>6134</v>
      </c>
    </row>
    <row r="6944" spans="1:5">
      <c r="A6944" s="174">
        <f t="shared" si="100"/>
        <v>6943</v>
      </c>
      <c r="B6944" s="163">
        <v>45950</v>
      </c>
      <c r="C6944" s="164">
        <v>0.54943287037037036</v>
      </c>
      <c r="D6944" s="159">
        <v>10</v>
      </c>
      <c r="E6944" s="166" t="s">
        <v>6135</v>
      </c>
    </row>
    <row r="6945" spans="1:5">
      <c r="A6945" s="174">
        <f t="shared" si="100"/>
        <v>6944</v>
      </c>
      <c r="B6945" s="163">
        <v>45950</v>
      </c>
      <c r="C6945" s="164">
        <v>0.55464120370370373</v>
      </c>
      <c r="D6945" s="159">
        <v>10</v>
      </c>
      <c r="E6945" s="166" t="s">
        <v>6136</v>
      </c>
    </row>
    <row r="6946" spans="1:5">
      <c r="A6946" s="174">
        <f t="shared" si="100"/>
        <v>6945</v>
      </c>
      <c r="B6946" s="163">
        <v>45950</v>
      </c>
      <c r="C6946" s="164">
        <v>0.56392361111111111</v>
      </c>
      <c r="D6946" s="159">
        <v>10</v>
      </c>
      <c r="E6946" s="166" t="s">
        <v>6137</v>
      </c>
    </row>
    <row r="6947" spans="1:5">
      <c r="A6947" s="174">
        <f t="shared" si="100"/>
        <v>6946</v>
      </c>
      <c r="B6947" s="163">
        <v>45950</v>
      </c>
      <c r="C6947" s="164">
        <v>0.57202546296296297</v>
      </c>
      <c r="D6947" s="159">
        <v>10</v>
      </c>
      <c r="E6947" s="166" t="s">
        <v>1731</v>
      </c>
    </row>
    <row r="6948" spans="1:5">
      <c r="A6948" s="174">
        <f t="shared" si="100"/>
        <v>6947</v>
      </c>
      <c r="B6948" s="163">
        <v>45950</v>
      </c>
      <c r="C6948" s="164">
        <v>0.57207175925925924</v>
      </c>
      <c r="D6948" s="159">
        <v>10</v>
      </c>
      <c r="E6948" s="166" t="s">
        <v>6138</v>
      </c>
    </row>
    <row r="6949" spans="1:5">
      <c r="A6949" s="174">
        <f t="shared" si="100"/>
        <v>6948</v>
      </c>
      <c r="B6949" s="163">
        <v>45950</v>
      </c>
      <c r="C6949" s="164">
        <v>0.57583333333333331</v>
      </c>
      <c r="D6949" s="159">
        <v>10</v>
      </c>
      <c r="E6949" s="166" t="s">
        <v>6139</v>
      </c>
    </row>
    <row r="6950" spans="1:5">
      <c r="A6950" s="174">
        <f t="shared" si="100"/>
        <v>6949</v>
      </c>
      <c r="B6950" s="163">
        <v>45950</v>
      </c>
      <c r="C6950" s="164">
        <v>0.57843750000000005</v>
      </c>
      <c r="D6950" s="159">
        <v>10</v>
      </c>
      <c r="E6950" s="166" t="s">
        <v>6140</v>
      </c>
    </row>
    <row r="6951" spans="1:5" ht="27">
      <c r="A6951" s="174">
        <f t="shared" si="100"/>
        <v>6950</v>
      </c>
      <c r="B6951" s="163">
        <v>45950</v>
      </c>
      <c r="C6951" s="164">
        <v>0.58565972222222229</v>
      </c>
      <c r="D6951" s="159">
        <v>10</v>
      </c>
      <c r="E6951" s="166" t="s">
        <v>6141</v>
      </c>
    </row>
    <row r="6952" spans="1:5">
      <c r="A6952" s="174">
        <f t="shared" si="100"/>
        <v>6951</v>
      </c>
      <c r="B6952" s="163">
        <v>45950</v>
      </c>
      <c r="C6952" s="164">
        <v>0.58641203703703704</v>
      </c>
      <c r="D6952" s="159">
        <v>10</v>
      </c>
      <c r="E6952" s="166" t="s">
        <v>6142</v>
      </c>
    </row>
    <row r="6953" spans="1:5">
      <c r="A6953" s="174">
        <f t="shared" si="100"/>
        <v>6952</v>
      </c>
      <c r="B6953" s="163">
        <v>45950</v>
      </c>
      <c r="C6953" s="164">
        <v>0.59203703703703703</v>
      </c>
      <c r="D6953" s="159">
        <v>10</v>
      </c>
      <c r="E6953" s="166" t="s">
        <v>6143</v>
      </c>
    </row>
    <row r="6954" spans="1:5">
      <c r="A6954" s="174">
        <f t="shared" si="100"/>
        <v>6953</v>
      </c>
      <c r="B6954" s="163">
        <v>45950</v>
      </c>
      <c r="C6954" s="164">
        <v>0.60100694444444447</v>
      </c>
      <c r="D6954" s="159">
        <v>10</v>
      </c>
      <c r="E6954" s="166" t="s">
        <v>908</v>
      </c>
    </row>
    <row r="6955" spans="1:5">
      <c r="A6955" s="174">
        <f t="shared" si="100"/>
        <v>6954</v>
      </c>
      <c r="B6955" s="163">
        <v>45950</v>
      </c>
      <c r="C6955" s="164">
        <v>0.61906249999999996</v>
      </c>
      <c r="D6955" s="159">
        <v>10</v>
      </c>
      <c r="E6955" s="166" t="s">
        <v>6144</v>
      </c>
    </row>
    <row r="6956" spans="1:5">
      <c r="A6956" s="174">
        <f t="shared" si="100"/>
        <v>6955</v>
      </c>
      <c r="B6956" s="163">
        <v>45950</v>
      </c>
      <c r="C6956" s="164">
        <v>0.63861111111111113</v>
      </c>
      <c r="D6956" s="159">
        <v>10</v>
      </c>
      <c r="E6956" s="166" t="s">
        <v>6145</v>
      </c>
    </row>
    <row r="6957" spans="1:5" ht="27">
      <c r="A6957" s="174">
        <f t="shared" si="100"/>
        <v>6956</v>
      </c>
      <c r="B6957" s="163">
        <v>45950</v>
      </c>
      <c r="C6957" s="164">
        <v>0.64527777777777773</v>
      </c>
      <c r="D6957" s="159">
        <v>10</v>
      </c>
      <c r="E6957" s="166" t="s">
        <v>6160</v>
      </c>
    </row>
    <row r="6958" spans="1:5">
      <c r="A6958" s="174">
        <f t="shared" si="100"/>
        <v>6957</v>
      </c>
      <c r="B6958" s="163">
        <v>45950</v>
      </c>
      <c r="C6958" s="164">
        <v>0.64986111111111111</v>
      </c>
      <c r="D6958" s="159">
        <v>8</v>
      </c>
      <c r="E6958" s="166" t="s">
        <v>6146</v>
      </c>
    </row>
    <row r="6959" spans="1:5">
      <c r="A6959" s="174">
        <f t="shared" si="100"/>
        <v>6958</v>
      </c>
      <c r="B6959" s="163">
        <v>45950</v>
      </c>
      <c r="C6959" s="164">
        <v>0.65927083333333336</v>
      </c>
      <c r="D6959" s="159">
        <v>10</v>
      </c>
      <c r="E6959" s="166" t="s">
        <v>3274</v>
      </c>
    </row>
    <row r="6960" spans="1:5">
      <c r="A6960" s="174">
        <f t="shared" si="100"/>
        <v>6959</v>
      </c>
      <c r="B6960" s="163">
        <v>45950</v>
      </c>
      <c r="C6960" s="164">
        <v>0.66251157407407402</v>
      </c>
      <c r="D6960" s="159">
        <v>10</v>
      </c>
      <c r="E6960" s="166" t="s">
        <v>6147</v>
      </c>
    </row>
    <row r="6961" spans="1:5">
      <c r="A6961" s="174">
        <f t="shared" si="100"/>
        <v>6960</v>
      </c>
      <c r="B6961" s="163">
        <v>45950</v>
      </c>
      <c r="C6961" s="164">
        <v>0.6693634259259259</v>
      </c>
      <c r="D6961" s="159">
        <v>10</v>
      </c>
      <c r="E6961" s="166" t="s">
        <v>6148</v>
      </c>
    </row>
    <row r="6962" spans="1:5">
      <c r="A6962" s="174">
        <f t="shared" si="100"/>
        <v>6961</v>
      </c>
      <c r="B6962" s="163">
        <v>45950</v>
      </c>
      <c r="C6962" s="164">
        <v>0.68233796296296301</v>
      </c>
      <c r="D6962" s="159">
        <v>10</v>
      </c>
      <c r="E6962" s="166" t="s">
        <v>6149</v>
      </c>
    </row>
    <row r="6963" spans="1:5">
      <c r="A6963" s="174">
        <f t="shared" si="100"/>
        <v>6962</v>
      </c>
      <c r="B6963" s="163">
        <v>45950</v>
      </c>
      <c r="C6963" s="164">
        <v>0.70064814814814813</v>
      </c>
      <c r="D6963" s="159">
        <v>10</v>
      </c>
      <c r="E6963" s="166" t="s">
        <v>6150</v>
      </c>
    </row>
    <row r="6964" spans="1:5" ht="54">
      <c r="A6964" s="174">
        <f t="shared" si="100"/>
        <v>6963</v>
      </c>
      <c r="B6964" s="163">
        <v>45950</v>
      </c>
      <c r="C6964" s="164">
        <v>0.70162037037037039</v>
      </c>
      <c r="D6964" s="159">
        <v>10</v>
      </c>
      <c r="E6964" s="166" t="s">
        <v>6151</v>
      </c>
    </row>
    <row r="6965" spans="1:5">
      <c r="A6965" s="174">
        <f t="shared" ref="A6965:A7028" si="101">ROW()-1</f>
        <v>6964</v>
      </c>
      <c r="B6965" s="163">
        <v>45950</v>
      </c>
      <c r="C6965" s="164">
        <v>0.7036458333333333</v>
      </c>
      <c r="D6965" s="159">
        <v>10</v>
      </c>
      <c r="E6965" s="166" t="s">
        <v>6152</v>
      </c>
    </row>
    <row r="6966" spans="1:5">
      <c r="A6966" s="174">
        <f t="shared" si="101"/>
        <v>6965</v>
      </c>
      <c r="B6966" s="163">
        <v>45950</v>
      </c>
      <c r="C6966" s="164">
        <v>0.71076388888888886</v>
      </c>
      <c r="D6966" s="159">
        <v>10</v>
      </c>
      <c r="E6966" s="166" t="s">
        <v>198</v>
      </c>
    </row>
    <row r="6967" spans="1:5">
      <c r="A6967" s="174">
        <f t="shared" si="101"/>
        <v>6966</v>
      </c>
      <c r="B6967" s="163">
        <v>45950</v>
      </c>
      <c r="C6967" s="164">
        <v>0.71496527777777785</v>
      </c>
      <c r="D6967" s="159">
        <v>10</v>
      </c>
      <c r="E6967" s="166" t="s">
        <v>6153</v>
      </c>
    </row>
    <row r="6968" spans="1:5">
      <c r="A6968" s="174">
        <f t="shared" si="101"/>
        <v>6967</v>
      </c>
      <c r="B6968" s="163">
        <v>45950</v>
      </c>
      <c r="C6968" s="164">
        <v>0.71819444444444447</v>
      </c>
      <c r="D6968" s="159">
        <v>10</v>
      </c>
      <c r="E6968" s="166" t="s">
        <v>6154</v>
      </c>
    </row>
    <row r="6969" spans="1:5">
      <c r="A6969" s="174">
        <f t="shared" si="101"/>
        <v>6968</v>
      </c>
      <c r="B6969" s="163">
        <v>45950</v>
      </c>
      <c r="C6969" s="164">
        <v>0.72537037037037033</v>
      </c>
      <c r="D6969" s="159">
        <v>10</v>
      </c>
      <c r="E6969" s="166" t="s">
        <v>6155</v>
      </c>
    </row>
    <row r="6970" spans="1:5">
      <c r="A6970" s="174">
        <f t="shared" si="101"/>
        <v>6969</v>
      </c>
      <c r="B6970" s="163">
        <v>45950</v>
      </c>
      <c r="C6970" s="164">
        <v>0.73050925925925936</v>
      </c>
      <c r="D6970" s="159">
        <v>10</v>
      </c>
      <c r="E6970" s="166" t="s">
        <v>6156</v>
      </c>
    </row>
    <row r="6971" spans="1:5">
      <c r="A6971" s="174">
        <f t="shared" si="101"/>
        <v>6970</v>
      </c>
      <c r="B6971" s="163">
        <v>45950</v>
      </c>
      <c r="C6971" s="164">
        <v>0.74285879629629636</v>
      </c>
      <c r="D6971" s="159">
        <v>10</v>
      </c>
      <c r="E6971" s="166" t="s">
        <v>6157</v>
      </c>
    </row>
    <row r="6972" spans="1:5">
      <c r="A6972" s="174">
        <f t="shared" si="101"/>
        <v>6971</v>
      </c>
      <c r="B6972" s="163">
        <v>45950</v>
      </c>
      <c r="C6972" s="164">
        <v>0.74674768518518519</v>
      </c>
      <c r="D6972" s="159">
        <v>10</v>
      </c>
      <c r="E6972" s="166" t="s">
        <v>6158</v>
      </c>
    </row>
    <row r="6973" spans="1:5">
      <c r="A6973" s="174">
        <f t="shared" si="101"/>
        <v>6972</v>
      </c>
      <c r="B6973" s="163">
        <v>45951</v>
      </c>
      <c r="C6973" s="164">
        <v>0.37930555555555556</v>
      </c>
      <c r="D6973" s="159">
        <v>10</v>
      </c>
      <c r="E6973" s="166" t="s">
        <v>1291</v>
      </c>
    </row>
    <row r="6974" spans="1:5">
      <c r="A6974" s="174">
        <f t="shared" si="101"/>
        <v>6973</v>
      </c>
      <c r="B6974" s="163">
        <v>45951</v>
      </c>
      <c r="C6974" s="164">
        <v>0.38313657407407403</v>
      </c>
      <c r="D6974" s="159">
        <v>10</v>
      </c>
      <c r="E6974" s="166" t="s">
        <v>6161</v>
      </c>
    </row>
    <row r="6975" spans="1:5">
      <c r="A6975" s="174">
        <f t="shared" si="101"/>
        <v>6974</v>
      </c>
      <c r="B6975" s="163">
        <v>45951</v>
      </c>
      <c r="C6975" s="164">
        <v>0.39362268518518517</v>
      </c>
      <c r="D6975" s="159">
        <v>10</v>
      </c>
      <c r="E6975" s="166" t="s">
        <v>6162</v>
      </c>
    </row>
    <row r="6976" spans="1:5">
      <c r="A6976" s="174">
        <f t="shared" si="101"/>
        <v>6975</v>
      </c>
      <c r="B6976" s="163">
        <v>45951</v>
      </c>
      <c r="C6976" s="164">
        <v>0.40902777777777777</v>
      </c>
      <c r="D6976" s="159">
        <v>10</v>
      </c>
      <c r="E6976" s="166" t="s">
        <v>6163</v>
      </c>
    </row>
    <row r="6977" spans="1:5">
      <c r="A6977" s="174">
        <f t="shared" si="101"/>
        <v>6976</v>
      </c>
      <c r="B6977" s="163">
        <v>45951</v>
      </c>
      <c r="C6977" s="164">
        <v>0.41494212962962962</v>
      </c>
      <c r="D6977" s="159">
        <v>10</v>
      </c>
      <c r="E6977" s="166" t="s">
        <v>6164</v>
      </c>
    </row>
    <row r="6978" spans="1:5">
      <c r="A6978" s="174">
        <f t="shared" si="101"/>
        <v>6977</v>
      </c>
      <c r="B6978" s="163">
        <v>45951</v>
      </c>
      <c r="C6978" s="164">
        <v>0.41760416666666672</v>
      </c>
      <c r="D6978" s="159">
        <v>10</v>
      </c>
      <c r="E6978" s="166" t="s">
        <v>3064</v>
      </c>
    </row>
    <row r="6979" spans="1:5">
      <c r="A6979" s="174">
        <f t="shared" si="101"/>
        <v>6978</v>
      </c>
      <c r="B6979" s="163">
        <v>45951</v>
      </c>
      <c r="C6979" s="164">
        <v>0.42063657407407407</v>
      </c>
      <c r="D6979" s="159">
        <v>10</v>
      </c>
      <c r="E6979" s="166" t="s">
        <v>6165</v>
      </c>
    </row>
    <row r="6980" spans="1:5">
      <c r="A6980" s="174">
        <f t="shared" si="101"/>
        <v>6979</v>
      </c>
      <c r="B6980" s="163">
        <v>45951</v>
      </c>
      <c r="C6980" s="164">
        <v>0.42715277777777777</v>
      </c>
      <c r="D6980" s="159">
        <v>10</v>
      </c>
      <c r="E6980" s="166" t="s">
        <v>6166</v>
      </c>
    </row>
    <row r="6981" spans="1:5">
      <c r="A6981" s="174">
        <f t="shared" si="101"/>
        <v>6980</v>
      </c>
      <c r="B6981" s="163">
        <v>45951</v>
      </c>
      <c r="C6981" s="164">
        <v>0.43228009259259265</v>
      </c>
      <c r="D6981" s="159">
        <v>10</v>
      </c>
      <c r="E6981" s="166" t="s">
        <v>6167</v>
      </c>
    </row>
    <row r="6982" spans="1:5">
      <c r="A6982" s="174">
        <f t="shared" si="101"/>
        <v>6981</v>
      </c>
      <c r="B6982" s="163">
        <v>45951</v>
      </c>
      <c r="C6982" s="164">
        <v>0.43862268518518516</v>
      </c>
      <c r="D6982" s="159">
        <v>10</v>
      </c>
      <c r="E6982" s="166" t="s">
        <v>6168</v>
      </c>
    </row>
    <row r="6983" spans="1:5" ht="27">
      <c r="A6983" s="174">
        <f t="shared" si="101"/>
        <v>6982</v>
      </c>
      <c r="B6983" s="163">
        <v>45951</v>
      </c>
      <c r="C6983" s="164">
        <v>0.44224537037037037</v>
      </c>
      <c r="D6983" s="159">
        <v>10</v>
      </c>
      <c r="E6983" s="166" t="s">
        <v>6169</v>
      </c>
    </row>
    <row r="6984" spans="1:5">
      <c r="A6984" s="174">
        <f t="shared" si="101"/>
        <v>6983</v>
      </c>
      <c r="B6984" s="163">
        <v>45951</v>
      </c>
      <c r="C6984" s="164">
        <v>0.44755787037037037</v>
      </c>
      <c r="D6984" s="159">
        <v>10</v>
      </c>
      <c r="E6984" s="166" t="s">
        <v>6170</v>
      </c>
    </row>
    <row r="6985" spans="1:5">
      <c r="A6985" s="174">
        <f t="shared" si="101"/>
        <v>6984</v>
      </c>
      <c r="B6985" s="163">
        <v>45951</v>
      </c>
      <c r="C6985" s="164">
        <v>0.49553240740740739</v>
      </c>
      <c r="D6985" s="159">
        <v>10</v>
      </c>
      <c r="E6985" s="166" t="s">
        <v>6171</v>
      </c>
    </row>
    <row r="6986" spans="1:5">
      <c r="A6986" s="174">
        <f t="shared" si="101"/>
        <v>6985</v>
      </c>
      <c r="B6986" s="163">
        <v>45951</v>
      </c>
      <c r="C6986" s="164">
        <v>0.49578703703703703</v>
      </c>
      <c r="D6986" s="159">
        <v>10</v>
      </c>
      <c r="E6986" s="166" t="s">
        <v>6172</v>
      </c>
    </row>
    <row r="6987" spans="1:5">
      <c r="A6987" s="174">
        <f t="shared" si="101"/>
        <v>6986</v>
      </c>
      <c r="B6987" s="163">
        <v>45951</v>
      </c>
      <c r="C6987" s="164">
        <v>0.50762731481481482</v>
      </c>
      <c r="D6987" s="159">
        <v>10</v>
      </c>
      <c r="E6987" s="166" t="s">
        <v>6173</v>
      </c>
    </row>
    <row r="6988" spans="1:5">
      <c r="A6988" s="174">
        <f t="shared" si="101"/>
        <v>6987</v>
      </c>
      <c r="B6988" s="163">
        <v>45951</v>
      </c>
      <c r="C6988" s="164">
        <v>0.54121527777777778</v>
      </c>
      <c r="D6988" s="159">
        <v>10</v>
      </c>
      <c r="E6988" s="166" t="s">
        <v>6174</v>
      </c>
    </row>
    <row r="6989" spans="1:5">
      <c r="A6989" s="174">
        <f t="shared" si="101"/>
        <v>6988</v>
      </c>
      <c r="B6989" s="163">
        <v>45951</v>
      </c>
      <c r="C6989" s="164">
        <v>0.57387731481481474</v>
      </c>
      <c r="D6989" s="159">
        <v>10</v>
      </c>
      <c r="E6989" s="166" t="s">
        <v>6175</v>
      </c>
    </row>
    <row r="6990" spans="1:5">
      <c r="A6990" s="174">
        <f t="shared" si="101"/>
        <v>6989</v>
      </c>
      <c r="B6990" s="163">
        <v>45951</v>
      </c>
      <c r="C6990" s="164">
        <v>0.57628472222222216</v>
      </c>
      <c r="D6990" s="159">
        <v>10</v>
      </c>
      <c r="E6990" s="166" t="s">
        <v>4971</v>
      </c>
    </row>
    <row r="6991" spans="1:5">
      <c r="A6991" s="174">
        <f t="shared" si="101"/>
        <v>6990</v>
      </c>
      <c r="B6991" s="163">
        <v>45951</v>
      </c>
      <c r="C6991" s="164">
        <v>0.59138888888888885</v>
      </c>
      <c r="D6991" s="159">
        <v>10</v>
      </c>
      <c r="E6991" s="166" t="s">
        <v>6176</v>
      </c>
    </row>
    <row r="6992" spans="1:5">
      <c r="A6992" s="174">
        <f t="shared" si="101"/>
        <v>6991</v>
      </c>
      <c r="B6992" s="163">
        <v>45951</v>
      </c>
      <c r="C6992" s="164">
        <v>0.61480324074074078</v>
      </c>
      <c r="D6992" s="159">
        <v>10</v>
      </c>
      <c r="E6992" s="166" t="s">
        <v>284</v>
      </c>
    </row>
    <row r="6993" spans="1:5">
      <c r="A6993" s="174">
        <f t="shared" si="101"/>
        <v>6992</v>
      </c>
      <c r="B6993" s="163">
        <v>45951</v>
      </c>
      <c r="C6993" s="164">
        <v>0.62056712962962968</v>
      </c>
      <c r="D6993" s="159">
        <v>10</v>
      </c>
      <c r="E6993" s="166" t="s">
        <v>132</v>
      </c>
    </row>
    <row r="6994" spans="1:5">
      <c r="A6994" s="174">
        <f t="shared" si="101"/>
        <v>6993</v>
      </c>
      <c r="B6994" s="163">
        <v>45951</v>
      </c>
      <c r="C6994" s="164">
        <v>0.63831018518518523</v>
      </c>
      <c r="D6994" s="159">
        <v>10</v>
      </c>
      <c r="E6994" s="166" t="s">
        <v>6177</v>
      </c>
    </row>
    <row r="6995" spans="1:5">
      <c r="A6995" s="174">
        <f t="shared" si="101"/>
        <v>6994</v>
      </c>
      <c r="B6995" s="163">
        <v>45951</v>
      </c>
      <c r="C6995" s="164">
        <v>0.64119212962962957</v>
      </c>
      <c r="D6995" s="159">
        <v>10</v>
      </c>
      <c r="E6995" s="166" t="s">
        <v>313</v>
      </c>
    </row>
    <row r="6996" spans="1:5">
      <c r="A6996" s="174">
        <f t="shared" si="101"/>
        <v>6995</v>
      </c>
      <c r="B6996" s="163">
        <v>45951</v>
      </c>
      <c r="C6996" s="164">
        <v>0.6463888888888889</v>
      </c>
      <c r="D6996" s="159">
        <v>10</v>
      </c>
      <c r="E6996" s="166" t="s">
        <v>6178</v>
      </c>
    </row>
    <row r="6997" spans="1:5">
      <c r="A6997" s="174">
        <f t="shared" si="101"/>
        <v>6996</v>
      </c>
      <c r="B6997" s="163">
        <v>45951</v>
      </c>
      <c r="C6997" s="164">
        <v>0.66091435185185188</v>
      </c>
      <c r="D6997" s="159">
        <v>10</v>
      </c>
      <c r="E6997" s="166" t="s">
        <v>6179</v>
      </c>
    </row>
    <row r="6998" spans="1:5">
      <c r="A6998" s="174">
        <f t="shared" si="101"/>
        <v>6997</v>
      </c>
      <c r="B6998" s="163">
        <v>45951</v>
      </c>
      <c r="C6998" s="164">
        <v>0.66744212962962957</v>
      </c>
      <c r="D6998" s="159">
        <v>10</v>
      </c>
      <c r="E6998" s="166" t="s">
        <v>6180</v>
      </c>
    </row>
    <row r="6999" spans="1:5">
      <c r="A6999" s="174">
        <f t="shared" si="101"/>
        <v>6998</v>
      </c>
      <c r="B6999" s="163">
        <v>45951</v>
      </c>
      <c r="C6999" s="164">
        <v>0.68987268518518519</v>
      </c>
      <c r="D6999" s="159">
        <v>10</v>
      </c>
      <c r="E6999" s="166" t="s">
        <v>6181</v>
      </c>
    </row>
    <row r="7000" spans="1:5" ht="27">
      <c r="A7000" s="174">
        <f t="shared" si="101"/>
        <v>6999</v>
      </c>
      <c r="B7000" s="163">
        <v>45951</v>
      </c>
      <c r="C7000" s="164">
        <v>0.70741898148148152</v>
      </c>
      <c r="D7000" s="159">
        <v>10</v>
      </c>
      <c r="E7000" s="166" t="s">
        <v>6182</v>
      </c>
    </row>
    <row r="7001" spans="1:5">
      <c r="A7001" s="174">
        <f t="shared" si="101"/>
        <v>7000</v>
      </c>
      <c r="B7001" s="163">
        <v>45951</v>
      </c>
      <c r="C7001" s="164">
        <v>0.71177083333333335</v>
      </c>
      <c r="D7001" s="159">
        <v>10</v>
      </c>
      <c r="E7001" s="166" t="s">
        <v>6183</v>
      </c>
    </row>
    <row r="7002" spans="1:5">
      <c r="A7002" s="174">
        <f t="shared" si="101"/>
        <v>7001</v>
      </c>
      <c r="B7002" s="163">
        <v>45951</v>
      </c>
      <c r="C7002" s="164">
        <v>0.72222222222222221</v>
      </c>
      <c r="D7002" s="159">
        <v>10</v>
      </c>
      <c r="E7002" s="166" t="s">
        <v>6184</v>
      </c>
    </row>
    <row r="7003" spans="1:5">
      <c r="A7003" s="174">
        <f t="shared" si="101"/>
        <v>7002</v>
      </c>
      <c r="B7003" s="163">
        <v>45951</v>
      </c>
      <c r="C7003" s="164">
        <v>0.73380787037037043</v>
      </c>
      <c r="D7003" s="159">
        <v>10</v>
      </c>
      <c r="E7003" s="166" t="s">
        <v>406</v>
      </c>
    </row>
    <row r="7004" spans="1:5">
      <c r="A7004" s="174">
        <f t="shared" si="101"/>
        <v>7003</v>
      </c>
      <c r="B7004" s="163">
        <v>45951</v>
      </c>
      <c r="C7004" s="164">
        <v>0.73841435185185189</v>
      </c>
      <c r="D7004" s="159">
        <v>10</v>
      </c>
      <c r="E7004" s="166" t="s">
        <v>6185</v>
      </c>
    </row>
    <row r="7005" spans="1:5">
      <c r="A7005" s="174">
        <f t="shared" si="101"/>
        <v>7004</v>
      </c>
      <c r="B7005" s="163">
        <v>45951</v>
      </c>
      <c r="C7005" s="164">
        <v>0.74413194444444442</v>
      </c>
      <c r="D7005" s="159">
        <v>10</v>
      </c>
      <c r="E7005" s="166" t="s">
        <v>6186</v>
      </c>
    </row>
    <row r="7006" spans="1:5">
      <c r="A7006" s="174">
        <f t="shared" si="101"/>
        <v>7005</v>
      </c>
      <c r="B7006" s="163">
        <v>45951</v>
      </c>
      <c r="C7006" s="164">
        <v>0.7481944444444445</v>
      </c>
      <c r="D7006" s="159">
        <v>10</v>
      </c>
      <c r="E7006" s="166" t="s">
        <v>6187</v>
      </c>
    </row>
    <row r="7007" spans="1:5">
      <c r="A7007" s="174">
        <f t="shared" si="101"/>
        <v>7006</v>
      </c>
      <c r="B7007" s="163">
        <v>45951</v>
      </c>
      <c r="C7007" s="164">
        <v>0.75325231481481481</v>
      </c>
      <c r="D7007" s="159">
        <v>10</v>
      </c>
      <c r="E7007" s="166" t="s">
        <v>6188</v>
      </c>
    </row>
    <row r="7008" spans="1:5">
      <c r="A7008" s="174">
        <f t="shared" si="101"/>
        <v>7007</v>
      </c>
      <c r="B7008" s="163">
        <v>45951</v>
      </c>
      <c r="C7008" s="164">
        <v>0.7597222222222223</v>
      </c>
      <c r="D7008" s="159">
        <v>10</v>
      </c>
      <c r="E7008" s="166" t="s">
        <v>6196</v>
      </c>
    </row>
    <row r="7009" spans="1:5">
      <c r="A7009" s="174">
        <f t="shared" si="101"/>
        <v>7008</v>
      </c>
      <c r="B7009" s="163">
        <v>45951</v>
      </c>
      <c r="C7009" s="164">
        <v>0.76814814814814814</v>
      </c>
      <c r="D7009" s="159">
        <v>10</v>
      </c>
      <c r="E7009" s="166" t="s">
        <v>6189</v>
      </c>
    </row>
    <row r="7010" spans="1:5">
      <c r="A7010" s="174">
        <f t="shared" si="101"/>
        <v>7009</v>
      </c>
      <c r="B7010" s="163">
        <v>45951</v>
      </c>
      <c r="C7010" s="164">
        <v>0.77781250000000002</v>
      </c>
      <c r="D7010" s="159">
        <v>10</v>
      </c>
      <c r="E7010" s="166" t="s">
        <v>6190</v>
      </c>
    </row>
    <row r="7011" spans="1:5">
      <c r="A7011" s="174">
        <f t="shared" si="101"/>
        <v>7010</v>
      </c>
      <c r="B7011" s="163">
        <v>45951</v>
      </c>
      <c r="C7011" s="164">
        <v>0.79486111111111113</v>
      </c>
      <c r="D7011" s="159">
        <v>10</v>
      </c>
      <c r="E7011" s="166" t="s">
        <v>6191</v>
      </c>
    </row>
    <row r="7012" spans="1:5">
      <c r="A7012" s="174">
        <f t="shared" si="101"/>
        <v>7011</v>
      </c>
      <c r="B7012" s="163">
        <v>45951</v>
      </c>
      <c r="C7012" s="164">
        <v>0.79826388888888899</v>
      </c>
      <c r="D7012" s="159">
        <v>10</v>
      </c>
      <c r="E7012" s="166" t="s">
        <v>6192</v>
      </c>
    </row>
    <row r="7013" spans="1:5">
      <c r="A7013" s="174">
        <f t="shared" si="101"/>
        <v>7012</v>
      </c>
      <c r="B7013" s="163">
        <v>45951</v>
      </c>
      <c r="C7013" s="164">
        <v>0.85368055555555555</v>
      </c>
      <c r="D7013" s="159">
        <v>10</v>
      </c>
      <c r="E7013" s="166" t="s">
        <v>6193</v>
      </c>
    </row>
    <row r="7014" spans="1:5">
      <c r="A7014" s="174">
        <f t="shared" si="101"/>
        <v>7013</v>
      </c>
      <c r="B7014" s="163">
        <v>45951</v>
      </c>
      <c r="C7014" s="164">
        <v>0.86699074074074067</v>
      </c>
      <c r="D7014" s="159">
        <v>10</v>
      </c>
      <c r="E7014" s="166" t="s">
        <v>6194</v>
      </c>
    </row>
    <row r="7015" spans="1:5">
      <c r="A7015" s="174">
        <f t="shared" si="101"/>
        <v>7014</v>
      </c>
      <c r="B7015" s="163">
        <v>45951</v>
      </c>
      <c r="C7015" s="164">
        <v>0.88550925925925927</v>
      </c>
      <c r="D7015" s="159">
        <v>10</v>
      </c>
      <c r="E7015" s="166" t="s">
        <v>6195</v>
      </c>
    </row>
    <row r="7016" spans="1:5" ht="27">
      <c r="A7016" s="174">
        <f t="shared" si="101"/>
        <v>7015</v>
      </c>
      <c r="B7016" s="163">
        <v>45952</v>
      </c>
      <c r="C7016" s="164">
        <v>0.39021990740740736</v>
      </c>
      <c r="D7016" s="159">
        <v>10</v>
      </c>
      <c r="E7016" s="166" t="s">
        <v>6228</v>
      </c>
    </row>
    <row r="7017" spans="1:5">
      <c r="A7017" s="174">
        <f t="shared" si="101"/>
        <v>7016</v>
      </c>
      <c r="B7017" s="163">
        <v>45952</v>
      </c>
      <c r="C7017" s="164">
        <v>0.39292824074074079</v>
      </c>
      <c r="D7017" s="159">
        <v>10</v>
      </c>
      <c r="E7017" s="166" t="s">
        <v>6197</v>
      </c>
    </row>
    <row r="7018" spans="1:5">
      <c r="A7018" s="174">
        <f t="shared" si="101"/>
        <v>7017</v>
      </c>
      <c r="B7018" s="163">
        <v>45952</v>
      </c>
      <c r="C7018" s="164">
        <v>0.40834490740740742</v>
      </c>
      <c r="D7018" s="159">
        <v>10</v>
      </c>
      <c r="E7018" s="166" t="s">
        <v>6198</v>
      </c>
    </row>
    <row r="7019" spans="1:5">
      <c r="A7019" s="174">
        <f t="shared" si="101"/>
        <v>7018</v>
      </c>
      <c r="B7019" s="163">
        <v>45952</v>
      </c>
      <c r="C7019" s="164">
        <v>0.4340162037037037</v>
      </c>
      <c r="D7019" s="159">
        <v>10</v>
      </c>
      <c r="E7019" s="166" t="s">
        <v>6199</v>
      </c>
    </row>
    <row r="7020" spans="1:5">
      <c r="A7020" s="174">
        <f t="shared" si="101"/>
        <v>7019</v>
      </c>
      <c r="B7020" s="163">
        <v>45952</v>
      </c>
      <c r="C7020" s="164">
        <v>0.43582175925925926</v>
      </c>
      <c r="D7020" s="159">
        <v>10</v>
      </c>
      <c r="E7020" s="166" t="s">
        <v>6200</v>
      </c>
    </row>
    <row r="7021" spans="1:5">
      <c r="A7021" s="174">
        <f t="shared" si="101"/>
        <v>7020</v>
      </c>
      <c r="B7021" s="163">
        <v>45952</v>
      </c>
      <c r="C7021" s="164">
        <v>0.45346064814814818</v>
      </c>
      <c r="D7021" s="159">
        <v>10</v>
      </c>
      <c r="E7021" s="166" t="s">
        <v>6201</v>
      </c>
    </row>
    <row r="7022" spans="1:5">
      <c r="A7022" s="174">
        <f t="shared" si="101"/>
        <v>7021</v>
      </c>
      <c r="B7022" s="163">
        <v>45952</v>
      </c>
      <c r="C7022" s="164">
        <v>0.47512731481481479</v>
      </c>
      <c r="D7022" s="159">
        <v>10</v>
      </c>
      <c r="E7022" s="166" t="s">
        <v>6202</v>
      </c>
    </row>
    <row r="7023" spans="1:5">
      <c r="A7023" s="174">
        <f t="shared" si="101"/>
        <v>7022</v>
      </c>
      <c r="B7023" s="163">
        <v>45952</v>
      </c>
      <c r="C7023" s="164">
        <v>0.48026620370370371</v>
      </c>
      <c r="D7023" s="159">
        <v>10</v>
      </c>
      <c r="E7023" s="166" t="s">
        <v>6203</v>
      </c>
    </row>
    <row r="7024" spans="1:5">
      <c r="A7024" s="174">
        <f t="shared" si="101"/>
        <v>7023</v>
      </c>
      <c r="B7024" s="163">
        <v>45952</v>
      </c>
      <c r="C7024" s="164">
        <v>0.5015856481481481</v>
      </c>
      <c r="D7024" s="159">
        <v>10</v>
      </c>
      <c r="E7024" s="166" t="s">
        <v>6204</v>
      </c>
    </row>
    <row r="7025" spans="1:5">
      <c r="A7025" s="174">
        <f t="shared" si="101"/>
        <v>7024</v>
      </c>
      <c r="B7025" s="163">
        <v>45952</v>
      </c>
      <c r="C7025" s="164">
        <v>0.54722222222222217</v>
      </c>
      <c r="D7025" s="159">
        <v>10</v>
      </c>
      <c r="E7025" s="166" t="s">
        <v>6205</v>
      </c>
    </row>
    <row r="7026" spans="1:5">
      <c r="A7026" s="174">
        <f t="shared" si="101"/>
        <v>7025</v>
      </c>
      <c r="B7026" s="163">
        <v>45952</v>
      </c>
      <c r="C7026" s="164">
        <v>0.54932870370370368</v>
      </c>
      <c r="D7026" s="159">
        <v>10</v>
      </c>
      <c r="E7026" s="166" t="s">
        <v>6206</v>
      </c>
    </row>
    <row r="7027" spans="1:5">
      <c r="A7027" s="174">
        <f t="shared" si="101"/>
        <v>7026</v>
      </c>
      <c r="B7027" s="163">
        <v>45952</v>
      </c>
      <c r="C7027" s="164">
        <v>0.54934027777777772</v>
      </c>
      <c r="D7027" s="159">
        <v>10</v>
      </c>
      <c r="E7027" s="166" t="s">
        <v>6207</v>
      </c>
    </row>
    <row r="7028" spans="1:5">
      <c r="A7028" s="174">
        <f t="shared" si="101"/>
        <v>7027</v>
      </c>
      <c r="B7028" s="163">
        <v>45952</v>
      </c>
      <c r="C7028" s="164">
        <v>0.55744212962962958</v>
      </c>
      <c r="D7028" s="159">
        <v>10</v>
      </c>
      <c r="E7028" s="166" t="s">
        <v>6208</v>
      </c>
    </row>
    <row r="7029" spans="1:5">
      <c r="A7029" s="174">
        <f t="shared" ref="A7029:A7092" si="102">ROW()-1</f>
        <v>7028</v>
      </c>
      <c r="B7029" s="163">
        <v>45952</v>
      </c>
      <c r="C7029" s="164">
        <v>0.57041666666666668</v>
      </c>
      <c r="D7029" s="159">
        <v>10</v>
      </c>
      <c r="E7029" s="166" t="s">
        <v>6209</v>
      </c>
    </row>
    <row r="7030" spans="1:5">
      <c r="A7030" s="174">
        <f t="shared" si="102"/>
        <v>7029</v>
      </c>
      <c r="B7030" s="163">
        <v>45952</v>
      </c>
      <c r="C7030" s="164">
        <v>0.60303240740740738</v>
      </c>
      <c r="D7030" s="159">
        <v>10</v>
      </c>
      <c r="E7030" s="166" t="s">
        <v>6210</v>
      </c>
    </row>
    <row r="7031" spans="1:5">
      <c r="A7031" s="174">
        <f t="shared" si="102"/>
        <v>7030</v>
      </c>
      <c r="B7031" s="163">
        <v>45952</v>
      </c>
      <c r="C7031" s="164">
        <v>0.60935185185185181</v>
      </c>
      <c r="D7031" s="159">
        <v>10</v>
      </c>
      <c r="E7031" s="166" t="s">
        <v>6211</v>
      </c>
    </row>
    <row r="7032" spans="1:5" ht="27">
      <c r="A7032" s="174">
        <f t="shared" si="102"/>
        <v>7031</v>
      </c>
      <c r="B7032" s="163">
        <v>45952</v>
      </c>
      <c r="C7032" s="164">
        <v>0.61025462962962962</v>
      </c>
      <c r="D7032" s="159">
        <v>6</v>
      </c>
      <c r="E7032" s="166" t="s">
        <v>6212</v>
      </c>
    </row>
    <row r="7033" spans="1:5">
      <c r="A7033" s="174">
        <f t="shared" si="102"/>
        <v>7032</v>
      </c>
      <c r="B7033" s="163">
        <v>45952</v>
      </c>
      <c r="C7033" s="164">
        <v>0.6141550925925926</v>
      </c>
      <c r="D7033" s="159">
        <v>10</v>
      </c>
      <c r="E7033" s="166" t="s">
        <v>6213</v>
      </c>
    </row>
    <row r="7034" spans="1:5">
      <c r="A7034" s="174">
        <f t="shared" si="102"/>
        <v>7033</v>
      </c>
      <c r="B7034" s="163">
        <v>45952</v>
      </c>
      <c r="C7034" s="164">
        <v>0.61564814814814817</v>
      </c>
      <c r="D7034" s="159">
        <v>10</v>
      </c>
      <c r="E7034" s="166" t="s">
        <v>6214</v>
      </c>
    </row>
    <row r="7035" spans="1:5">
      <c r="A7035" s="174">
        <f t="shared" si="102"/>
        <v>7034</v>
      </c>
      <c r="B7035" s="163">
        <v>45952</v>
      </c>
      <c r="C7035" s="164">
        <v>0.63284722222222223</v>
      </c>
      <c r="D7035" s="159">
        <v>10</v>
      </c>
      <c r="E7035" s="166" t="s">
        <v>6215</v>
      </c>
    </row>
    <row r="7036" spans="1:5">
      <c r="A7036" s="174">
        <f t="shared" si="102"/>
        <v>7035</v>
      </c>
      <c r="B7036" s="163">
        <v>45952</v>
      </c>
      <c r="C7036" s="164">
        <v>0.63615740740740734</v>
      </c>
      <c r="D7036" s="159">
        <v>10</v>
      </c>
      <c r="E7036" s="166" t="s">
        <v>2705</v>
      </c>
    </row>
    <row r="7037" spans="1:5">
      <c r="A7037" s="174">
        <f t="shared" si="102"/>
        <v>7036</v>
      </c>
      <c r="B7037" s="163">
        <v>45952</v>
      </c>
      <c r="C7037" s="164">
        <v>0.6416898148148148</v>
      </c>
      <c r="D7037" s="159">
        <v>1</v>
      </c>
      <c r="E7037" s="166" t="s">
        <v>6216</v>
      </c>
    </row>
    <row r="7038" spans="1:5">
      <c r="A7038" s="174">
        <f t="shared" si="102"/>
        <v>7037</v>
      </c>
      <c r="B7038" s="163">
        <v>45952</v>
      </c>
      <c r="C7038" s="164">
        <v>0.64350694444444445</v>
      </c>
      <c r="D7038" s="159">
        <v>10</v>
      </c>
      <c r="E7038" s="166" t="s">
        <v>6217</v>
      </c>
    </row>
    <row r="7039" spans="1:5">
      <c r="A7039" s="174">
        <f t="shared" si="102"/>
        <v>7038</v>
      </c>
      <c r="B7039" s="163">
        <v>45952</v>
      </c>
      <c r="C7039" s="164">
        <v>0.67554398148148154</v>
      </c>
      <c r="D7039" s="159">
        <v>10</v>
      </c>
      <c r="E7039" s="166" t="s">
        <v>6218</v>
      </c>
    </row>
    <row r="7040" spans="1:5">
      <c r="A7040" s="174">
        <f t="shared" si="102"/>
        <v>7039</v>
      </c>
      <c r="B7040" s="163">
        <v>45952</v>
      </c>
      <c r="C7040" s="164">
        <v>0.69817129629629626</v>
      </c>
      <c r="D7040" s="159">
        <v>10</v>
      </c>
      <c r="E7040" s="166" t="s">
        <v>6219</v>
      </c>
    </row>
    <row r="7041" spans="1:5">
      <c r="A7041" s="174">
        <f t="shared" si="102"/>
        <v>7040</v>
      </c>
      <c r="B7041" s="163">
        <v>45952</v>
      </c>
      <c r="C7041" s="164">
        <v>0.6999305555555555</v>
      </c>
      <c r="D7041" s="159">
        <v>10</v>
      </c>
      <c r="E7041" s="166" t="s">
        <v>6220</v>
      </c>
    </row>
    <row r="7042" spans="1:5">
      <c r="A7042" s="174">
        <f t="shared" si="102"/>
        <v>7041</v>
      </c>
      <c r="B7042" s="163">
        <v>45952</v>
      </c>
      <c r="C7042" s="164">
        <v>0.70134259259259257</v>
      </c>
      <c r="D7042" s="159">
        <v>9</v>
      </c>
      <c r="E7042" s="166" t="s">
        <v>6221</v>
      </c>
    </row>
    <row r="7043" spans="1:5">
      <c r="A7043" s="174">
        <f t="shared" si="102"/>
        <v>7042</v>
      </c>
      <c r="B7043" s="163">
        <v>45952</v>
      </c>
      <c r="C7043" s="164">
        <v>0.71040509259259255</v>
      </c>
      <c r="D7043" s="159">
        <v>10</v>
      </c>
      <c r="E7043" s="166" t="s">
        <v>6222</v>
      </c>
    </row>
    <row r="7044" spans="1:5">
      <c r="A7044" s="174">
        <f t="shared" si="102"/>
        <v>7043</v>
      </c>
      <c r="B7044" s="163">
        <v>45952</v>
      </c>
      <c r="C7044" s="164">
        <v>0.72542824074074075</v>
      </c>
      <c r="D7044" s="159">
        <v>10</v>
      </c>
      <c r="E7044" s="166" t="s">
        <v>6223</v>
      </c>
    </row>
    <row r="7045" spans="1:5">
      <c r="A7045" s="174">
        <f t="shared" si="102"/>
        <v>7044</v>
      </c>
      <c r="B7045" s="163">
        <v>45952</v>
      </c>
      <c r="C7045" s="164">
        <v>0.72699074074074066</v>
      </c>
      <c r="D7045" s="159">
        <v>10</v>
      </c>
      <c r="E7045" s="166" t="s">
        <v>6224</v>
      </c>
    </row>
    <row r="7046" spans="1:5">
      <c r="A7046" s="174">
        <f t="shared" si="102"/>
        <v>7045</v>
      </c>
      <c r="B7046" s="163">
        <v>45952</v>
      </c>
      <c r="C7046" s="164">
        <v>0.73326388888888883</v>
      </c>
      <c r="D7046" s="159">
        <v>10</v>
      </c>
      <c r="E7046" s="166" t="s">
        <v>6225</v>
      </c>
    </row>
    <row r="7047" spans="1:5">
      <c r="A7047" s="174">
        <f t="shared" si="102"/>
        <v>7046</v>
      </c>
      <c r="B7047" s="163">
        <v>45952</v>
      </c>
      <c r="C7047" s="164">
        <v>0.73509259259259263</v>
      </c>
      <c r="D7047" s="159">
        <v>10</v>
      </c>
      <c r="E7047" s="166" t="s">
        <v>6226</v>
      </c>
    </row>
    <row r="7048" spans="1:5">
      <c r="A7048" s="174">
        <f t="shared" si="102"/>
        <v>7047</v>
      </c>
      <c r="B7048" s="163">
        <v>45952</v>
      </c>
      <c r="C7048" s="164">
        <v>0.74231481481481476</v>
      </c>
      <c r="D7048" s="159">
        <v>9</v>
      </c>
      <c r="E7048" s="166" t="s">
        <v>6227</v>
      </c>
    </row>
    <row r="7049" spans="1:5">
      <c r="A7049" s="174">
        <f t="shared" si="102"/>
        <v>7048</v>
      </c>
      <c r="B7049" s="163">
        <v>45952</v>
      </c>
      <c r="C7049" s="164">
        <v>0.75177083333333339</v>
      </c>
      <c r="D7049" s="159">
        <v>10</v>
      </c>
      <c r="E7049" s="166" t="s">
        <v>444</v>
      </c>
    </row>
    <row r="7050" spans="1:5">
      <c r="A7050" s="174">
        <f t="shared" si="102"/>
        <v>7049</v>
      </c>
      <c r="B7050" s="163">
        <v>45952</v>
      </c>
      <c r="C7050" s="164">
        <v>0.85755787037037035</v>
      </c>
      <c r="D7050" s="159">
        <v>10</v>
      </c>
      <c r="E7050" s="166" t="s">
        <v>6229</v>
      </c>
    </row>
    <row r="7051" spans="1:5">
      <c r="A7051" s="174">
        <f t="shared" si="102"/>
        <v>7050</v>
      </c>
      <c r="B7051" s="163">
        <v>45953</v>
      </c>
      <c r="C7051" s="164">
        <v>0.39112268518518517</v>
      </c>
      <c r="D7051" s="159">
        <v>10</v>
      </c>
      <c r="E7051" s="166" t="s">
        <v>6230</v>
      </c>
    </row>
    <row r="7052" spans="1:5">
      <c r="A7052" s="174">
        <f t="shared" si="102"/>
        <v>7051</v>
      </c>
      <c r="B7052" s="163">
        <v>45953</v>
      </c>
      <c r="C7052" s="164">
        <v>0.39152777777777775</v>
      </c>
      <c r="D7052" s="159">
        <v>10</v>
      </c>
      <c r="E7052" s="166" t="s">
        <v>6231</v>
      </c>
    </row>
    <row r="7053" spans="1:5">
      <c r="A7053" s="174">
        <f t="shared" si="102"/>
        <v>7052</v>
      </c>
      <c r="B7053" s="163">
        <v>45953</v>
      </c>
      <c r="C7053" s="164">
        <v>0.39945601851851853</v>
      </c>
      <c r="D7053" s="159">
        <v>10</v>
      </c>
      <c r="E7053" s="166" t="s">
        <v>6232</v>
      </c>
    </row>
    <row r="7054" spans="1:5">
      <c r="A7054" s="174">
        <f t="shared" si="102"/>
        <v>7053</v>
      </c>
      <c r="B7054" s="163">
        <v>45953</v>
      </c>
      <c r="C7054" s="164">
        <v>0.40914351851851855</v>
      </c>
      <c r="D7054" s="159">
        <v>10</v>
      </c>
      <c r="E7054" s="166" t="s">
        <v>6233</v>
      </c>
    </row>
    <row r="7055" spans="1:5">
      <c r="A7055" s="174">
        <f t="shared" si="102"/>
        <v>7054</v>
      </c>
      <c r="B7055" s="163">
        <v>45953</v>
      </c>
      <c r="C7055" s="164">
        <v>0.41746527777777781</v>
      </c>
      <c r="D7055" s="159">
        <v>10</v>
      </c>
      <c r="E7055" s="166" t="s">
        <v>6234</v>
      </c>
    </row>
    <row r="7056" spans="1:5">
      <c r="A7056" s="174">
        <f t="shared" si="102"/>
        <v>7055</v>
      </c>
      <c r="B7056" s="163">
        <v>45953</v>
      </c>
      <c r="C7056" s="164">
        <v>0.42780092592592595</v>
      </c>
      <c r="D7056" s="159">
        <v>10</v>
      </c>
      <c r="E7056" s="166" t="s">
        <v>4864</v>
      </c>
    </row>
    <row r="7057" spans="1:5">
      <c r="A7057" s="174">
        <f t="shared" si="102"/>
        <v>7056</v>
      </c>
      <c r="B7057" s="163">
        <v>45953</v>
      </c>
      <c r="C7057" s="164">
        <v>0.45128472222222221</v>
      </c>
      <c r="D7057" s="159">
        <v>10</v>
      </c>
      <c r="E7057" s="166" t="s">
        <v>6235</v>
      </c>
    </row>
    <row r="7058" spans="1:5">
      <c r="A7058" s="174">
        <f t="shared" si="102"/>
        <v>7057</v>
      </c>
      <c r="B7058" s="163">
        <v>45953</v>
      </c>
      <c r="C7058" s="164">
        <v>0.46196759259259257</v>
      </c>
      <c r="D7058" s="159">
        <v>10</v>
      </c>
      <c r="E7058" s="166" t="s">
        <v>6236</v>
      </c>
    </row>
    <row r="7059" spans="1:5">
      <c r="A7059" s="174">
        <f t="shared" si="102"/>
        <v>7058</v>
      </c>
      <c r="B7059" s="163">
        <v>45953</v>
      </c>
      <c r="C7059" s="164">
        <v>0.49111111111111111</v>
      </c>
      <c r="D7059" s="159">
        <v>10</v>
      </c>
      <c r="E7059" s="166" t="s">
        <v>415</v>
      </c>
    </row>
    <row r="7060" spans="1:5">
      <c r="A7060" s="174">
        <f t="shared" si="102"/>
        <v>7059</v>
      </c>
      <c r="B7060" s="163">
        <v>45953</v>
      </c>
      <c r="C7060" s="164">
        <v>0.54454861111111108</v>
      </c>
      <c r="D7060" s="159">
        <v>10</v>
      </c>
      <c r="E7060" s="166" t="s">
        <v>1405</v>
      </c>
    </row>
    <row r="7061" spans="1:5">
      <c r="A7061" s="174">
        <f t="shared" si="102"/>
        <v>7060</v>
      </c>
      <c r="B7061" s="163">
        <v>45953</v>
      </c>
      <c r="C7061" s="164">
        <v>0.55317129629629636</v>
      </c>
      <c r="D7061" s="159">
        <v>10</v>
      </c>
      <c r="E7061" s="166" t="s">
        <v>448</v>
      </c>
    </row>
    <row r="7062" spans="1:5">
      <c r="A7062" s="174">
        <f t="shared" si="102"/>
        <v>7061</v>
      </c>
      <c r="B7062" s="163">
        <v>45953</v>
      </c>
      <c r="C7062" s="164">
        <v>0.56015046296296289</v>
      </c>
      <c r="D7062" s="159">
        <v>10</v>
      </c>
      <c r="E7062" s="166" t="s">
        <v>6237</v>
      </c>
    </row>
    <row r="7063" spans="1:5">
      <c r="A7063" s="174">
        <f t="shared" si="102"/>
        <v>7062</v>
      </c>
      <c r="B7063" s="163">
        <v>45953</v>
      </c>
      <c r="C7063" s="164">
        <v>0.57032407407407404</v>
      </c>
      <c r="D7063" s="159">
        <v>10</v>
      </c>
      <c r="E7063" s="166" t="s">
        <v>6238</v>
      </c>
    </row>
    <row r="7064" spans="1:5">
      <c r="A7064" s="174">
        <f t="shared" si="102"/>
        <v>7063</v>
      </c>
      <c r="B7064" s="163">
        <v>45953</v>
      </c>
      <c r="C7064" s="164">
        <v>0.57037037037037031</v>
      </c>
      <c r="D7064" s="159">
        <v>10</v>
      </c>
      <c r="E7064" s="166" t="s">
        <v>132</v>
      </c>
    </row>
    <row r="7065" spans="1:5">
      <c r="A7065" s="174">
        <f t="shared" si="102"/>
        <v>7064</v>
      </c>
      <c r="B7065" s="163">
        <v>45953</v>
      </c>
      <c r="C7065" s="164">
        <v>0.57540509259259254</v>
      </c>
      <c r="D7065" s="159">
        <v>10</v>
      </c>
      <c r="E7065" s="166" t="s">
        <v>6239</v>
      </c>
    </row>
    <row r="7066" spans="1:5">
      <c r="A7066" s="174">
        <f t="shared" si="102"/>
        <v>7065</v>
      </c>
      <c r="B7066" s="163">
        <v>45953</v>
      </c>
      <c r="C7066" s="164">
        <v>0.60916666666666663</v>
      </c>
      <c r="D7066" s="159">
        <v>10</v>
      </c>
      <c r="E7066" s="166" t="s">
        <v>6240</v>
      </c>
    </row>
    <row r="7067" spans="1:5">
      <c r="A7067" s="174">
        <f t="shared" si="102"/>
        <v>7066</v>
      </c>
      <c r="B7067" s="163">
        <v>45953</v>
      </c>
      <c r="C7067" s="164">
        <v>0.61265046296296299</v>
      </c>
      <c r="D7067" s="159">
        <v>10</v>
      </c>
      <c r="E7067" s="166" t="s">
        <v>690</v>
      </c>
    </row>
    <row r="7068" spans="1:5">
      <c r="A7068" s="174">
        <f t="shared" si="102"/>
        <v>7067</v>
      </c>
      <c r="B7068" s="163">
        <v>45953</v>
      </c>
      <c r="C7068" s="164">
        <v>0.62465277777777783</v>
      </c>
      <c r="D7068" s="159">
        <v>10</v>
      </c>
      <c r="E7068" s="166" t="s">
        <v>6241</v>
      </c>
    </row>
    <row r="7069" spans="1:5" ht="27">
      <c r="A7069" s="174">
        <f t="shared" si="102"/>
        <v>7068</v>
      </c>
      <c r="B7069" s="163">
        <v>45953</v>
      </c>
      <c r="C7069" s="164">
        <v>0.6381134259259259</v>
      </c>
      <c r="D7069" s="159">
        <v>10</v>
      </c>
      <c r="E7069" s="166" t="s">
        <v>6242</v>
      </c>
    </row>
    <row r="7070" spans="1:5">
      <c r="A7070" s="174">
        <f t="shared" si="102"/>
        <v>7069</v>
      </c>
      <c r="B7070" s="163">
        <v>45953</v>
      </c>
      <c r="C7070" s="164">
        <v>0.68472222222222223</v>
      </c>
      <c r="D7070" s="159">
        <v>10</v>
      </c>
      <c r="E7070" s="166" t="s">
        <v>6243</v>
      </c>
    </row>
    <row r="7071" spans="1:5">
      <c r="A7071" s="174">
        <f t="shared" si="102"/>
        <v>7070</v>
      </c>
      <c r="B7071" s="163">
        <v>45953</v>
      </c>
      <c r="C7071" s="164">
        <v>0.70803240740740747</v>
      </c>
      <c r="D7071" s="159">
        <v>10</v>
      </c>
      <c r="E7071" s="166" t="s">
        <v>6244</v>
      </c>
    </row>
    <row r="7072" spans="1:5">
      <c r="A7072" s="174">
        <f t="shared" si="102"/>
        <v>7071</v>
      </c>
      <c r="B7072" s="163">
        <v>45953</v>
      </c>
      <c r="C7072" s="164">
        <v>0.72396990740740741</v>
      </c>
      <c r="D7072" s="159">
        <v>10</v>
      </c>
      <c r="E7072" s="166" t="s">
        <v>6005</v>
      </c>
    </row>
    <row r="7073" spans="1:5">
      <c r="A7073" s="174">
        <f t="shared" si="102"/>
        <v>7072</v>
      </c>
      <c r="B7073" s="163">
        <v>45953</v>
      </c>
      <c r="C7073" s="164">
        <v>0.74422453703703706</v>
      </c>
      <c r="D7073" s="159">
        <v>10</v>
      </c>
      <c r="E7073" s="166" t="s">
        <v>6245</v>
      </c>
    </row>
    <row r="7074" spans="1:5">
      <c r="A7074" s="174">
        <f t="shared" si="102"/>
        <v>7073</v>
      </c>
      <c r="B7074" s="163">
        <v>45953</v>
      </c>
      <c r="C7074" s="164">
        <v>0.80229166666666663</v>
      </c>
      <c r="D7074" s="159">
        <v>10</v>
      </c>
      <c r="E7074" s="166" t="s">
        <v>6246</v>
      </c>
    </row>
    <row r="7075" spans="1:5">
      <c r="A7075" s="174">
        <f t="shared" si="102"/>
        <v>7074</v>
      </c>
      <c r="B7075" s="163">
        <v>45953</v>
      </c>
      <c r="C7075" s="164">
        <v>0.86461805555555549</v>
      </c>
      <c r="D7075" s="159">
        <v>10</v>
      </c>
      <c r="E7075" s="166" t="s">
        <v>5050</v>
      </c>
    </row>
    <row r="7076" spans="1:5">
      <c r="A7076" s="174">
        <f t="shared" si="102"/>
        <v>7075</v>
      </c>
      <c r="B7076" s="163">
        <v>45953</v>
      </c>
      <c r="C7076" s="164">
        <v>0.87152777777777779</v>
      </c>
      <c r="D7076" s="159">
        <v>9</v>
      </c>
      <c r="E7076" s="166" t="s">
        <v>6247</v>
      </c>
    </row>
    <row r="7077" spans="1:5">
      <c r="A7077" s="174">
        <f t="shared" si="102"/>
        <v>7076</v>
      </c>
      <c r="B7077" s="163">
        <v>45953</v>
      </c>
      <c r="C7077" s="164">
        <v>0.88783564814814808</v>
      </c>
      <c r="D7077" s="159">
        <v>10</v>
      </c>
      <c r="E7077" s="166" t="s">
        <v>6248</v>
      </c>
    </row>
    <row r="7078" spans="1:5">
      <c r="A7078" s="174">
        <f t="shared" si="102"/>
        <v>7077</v>
      </c>
      <c r="B7078" s="163">
        <v>45954</v>
      </c>
      <c r="C7078" s="164">
        <v>0.38827546296296295</v>
      </c>
      <c r="D7078" s="159">
        <v>10</v>
      </c>
      <c r="E7078" s="166" t="s">
        <v>6249</v>
      </c>
    </row>
    <row r="7079" spans="1:5">
      <c r="A7079" s="174">
        <f t="shared" si="102"/>
        <v>7078</v>
      </c>
      <c r="B7079" s="163">
        <v>45954</v>
      </c>
      <c r="C7079" s="164">
        <v>0.41559027777777779</v>
      </c>
      <c r="D7079" s="159">
        <v>10</v>
      </c>
      <c r="E7079" s="166" t="s">
        <v>949</v>
      </c>
    </row>
    <row r="7080" spans="1:5">
      <c r="A7080" s="174">
        <f t="shared" si="102"/>
        <v>7079</v>
      </c>
      <c r="B7080" s="163">
        <v>45954</v>
      </c>
      <c r="C7080" s="164">
        <v>0.44396990740740744</v>
      </c>
      <c r="D7080" s="159">
        <v>10</v>
      </c>
      <c r="E7080" s="166" t="s">
        <v>6250</v>
      </c>
    </row>
    <row r="7081" spans="1:5">
      <c r="A7081" s="174">
        <f t="shared" si="102"/>
        <v>7080</v>
      </c>
      <c r="B7081" s="163">
        <v>45954</v>
      </c>
      <c r="C7081" s="164">
        <v>0.4440972222222222</v>
      </c>
      <c r="D7081" s="159">
        <v>10</v>
      </c>
      <c r="E7081" s="166" t="s">
        <v>5861</v>
      </c>
    </row>
    <row r="7082" spans="1:5">
      <c r="A7082" s="174">
        <f t="shared" si="102"/>
        <v>7081</v>
      </c>
      <c r="B7082" s="163">
        <v>45954</v>
      </c>
      <c r="C7082" s="164">
        <v>0.45280092592592597</v>
      </c>
      <c r="D7082" s="159">
        <v>10</v>
      </c>
      <c r="E7082" s="166" t="s">
        <v>6251</v>
      </c>
    </row>
    <row r="7083" spans="1:5">
      <c r="A7083" s="174">
        <f t="shared" si="102"/>
        <v>7082</v>
      </c>
      <c r="B7083" s="163">
        <v>45954</v>
      </c>
      <c r="C7083" s="164">
        <v>0.46054398148148151</v>
      </c>
      <c r="D7083" s="159">
        <v>10</v>
      </c>
      <c r="E7083" s="166" t="s">
        <v>6252</v>
      </c>
    </row>
    <row r="7084" spans="1:5">
      <c r="A7084" s="174">
        <f t="shared" si="102"/>
        <v>7083</v>
      </c>
      <c r="B7084" s="163">
        <v>45954</v>
      </c>
      <c r="C7084" s="164">
        <v>0.46376157407407409</v>
      </c>
      <c r="D7084" s="159">
        <v>10</v>
      </c>
      <c r="E7084" s="166" t="s">
        <v>6253</v>
      </c>
    </row>
    <row r="7085" spans="1:5">
      <c r="A7085" s="174">
        <f t="shared" si="102"/>
        <v>7084</v>
      </c>
      <c r="B7085" s="163">
        <v>45954</v>
      </c>
      <c r="C7085" s="164">
        <v>0.46660879629629631</v>
      </c>
      <c r="D7085" s="159">
        <v>10</v>
      </c>
      <c r="E7085" s="166" t="s">
        <v>6254</v>
      </c>
    </row>
    <row r="7086" spans="1:5">
      <c r="A7086" s="174">
        <f t="shared" si="102"/>
        <v>7085</v>
      </c>
      <c r="B7086" s="163">
        <v>45954</v>
      </c>
      <c r="C7086" s="164">
        <v>0.47438657407407409</v>
      </c>
      <c r="D7086" s="159">
        <v>10</v>
      </c>
      <c r="E7086" s="166" t="s">
        <v>6255</v>
      </c>
    </row>
    <row r="7087" spans="1:5">
      <c r="A7087" s="174">
        <f t="shared" si="102"/>
        <v>7086</v>
      </c>
      <c r="B7087" s="163">
        <v>45954</v>
      </c>
      <c r="C7087" s="164">
        <v>0.47641203703703705</v>
      </c>
      <c r="D7087" s="159">
        <v>10</v>
      </c>
      <c r="E7087" s="166" t="s">
        <v>6256</v>
      </c>
    </row>
    <row r="7088" spans="1:5">
      <c r="A7088" s="174">
        <f t="shared" si="102"/>
        <v>7087</v>
      </c>
      <c r="B7088" s="163">
        <v>45954</v>
      </c>
      <c r="C7088" s="164">
        <v>0.4794444444444444</v>
      </c>
      <c r="D7088" s="159">
        <v>10</v>
      </c>
      <c r="E7088" s="166" t="s">
        <v>6296</v>
      </c>
    </row>
    <row r="7089" spans="1:5">
      <c r="A7089" s="174">
        <f t="shared" si="102"/>
        <v>7088</v>
      </c>
      <c r="B7089" s="163">
        <v>45954</v>
      </c>
      <c r="C7089" s="164">
        <v>0.49269675925925926</v>
      </c>
      <c r="D7089" s="159">
        <v>10</v>
      </c>
      <c r="E7089" s="166" t="s">
        <v>6257</v>
      </c>
    </row>
    <row r="7090" spans="1:5">
      <c r="A7090" s="174">
        <f t="shared" si="102"/>
        <v>7089</v>
      </c>
      <c r="B7090" s="163">
        <v>45954</v>
      </c>
      <c r="C7090" s="164">
        <v>0.49584490740740739</v>
      </c>
      <c r="D7090" s="159">
        <v>10</v>
      </c>
      <c r="E7090" s="166" t="s">
        <v>6258</v>
      </c>
    </row>
    <row r="7091" spans="1:5">
      <c r="A7091" s="174">
        <f t="shared" si="102"/>
        <v>7090</v>
      </c>
      <c r="B7091" s="163">
        <v>45954</v>
      </c>
      <c r="C7091" s="164">
        <v>0.50061342592592595</v>
      </c>
      <c r="D7091" s="159">
        <v>10</v>
      </c>
      <c r="E7091" s="166" t="s">
        <v>6259</v>
      </c>
    </row>
    <row r="7092" spans="1:5">
      <c r="A7092" s="174">
        <f t="shared" si="102"/>
        <v>7091</v>
      </c>
      <c r="B7092" s="163">
        <v>45954</v>
      </c>
      <c r="C7092" s="164">
        <v>0.50509259259259254</v>
      </c>
      <c r="D7092" s="159">
        <v>10</v>
      </c>
      <c r="E7092" s="166" t="s">
        <v>6260</v>
      </c>
    </row>
    <row r="7093" spans="1:5">
      <c r="A7093" s="174">
        <f t="shared" ref="A7093:A7156" si="103">ROW()-1</f>
        <v>7092</v>
      </c>
      <c r="B7093" s="163">
        <v>45954</v>
      </c>
      <c r="C7093" s="164">
        <v>0.50603009259259257</v>
      </c>
      <c r="D7093" s="159">
        <v>10</v>
      </c>
      <c r="E7093" s="166" t="s">
        <v>6261</v>
      </c>
    </row>
    <row r="7094" spans="1:5">
      <c r="A7094" s="174">
        <f t="shared" si="103"/>
        <v>7093</v>
      </c>
      <c r="B7094" s="163">
        <v>45954</v>
      </c>
      <c r="C7094" s="164">
        <v>0.51505787037037043</v>
      </c>
      <c r="D7094" s="159">
        <v>10</v>
      </c>
      <c r="E7094" s="166" t="s">
        <v>6262</v>
      </c>
    </row>
    <row r="7095" spans="1:5">
      <c r="A7095" s="174">
        <f t="shared" si="103"/>
        <v>7094</v>
      </c>
      <c r="B7095" s="163">
        <v>45954</v>
      </c>
      <c r="C7095" s="164">
        <v>0.53645833333333337</v>
      </c>
      <c r="D7095" s="159">
        <v>10</v>
      </c>
      <c r="E7095" s="166" t="s">
        <v>6263</v>
      </c>
    </row>
    <row r="7096" spans="1:5">
      <c r="A7096" s="174">
        <f t="shared" si="103"/>
        <v>7095</v>
      </c>
      <c r="B7096" s="163">
        <v>45954</v>
      </c>
      <c r="C7096" s="164">
        <v>0.54943287037037036</v>
      </c>
      <c r="D7096" s="159">
        <v>10</v>
      </c>
      <c r="E7096" s="166" t="s">
        <v>6264</v>
      </c>
    </row>
    <row r="7097" spans="1:5">
      <c r="A7097" s="174">
        <f t="shared" si="103"/>
        <v>7096</v>
      </c>
      <c r="B7097" s="163">
        <v>45954</v>
      </c>
      <c r="C7097" s="164">
        <v>0.59016203703703707</v>
      </c>
      <c r="D7097" s="159">
        <v>10</v>
      </c>
      <c r="E7097" s="166" t="s">
        <v>6265</v>
      </c>
    </row>
    <row r="7098" spans="1:5">
      <c r="A7098" s="174">
        <f t="shared" si="103"/>
        <v>7097</v>
      </c>
      <c r="B7098" s="163">
        <v>45954</v>
      </c>
      <c r="C7098" s="164">
        <v>0.59107638888888892</v>
      </c>
      <c r="D7098" s="159">
        <v>10</v>
      </c>
      <c r="E7098" s="166" t="s">
        <v>6266</v>
      </c>
    </row>
    <row r="7099" spans="1:5">
      <c r="A7099" s="174">
        <f t="shared" si="103"/>
        <v>7098</v>
      </c>
      <c r="B7099" s="163">
        <v>45954</v>
      </c>
      <c r="C7099" s="164">
        <v>0.59547453703703701</v>
      </c>
      <c r="D7099" s="159">
        <v>10</v>
      </c>
      <c r="E7099" s="166" t="s">
        <v>4144</v>
      </c>
    </row>
    <row r="7100" spans="1:5">
      <c r="A7100" s="174">
        <f t="shared" si="103"/>
        <v>7099</v>
      </c>
      <c r="B7100" s="163">
        <v>45954</v>
      </c>
      <c r="C7100" s="164">
        <v>0.59807870370370375</v>
      </c>
      <c r="D7100" s="159">
        <v>10</v>
      </c>
      <c r="E7100" s="166" t="s">
        <v>6267</v>
      </c>
    </row>
    <row r="7101" spans="1:5">
      <c r="A7101" s="174">
        <f t="shared" si="103"/>
        <v>7100</v>
      </c>
      <c r="B7101" s="163">
        <v>45954</v>
      </c>
      <c r="C7101" s="164">
        <v>0.60091435185185182</v>
      </c>
      <c r="D7101" s="159">
        <v>10</v>
      </c>
      <c r="E7101" s="166" t="s">
        <v>5260</v>
      </c>
    </row>
    <row r="7102" spans="1:5">
      <c r="A7102" s="174">
        <f t="shared" si="103"/>
        <v>7101</v>
      </c>
      <c r="B7102" s="163">
        <v>45954</v>
      </c>
      <c r="C7102" s="164">
        <v>0.60160879629629627</v>
      </c>
      <c r="D7102" s="159">
        <v>10</v>
      </c>
      <c r="E7102" s="166" t="s">
        <v>500</v>
      </c>
    </row>
    <row r="7103" spans="1:5">
      <c r="A7103" s="174">
        <f t="shared" si="103"/>
        <v>7102</v>
      </c>
      <c r="B7103" s="163">
        <v>45954</v>
      </c>
      <c r="C7103" s="164">
        <v>0.60524305555555558</v>
      </c>
      <c r="D7103" s="159">
        <v>10</v>
      </c>
      <c r="E7103" s="166" t="s">
        <v>6268</v>
      </c>
    </row>
    <row r="7104" spans="1:5">
      <c r="A7104" s="174">
        <f t="shared" si="103"/>
        <v>7103</v>
      </c>
      <c r="B7104" s="163">
        <v>45954</v>
      </c>
      <c r="C7104" s="164">
        <v>0.61869212962962961</v>
      </c>
      <c r="D7104" s="159">
        <v>10</v>
      </c>
      <c r="E7104" s="166" t="s">
        <v>6269</v>
      </c>
    </row>
    <row r="7105" spans="1:5">
      <c r="A7105" s="174">
        <f t="shared" si="103"/>
        <v>7104</v>
      </c>
      <c r="B7105" s="163">
        <v>45954</v>
      </c>
      <c r="C7105" s="164">
        <v>0.62291666666666667</v>
      </c>
      <c r="D7105" s="159">
        <v>10</v>
      </c>
      <c r="E7105" s="166" t="s">
        <v>6270</v>
      </c>
    </row>
    <row r="7106" spans="1:5">
      <c r="A7106" s="174">
        <f t="shared" si="103"/>
        <v>7105</v>
      </c>
      <c r="B7106" s="163">
        <v>45954</v>
      </c>
      <c r="C7106" s="164">
        <v>0.62436342592592597</v>
      </c>
      <c r="D7106" s="159">
        <v>10</v>
      </c>
      <c r="E7106" s="166" t="s">
        <v>653</v>
      </c>
    </row>
    <row r="7107" spans="1:5">
      <c r="A7107" s="174">
        <f t="shared" si="103"/>
        <v>7106</v>
      </c>
      <c r="B7107" s="163">
        <v>45954</v>
      </c>
      <c r="C7107" s="164">
        <v>0.63270833333333332</v>
      </c>
      <c r="D7107" s="159">
        <v>9</v>
      </c>
      <c r="E7107" s="166" t="s">
        <v>6271</v>
      </c>
    </row>
    <row r="7108" spans="1:5">
      <c r="A7108" s="174">
        <f t="shared" si="103"/>
        <v>7107</v>
      </c>
      <c r="B7108" s="163">
        <v>45954</v>
      </c>
      <c r="C7108" s="164">
        <v>0.63550925925925927</v>
      </c>
      <c r="D7108" s="159">
        <v>10</v>
      </c>
      <c r="E7108" s="166" t="s">
        <v>6272</v>
      </c>
    </row>
    <row r="7109" spans="1:5">
      <c r="A7109" s="174">
        <f t="shared" si="103"/>
        <v>7108</v>
      </c>
      <c r="B7109" s="163">
        <v>45954</v>
      </c>
      <c r="C7109" s="164">
        <v>0.63938657407407407</v>
      </c>
      <c r="D7109" s="159">
        <v>10</v>
      </c>
      <c r="E7109" s="166" t="s">
        <v>6273</v>
      </c>
    </row>
    <row r="7110" spans="1:5">
      <c r="A7110" s="174">
        <f t="shared" si="103"/>
        <v>7109</v>
      </c>
      <c r="B7110" s="163">
        <v>45954</v>
      </c>
      <c r="C7110" s="164">
        <v>0.63965277777777774</v>
      </c>
      <c r="D7110" s="159">
        <v>10</v>
      </c>
      <c r="E7110" s="166" t="s">
        <v>6274</v>
      </c>
    </row>
    <row r="7111" spans="1:5">
      <c r="A7111" s="174">
        <f t="shared" si="103"/>
        <v>7110</v>
      </c>
      <c r="B7111" s="163">
        <v>45954</v>
      </c>
      <c r="C7111" s="164">
        <v>0.65258101851851846</v>
      </c>
      <c r="D7111" s="159">
        <v>10</v>
      </c>
      <c r="E7111" s="166" t="s">
        <v>6275</v>
      </c>
    </row>
    <row r="7112" spans="1:5">
      <c r="A7112" s="174">
        <f t="shared" si="103"/>
        <v>7111</v>
      </c>
      <c r="B7112" s="163">
        <v>45954</v>
      </c>
      <c r="C7112" s="164">
        <v>0.67118055555555556</v>
      </c>
      <c r="D7112" s="159">
        <v>10</v>
      </c>
      <c r="E7112" s="166" t="s">
        <v>6276</v>
      </c>
    </row>
    <row r="7113" spans="1:5">
      <c r="A7113" s="174">
        <f t="shared" si="103"/>
        <v>7112</v>
      </c>
      <c r="B7113" s="163">
        <v>45954</v>
      </c>
      <c r="C7113" s="164">
        <v>0.67298611111111117</v>
      </c>
      <c r="D7113" s="159">
        <v>10</v>
      </c>
      <c r="E7113" s="166" t="s">
        <v>6277</v>
      </c>
    </row>
    <row r="7114" spans="1:5">
      <c r="A7114" s="174">
        <f t="shared" si="103"/>
        <v>7113</v>
      </c>
      <c r="B7114" s="163">
        <v>45954</v>
      </c>
      <c r="C7114" s="164">
        <v>0.68471064814814808</v>
      </c>
      <c r="D7114" s="159">
        <v>10</v>
      </c>
      <c r="E7114" s="166" t="s">
        <v>6278</v>
      </c>
    </row>
    <row r="7115" spans="1:5">
      <c r="A7115" s="174">
        <f t="shared" si="103"/>
        <v>7114</v>
      </c>
      <c r="B7115" s="163">
        <v>45954</v>
      </c>
      <c r="C7115" s="164">
        <v>0.6859143518518519</v>
      </c>
      <c r="D7115" s="159">
        <v>10</v>
      </c>
      <c r="E7115" s="166" t="s">
        <v>6279</v>
      </c>
    </row>
    <row r="7116" spans="1:5">
      <c r="A7116" s="174">
        <f t="shared" si="103"/>
        <v>7115</v>
      </c>
      <c r="B7116" s="163">
        <v>45954</v>
      </c>
      <c r="C7116" s="164">
        <v>0.6900115740740741</v>
      </c>
      <c r="D7116" s="159">
        <v>10</v>
      </c>
      <c r="E7116" s="166" t="s">
        <v>6280</v>
      </c>
    </row>
    <row r="7117" spans="1:5">
      <c r="A7117" s="174">
        <f t="shared" si="103"/>
        <v>7116</v>
      </c>
      <c r="B7117" s="163">
        <v>45954</v>
      </c>
      <c r="C7117" s="164">
        <v>0.70046296296296295</v>
      </c>
      <c r="D7117" s="159">
        <v>10</v>
      </c>
      <c r="E7117" s="166" t="s">
        <v>1042</v>
      </c>
    </row>
    <row r="7118" spans="1:5" ht="27">
      <c r="A7118" s="174">
        <f t="shared" si="103"/>
        <v>7117</v>
      </c>
      <c r="B7118" s="163">
        <v>45954</v>
      </c>
      <c r="C7118" s="164">
        <v>0.70120370370370377</v>
      </c>
      <c r="D7118" s="159">
        <v>10</v>
      </c>
      <c r="E7118" s="166" t="s">
        <v>6297</v>
      </c>
    </row>
    <row r="7119" spans="1:5">
      <c r="A7119" s="174">
        <f t="shared" si="103"/>
        <v>7118</v>
      </c>
      <c r="B7119" s="163">
        <v>45954</v>
      </c>
      <c r="C7119" s="164">
        <v>0.70173611111111101</v>
      </c>
      <c r="D7119" s="159">
        <v>10</v>
      </c>
      <c r="E7119" s="166" t="s">
        <v>1505</v>
      </c>
    </row>
    <row r="7120" spans="1:5">
      <c r="A7120" s="174">
        <f t="shared" si="103"/>
        <v>7119</v>
      </c>
      <c r="B7120" s="163">
        <v>45954</v>
      </c>
      <c r="C7120" s="164">
        <v>0.70204861111111105</v>
      </c>
      <c r="D7120" s="159">
        <v>10</v>
      </c>
      <c r="E7120" s="166" t="s">
        <v>6281</v>
      </c>
    </row>
    <row r="7121" spans="1:5">
      <c r="A7121" s="174">
        <f t="shared" si="103"/>
        <v>7120</v>
      </c>
      <c r="B7121" s="163">
        <v>45954</v>
      </c>
      <c r="C7121" s="164">
        <v>0.71652777777777776</v>
      </c>
      <c r="D7121" s="159">
        <v>10</v>
      </c>
      <c r="E7121" s="166" t="s">
        <v>288</v>
      </c>
    </row>
    <row r="7122" spans="1:5">
      <c r="A7122" s="174">
        <f t="shared" si="103"/>
        <v>7121</v>
      </c>
      <c r="B7122" s="163">
        <v>45954</v>
      </c>
      <c r="C7122" s="164">
        <v>0.71802083333333344</v>
      </c>
      <c r="D7122" s="159">
        <v>10</v>
      </c>
      <c r="E7122" s="166" t="s">
        <v>6282</v>
      </c>
    </row>
    <row r="7123" spans="1:5" ht="27">
      <c r="A7123" s="174">
        <f t="shared" si="103"/>
        <v>7122</v>
      </c>
      <c r="B7123" s="163">
        <v>45954</v>
      </c>
      <c r="C7123" s="164">
        <v>0.72440972222222222</v>
      </c>
      <c r="D7123" s="159">
        <v>10</v>
      </c>
      <c r="E7123" s="166" t="s">
        <v>6283</v>
      </c>
    </row>
    <row r="7124" spans="1:5">
      <c r="A7124" s="174">
        <f t="shared" si="103"/>
        <v>7123</v>
      </c>
      <c r="B7124" s="163">
        <v>45954</v>
      </c>
      <c r="C7124" s="164">
        <v>0.72484953703703703</v>
      </c>
      <c r="D7124" s="159">
        <v>10</v>
      </c>
      <c r="E7124" s="166" t="s">
        <v>6284</v>
      </c>
    </row>
    <row r="7125" spans="1:5">
      <c r="A7125" s="174">
        <f t="shared" si="103"/>
        <v>7124</v>
      </c>
      <c r="B7125" s="163">
        <v>45954</v>
      </c>
      <c r="C7125" s="164">
        <v>0.73643518518518514</v>
      </c>
      <c r="D7125" s="159">
        <v>10</v>
      </c>
      <c r="E7125" s="166" t="s">
        <v>6285</v>
      </c>
    </row>
    <row r="7126" spans="1:5">
      <c r="A7126" s="174">
        <f t="shared" si="103"/>
        <v>7125</v>
      </c>
      <c r="B7126" s="163">
        <v>45954</v>
      </c>
      <c r="C7126" s="164">
        <v>0.81083333333333341</v>
      </c>
      <c r="D7126" s="159">
        <v>10</v>
      </c>
      <c r="E7126" s="166" t="s">
        <v>6221</v>
      </c>
    </row>
    <row r="7127" spans="1:5">
      <c r="A7127" s="174">
        <f t="shared" si="103"/>
        <v>7126</v>
      </c>
      <c r="B7127" s="163">
        <v>45954</v>
      </c>
      <c r="C7127" s="164">
        <v>0.84875</v>
      </c>
      <c r="D7127" s="159">
        <v>10</v>
      </c>
      <c r="E7127" s="166" t="s">
        <v>6286</v>
      </c>
    </row>
    <row r="7128" spans="1:5">
      <c r="A7128" s="174">
        <f t="shared" si="103"/>
        <v>7127</v>
      </c>
      <c r="B7128" s="163">
        <v>45954</v>
      </c>
      <c r="C7128" s="164">
        <v>0.87516203703703699</v>
      </c>
      <c r="D7128" s="159">
        <v>10</v>
      </c>
      <c r="E7128" s="166" t="s">
        <v>6287</v>
      </c>
    </row>
    <row r="7129" spans="1:5">
      <c r="A7129" s="174">
        <f t="shared" si="103"/>
        <v>7128</v>
      </c>
      <c r="B7129" s="163">
        <v>45954</v>
      </c>
      <c r="C7129" s="164">
        <v>0.88346064814814806</v>
      </c>
      <c r="D7129" s="159">
        <v>10</v>
      </c>
      <c r="E7129" s="166" t="s">
        <v>6288</v>
      </c>
    </row>
    <row r="7130" spans="1:5">
      <c r="A7130" s="174">
        <f t="shared" si="103"/>
        <v>7129</v>
      </c>
      <c r="B7130" s="163">
        <v>45954</v>
      </c>
      <c r="C7130" s="164">
        <v>0.91196759259259252</v>
      </c>
      <c r="D7130" s="159">
        <v>10</v>
      </c>
      <c r="E7130" s="166" t="s">
        <v>6289</v>
      </c>
    </row>
    <row r="7131" spans="1:5">
      <c r="A7131" s="174">
        <f t="shared" si="103"/>
        <v>7130</v>
      </c>
      <c r="B7131" s="163">
        <v>45955</v>
      </c>
      <c r="C7131" s="164">
        <v>0.38820601851851855</v>
      </c>
      <c r="D7131" s="159">
        <v>10</v>
      </c>
      <c r="E7131" s="166" t="s">
        <v>6290</v>
      </c>
    </row>
    <row r="7132" spans="1:5" ht="40.5">
      <c r="A7132" s="174">
        <f t="shared" si="103"/>
        <v>7131</v>
      </c>
      <c r="B7132" s="163">
        <v>45955</v>
      </c>
      <c r="C7132" s="164">
        <v>0.45679398148148148</v>
      </c>
      <c r="D7132" s="159">
        <v>1</v>
      </c>
      <c r="E7132" s="166" t="s">
        <v>6291</v>
      </c>
    </row>
    <row r="7133" spans="1:5">
      <c r="A7133" s="174">
        <f t="shared" si="103"/>
        <v>7132</v>
      </c>
      <c r="B7133" s="163">
        <v>45955</v>
      </c>
      <c r="C7133" s="164">
        <v>0.51726851851851852</v>
      </c>
      <c r="D7133" s="159">
        <v>10</v>
      </c>
      <c r="E7133" s="166" t="s">
        <v>6292</v>
      </c>
    </row>
    <row r="7134" spans="1:5">
      <c r="A7134" s="174">
        <f t="shared" si="103"/>
        <v>7133</v>
      </c>
      <c r="B7134" s="163">
        <v>45955</v>
      </c>
      <c r="C7134" s="164">
        <v>0.56925925925925924</v>
      </c>
      <c r="D7134" s="159">
        <v>10</v>
      </c>
      <c r="E7134" s="166" t="s">
        <v>132</v>
      </c>
    </row>
    <row r="7135" spans="1:5">
      <c r="A7135" s="174">
        <f t="shared" si="103"/>
        <v>7134</v>
      </c>
      <c r="B7135" s="163">
        <v>45955</v>
      </c>
      <c r="C7135" s="164">
        <v>0.58809027777777778</v>
      </c>
      <c r="D7135" s="159">
        <v>10</v>
      </c>
      <c r="E7135" s="166" t="s">
        <v>6293</v>
      </c>
    </row>
    <row r="7136" spans="1:5">
      <c r="A7136" s="174">
        <f t="shared" si="103"/>
        <v>7135</v>
      </c>
      <c r="B7136" s="163">
        <v>45955</v>
      </c>
      <c r="C7136" s="164">
        <v>0.66817129629629635</v>
      </c>
      <c r="D7136" s="159">
        <v>10</v>
      </c>
      <c r="E7136" s="166" t="s">
        <v>6294</v>
      </c>
    </row>
    <row r="7137" spans="1:5">
      <c r="A7137" s="174">
        <f t="shared" si="103"/>
        <v>7136</v>
      </c>
      <c r="B7137" s="163">
        <v>45955</v>
      </c>
      <c r="C7137" s="164">
        <v>0.72384259259259265</v>
      </c>
      <c r="D7137" s="159">
        <v>10</v>
      </c>
      <c r="E7137" s="166" t="s">
        <v>6295</v>
      </c>
    </row>
    <row r="7138" spans="1:5">
      <c r="A7138" s="174">
        <f t="shared" si="103"/>
        <v>7137</v>
      </c>
      <c r="B7138" s="163">
        <v>45957</v>
      </c>
      <c r="C7138" s="164">
        <v>0.39163194444444444</v>
      </c>
      <c r="D7138" s="159">
        <v>10</v>
      </c>
      <c r="E7138" s="166" t="s">
        <v>6298</v>
      </c>
    </row>
    <row r="7139" spans="1:5">
      <c r="A7139" s="174">
        <f t="shared" si="103"/>
        <v>7138</v>
      </c>
      <c r="B7139" s="163">
        <v>45957</v>
      </c>
      <c r="C7139" s="164">
        <v>0.39200231481481485</v>
      </c>
      <c r="D7139" s="159">
        <v>10</v>
      </c>
      <c r="E7139" s="166" t="s">
        <v>6299</v>
      </c>
    </row>
    <row r="7140" spans="1:5">
      <c r="A7140" s="174">
        <f t="shared" si="103"/>
        <v>7139</v>
      </c>
      <c r="B7140" s="163">
        <v>45957</v>
      </c>
      <c r="C7140" s="164">
        <v>0.40122685185185186</v>
      </c>
      <c r="D7140" s="159">
        <v>10</v>
      </c>
      <c r="E7140" s="166" t="s">
        <v>6300</v>
      </c>
    </row>
    <row r="7141" spans="1:5">
      <c r="A7141" s="174">
        <f t="shared" si="103"/>
        <v>7140</v>
      </c>
      <c r="B7141" s="163">
        <v>45957</v>
      </c>
      <c r="C7141" s="164">
        <v>0.43451388888888887</v>
      </c>
      <c r="D7141" s="159">
        <v>10</v>
      </c>
      <c r="E7141" s="166" t="s">
        <v>132</v>
      </c>
    </row>
    <row r="7142" spans="1:5" ht="27">
      <c r="A7142" s="174">
        <f t="shared" si="103"/>
        <v>7141</v>
      </c>
      <c r="B7142" s="163">
        <v>45957</v>
      </c>
      <c r="C7142" s="164">
        <v>0.44422453703703701</v>
      </c>
      <c r="D7142" s="159">
        <v>10</v>
      </c>
      <c r="E7142" s="166" t="s">
        <v>6320</v>
      </c>
    </row>
    <row r="7143" spans="1:5">
      <c r="A7143" s="174">
        <f t="shared" si="103"/>
        <v>7142</v>
      </c>
      <c r="B7143" s="163">
        <v>45957</v>
      </c>
      <c r="C7143" s="164">
        <v>0.46089120370370368</v>
      </c>
      <c r="D7143" s="159">
        <v>10</v>
      </c>
      <c r="E7143" s="166" t="s">
        <v>244</v>
      </c>
    </row>
    <row r="7144" spans="1:5">
      <c r="A7144" s="174">
        <f t="shared" si="103"/>
        <v>7143</v>
      </c>
      <c r="B7144" s="163">
        <v>45957</v>
      </c>
      <c r="C7144" s="164">
        <v>0.46873842592592596</v>
      </c>
      <c r="D7144" s="159">
        <v>10</v>
      </c>
      <c r="E7144" s="166" t="s">
        <v>6301</v>
      </c>
    </row>
    <row r="7145" spans="1:5">
      <c r="A7145" s="174">
        <f t="shared" si="103"/>
        <v>7144</v>
      </c>
      <c r="B7145" s="163">
        <v>45957</v>
      </c>
      <c r="C7145" s="164">
        <v>0.47787037037037039</v>
      </c>
      <c r="D7145" s="159">
        <v>10</v>
      </c>
      <c r="E7145" s="166" t="s">
        <v>6302</v>
      </c>
    </row>
    <row r="7146" spans="1:5">
      <c r="A7146" s="174">
        <f t="shared" si="103"/>
        <v>7145</v>
      </c>
      <c r="B7146" s="163">
        <v>45957</v>
      </c>
      <c r="C7146" s="164">
        <v>0.50170138888888893</v>
      </c>
      <c r="D7146" s="159">
        <v>10</v>
      </c>
      <c r="E7146" s="166" t="s">
        <v>6303</v>
      </c>
    </row>
    <row r="7147" spans="1:5">
      <c r="A7147" s="174">
        <f t="shared" si="103"/>
        <v>7146</v>
      </c>
      <c r="B7147" s="163">
        <v>45957</v>
      </c>
      <c r="C7147" s="164">
        <v>0.55283564814814812</v>
      </c>
      <c r="D7147" s="159">
        <v>10</v>
      </c>
      <c r="E7147" s="166" t="s">
        <v>6304</v>
      </c>
    </row>
    <row r="7148" spans="1:5" ht="27">
      <c r="A7148" s="174">
        <f t="shared" si="103"/>
        <v>7147</v>
      </c>
      <c r="B7148" s="163">
        <v>45957</v>
      </c>
      <c r="C7148" s="164">
        <v>0.56157407407407411</v>
      </c>
      <c r="D7148" s="159">
        <v>10</v>
      </c>
      <c r="E7148" s="166" t="s">
        <v>6305</v>
      </c>
    </row>
    <row r="7149" spans="1:5">
      <c r="A7149" s="174">
        <f t="shared" si="103"/>
        <v>7148</v>
      </c>
      <c r="B7149" s="163">
        <v>45957</v>
      </c>
      <c r="C7149" s="164">
        <v>0.5738078703703704</v>
      </c>
      <c r="D7149" s="159">
        <v>10</v>
      </c>
      <c r="E7149" s="166" t="s">
        <v>6306</v>
      </c>
    </row>
    <row r="7150" spans="1:5">
      <c r="A7150" s="174">
        <f t="shared" si="103"/>
        <v>7149</v>
      </c>
      <c r="B7150" s="163">
        <v>45957</v>
      </c>
      <c r="C7150" s="164">
        <v>0.57733796296296302</v>
      </c>
      <c r="D7150" s="159">
        <v>10</v>
      </c>
      <c r="E7150" s="166" t="s">
        <v>6307</v>
      </c>
    </row>
    <row r="7151" spans="1:5">
      <c r="A7151" s="174">
        <f t="shared" si="103"/>
        <v>7150</v>
      </c>
      <c r="B7151" s="163">
        <v>45957</v>
      </c>
      <c r="C7151" s="164">
        <v>0.6037731481481482</v>
      </c>
      <c r="D7151" s="159">
        <v>10</v>
      </c>
      <c r="E7151" s="166" t="s">
        <v>6308</v>
      </c>
    </row>
    <row r="7152" spans="1:5">
      <c r="A7152" s="174">
        <f t="shared" si="103"/>
        <v>7151</v>
      </c>
      <c r="B7152" s="163">
        <v>45957</v>
      </c>
      <c r="C7152" s="164">
        <v>0.61303240740740739</v>
      </c>
      <c r="D7152" s="159">
        <v>10</v>
      </c>
      <c r="E7152" s="166" t="s">
        <v>6309</v>
      </c>
    </row>
    <row r="7153" spans="1:5">
      <c r="A7153" s="174">
        <f t="shared" si="103"/>
        <v>7152</v>
      </c>
      <c r="B7153" s="163">
        <v>45957</v>
      </c>
      <c r="C7153" s="164">
        <v>0.62055555555555553</v>
      </c>
      <c r="D7153" s="159">
        <v>10</v>
      </c>
      <c r="E7153" s="166" t="s">
        <v>6321</v>
      </c>
    </row>
    <row r="7154" spans="1:5">
      <c r="A7154" s="174">
        <f t="shared" si="103"/>
        <v>7153</v>
      </c>
      <c r="B7154" s="163">
        <v>45957</v>
      </c>
      <c r="C7154" s="164">
        <v>0.63083333333333336</v>
      </c>
      <c r="D7154" s="159">
        <v>10</v>
      </c>
      <c r="E7154" s="166" t="s">
        <v>565</v>
      </c>
    </row>
    <row r="7155" spans="1:5">
      <c r="A7155" s="174">
        <f t="shared" si="103"/>
        <v>7154</v>
      </c>
      <c r="B7155" s="163">
        <v>45957</v>
      </c>
      <c r="C7155" s="164">
        <v>0.64577546296296295</v>
      </c>
      <c r="D7155" s="159">
        <v>10</v>
      </c>
      <c r="E7155" s="166" t="s">
        <v>6310</v>
      </c>
    </row>
    <row r="7156" spans="1:5">
      <c r="A7156" s="174">
        <f t="shared" si="103"/>
        <v>7155</v>
      </c>
      <c r="B7156" s="163">
        <v>45957</v>
      </c>
      <c r="C7156" s="164">
        <v>0.64900462962962957</v>
      </c>
      <c r="D7156" s="159">
        <v>10</v>
      </c>
      <c r="E7156" s="166" t="s">
        <v>565</v>
      </c>
    </row>
    <row r="7157" spans="1:5">
      <c r="A7157" s="174">
        <f t="shared" ref="A7157:A7220" si="104">ROW()-1</f>
        <v>7156</v>
      </c>
      <c r="B7157" s="163">
        <v>45957</v>
      </c>
      <c r="C7157" s="164">
        <v>0.66280092592592588</v>
      </c>
      <c r="D7157" s="159">
        <v>10</v>
      </c>
      <c r="E7157" s="166" t="s">
        <v>6311</v>
      </c>
    </row>
    <row r="7158" spans="1:5">
      <c r="A7158" s="174">
        <f t="shared" si="104"/>
        <v>7157</v>
      </c>
      <c r="B7158" s="163">
        <v>45957</v>
      </c>
      <c r="C7158" s="164">
        <v>0.66510416666666672</v>
      </c>
      <c r="D7158" s="159">
        <v>10</v>
      </c>
      <c r="E7158" s="166" t="s">
        <v>6312</v>
      </c>
    </row>
    <row r="7159" spans="1:5">
      <c r="A7159" s="174">
        <f t="shared" si="104"/>
        <v>7158</v>
      </c>
      <c r="B7159" s="163">
        <v>45957</v>
      </c>
      <c r="C7159" s="164">
        <v>0.70488425925925924</v>
      </c>
      <c r="D7159" s="159">
        <v>10</v>
      </c>
      <c r="E7159" s="166" t="s">
        <v>6313</v>
      </c>
    </row>
    <row r="7160" spans="1:5">
      <c r="A7160" s="174">
        <f t="shared" si="104"/>
        <v>7159</v>
      </c>
      <c r="B7160" s="163">
        <v>45957</v>
      </c>
      <c r="C7160" s="164">
        <v>0.73843749999999997</v>
      </c>
      <c r="D7160" s="159">
        <v>10</v>
      </c>
      <c r="E7160" s="166" t="s">
        <v>6314</v>
      </c>
    </row>
    <row r="7161" spans="1:5">
      <c r="A7161" s="174">
        <f t="shared" si="104"/>
        <v>7160</v>
      </c>
      <c r="B7161" s="163">
        <v>45957</v>
      </c>
      <c r="C7161" s="164">
        <v>0.75347222222222221</v>
      </c>
      <c r="D7161" s="159">
        <v>10</v>
      </c>
      <c r="E7161" s="166" t="s">
        <v>1518</v>
      </c>
    </row>
    <row r="7162" spans="1:5">
      <c r="A7162" s="174">
        <f t="shared" si="104"/>
        <v>7161</v>
      </c>
      <c r="B7162" s="163">
        <v>45957</v>
      </c>
      <c r="C7162" s="164">
        <v>0.75437500000000002</v>
      </c>
      <c r="D7162" s="159">
        <v>10</v>
      </c>
      <c r="E7162" s="166" t="s">
        <v>6315</v>
      </c>
    </row>
    <row r="7163" spans="1:5">
      <c r="A7163" s="174">
        <f t="shared" si="104"/>
        <v>7162</v>
      </c>
      <c r="B7163" s="163">
        <v>45957</v>
      </c>
      <c r="C7163" s="164">
        <v>0.75475694444444441</v>
      </c>
      <c r="D7163" s="159">
        <v>10</v>
      </c>
      <c r="E7163" s="166" t="s">
        <v>6316</v>
      </c>
    </row>
    <row r="7164" spans="1:5">
      <c r="A7164" s="174">
        <f t="shared" si="104"/>
        <v>7163</v>
      </c>
      <c r="B7164" s="163">
        <v>45957</v>
      </c>
      <c r="C7164" s="164">
        <v>0.79447916666666663</v>
      </c>
      <c r="D7164" s="159">
        <v>10</v>
      </c>
    </row>
    <row r="7165" spans="1:5">
      <c r="A7165" s="174">
        <f t="shared" si="104"/>
        <v>7164</v>
      </c>
      <c r="B7165" s="163">
        <v>45957</v>
      </c>
      <c r="C7165" s="164">
        <v>0.81806712962962969</v>
      </c>
      <c r="D7165" s="159">
        <v>10</v>
      </c>
      <c r="E7165" s="166" t="s">
        <v>6317</v>
      </c>
    </row>
    <row r="7166" spans="1:5">
      <c r="A7166" s="174">
        <f t="shared" si="104"/>
        <v>7165</v>
      </c>
      <c r="B7166" s="163">
        <v>45957</v>
      </c>
      <c r="C7166" s="164">
        <v>0.82924768518518521</v>
      </c>
      <c r="D7166" s="159">
        <v>10</v>
      </c>
      <c r="E7166" s="166" t="s">
        <v>6318</v>
      </c>
    </row>
    <row r="7167" spans="1:5">
      <c r="A7167" s="174">
        <f t="shared" si="104"/>
        <v>7166</v>
      </c>
      <c r="B7167" s="163">
        <v>45957</v>
      </c>
      <c r="C7167" s="164">
        <v>0.84266203703703713</v>
      </c>
      <c r="D7167" s="159">
        <v>10</v>
      </c>
      <c r="E7167" s="166" t="s">
        <v>6319</v>
      </c>
    </row>
    <row r="7168" spans="1:5">
      <c r="A7168" s="174">
        <f t="shared" si="104"/>
        <v>7167</v>
      </c>
      <c r="B7168" s="163">
        <v>45958</v>
      </c>
      <c r="C7168" s="164">
        <v>0.39096064814814818</v>
      </c>
      <c r="D7168" s="159">
        <v>10</v>
      </c>
      <c r="E7168" s="166" t="s">
        <v>6322</v>
      </c>
    </row>
    <row r="7169" spans="1:5">
      <c r="A7169" s="174">
        <f t="shared" si="104"/>
        <v>7168</v>
      </c>
      <c r="B7169" s="163">
        <v>45958</v>
      </c>
      <c r="C7169" s="164">
        <v>0.41145833333333331</v>
      </c>
      <c r="D7169" s="159">
        <v>10</v>
      </c>
      <c r="E7169" s="166" t="s">
        <v>6341</v>
      </c>
    </row>
    <row r="7170" spans="1:5">
      <c r="A7170" s="174">
        <f t="shared" si="104"/>
        <v>7169</v>
      </c>
      <c r="B7170" s="163">
        <v>45958</v>
      </c>
      <c r="C7170" s="164">
        <v>0.43042824074074071</v>
      </c>
      <c r="D7170" s="159">
        <v>10</v>
      </c>
      <c r="E7170" s="166" t="s">
        <v>6323</v>
      </c>
    </row>
    <row r="7171" spans="1:5">
      <c r="A7171" s="174">
        <f t="shared" si="104"/>
        <v>7170</v>
      </c>
      <c r="B7171" s="163">
        <v>45958</v>
      </c>
      <c r="C7171" s="164">
        <v>0.44615740740740745</v>
      </c>
      <c r="D7171" s="159">
        <v>10</v>
      </c>
      <c r="E7171" s="166" t="s">
        <v>246</v>
      </c>
    </row>
    <row r="7172" spans="1:5">
      <c r="A7172" s="174">
        <f t="shared" si="104"/>
        <v>7171</v>
      </c>
      <c r="B7172" s="163">
        <v>45958</v>
      </c>
      <c r="C7172" s="164">
        <v>0.4629861111111111</v>
      </c>
      <c r="D7172" s="159">
        <v>10</v>
      </c>
      <c r="E7172" s="166" t="s">
        <v>2500</v>
      </c>
    </row>
    <row r="7173" spans="1:5">
      <c r="A7173" s="174">
        <f t="shared" si="104"/>
        <v>7172</v>
      </c>
      <c r="B7173" s="163">
        <v>45958</v>
      </c>
      <c r="C7173" s="164">
        <v>0.46364583333333331</v>
      </c>
      <c r="D7173" s="159">
        <v>10</v>
      </c>
      <c r="E7173" s="166" t="s">
        <v>6324</v>
      </c>
    </row>
    <row r="7174" spans="1:5">
      <c r="A7174" s="174">
        <f t="shared" si="104"/>
        <v>7173</v>
      </c>
      <c r="B7174" s="163">
        <v>45958</v>
      </c>
      <c r="C7174" s="164">
        <v>0.47315972222222219</v>
      </c>
      <c r="D7174" s="159">
        <v>10</v>
      </c>
      <c r="E7174" s="166" t="s">
        <v>6342</v>
      </c>
    </row>
    <row r="7175" spans="1:5">
      <c r="A7175" s="174">
        <f t="shared" si="104"/>
        <v>7174</v>
      </c>
      <c r="B7175" s="163">
        <v>45958</v>
      </c>
      <c r="C7175" s="164">
        <v>0.47773148148148148</v>
      </c>
      <c r="D7175" s="159">
        <v>10</v>
      </c>
      <c r="E7175" s="166" t="s">
        <v>6325</v>
      </c>
    </row>
    <row r="7176" spans="1:5">
      <c r="A7176" s="174">
        <f t="shared" si="104"/>
        <v>7175</v>
      </c>
      <c r="B7176" s="163">
        <v>45958</v>
      </c>
      <c r="C7176" s="164">
        <v>0.47797453703703702</v>
      </c>
      <c r="D7176" s="159">
        <v>10</v>
      </c>
      <c r="E7176" s="166" t="s">
        <v>6326</v>
      </c>
    </row>
    <row r="7177" spans="1:5">
      <c r="A7177" s="174">
        <f t="shared" si="104"/>
        <v>7176</v>
      </c>
      <c r="B7177" s="163">
        <v>45958</v>
      </c>
      <c r="C7177" s="164">
        <v>0.53767361111111112</v>
      </c>
      <c r="D7177" s="159">
        <v>10</v>
      </c>
      <c r="E7177" s="166" t="s">
        <v>6327</v>
      </c>
    </row>
    <row r="7178" spans="1:5">
      <c r="A7178" s="174">
        <f t="shared" si="104"/>
        <v>7177</v>
      </c>
      <c r="B7178" s="163">
        <v>45958</v>
      </c>
      <c r="C7178" s="164">
        <v>0.54754629629629636</v>
      </c>
      <c r="D7178" s="159">
        <v>10</v>
      </c>
      <c r="E7178" s="166" t="s">
        <v>6343</v>
      </c>
    </row>
    <row r="7179" spans="1:5">
      <c r="A7179" s="174">
        <f t="shared" si="104"/>
        <v>7178</v>
      </c>
      <c r="B7179" s="163">
        <v>45958</v>
      </c>
      <c r="C7179" s="164">
        <v>0.55212962962962964</v>
      </c>
      <c r="D7179" s="159">
        <v>10</v>
      </c>
      <c r="E7179" s="166" t="s">
        <v>537</v>
      </c>
    </row>
    <row r="7180" spans="1:5">
      <c r="A7180" s="174">
        <f t="shared" si="104"/>
        <v>7179</v>
      </c>
      <c r="B7180" s="163">
        <v>45958</v>
      </c>
      <c r="C7180" s="164">
        <v>0.55984953703703699</v>
      </c>
      <c r="D7180" s="159">
        <v>10</v>
      </c>
      <c r="E7180" s="166" t="s">
        <v>6328</v>
      </c>
    </row>
    <row r="7181" spans="1:5">
      <c r="A7181" s="174">
        <f t="shared" si="104"/>
        <v>7180</v>
      </c>
      <c r="B7181" s="163">
        <v>45958</v>
      </c>
      <c r="C7181" s="164">
        <v>0.57835648148148155</v>
      </c>
      <c r="D7181" s="159">
        <v>7</v>
      </c>
      <c r="E7181" s="166" t="s">
        <v>6329</v>
      </c>
    </row>
    <row r="7182" spans="1:5">
      <c r="A7182" s="174">
        <f t="shared" si="104"/>
        <v>7181</v>
      </c>
      <c r="B7182" s="163">
        <v>45958</v>
      </c>
      <c r="C7182" s="164">
        <v>0.57945601851851858</v>
      </c>
      <c r="D7182" s="159">
        <v>10</v>
      </c>
      <c r="E7182" s="166" t="s">
        <v>6330</v>
      </c>
    </row>
    <row r="7183" spans="1:5">
      <c r="A7183" s="174">
        <f t="shared" si="104"/>
        <v>7182</v>
      </c>
      <c r="B7183" s="163">
        <v>45958</v>
      </c>
      <c r="C7183" s="164">
        <v>0.62054398148148149</v>
      </c>
      <c r="D7183" s="159">
        <v>10</v>
      </c>
      <c r="E7183" s="166" t="s">
        <v>6331</v>
      </c>
    </row>
    <row r="7184" spans="1:5">
      <c r="A7184" s="174">
        <f t="shared" si="104"/>
        <v>7183</v>
      </c>
      <c r="B7184" s="163">
        <v>45958</v>
      </c>
      <c r="C7184" s="164">
        <v>0.62997685185185182</v>
      </c>
      <c r="D7184" s="159">
        <v>10</v>
      </c>
      <c r="E7184" s="166" t="s">
        <v>6332</v>
      </c>
    </row>
    <row r="7185" spans="1:5">
      <c r="A7185" s="174">
        <f t="shared" si="104"/>
        <v>7184</v>
      </c>
      <c r="B7185" s="163">
        <v>45958</v>
      </c>
      <c r="C7185" s="164">
        <v>0.63603009259259258</v>
      </c>
      <c r="D7185" s="159">
        <v>10</v>
      </c>
      <c r="E7185" s="166" t="s">
        <v>5524</v>
      </c>
    </row>
    <row r="7186" spans="1:5">
      <c r="A7186" s="174">
        <f t="shared" si="104"/>
        <v>7185</v>
      </c>
      <c r="B7186" s="163">
        <v>45958</v>
      </c>
      <c r="C7186" s="164">
        <v>0.67704861111111114</v>
      </c>
      <c r="D7186" s="159">
        <v>10</v>
      </c>
      <c r="E7186" s="166" t="s">
        <v>6333</v>
      </c>
    </row>
    <row r="7187" spans="1:5">
      <c r="A7187" s="174">
        <f t="shared" si="104"/>
        <v>7186</v>
      </c>
      <c r="B7187" s="163">
        <v>45958</v>
      </c>
      <c r="C7187" s="164">
        <v>0.69643518518518521</v>
      </c>
      <c r="D7187" s="159">
        <v>10</v>
      </c>
      <c r="E7187" s="166" t="s">
        <v>6334</v>
      </c>
    </row>
    <row r="7188" spans="1:5">
      <c r="A7188" s="174">
        <f t="shared" si="104"/>
        <v>7187</v>
      </c>
      <c r="B7188" s="163">
        <v>45958</v>
      </c>
      <c r="C7188" s="164">
        <v>0.69796296296296301</v>
      </c>
      <c r="D7188" s="159">
        <v>10</v>
      </c>
      <c r="E7188" s="166" t="s">
        <v>6335</v>
      </c>
    </row>
    <row r="7189" spans="1:5">
      <c r="A7189" s="174">
        <f t="shared" si="104"/>
        <v>7188</v>
      </c>
      <c r="B7189" s="163">
        <v>45958</v>
      </c>
      <c r="C7189" s="164">
        <v>0.72765046296296287</v>
      </c>
      <c r="D7189" s="159">
        <v>10</v>
      </c>
      <c r="E7189" s="166" t="s">
        <v>6345</v>
      </c>
    </row>
    <row r="7190" spans="1:5">
      <c r="A7190" s="174">
        <f t="shared" si="104"/>
        <v>7189</v>
      </c>
      <c r="B7190" s="163">
        <v>45958</v>
      </c>
      <c r="C7190" s="164">
        <v>0.72854166666666664</v>
      </c>
      <c r="D7190" s="159">
        <v>10</v>
      </c>
      <c r="E7190" s="166" t="s">
        <v>6344</v>
      </c>
    </row>
    <row r="7191" spans="1:5">
      <c r="A7191" s="174">
        <f t="shared" si="104"/>
        <v>7190</v>
      </c>
      <c r="B7191" s="163">
        <v>45958</v>
      </c>
      <c r="C7191" s="164">
        <v>0.73810185185185195</v>
      </c>
      <c r="D7191" s="159">
        <v>10</v>
      </c>
      <c r="E7191" s="166" t="s">
        <v>6336</v>
      </c>
    </row>
    <row r="7192" spans="1:5">
      <c r="A7192" s="174">
        <f t="shared" si="104"/>
        <v>7191</v>
      </c>
      <c r="B7192" s="163">
        <v>45958</v>
      </c>
      <c r="C7192" s="164">
        <v>0.74026620370370377</v>
      </c>
      <c r="D7192" s="159">
        <v>10</v>
      </c>
      <c r="E7192" s="166" t="s">
        <v>6337</v>
      </c>
    </row>
    <row r="7193" spans="1:5">
      <c r="A7193" s="174">
        <f t="shared" si="104"/>
        <v>7192</v>
      </c>
      <c r="B7193" s="163">
        <v>45958</v>
      </c>
      <c r="C7193" s="164">
        <v>0.81489583333333337</v>
      </c>
      <c r="D7193" s="159">
        <v>10</v>
      </c>
      <c r="E7193" s="166" t="s">
        <v>6338</v>
      </c>
    </row>
    <row r="7194" spans="1:5">
      <c r="A7194" s="174">
        <f t="shared" si="104"/>
        <v>7193</v>
      </c>
      <c r="B7194" s="163">
        <v>45958</v>
      </c>
      <c r="C7194" s="164">
        <v>0.88149305555555557</v>
      </c>
      <c r="D7194" s="159">
        <v>10</v>
      </c>
      <c r="E7194" s="166" t="s">
        <v>6339</v>
      </c>
    </row>
    <row r="7195" spans="1:5">
      <c r="A7195" s="174">
        <f t="shared" si="104"/>
        <v>7194</v>
      </c>
      <c r="B7195" s="163">
        <v>45958</v>
      </c>
      <c r="C7195" s="164">
        <v>0.89107638888888896</v>
      </c>
      <c r="D7195" s="159">
        <v>10</v>
      </c>
      <c r="E7195" s="166" t="s">
        <v>6340</v>
      </c>
    </row>
    <row r="7196" spans="1:5">
      <c r="A7196" s="174">
        <f t="shared" si="104"/>
        <v>7195</v>
      </c>
      <c r="B7196" s="163">
        <v>45959</v>
      </c>
      <c r="C7196" s="164">
        <v>0.39530092592592592</v>
      </c>
      <c r="D7196" s="159">
        <v>10</v>
      </c>
      <c r="E7196" s="166" t="s">
        <v>6346</v>
      </c>
    </row>
    <row r="7197" spans="1:5">
      <c r="A7197" s="174">
        <f t="shared" si="104"/>
        <v>7196</v>
      </c>
      <c r="B7197" s="163">
        <v>45959</v>
      </c>
      <c r="C7197" s="164">
        <v>0.3969212962962963</v>
      </c>
      <c r="D7197" s="159">
        <v>10</v>
      </c>
      <c r="E7197" s="166" t="s">
        <v>1688</v>
      </c>
    </row>
    <row r="7198" spans="1:5">
      <c r="A7198" s="174">
        <f t="shared" si="104"/>
        <v>7197</v>
      </c>
      <c r="B7198" s="163">
        <v>45959</v>
      </c>
      <c r="C7198" s="164">
        <v>0.40520833333333334</v>
      </c>
      <c r="D7198" s="159">
        <v>10</v>
      </c>
      <c r="E7198" s="166" t="s">
        <v>6347</v>
      </c>
    </row>
    <row r="7199" spans="1:5">
      <c r="A7199" s="174">
        <f t="shared" si="104"/>
        <v>7198</v>
      </c>
      <c r="B7199" s="163">
        <v>45959</v>
      </c>
      <c r="C7199" s="164">
        <v>0.4211226851851852</v>
      </c>
      <c r="D7199" s="159">
        <v>10</v>
      </c>
      <c r="E7199" s="166" t="s">
        <v>6348</v>
      </c>
    </row>
    <row r="7200" spans="1:5">
      <c r="A7200" s="174">
        <f t="shared" si="104"/>
        <v>7199</v>
      </c>
      <c r="B7200" s="163">
        <v>45959</v>
      </c>
      <c r="C7200" s="164">
        <v>0.4418171296296296</v>
      </c>
      <c r="D7200" s="159">
        <v>10</v>
      </c>
      <c r="E7200" s="166" t="s">
        <v>6349</v>
      </c>
    </row>
    <row r="7201" spans="1:5">
      <c r="A7201" s="174">
        <f t="shared" si="104"/>
        <v>7200</v>
      </c>
      <c r="B7201" s="163">
        <v>45959</v>
      </c>
      <c r="C7201" s="164">
        <v>0.4455324074074074</v>
      </c>
      <c r="D7201" s="159">
        <v>10</v>
      </c>
      <c r="E7201" s="166" t="s">
        <v>6350</v>
      </c>
    </row>
    <row r="7202" spans="1:5">
      <c r="A7202" s="174">
        <f t="shared" si="104"/>
        <v>7201</v>
      </c>
      <c r="B7202" s="163">
        <v>45959</v>
      </c>
      <c r="C7202" s="164">
        <v>0.45979166666666665</v>
      </c>
      <c r="D7202" s="159">
        <v>10</v>
      </c>
      <c r="E7202" s="166" t="s">
        <v>6351</v>
      </c>
    </row>
    <row r="7203" spans="1:5">
      <c r="A7203" s="174">
        <f t="shared" si="104"/>
        <v>7202</v>
      </c>
      <c r="B7203" s="163">
        <v>45959</v>
      </c>
      <c r="C7203" s="164">
        <v>0.46835648148148151</v>
      </c>
      <c r="D7203" s="159">
        <v>10</v>
      </c>
      <c r="E7203" s="166" t="s">
        <v>6352</v>
      </c>
    </row>
    <row r="7204" spans="1:5">
      <c r="A7204" s="174">
        <f t="shared" si="104"/>
        <v>7203</v>
      </c>
      <c r="B7204" s="163">
        <v>45959</v>
      </c>
      <c r="C7204" s="164">
        <v>0.47898148148148145</v>
      </c>
      <c r="D7204" s="159">
        <v>10</v>
      </c>
      <c r="E7204" s="166" t="s">
        <v>6372</v>
      </c>
    </row>
    <row r="7205" spans="1:5">
      <c r="A7205" s="174">
        <f t="shared" si="104"/>
        <v>7204</v>
      </c>
      <c r="B7205" s="163">
        <v>45959</v>
      </c>
      <c r="C7205" s="164">
        <v>0.49466435185185187</v>
      </c>
      <c r="D7205" s="159">
        <v>10</v>
      </c>
      <c r="E7205" s="166" t="s">
        <v>6353</v>
      </c>
    </row>
    <row r="7206" spans="1:5">
      <c r="A7206" s="174">
        <f t="shared" si="104"/>
        <v>7205</v>
      </c>
      <c r="B7206" s="163">
        <v>45959</v>
      </c>
      <c r="C7206" s="164">
        <v>0.55891203703703707</v>
      </c>
      <c r="D7206" s="159">
        <v>10</v>
      </c>
      <c r="E7206" s="166" t="s">
        <v>6354</v>
      </c>
    </row>
    <row r="7207" spans="1:5">
      <c r="A7207" s="174">
        <f t="shared" si="104"/>
        <v>7206</v>
      </c>
      <c r="B7207" s="163">
        <v>45959</v>
      </c>
      <c r="C7207" s="164">
        <v>0.57145833333333329</v>
      </c>
      <c r="D7207" s="159">
        <v>10</v>
      </c>
      <c r="E7207" s="166" t="s">
        <v>6355</v>
      </c>
    </row>
    <row r="7208" spans="1:5">
      <c r="A7208" s="174">
        <f t="shared" si="104"/>
        <v>7207</v>
      </c>
      <c r="B7208" s="163">
        <v>45959</v>
      </c>
      <c r="C7208" s="164">
        <v>0.5759143518518518</v>
      </c>
      <c r="D7208" s="159">
        <v>10</v>
      </c>
      <c r="E7208" s="166" t="s">
        <v>6356</v>
      </c>
    </row>
    <row r="7209" spans="1:5">
      <c r="A7209" s="174">
        <f t="shared" si="104"/>
        <v>7208</v>
      </c>
      <c r="B7209" s="163">
        <v>45959</v>
      </c>
      <c r="C7209" s="164">
        <v>0.57688657407407407</v>
      </c>
      <c r="D7209" s="159">
        <v>10</v>
      </c>
      <c r="E7209" s="166" t="s">
        <v>6357</v>
      </c>
    </row>
    <row r="7210" spans="1:5">
      <c r="A7210" s="174">
        <f t="shared" si="104"/>
        <v>7209</v>
      </c>
      <c r="B7210" s="163">
        <v>45959</v>
      </c>
      <c r="C7210" s="164">
        <v>0.60149305555555554</v>
      </c>
      <c r="D7210" s="159">
        <v>10</v>
      </c>
      <c r="E7210" s="166" t="s">
        <v>6358</v>
      </c>
    </row>
    <row r="7211" spans="1:5">
      <c r="A7211" s="174">
        <f t="shared" si="104"/>
        <v>7210</v>
      </c>
      <c r="B7211" s="163">
        <v>45959</v>
      </c>
      <c r="C7211" s="164">
        <v>0.60655092592592597</v>
      </c>
      <c r="D7211" s="159">
        <v>10</v>
      </c>
      <c r="E7211" s="166" t="s">
        <v>6359</v>
      </c>
    </row>
    <row r="7212" spans="1:5">
      <c r="A7212" s="174">
        <f t="shared" si="104"/>
        <v>7211</v>
      </c>
      <c r="B7212" s="163">
        <v>45959</v>
      </c>
      <c r="C7212" s="164">
        <v>0.61824074074074076</v>
      </c>
      <c r="D7212" s="159">
        <v>10</v>
      </c>
      <c r="E7212" s="166" t="s">
        <v>6360</v>
      </c>
    </row>
    <row r="7213" spans="1:5">
      <c r="A7213" s="174">
        <f t="shared" si="104"/>
        <v>7212</v>
      </c>
      <c r="B7213" s="163">
        <v>45959</v>
      </c>
      <c r="C7213" s="164">
        <v>0.62016203703703698</v>
      </c>
      <c r="D7213" s="159">
        <v>10</v>
      </c>
      <c r="E7213" s="166" t="s">
        <v>132</v>
      </c>
    </row>
    <row r="7214" spans="1:5">
      <c r="A7214" s="174">
        <f t="shared" si="104"/>
        <v>7213</v>
      </c>
      <c r="B7214" s="163">
        <v>45959</v>
      </c>
      <c r="C7214" s="164">
        <v>0.635625</v>
      </c>
      <c r="D7214" s="159">
        <v>10</v>
      </c>
      <c r="E7214" s="166" t="s">
        <v>6361</v>
      </c>
    </row>
    <row r="7215" spans="1:5">
      <c r="A7215" s="174">
        <f t="shared" si="104"/>
        <v>7214</v>
      </c>
      <c r="B7215" s="163">
        <v>45959</v>
      </c>
      <c r="C7215" s="164">
        <v>0.63828703703703704</v>
      </c>
      <c r="D7215" s="159">
        <v>10</v>
      </c>
      <c r="E7215" s="166" t="s">
        <v>6373</v>
      </c>
    </row>
    <row r="7216" spans="1:5">
      <c r="A7216" s="174">
        <f t="shared" si="104"/>
        <v>7215</v>
      </c>
      <c r="B7216" s="163">
        <v>45959</v>
      </c>
      <c r="C7216" s="164">
        <v>0.64158564814814811</v>
      </c>
      <c r="D7216" s="159">
        <v>10</v>
      </c>
      <c r="E7216" s="166" t="s">
        <v>6362</v>
      </c>
    </row>
    <row r="7217" spans="1:5">
      <c r="A7217" s="174">
        <f t="shared" si="104"/>
        <v>7216</v>
      </c>
      <c r="B7217" s="163">
        <v>45959</v>
      </c>
      <c r="C7217" s="164">
        <v>0.66431712962962963</v>
      </c>
      <c r="D7217" s="159">
        <v>10</v>
      </c>
      <c r="E7217" s="166" t="s">
        <v>6363</v>
      </c>
    </row>
    <row r="7218" spans="1:5">
      <c r="A7218" s="174">
        <f t="shared" si="104"/>
        <v>7217</v>
      </c>
      <c r="B7218" s="163">
        <v>45959</v>
      </c>
      <c r="C7218" s="164">
        <v>0.6645833333333333</v>
      </c>
      <c r="D7218" s="159">
        <v>10</v>
      </c>
      <c r="E7218" s="166" t="s">
        <v>6364</v>
      </c>
    </row>
    <row r="7219" spans="1:5">
      <c r="A7219" s="174">
        <f t="shared" si="104"/>
        <v>7218</v>
      </c>
      <c r="B7219" s="163">
        <v>45959</v>
      </c>
      <c r="C7219" s="164">
        <v>0.67637731481481478</v>
      </c>
      <c r="D7219" s="159">
        <v>10</v>
      </c>
      <c r="E7219" s="166" t="s">
        <v>4951</v>
      </c>
    </row>
    <row r="7220" spans="1:5">
      <c r="A7220" s="174">
        <f t="shared" si="104"/>
        <v>7219</v>
      </c>
      <c r="B7220" s="163">
        <v>45959</v>
      </c>
      <c r="C7220" s="164">
        <v>0.68244212962962969</v>
      </c>
      <c r="D7220" s="159">
        <v>10</v>
      </c>
      <c r="E7220" s="166" t="s">
        <v>6365</v>
      </c>
    </row>
    <row r="7221" spans="1:5">
      <c r="A7221" s="174">
        <f t="shared" ref="A7221:A7264" si="105">ROW()-1</f>
        <v>7220</v>
      </c>
      <c r="B7221" s="163">
        <v>45959</v>
      </c>
      <c r="C7221" s="164">
        <v>0.72034722222222225</v>
      </c>
      <c r="D7221" s="159">
        <v>10</v>
      </c>
      <c r="E7221" s="166" t="s">
        <v>6366</v>
      </c>
    </row>
    <row r="7222" spans="1:5">
      <c r="A7222" s="174">
        <f t="shared" si="105"/>
        <v>7221</v>
      </c>
      <c r="B7222" s="163">
        <v>45959</v>
      </c>
      <c r="C7222" s="164">
        <v>0.72271990740740744</v>
      </c>
      <c r="D7222" s="159">
        <v>10</v>
      </c>
      <c r="E7222" s="166" t="s">
        <v>6367</v>
      </c>
    </row>
    <row r="7223" spans="1:5">
      <c r="A7223" s="174">
        <f t="shared" si="105"/>
        <v>7222</v>
      </c>
      <c r="B7223" s="163">
        <v>45959</v>
      </c>
      <c r="C7223" s="164">
        <v>0.72334490740740742</v>
      </c>
      <c r="D7223" s="159">
        <v>10</v>
      </c>
      <c r="E7223" s="166" t="s">
        <v>288</v>
      </c>
    </row>
    <row r="7224" spans="1:5">
      <c r="A7224" s="174">
        <f t="shared" si="105"/>
        <v>7223</v>
      </c>
      <c r="B7224" s="163">
        <v>45959</v>
      </c>
      <c r="C7224" s="164">
        <v>0.7244328703703703</v>
      </c>
      <c r="D7224" s="159">
        <v>10</v>
      </c>
      <c r="E7224" s="166" t="s">
        <v>4348</v>
      </c>
    </row>
    <row r="7225" spans="1:5">
      <c r="A7225" s="174">
        <f t="shared" si="105"/>
        <v>7224</v>
      </c>
      <c r="B7225" s="163">
        <v>45959</v>
      </c>
      <c r="C7225" s="164">
        <v>0.7356597222222222</v>
      </c>
      <c r="D7225" s="159">
        <v>10</v>
      </c>
      <c r="E7225" s="166" t="s">
        <v>6374</v>
      </c>
    </row>
    <row r="7226" spans="1:5">
      <c r="A7226" s="174">
        <f t="shared" si="105"/>
        <v>7225</v>
      </c>
      <c r="B7226" s="163">
        <v>45959</v>
      </c>
      <c r="C7226" s="164">
        <v>0.73586805555555557</v>
      </c>
      <c r="D7226" s="159">
        <v>10</v>
      </c>
      <c r="E7226" s="166" t="s">
        <v>6368</v>
      </c>
    </row>
    <row r="7227" spans="1:5">
      <c r="A7227" s="174">
        <f t="shared" si="105"/>
        <v>7226</v>
      </c>
      <c r="B7227" s="163">
        <v>45959</v>
      </c>
      <c r="C7227" s="164">
        <v>0.74216435185185192</v>
      </c>
      <c r="D7227" s="159">
        <v>10</v>
      </c>
      <c r="E7227" s="166" t="s">
        <v>6369</v>
      </c>
    </row>
    <row r="7228" spans="1:5">
      <c r="A7228" s="174">
        <f t="shared" si="105"/>
        <v>7227</v>
      </c>
      <c r="B7228" s="163">
        <v>45959</v>
      </c>
      <c r="C7228" s="164">
        <v>0.75920138888888899</v>
      </c>
      <c r="D7228" s="159">
        <v>10</v>
      </c>
      <c r="E7228" s="166" t="s">
        <v>6375</v>
      </c>
    </row>
    <row r="7229" spans="1:5">
      <c r="A7229" s="174">
        <f t="shared" si="105"/>
        <v>7228</v>
      </c>
      <c r="B7229" s="163">
        <v>45959</v>
      </c>
      <c r="C7229" s="164">
        <v>0.83567129629629633</v>
      </c>
      <c r="D7229" s="159">
        <v>10</v>
      </c>
      <c r="E7229" s="166" t="s">
        <v>6370</v>
      </c>
    </row>
    <row r="7230" spans="1:5">
      <c r="A7230" s="174">
        <f t="shared" si="105"/>
        <v>7229</v>
      </c>
      <c r="B7230" s="163">
        <v>45959</v>
      </c>
      <c r="C7230" s="164">
        <v>0.89405092592592583</v>
      </c>
      <c r="D7230" s="159">
        <v>10</v>
      </c>
      <c r="E7230" s="166" t="s">
        <v>6371</v>
      </c>
    </row>
    <row r="7231" spans="1:5">
      <c r="A7231" s="174">
        <f t="shared" si="105"/>
        <v>7230</v>
      </c>
      <c r="B7231" s="163">
        <v>45961</v>
      </c>
      <c r="C7231" s="164">
        <v>0.38452546296296292</v>
      </c>
      <c r="D7231" s="159">
        <v>10</v>
      </c>
      <c r="E7231" s="166" t="s">
        <v>6376</v>
      </c>
    </row>
    <row r="7232" spans="1:5" ht="27">
      <c r="A7232" s="174">
        <f t="shared" si="105"/>
        <v>7231</v>
      </c>
      <c r="B7232" s="163">
        <v>45961</v>
      </c>
      <c r="C7232" s="164">
        <v>0.38920138888888883</v>
      </c>
      <c r="D7232" s="159">
        <v>10</v>
      </c>
      <c r="E7232" s="166" t="s">
        <v>6377</v>
      </c>
    </row>
    <row r="7233" spans="1:5">
      <c r="A7233" s="174">
        <f t="shared" si="105"/>
        <v>7232</v>
      </c>
      <c r="B7233" s="163">
        <v>45961</v>
      </c>
      <c r="C7233" s="164">
        <v>0.39576388888888886</v>
      </c>
      <c r="D7233" s="159">
        <v>10</v>
      </c>
      <c r="E7233" s="166" t="s">
        <v>6378</v>
      </c>
    </row>
    <row r="7234" spans="1:5">
      <c r="A7234" s="174">
        <f t="shared" si="105"/>
        <v>7233</v>
      </c>
      <c r="B7234" s="163">
        <v>45961</v>
      </c>
      <c r="C7234" s="164">
        <v>0.42723379629629626</v>
      </c>
      <c r="D7234" s="159">
        <v>10</v>
      </c>
      <c r="E7234" s="166" t="s">
        <v>6379</v>
      </c>
    </row>
    <row r="7235" spans="1:5">
      <c r="A7235" s="174">
        <f t="shared" si="105"/>
        <v>7234</v>
      </c>
      <c r="B7235" s="163">
        <v>45961</v>
      </c>
      <c r="C7235" s="164">
        <v>0.43363425925925925</v>
      </c>
      <c r="D7235" s="159">
        <v>10</v>
      </c>
      <c r="E7235" s="166" t="s">
        <v>6380</v>
      </c>
    </row>
    <row r="7236" spans="1:5">
      <c r="A7236" s="174">
        <f t="shared" si="105"/>
        <v>7235</v>
      </c>
      <c r="B7236" s="163">
        <v>45961</v>
      </c>
      <c r="C7236" s="164">
        <v>0.4392476851851852</v>
      </c>
      <c r="D7236" s="159">
        <v>10</v>
      </c>
      <c r="E7236" s="166" t="s">
        <v>6381</v>
      </c>
    </row>
    <row r="7237" spans="1:5" ht="27">
      <c r="A7237" s="174">
        <f t="shared" si="105"/>
        <v>7236</v>
      </c>
      <c r="B7237" s="163">
        <v>45961</v>
      </c>
      <c r="C7237" s="164">
        <v>0.4658680555555556</v>
      </c>
      <c r="D7237" s="159">
        <v>10</v>
      </c>
      <c r="E7237" s="166" t="s">
        <v>6409</v>
      </c>
    </row>
    <row r="7238" spans="1:5">
      <c r="A7238" s="174">
        <f t="shared" si="105"/>
        <v>7237</v>
      </c>
      <c r="B7238" s="163">
        <v>45961</v>
      </c>
      <c r="C7238" s="164">
        <v>0.4810532407407408</v>
      </c>
      <c r="D7238" s="159">
        <v>10</v>
      </c>
      <c r="E7238" s="166" t="s">
        <v>6382</v>
      </c>
    </row>
    <row r="7239" spans="1:5">
      <c r="A7239" s="174">
        <f t="shared" si="105"/>
        <v>7238</v>
      </c>
      <c r="B7239" s="163">
        <v>45961</v>
      </c>
      <c r="C7239" s="164">
        <v>0.49329861111111112</v>
      </c>
      <c r="D7239" s="159">
        <v>10</v>
      </c>
      <c r="E7239" s="166" t="s">
        <v>6383</v>
      </c>
    </row>
    <row r="7240" spans="1:5" ht="27">
      <c r="A7240" s="174">
        <f t="shared" si="105"/>
        <v>7239</v>
      </c>
      <c r="B7240" s="163">
        <v>45961</v>
      </c>
      <c r="C7240" s="164">
        <v>0.55813657407407413</v>
      </c>
      <c r="D7240" s="159">
        <v>10</v>
      </c>
      <c r="E7240" s="166" t="s">
        <v>6410</v>
      </c>
    </row>
    <row r="7241" spans="1:5">
      <c r="A7241" s="174">
        <f t="shared" si="105"/>
        <v>7240</v>
      </c>
      <c r="B7241" s="163">
        <v>45961</v>
      </c>
      <c r="C7241" s="164">
        <v>0.55827546296296293</v>
      </c>
      <c r="D7241" s="159">
        <v>10</v>
      </c>
      <c r="E7241" s="166" t="s">
        <v>5968</v>
      </c>
    </row>
    <row r="7242" spans="1:5">
      <c r="A7242" s="174">
        <f t="shared" si="105"/>
        <v>7241</v>
      </c>
      <c r="B7242" s="163">
        <v>45961</v>
      </c>
      <c r="C7242" s="164">
        <v>0.56038194444444445</v>
      </c>
      <c r="D7242" s="159">
        <v>10</v>
      </c>
      <c r="E7242" s="166" t="s">
        <v>2233</v>
      </c>
    </row>
    <row r="7243" spans="1:5">
      <c r="A7243" s="174">
        <f t="shared" si="105"/>
        <v>7242</v>
      </c>
      <c r="B7243" s="163">
        <v>45961</v>
      </c>
      <c r="C7243" s="164">
        <v>0.56074074074074076</v>
      </c>
      <c r="D7243" s="159">
        <v>10</v>
      </c>
      <c r="E7243" s="166" t="s">
        <v>6384</v>
      </c>
    </row>
    <row r="7244" spans="1:5">
      <c r="A7244" s="174">
        <f t="shared" si="105"/>
        <v>7243</v>
      </c>
      <c r="B7244" s="163">
        <v>45961</v>
      </c>
      <c r="C7244" s="164">
        <v>0.58666666666666667</v>
      </c>
      <c r="D7244" s="159">
        <v>10</v>
      </c>
      <c r="E7244" s="166" t="s">
        <v>6385</v>
      </c>
    </row>
    <row r="7245" spans="1:5">
      <c r="A7245" s="174">
        <f t="shared" si="105"/>
        <v>7244</v>
      </c>
      <c r="B7245" s="163">
        <v>45961</v>
      </c>
      <c r="C7245" s="164">
        <v>0.61008101851851848</v>
      </c>
      <c r="D7245" s="159">
        <v>10</v>
      </c>
      <c r="E7245" s="166" t="s">
        <v>6386</v>
      </c>
    </row>
    <row r="7246" spans="1:5">
      <c r="A7246" s="174">
        <f t="shared" si="105"/>
        <v>7245</v>
      </c>
      <c r="B7246" s="163">
        <v>45961</v>
      </c>
      <c r="C7246" s="164">
        <v>0.61599537037037033</v>
      </c>
      <c r="D7246" s="159">
        <v>10</v>
      </c>
      <c r="E7246" s="166" t="s">
        <v>2146</v>
      </c>
    </row>
    <row r="7247" spans="1:5">
      <c r="A7247" s="174">
        <f t="shared" si="105"/>
        <v>7246</v>
      </c>
      <c r="B7247" s="163">
        <v>45961</v>
      </c>
      <c r="C7247" s="164">
        <v>0.63129629629629636</v>
      </c>
      <c r="D7247" s="159">
        <v>10</v>
      </c>
      <c r="E7247" s="166" t="s">
        <v>4358</v>
      </c>
    </row>
    <row r="7248" spans="1:5">
      <c r="A7248" s="174">
        <f t="shared" si="105"/>
        <v>7247</v>
      </c>
      <c r="B7248" s="163">
        <v>45961</v>
      </c>
      <c r="C7248" s="164">
        <v>0.63245370370370368</v>
      </c>
      <c r="D7248" s="159">
        <v>10</v>
      </c>
      <c r="E7248" s="166" t="s">
        <v>6387</v>
      </c>
    </row>
    <row r="7249" spans="1:5">
      <c r="A7249" s="174">
        <f t="shared" si="105"/>
        <v>7248</v>
      </c>
      <c r="B7249" s="163">
        <v>45961</v>
      </c>
      <c r="C7249" s="164">
        <v>0.6378935185185185</v>
      </c>
      <c r="D7249" s="159">
        <v>10</v>
      </c>
      <c r="E7249" s="166" t="s">
        <v>6388</v>
      </c>
    </row>
    <row r="7250" spans="1:5">
      <c r="A7250" s="174">
        <f t="shared" si="105"/>
        <v>7249</v>
      </c>
      <c r="B7250" s="163">
        <v>45961</v>
      </c>
      <c r="C7250" s="164">
        <v>0.64409722222222221</v>
      </c>
      <c r="D7250" s="159">
        <v>10</v>
      </c>
      <c r="E7250" s="166" t="s">
        <v>6389</v>
      </c>
    </row>
    <row r="7251" spans="1:5">
      <c r="A7251" s="174">
        <f t="shared" si="105"/>
        <v>7250</v>
      </c>
      <c r="B7251" s="163">
        <v>45961</v>
      </c>
      <c r="C7251" s="164">
        <v>0.65795138888888893</v>
      </c>
      <c r="D7251" s="159">
        <v>10</v>
      </c>
      <c r="E7251" s="166" t="s">
        <v>6390</v>
      </c>
    </row>
    <row r="7252" spans="1:5">
      <c r="A7252" s="174">
        <f t="shared" si="105"/>
        <v>7251</v>
      </c>
      <c r="B7252" s="163">
        <v>45961</v>
      </c>
      <c r="C7252" s="164">
        <v>0.66067129629629628</v>
      </c>
      <c r="D7252" s="159">
        <v>10</v>
      </c>
      <c r="E7252" s="166" t="s">
        <v>6391</v>
      </c>
    </row>
    <row r="7253" spans="1:5">
      <c r="A7253" s="174">
        <f t="shared" si="105"/>
        <v>7252</v>
      </c>
      <c r="B7253" s="163">
        <v>45961</v>
      </c>
      <c r="C7253" s="164">
        <v>0.67094907407407411</v>
      </c>
      <c r="D7253" s="159">
        <v>10</v>
      </c>
      <c r="E7253" s="166" t="s">
        <v>1627</v>
      </c>
    </row>
    <row r="7254" spans="1:5">
      <c r="A7254" s="174">
        <f t="shared" si="105"/>
        <v>7253</v>
      </c>
      <c r="B7254" s="163">
        <v>45961</v>
      </c>
      <c r="C7254" s="164">
        <v>0.68731481481481482</v>
      </c>
      <c r="D7254" s="159">
        <v>10</v>
      </c>
      <c r="E7254" s="166" t="s">
        <v>537</v>
      </c>
    </row>
    <row r="7255" spans="1:5">
      <c r="A7255" s="174">
        <f t="shared" si="105"/>
        <v>7254</v>
      </c>
      <c r="B7255" s="163">
        <v>45961</v>
      </c>
      <c r="C7255" s="164">
        <v>0.68924768518518509</v>
      </c>
      <c r="D7255" s="159">
        <v>10</v>
      </c>
      <c r="E7255" s="166" t="s">
        <v>6392</v>
      </c>
    </row>
    <row r="7256" spans="1:5">
      <c r="A7256" s="174">
        <f t="shared" si="105"/>
        <v>7255</v>
      </c>
      <c r="B7256" s="163">
        <v>45961</v>
      </c>
      <c r="C7256" s="164">
        <v>0.70254629629629628</v>
      </c>
      <c r="D7256" s="159">
        <v>10</v>
      </c>
      <c r="E7256" s="166" t="s">
        <v>6393</v>
      </c>
    </row>
    <row r="7257" spans="1:5">
      <c r="A7257" s="174">
        <f t="shared" si="105"/>
        <v>7256</v>
      </c>
      <c r="B7257" s="163">
        <v>45961</v>
      </c>
      <c r="C7257" s="164">
        <v>0.72152777777777777</v>
      </c>
      <c r="D7257" s="159">
        <v>10</v>
      </c>
      <c r="E7257" s="166" t="s">
        <v>6394</v>
      </c>
    </row>
    <row r="7258" spans="1:5">
      <c r="A7258" s="174">
        <f t="shared" si="105"/>
        <v>7257</v>
      </c>
      <c r="B7258" s="163">
        <v>45961</v>
      </c>
      <c r="C7258" s="164">
        <v>0.74106481481481479</v>
      </c>
      <c r="D7258" s="159">
        <v>10</v>
      </c>
      <c r="E7258" s="166" t="s">
        <v>6395</v>
      </c>
    </row>
    <row r="7259" spans="1:5">
      <c r="A7259" s="174">
        <f t="shared" si="105"/>
        <v>7258</v>
      </c>
      <c r="B7259" s="163">
        <v>45961</v>
      </c>
      <c r="C7259" s="164">
        <v>0.77195601851851858</v>
      </c>
      <c r="D7259" s="159">
        <v>10</v>
      </c>
      <c r="E7259" s="166" t="s">
        <v>1563</v>
      </c>
    </row>
    <row r="7260" spans="1:5">
      <c r="A7260" s="174">
        <f t="shared" si="105"/>
        <v>7259</v>
      </c>
      <c r="B7260" s="163">
        <v>45961</v>
      </c>
      <c r="C7260" s="164">
        <v>0.78543981481481484</v>
      </c>
      <c r="D7260" s="159">
        <v>10</v>
      </c>
      <c r="E7260" s="166" t="s">
        <v>6396</v>
      </c>
    </row>
    <row r="7261" spans="1:5">
      <c r="A7261" s="174">
        <f t="shared" si="105"/>
        <v>7260</v>
      </c>
      <c r="B7261" s="163">
        <v>45961</v>
      </c>
      <c r="C7261" s="164">
        <v>0.79704861111111114</v>
      </c>
      <c r="D7261" s="159">
        <v>10</v>
      </c>
      <c r="E7261" s="166" t="s">
        <v>1747</v>
      </c>
    </row>
    <row r="7262" spans="1:5">
      <c r="A7262" s="174">
        <f t="shared" si="105"/>
        <v>7261</v>
      </c>
      <c r="B7262" s="163">
        <v>45961</v>
      </c>
      <c r="C7262" s="164">
        <v>0.88336805555555553</v>
      </c>
      <c r="D7262" s="159">
        <v>10</v>
      </c>
      <c r="E7262" s="166" t="s">
        <v>6397</v>
      </c>
    </row>
    <row r="7263" spans="1:5">
      <c r="A7263" s="174">
        <f t="shared" si="105"/>
        <v>7262</v>
      </c>
      <c r="B7263" s="163">
        <v>45961</v>
      </c>
      <c r="C7263" s="164">
        <v>0.90238425925925936</v>
      </c>
      <c r="D7263" s="159">
        <v>10</v>
      </c>
      <c r="E7263" s="166" t="s">
        <v>6398</v>
      </c>
    </row>
    <row r="7264" spans="1:5">
      <c r="A7264" s="174">
        <f t="shared" si="105"/>
        <v>7263</v>
      </c>
      <c r="B7264" s="163">
        <v>45961</v>
      </c>
      <c r="C7264" s="164">
        <v>0.9116319444444444</v>
      </c>
      <c r="D7264" s="159">
        <v>10</v>
      </c>
      <c r="E7264" s="166" t="s">
        <v>6399</v>
      </c>
    </row>
    <row r="7265" spans="1:6">
      <c r="A7265" s="174">
        <f t="shared" ref="A7265:A7328" si="106">ROW()-1</f>
        <v>7264</v>
      </c>
      <c r="B7265" s="163">
        <v>45962</v>
      </c>
      <c r="C7265" s="194">
        <v>0.71840277777777783</v>
      </c>
      <c r="D7265" s="174">
        <v>10</v>
      </c>
      <c r="E7265" s="166" t="s">
        <v>364</v>
      </c>
      <c r="F7265" t="s">
        <v>6946</v>
      </c>
    </row>
    <row r="7266" spans="1:6">
      <c r="A7266" s="174">
        <f t="shared" si="106"/>
        <v>7265</v>
      </c>
      <c r="B7266" s="163">
        <v>45962</v>
      </c>
      <c r="C7266" s="194">
        <v>0.66332175925925929</v>
      </c>
      <c r="D7266" s="174">
        <v>10</v>
      </c>
      <c r="E7266" s="166" t="s">
        <v>6408</v>
      </c>
      <c r="F7266" t="s">
        <v>6946</v>
      </c>
    </row>
    <row r="7267" spans="1:6" ht="27">
      <c r="A7267" s="174">
        <f t="shared" si="106"/>
        <v>7266</v>
      </c>
      <c r="B7267" s="163">
        <v>45962</v>
      </c>
      <c r="C7267" s="194">
        <v>0.62468749999999995</v>
      </c>
      <c r="D7267" s="174">
        <v>10</v>
      </c>
      <c r="E7267" s="166" t="s">
        <v>6407</v>
      </c>
      <c r="F7267" t="s">
        <v>6946</v>
      </c>
    </row>
    <row r="7268" spans="1:6">
      <c r="A7268" s="174">
        <f t="shared" si="106"/>
        <v>7267</v>
      </c>
      <c r="B7268" s="163">
        <v>45962</v>
      </c>
      <c r="C7268" s="194">
        <v>0.61327546296296298</v>
      </c>
      <c r="D7268" s="174">
        <v>10</v>
      </c>
      <c r="E7268" s="166" t="s">
        <v>6406</v>
      </c>
      <c r="F7268" t="s">
        <v>6946</v>
      </c>
    </row>
    <row r="7269" spans="1:6">
      <c r="A7269" s="174">
        <f t="shared" si="106"/>
        <v>7268</v>
      </c>
      <c r="B7269" s="163">
        <v>45962</v>
      </c>
      <c r="C7269" s="194">
        <v>0.57840277777777771</v>
      </c>
      <c r="D7269" s="174">
        <v>10</v>
      </c>
      <c r="E7269" s="166" t="s">
        <v>6405</v>
      </c>
      <c r="F7269" t="s">
        <v>6946</v>
      </c>
    </row>
    <row r="7270" spans="1:6">
      <c r="A7270" s="174">
        <f t="shared" si="106"/>
        <v>7269</v>
      </c>
      <c r="B7270" s="163">
        <v>45962</v>
      </c>
      <c r="C7270" s="194">
        <v>0.57922453703703702</v>
      </c>
      <c r="D7270" s="174">
        <v>10</v>
      </c>
      <c r="E7270" s="166" t="s">
        <v>288</v>
      </c>
      <c r="F7270" t="s">
        <v>6946</v>
      </c>
    </row>
    <row r="7271" spans="1:6">
      <c r="A7271" s="174">
        <f t="shared" si="106"/>
        <v>7270</v>
      </c>
      <c r="B7271" s="163">
        <v>45962</v>
      </c>
      <c r="C7271" s="194">
        <v>0.56637731481481479</v>
      </c>
      <c r="D7271" s="174">
        <v>10</v>
      </c>
      <c r="E7271" s="166" t="s">
        <v>6404</v>
      </c>
      <c r="F7271" t="s">
        <v>6946</v>
      </c>
    </row>
    <row r="7272" spans="1:6">
      <c r="A7272" s="174">
        <f t="shared" si="106"/>
        <v>7271</v>
      </c>
      <c r="B7272" s="163">
        <v>45962</v>
      </c>
      <c r="C7272" s="194">
        <v>0.50262731481481482</v>
      </c>
      <c r="D7272" s="174">
        <v>10</v>
      </c>
      <c r="E7272" s="166" t="s">
        <v>565</v>
      </c>
      <c r="F7272" t="s">
        <v>6946</v>
      </c>
    </row>
    <row r="7273" spans="1:6">
      <c r="A7273" s="174">
        <f t="shared" si="106"/>
        <v>7272</v>
      </c>
      <c r="B7273" s="163">
        <v>45962</v>
      </c>
      <c r="C7273" s="194">
        <v>0.41862268518518514</v>
      </c>
      <c r="D7273" s="174">
        <v>10</v>
      </c>
      <c r="E7273" s="166" t="s">
        <v>6403</v>
      </c>
      <c r="F7273" t="s">
        <v>6946</v>
      </c>
    </row>
    <row r="7274" spans="1:6">
      <c r="A7274" s="174">
        <f t="shared" si="106"/>
        <v>7273</v>
      </c>
      <c r="B7274" s="163">
        <v>45962</v>
      </c>
      <c r="C7274" s="194">
        <v>0.40625</v>
      </c>
      <c r="D7274" s="174">
        <v>10</v>
      </c>
      <c r="E7274" s="166" t="s">
        <v>6402</v>
      </c>
      <c r="F7274" t="s">
        <v>6946</v>
      </c>
    </row>
    <row r="7275" spans="1:6">
      <c r="A7275" s="174">
        <f t="shared" si="106"/>
        <v>7274</v>
      </c>
      <c r="B7275" s="163">
        <v>45962</v>
      </c>
      <c r="C7275" s="194">
        <v>0.39532407407407405</v>
      </c>
      <c r="D7275" s="174">
        <v>10</v>
      </c>
      <c r="E7275" s="166" t="s">
        <v>6401</v>
      </c>
      <c r="F7275" t="s">
        <v>6946</v>
      </c>
    </row>
    <row r="7276" spans="1:6">
      <c r="A7276" s="174">
        <f t="shared" si="106"/>
        <v>7275</v>
      </c>
      <c r="B7276" s="163">
        <v>45962</v>
      </c>
      <c r="C7276" s="194">
        <v>0.40353009259259259</v>
      </c>
      <c r="D7276" s="174">
        <v>10</v>
      </c>
      <c r="E7276" s="166" t="s">
        <v>6400</v>
      </c>
      <c r="F7276" t="s">
        <v>6946</v>
      </c>
    </row>
    <row r="7277" spans="1:6">
      <c r="A7277" s="174">
        <f t="shared" si="106"/>
        <v>7276</v>
      </c>
      <c r="B7277" s="163">
        <v>45964</v>
      </c>
      <c r="C7277" s="194">
        <v>0.86151620370370363</v>
      </c>
      <c r="D7277" s="174">
        <v>10</v>
      </c>
      <c r="E7277" s="166" t="s">
        <v>6449</v>
      </c>
      <c r="F7277" t="s">
        <v>6946</v>
      </c>
    </row>
    <row r="7278" spans="1:6">
      <c r="A7278" s="174">
        <f t="shared" si="106"/>
        <v>7277</v>
      </c>
      <c r="B7278" s="163">
        <v>45964</v>
      </c>
      <c r="C7278" s="194">
        <v>0.84939814814814818</v>
      </c>
      <c r="D7278" s="174">
        <v>10</v>
      </c>
      <c r="E7278" s="166" t="s">
        <v>6821</v>
      </c>
      <c r="F7278" t="s">
        <v>6946</v>
      </c>
    </row>
    <row r="7279" spans="1:6">
      <c r="A7279" s="174">
        <f t="shared" si="106"/>
        <v>7278</v>
      </c>
      <c r="B7279" s="163">
        <v>45964</v>
      </c>
      <c r="C7279" s="194">
        <v>0.82994212962962965</v>
      </c>
      <c r="D7279" s="174">
        <v>10</v>
      </c>
      <c r="E7279" s="166" t="s">
        <v>6448</v>
      </c>
      <c r="F7279" t="s">
        <v>6946</v>
      </c>
    </row>
    <row r="7280" spans="1:6">
      <c r="A7280" s="174">
        <f t="shared" si="106"/>
        <v>7279</v>
      </c>
      <c r="B7280" s="163">
        <v>45964</v>
      </c>
      <c r="C7280" s="194">
        <v>0.83870370370370362</v>
      </c>
      <c r="D7280" s="174">
        <v>10</v>
      </c>
      <c r="E7280" s="166" t="s">
        <v>6447</v>
      </c>
      <c r="F7280" t="s">
        <v>6946</v>
      </c>
    </row>
    <row r="7281" spans="1:6">
      <c r="A7281" s="174">
        <f t="shared" si="106"/>
        <v>7280</v>
      </c>
      <c r="B7281" s="163">
        <v>45964</v>
      </c>
      <c r="C7281" s="194">
        <v>0.81447916666666664</v>
      </c>
      <c r="D7281" s="174">
        <v>10</v>
      </c>
      <c r="E7281" s="166" t="s">
        <v>6446</v>
      </c>
      <c r="F7281" t="s">
        <v>6946</v>
      </c>
    </row>
    <row r="7282" spans="1:6">
      <c r="A7282" s="174">
        <f t="shared" si="106"/>
        <v>7281</v>
      </c>
      <c r="B7282" s="163">
        <v>45964</v>
      </c>
      <c r="C7282" s="194">
        <v>0.80239583333333331</v>
      </c>
      <c r="D7282" s="174">
        <v>10</v>
      </c>
      <c r="E7282" s="166" t="s">
        <v>6445</v>
      </c>
      <c r="F7282" t="s">
        <v>6946</v>
      </c>
    </row>
    <row r="7283" spans="1:6">
      <c r="A7283" s="174">
        <f t="shared" si="106"/>
        <v>7282</v>
      </c>
      <c r="B7283" s="163">
        <v>45964</v>
      </c>
      <c r="C7283" s="194">
        <v>0.78439814814814823</v>
      </c>
      <c r="D7283" s="174">
        <v>10</v>
      </c>
      <c r="E7283" s="166" t="s">
        <v>6444</v>
      </c>
      <c r="F7283" t="s">
        <v>6946</v>
      </c>
    </row>
    <row r="7284" spans="1:6">
      <c r="A7284" s="174">
        <f t="shared" si="106"/>
        <v>7283</v>
      </c>
      <c r="B7284" s="163">
        <v>45964</v>
      </c>
      <c r="C7284" s="194">
        <v>0.80177083333333332</v>
      </c>
      <c r="D7284" s="174">
        <v>10</v>
      </c>
      <c r="E7284" s="166" t="s">
        <v>6443</v>
      </c>
      <c r="F7284" t="s">
        <v>6946</v>
      </c>
    </row>
    <row r="7285" spans="1:6">
      <c r="A7285" s="174">
        <f t="shared" si="106"/>
        <v>7284</v>
      </c>
      <c r="B7285" s="163">
        <v>45964</v>
      </c>
      <c r="C7285" s="194">
        <v>0.80112268518518526</v>
      </c>
      <c r="D7285" s="174">
        <v>9</v>
      </c>
      <c r="E7285" s="166" t="s">
        <v>1407</v>
      </c>
      <c r="F7285" t="s">
        <v>6946</v>
      </c>
    </row>
    <row r="7286" spans="1:6">
      <c r="A7286" s="174">
        <f t="shared" si="106"/>
        <v>7285</v>
      </c>
      <c r="B7286" s="163">
        <v>45964</v>
      </c>
      <c r="C7286" s="194">
        <v>0.76317129629629632</v>
      </c>
      <c r="D7286" s="174">
        <v>10</v>
      </c>
      <c r="E7286" s="166" t="s">
        <v>6442</v>
      </c>
      <c r="F7286" t="s">
        <v>6946</v>
      </c>
    </row>
    <row r="7287" spans="1:6">
      <c r="A7287" s="174">
        <f t="shared" si="106"/>
        <v>7286</v>
      </c>
      <c r="B7287" s="163">
        <v>45964</v>
      </c>
      <c r="C7287" s="194">
        <v>0.74375000000000002</v>
      </c>
      <c r="D7287" s="174">
        <v>10</v>
      </c>
      <c r="E7287" s="166" t="s">
        <v>6441</v>
      </c>
      <c r="F7287" t="s">
        <v>6946</v>
      </c>
    </row>
    <row r="7288" spans="1:6">
      <c r="A7288" s="174">
        <f t="shared" si="106"/>
        <v>7287</v>
      </c>
      <c r="B7288" s="163">
        <v>45964</v>
      </c>
      <c r="C7288" s="194">
        <v>0.74591435185185195</v>
      </c>
      <c r="D7288" s="174">
        <v>10</v>
      </c>
      <c r="E7288" s="166" t="s">
        <v>6822</v>
      </c>
      <c r="F7288" t="s">
        <v>6946</v>
      </c>
    </row>
    <row r="7289" spans="1:6">
      <c r="A7289" s="174">
        <f t="shared" si="106"/>
        <v>7288</v>
      </c>
      <c r="B7289" s="163">
        <v>45964</v>
      </c>
      <c r="C7289" s="194">
        <v>0.72936342592592596</v>
      </c>
      <c r="D7289" s="174">
        <v>10</v>
      </c>
      <c r="E7289" s="166" t="s">
        <v>6440</v>
      </c>
      <c r="F7289" t="s">
        <v>6946</v>
      </c>
    </row>
    <row r="7290" spans="1:6">
      <c r="A7290" s="174">
        <f t="shared" si="106"/>
        <v>7289</v>
      </c>
      <c r="B7290" s="163">
        <v>45990</v>
      </c>
      <c r="C7290" s="194">
        <v>0.72459490740740751</v>
      </c>
      <c r="D7290" s="174" t="s">
        <v>7003</v>
      </c>
      <c r="E7290" s="166" t="s">
        <v>7003</v>
      </c>
      <c r="F7290" t="s">
        <v>6946</v>
      </c>
    </row>
    <row r="7291" spans="1:6">
      <c r="A7291" s="174">
        <f t="shared" si="106"/>
        <v>7290</v>
      </c>
      <c r="B7291" s="163">
        <v>45964</v>
      </c>
      <c r="C7291" s="194">
        <v>0.7189699074074074</v>
      </c>
      <c r="D7291" s="174">
        <v>10</v>
      </c>
      <c r="E7291" s="166" t="s">
        <v>6823</v>
      </c>
      <c r="F7291" t="s">
        <v>6946</v>
      </c>
    </row>
    <row r="7292" spans="1:6">
      <c r="A7292" s="174">
        <f t="shared" si="106"/>
        <v>7291</v>
      </c>
      <c r="B7292" s="163">
        <v>45990</v>
      </c>
      <c r="C7292" s="194">
        <v>0.65567129629629628</v>
      </c>
      <c r="D7292" s="174" t="s">
        <v>7003</v>
      </c>
      <c r="E7292" s="166" t="s">
        <v>7003</v>
      </c>
      <c r="F7292" t="s">
        <v>6946</v>
      </c>
    </row>
    <row r="7293" spans="1:6">
      <c r="A7293" s="174">
        <f t="shared" si="106"/>
        <v>7292</v>
      </c>
      <c r="B7293" s="163">
        <v>45990</v>
      </c>
      <c r="C7293" s="194">
        <v>0.65027777777777784</v>
      </c>
      <c r="D7293" s="174" t="s">
        <v>7003</v>
      </c>
      <c r="E7293" s="166" t="s">
        <v>7003</v>
      </c>
      <c r="F7293" t="s">
        <v>6946</v>
      </c>
    </row>
    <row r="7294" spans="1:6">
      <c r="A7294" s="174">
        <f t="shared" si="106"/>
        <v>7293</v>
      </c>
      <c r="B7294" s="163">
        <v>45990</v>
      </c>
      <c r="C7294" s="194">
        <v>0.60717592592592595</v>
      </c>
      <c r="D7294" s="174" t="s">
        <v>7003</v>
      </c>
      <c r="E7294" s="166" t="s">
        <v>7003</v>
      </c>
      <c r="F7294" t="s">
        <v>6946</v>
      </c>
    </row>
    <row r="7295" spans="1:6">
      <c r="A7295" s="174">
        <f t="shared" si="106"/>
        <v>7294</v>
      </c>
      <c r="B7295" s="163">
        <v>45990</v>
      </c>
      <c r="C7295" s="194">
        <v>0.61084490740740738</v>
      </c>
      <c r="D7295" s="174" t="s">
        <v>7003</v>
      </c>
      <c r="E7295" s="166" t="s">
        <v>7003</v>
      </c>
      <c r="F7295" t="s">
        <v>6946</v>
      </c>
    </row>
    <row r="7296" spans="1:6">
      <c r="A7296" s="174">
        <f t="shared" si="106"/>
        <v>7295</v>
      </c>
      <c r="B7296" s="163">
        <v>45964</v>
      </c>
      <c r="C7296" s="194">
        <v>0.71429398148148149</v>
      </c>
      <c r="D7296" s="174">
        <v>10</v>
      </c>
      <c r="E7296" s="166" t="s">
        <v>6439</v>
      </c>
      <c r="F7296" t="s">
        <v>6946</v>
      </c>
    </row>
    <row r="7297" spans="1:6">
      <c r="A7297" s="174">
        <f t="shared" si="106"/>
        <v>7296</v>
      </c>
      <c r="B7297" s="163">
        <v>45990</v>
      </c>
      <c r="C7297" s="194">
        <v>0.60628472222222218</v>
      </c>
      <c r="D7297" s="174" t="s">
        <v>7003</v>
      </c>
      <c r="E7297" s="166" t="s">
        <v>7003</v>
      </c>
      <c r="F7297" t="s">
        <v>6946</v>
      </c>
    </row>
    <row r="7298" spans="1:6">
      <c r="A7298" s="174">
        <f t="shared" si="106"/>
        <v>7297</v>
      </c>
      <c r="B7298" s="163">
        <v>45990</v>
      </c>
      <c r="C7298" s="194">
        <v>0.60306712962962961</v>
      </c>
      <c r="D7298" s="174" t="s">
        <v>7003</v>
      </c>
      <c r="E7298" s="166" t="s">
        <v>7003</v>
      </c>
      <c r="F7298" t="s">
        <v>6946</v>
      </c>
    </row>
    <row r="7299" spans="1:6">
      <c r="A7299" s="174">
        <f t="shared" si="106"/>
        <v>7298</v>
      </c>
      <c r="B7299" s="163">
        <v>45990</v>
      </c>
      <c r="C7299" s="194">
        <v>0.61030092592592589</v>
      </c>
      <c r="D7299" s="174" t="s">
        <v>7003</v>
      </c>
      <c r="E7299" s="166" t="s">
        <v>7003</v>
      </c>
      <c r="F7299" t="s">
        <v>6946</v>
      </c>
    </row>
    <row r="7300" spans="1:6">
      <c r="A7300" s="174">
        <f t="shared" si="106"/>
        <v>7299</v>
      </c>
      <c r="B7300" s="163">
        <v>45990</v>
      </c>
      <c r="C7300" s="194">
        <v>0.59416666666666662</v>
      </c>
      <c r="D7300" s="174" t="s">
        <v>7003</v>
      </c>
      <c r="E7300" s="166" t="s">
        <v>7003</v>
      </c>
      <c r="F7300" t="s">
        <v>6946</v>
      </c>
    </row>
    <row r="7301" spans="1:6">
      <c r="A7301" s="174">
        <f t="shared" si="106"/>
        <v>7300</v>
      </c>
      <c r="B7301" s="163">
        <v>45990</v>
      </c>
      <c r="C7301" s="194">
        <v>0.58890046296296295</v>
      </c>
      <c r="D7301" s="174" t="s">
        <v>7003</v>
      </c>
      <c r="E7301" s="166" t="s">
        <v>7003</v>
      </c>
      <c r="F7301" t="s">
        <v>6946</v>
      </c>
    </row>
    <row r="7302" spans="1:6">
      <c r="A7302" s="174">
        <f t="shared" si="106"/>
        <v>7301</v>
      </c>
      <c r="B7302" s="163">
        <v>45990</v>
      </c>
      <c r="C7302" s="194">
        <v>0.58428240740740744</v>
      </c>
      <c r="D7302" s="174" t="s">
        <v>7003</v>
      </c>
      <c r="E7302" s="166" t="s">
        <v>7003</v>
      </c>
      <c r="F7302" t="s">
        <v>6946</v>
      </c>
    </row>
    <row r="7303" spans="1:6">
      <c r="A7303" s="174">
        <f t="shared" si="106"/>
        <v>7302</v>
      </c>
      <c r="B7303" s="163">
        <v>45990</v>
      </c>
      <c r="C7303" s="194">
        <v>0.58156249999999998</v>
      </c>
      <c r="D7303" s="174" t="s">
        <v>7003</v>
      </c>
      <c r="E7303" s="166" t="s">
        <v>7003</v>
      </c>
      <c r="F7303" t="s">
        <v>6946</v>
      </c>
    </row>
    <row r="7304" spans="1:6">
      <c r="A7304" s="174">
        <f t="shared" si="106"/>
        <v>7303</v>
      </c>
      <c r="B7304" s="163">
        <v>45990</v>
      </c>
      <c r="C7304" s="194">
        <v>0.56888888888888889</v>
      </c>
      <c r="D7304" s="174" t="s">
        <v>7003</v>
      </c>
      <c r="E7304" s="166" t="s">
        <v>7003</v>
      </c>
      <c r="F7304" t="s">
        <v>6946</v>
      </c>
    </row>
    <row r="7305" spans="1:6">
      <c r="A7305" s="174">
        <f t="shared" si="106"/>
        <v>7304</v>
      </c>
      <c r="B7305" s="163">
        <v>45964</v>
      </c>
      <c r="C7305" s="194">
        <v>0.70739583333333333</v>
      </c>
      <c r="D7305" s="174">
        <v>10</v>
      </c>
      <c r="E7305" s="166" t="s">
        <v>3728</v>
      </c>
      <c r="F7305" t="s">
        <v>6946</v>
      </c>
    </row>
    <row r="7306" spans="1:6">
      <c r="A7306" s="174">
        <f t="shared" si="106"/>
        <v>7305</v>
      </c>
      <c r="B7306" s="163">
        <v>45990</v>
      </c>
      <c r="C7306" s="194">
        <v>0.5685069444444445</v>
      </c>
      <c r="D7306" s="174" t="s">
        <v>7003</v>
      </c>
      <c r="E7306" s="166" t="s">
        <v>7003</v>
      </c>
      <c r="F7306" t="s">
        <v>6946</v>
      </c>
    </row>
    <row r="7307" spans="1:6">
      <c r="A7307" s="174">
        <f t="shared" si="106"/>
        <v>7306</v>
      </c>
      <c r="B7307" s="163">
        <v>45964</v>
      </c>
      <c r="C7307" s="194">
        <v>0.68695601851851851</v>
      </c>
      <c r="D7307" s="174">
        <v>10</v>
      </c>
      <c r="E7307" s="166" t="s">
        <v>246</v>
      </c>
      <c r="F7307" t="s">
        <v>6946</v>
      </c>
    </row>
    <row r="7308" spans="1:6">
      <c r="A7308" s="174">
        <f t="shared" si="106"/>
        <v>7307</v>
      </c>
      <c r="B7308" s="163">
        <v>45964</v>
      </c>
      <c r="C7308" s="194">
        <v>0.68884259259259262</v>
      </c>
      <c r="D7308" s="174">
        <v>10</v>
      </c>
      <c r="E7308" s="166" t="s">
        <v>6438</v>
      </c>
      <c r="F7308" t="s">
        <v>6946</v>
      </c>
    </row>
    <row r="7309" spans="1:6">
      <c r="A7309" s="174">
        <f t="shared" si="106"/>
        <v>7308</v>
      </c>
      <c r="B7309" s="163">
        <v>45990</v>
      </c>
      <c r="C7309" s="194">
        <v>0.53646990740740741</v>
      </c>
      <c r="D7309" s="174" t="s">
        <v>7003</v>
      </c>
      <c r="E7309" s="166" t="s">
        <v>7003</v>
      </c>
      <c r="F7309" t="s">
        <v>6946</v>
      </c>
    </row>
    <row r="7310" spans="1:6">
      <c r="A7310" s="174">
        <f t="shared" si="106"/>
        <v>7309</v>
      </c>
      <c r="B7310" s="163">
        <v>45964</v>
      </c>
      <c r="C7310" s="194">
        <v>0.68104166666666666</v>
      </c>
      <c r="D7310" s="174">
        <v>10</v>
      </c>
      <c r="E7310" s="166" t="s">
        <v>6437</v>
      </c>
      <c r="F7310" t="s">
        <v>6946</v>
      </c>
    </row>
    <row r="7311" spans="1:6">
      <c r="A7311" s="174">
        <f t="shared" si="106"/>
        <v>7310</v>
      </c>
      <c r="B7311" s="163">
        <v>45990</v>
      </c>
      <c r="C7311" s="194">
        <v>0.51461805555555562</v>
      </c>
      <c r="D7311" s="174" t="s">
        <v>7003</v>
      </c>
      <c r="E7311" s="166" t="s">
        <v>7003</v>
      </c>
      <c r="F7311" t="s">
        <v>6946</v>
      </c>
    </row>
    <row r="7312" spans="1:6">
      <c r="A7312" s="174">
        <f t="shared" si="106"/>
        <v>7311</v>
      </c>
      <c r="B7312" s="163">
        <v>45990</v>
      </c>
      <c r="C7312" s="194">
        <v>0.52322916666666663</v>
      </c>
      <c r="D7312" s="174" t="s">
        <v>7003</v>
      </c>
      <c r="E7312" s="166" t="s">
        <v>7003</v>
      </c>
      <c r="F7312" t="s">
        <v>6946</v>
      </c>
    </row>
    <row r="7313" spans="1:6">
      <c r="A7313" s="174">
        <f t="shared" si="106"/>
        <v>7312</v>
      </c>
      <c r="B7313" s="163">
        <v>45990</v>
      </c>
      <c r="C7313" s="194">
        <v>0.50954861111111105</v>
      </c>
      <c r="D7313" s="174" t="s">
        <v>7003</v>
      </c>
      <c r="E7313" s="166" t="s">
        <v>7003</v>
      </c>
      <c r="F7313" t="s">
        <v>6946</v>
      </c>
    </row>
    <row r="7314" spans="1:6">
      <c r="A7314" s="174">
        <f t="shared" si="106"/>
        <v>7313</v>
      </c>
      <c r="B7314" s="163">
        <v>45964</v>
      </c>
      <c r="C7314" s="194">
        <v>0.68229166666666663</v>
      </c>
      <c r="D7314" s="174">
        <v>10</v>
      </c>
      <c r="E7314" s="166" t="s">
        <v>6436</v>
      </c>
      <c r="F7314" t="s">
        <v>6946</v>
      </c>
    </row>
    <row r="7315" spans="1:6">
      <c r="A7315" s="174">
        <f t="shared" si="106"/>
        <v>7314</v>
      </c>
      <c r="B7315" s="163">
        <v>45990</v>
      </c>
      <c r="C7315" s="194">
        <v>0.49417824074074074</v>
      </c>
      <c r="D7315" s="174" t="s">
        <v>7003</v>
      </c>
      <c r="E7315" s="166" t="s">
        <v>7003</v>
      </c>
      <c r="F7315" t="s">
        <v>6946</v>
      </c>
    </row>
    <row r="7316" spans="1:6">
      <c r="A7316" s="174">
        <f t="shared" si="106"/>
        <v>7315</v>
      </c>
      <c r="B7316" s="163">
        <v>45990</v>
      </c>
      <c r="C7316" s="194">
        <v>0.49368055555555551</v>
      </c>
      <c r="D7316" s="174" t="s">
        <v>7003</v>
      </c>
      <c r="E7316" s="166" t="s">
        <v>7003</v>
      </c>
      <c r="F7316" t="s">
        <v>6946</v>
      </c>
    </row>
    <row r="7317" spans="1:6">
      <c r="A7317" s="174">
        <f t="shared" si="106"/>
        <v>7316</v>
      </c>
      <c r="B7317" s="163">
        <v>45990</v>
      </c>
      <c r="C7317" s="194">
        <v>0.47162037037037036</v>
      </c>
      <c r="D7317" s="174" t="s">
        <v>7003</v>
      </c>
      <c r="E7317" s="166" t="s">
        <v>7003</v>
      </c>
      <c r="F7317" t="s">
        <v>6946</v>
      </c>
    </row>
    <row r="7318" spans="1:6">
      <c r="A7318" s="174">
        <f t="shared" si="106"/>
        <v>7317</v>
      </c>
      <c r="B7318" s="163">
        <v>45990</v>
      </c>
      <c r="C7318" s="194">
        <v>0.44957175925925924</v>
      </c>
      <c r="D7318" s="174" t="s">
        <v>7003</v>
      </c>
      <c r="E7318" s="166" t="s">
        <v>7003</v>
      </c>
      <c r="F7318" t="s">
        <v>6946</v>
      </c>
    </row>
    <row r="7319" spans="1:6">
      <c r="A7319" s="174">
        <f t="shared" si="106"/>
        <v>7318</v>
      </c>
      <c r="B7319" s="163">
        <v>45964</v>
      </c>
      <c r="C7319" s="194">
        <v>0.6875</v>
      </c>
      <c r="D7319" s="174">
        <v>10</v>
      </c>
      <c r="E7319" s="166" t="s">
        <v>6435</v>
      </c>
      <c r="F7319" t="s">
        <v>6946</v>
      </c>
    </row>
    <row r="7320" spans="1:6">
      <c r="A7320" s="174">
        <f t="shared" si="106"/>
        <v>7319</v>
      </c>
      <c r="B7320" s="163">
        <v>45990</v>
      </c>
      <c r="C7320" s="194">
        <v>0.44888888888888889</v>
      </c>
      <c r="D7320" s="174" t="s">
        <v>7003</v>
      </c>
      <c r="E7320" s="166" t="s">
        <v>7003</v>
      </c>
      <c r="F7320" t="s">
        <v>6946</v>
      </c>
    </row>
    <row r="7321" spans="1:6">
      <c r="A7321" s="174">
        <f t="shared" si="106"/>
        <v>7320</v>
      </c>
      <c r="B7321" s="163">
        <v>45964</v>
      </c>
      <c r="C7321" s="194">
        <v>0.67052083333333334</v>
      </c>
      <c r="D7321" s="189">
        <v>10</v>
      </c>
      <c r="E7321" s="190" t="s">
        <v>6434</v>
      </c>
      <c r="F7321" t="s">
        <v>6946</v>
      </c>
    </row>
    <row r="7322" spans="1:6">
      <c r="A7322" s="174">
        <f t="shared" si="106"/>
        <v>7321</v>
      </c>
      <c r="B7322" s="163">
        <v>45990</v>
      </c>
      <c r="C7322" s="195">
        <v>0.44445601851851851</v>
      </c>
      <c r="D7322" s="191" t="s">
        <v>7003</v>
      </c>
      <c r="E7322" s="192" t="s">
        <v>7003</v>
      </c>
      <c r="F7322" t="s">
        <v>6946</v>
      </c>
    </row>
    <row r="7323" spans="1:6">
      <c r="A7323" s="174">
        <f t="shared" si="106"/>
        <v>7322</v>
      </c>
      <c r="B7323" s="163">
        <v>45990</v>
      </c>
      <c r="C7323" s="195">
        <v>0.41187499999999999</v>
      </c>
      <c r="D7323" s="191" t="s">
        <v>7003</v>
      </c>
      <c r="E7323" s="192" t="s">
        <v>7003</v>
      </c>
      <c r="F7323" t="s">
        <v>6946</v>
      </c>
    </row>
    <row r="7324" spans="1:6">
      <c r="A7324" s="174">
        <f t="shared" si="106"/>
        <v>7323</v>
      </c>
      <c r="B7324" s="163">
        <v>45964</v>
      </c>
      <c r="C7324" s="195">
        <v>0.66361111111111104</v>
      </c>
      <c r="D7324" s="191">
        <v>10</v>
      </c>
      <c r="E7324" s="192" t="s">
        <v>6433</v>
      </c>
      <c r="F7324" t="s">
        <v>6946</v>
      </c>
    </row>
    <row r="7325" spans="1:6">
      <c r="A7325" s="174">
        <f t="shared" si="106"/>
        <v>7324</v>
      </c>
      <c r="B7325" s="163">
        <v>45989</v>
      </c>
      <c r="C7325" s="195">
        <v>0.91009259259259256</v>
      </c>
      <c r="D7325" s="191" t="s">
        <v>7003</v>
      </c>
      <c r="E7325" s="192" t="s">
        <v>7003</v>
      </c>
      <c r="F7325" t="s">
        <v>6946</v>
      </c>
    </row>
    <row r="7326" spans="1:6">
      <c r="A7326" s="174">
        <f t="shared" si="106"/>
        <v>7325</v>
      </c>
      <c r="B7326" s="163">
        <v>45989</v>
      </c>
      <c r="C7326" s="195">
        <v>0.89875000000000005</v>
      </c>
      <c r="D7326" s="191" t="s">
        <v>7003</v>
      </c>
      <c r="E7326" s="192" t="s">
        <v>7003</v>
      </c>
      <c r="F7326" t="s">
        <v>6946</v>
      </c>
    </row>
    <row r="7327" spans="1:6">
      <c r="A7327" s="174">
        <f t="shared" si="106"/>
        <v>7326</v>
      </c>
      <c r="B7327" s="163">
        <v>45964</v>
      </c>
      <c r="C7327" s="195">
        <v>0.6648263888888889</v>
      </c>
      <c r="D7327" s="191">
        <v>10</v>
      </c>
      <c r="E7327" s="192" t="s">
        <v>6824</v>
      </c>
      <c r="F7327" t="s">
        <v>6946</v>
      </c>
    </row>
    <row r="7328" spans="1:6">
      <c r="A7328" s="174">
        <f t="shared" si="106"/>
        <v>7327</v>
      </c>
      <c r="B7328" s="163">
        <v>45964</v>
      </c>
      <c r="C7328" s="195">
        <v>0.6540393518518518</v>
      </c>
      <c r="D7328" s="191">
        <v>10</v>
      </c>
      <c r="E7328" s="192" t="s">
        <v>6432</v>
      </c>
      <c r="F7328" t="s">
        <v>6946</v>
      </c>
    </row>
    <row r="7329" spans="1:6">
      <c r="A7329" s="174">
        <f t="shared" ref="A7329:A7392" si="107">ROW()-1</f>
        <v>7328</v>
      </c>
      <c r="B7329" s="163">
        <v>45989</v>
      </c>
      <c r="C7329" s="195">
        <v>0.84790509259259261</v>
      </c>
      <c r="D7329" s="191" t="s">
        <v>7003</v>
      </c>
      <c r="E7329" s="192" t="s">
        <v>7003</v>
      </c>
      <c r="F7329" t="s">
        <v>6946</v>
      </c>
    </row>
    <row r="7330" spans="1:6">
      <c r="A7330" s="174">
        <f t="shared" si="107"/>
        <v>7329</v>
      </c>
      <c r="B7330" s="163">
        <v>45964</v>
      </c>
      <c r="C7330" s="195">
        <v>0.64967592592592593</v>
      </c>
      <c r="D7330" s="191">
        <v>10</v>
      </c>
      <c r="E7330" s="192" t="s">
        <v>6431</v>
      </c>
      <c r="F7330" t="s">
        <v>6946</v>
      </c>
    </row>
    <row r="7331" spans="1:6">
      <c r="A7331" s="174">
        <f t="shared" si="107"/>
        <v>7330</v>
      </c>
      <c r="B7331" s="163">
        <v>45964</v>
      </c>
      <c r="C7331" s="195">
        <v>0.64486111111111111</v>
      </c>
      <c r="D7331" s="191">
        <v>10</v>
      </c>
      <c r="E7331" s="192" t="s">
        <v>6430</v>
      </c>
      <c r="F7331" t="s">
        <v>6946</v>
      </c>
    </row>
    <row r="7332" spans="1:6">
      <c r="A7332" s="174">
        <f t="shared" si="107"/>
        <v>7331</v>
      </c>
      <c r="B7332" s="163">
        <v>45989</v>
      </c>
      <c r="C7332" s="195">
        <v>0.8156944444444445</v>
      </c>
      <c r="D7332" s="191" t="s">
        <v>7003</v>
      </c>
      <c r="E7332" s="192" t="s">
        <v>7003</v>
      </c>
      <c r="F7332" t="s">
        <v>6946</v>
      </c>
    </row>
    <row r="7333" spans="1:6">
      <c r="A7333" s="174">
        <f t="shared" si="107"/>
        <v>7332</v>
      </c>
      <c r="B7333" s="163">
        <v>45989</v>
      </c>
      <c r="C7333" s="195">
        <v>0.78340277777777778</v>
      </c>
      <c r="D7333" s="191" t="s">
        <v>7003</v>
      </c>
      <c r="E7333" s="192" t="s">
        <v>7003</v>
      </c>
      <c r="F7333" t="s">
        <v>6946</v>
      </c>
    </row>
    <row r="7334" spans="1:6">
      <c r="A7334" s="174">
        <f t="shared" si="107"/>
        <v>7333</v>
      </c>
      <c r="B7334" s="163">
        <v>45989</v>
      </c>
      <c r="C7334" s="195">
        <v>0.79754629629629636</v>
      </c>
      <c r="D7334" s="191" t="s">
        <v>7003</v>
      </c>
      <c r="E7334" s="192" t="s">
        <v>7003</v>
      </c>
      <c r="F7334" t="s">
        <v>6946</v>
      </c>
    </row>
    <row r="7335" spans="1:6">
      <c r="A7335" s="174">
        <f t="shared" si="107"/>
        <v>7334</v>
      </c>
      <c r="B7335" s="163">
        <v>45989</v>
      </c>
      <c r="C7335" s="195">
        <v>0.81527777777777777</v>
      </c>
      <c r="D7335" s="191" t="s">
        <v>7003</v>
      </c>
      <c r="E7335" s="192" t="s">
        <v>7003</v>
      </c>
      <c r="F7335" t="s">
        <v>6946</v>
      </c>
    </row>
    <row r="7336" spans="1:6">
      <c r="A7336" s="174">
        <f t="shared" si="107"/>
        <v>7335</v>
      </c>
      <c r="B7336" s="163">
        <v>45989</v>
      </c>
      <c r="C7336" s="195">
        <v>0.81533564814814818</v>
      </c>
      <c r="D7336" s="191" t="s">
        <v>7003</v>
      </c>
      <c r="E7336" s="192" t="s">
        <v>7003</v>
      </c>
      <c r="F7336" t="s">
        <v>6946</v>
      </c>
    </row>
    <row r="7337" spans="1:6">
      <c r="A7337" s="174">
        <f t="shared" si="107"/>
        <v>7336</v>
      </c>
      <c r="B7337" s="163">
        <v>45989</v>
      </c>
      <c r="C7337" s="195">
        <v>0.81478009259259254</v>
      </c>
      <c r="D7337" s="191" t="s">
        <v>7003</v>
      </c>
      <c r="E7337" s="192" t="s">
        <v>7003</v>
      </c>
      <c r="F7337" t="s">
        <v>6946</v>
      </c>
    </row>
    <row r="7338" spans="1:6">
      <c r="A7338" s="174">
        <f t="shared" si="107"/>
        <v>7337</v>
      </c>
      <c r="B7338" s="163">
        <v>45989</v>
      </c>
      <c r="C7338" s="195">
        <v>0.81403935185185183</v>
      </c>
      <c r="D7338" s="191" t="s">
        <v>7003</v>
      </c>
      <c r="E7338" s="192" t="s">
        <v>7003</v>
      </c>
      <c r="F7338" t="s">
        <v>6946</v>
      </c>
    </row>
    <row r="7339" spans="1:6">
      <c r="A7339" s="174">
        <f t="shared" si="107"/>
        <v>7338</v>
      </c>
      <c r="B7339" s="163">
        <v>45989</v>
      </c>
      <c r="C7339" s="195">
        <v>0.78271990740740749</v>
      </c>
      <c r="D7339" s="191" t="s">
        <v>7003</v>
      </c>
      <c r="E7339" s="192" t="s">
        <v>7003</v>
      </c>
      <c r="F7339" t="s">
        <v>6946</v>
      </c>
    </row>
    <row r="7340" spans="1:6">
      <c r="A7340" s="174">
        <f t="shared" si="107"/>
        <v>7339</v>
      </c>
      <c r="B7340" s="163">
        <v>45989</v>
      </c>
      <c r="C7340" s="195">
        <v>0.76201388888888888</v>
      </c>
      <c r="D7340" s="191" t="s">
        <v>7003</v>
      </c>
      <c r="E7340" s="192" t="s">
        <v>7003</v>
      </c>
      <c r="F7340" t="s">
        <v>6946</v>
      </c>
    </row>
    <row r="7341" spans="1:6">
      <c r="A7341" s="174">
        <f t="shared" si="107"/>
        <v>7340</v>
      </c>
      <c r="B7341" s="163">
        <v>45964</v>
      </c>
      <c r="C7341" s="195">
        <v>0.64244212962962965</v>
      </c>
      <c r="D7341" s="191">
        <v>10</v>
      </c>
      <c r="E7341" s="192" t="s">
        <v>6429</v>
      </c>
      <c r="F7341" t="s">
        <v>6946</v>
      </c>
    </row>
    <row r="7342" spans="1:6">
      <c r="A7342" s="174">
        <f t="shared" si="107"/>
        <v>7341</v>
      </c>
      <c r="B7342" s="163">
        <v>45989</v>
      </c>
      <c r="C7342" s="195">
        <v>0.81392361111111111</v>
      </c>
      <c r="D7342" s="191" t="s">
        <v>7003</v>
      </c>
      <c r="E7342" s="192" t="s">
        <v>7003</v>
      </c>
      <c r="F7342" t="s">
        <v>6946</v>
      </c>
    </row>
    <row r="7343" spans="1:6">
      <c r="A7343" s="174">
        <f t="shared" si="107"/>
        <v>7342</v>
      </c>
      <c r="B7343" s="163">
        <v>45989</v>
      </c>
      <c r="C7343" s="195">
        <v>0.74180555555555561</v>
      </c>
      <c r="D7343" s="191" t="s">
        <v>7003</v>
      </c>
      <c r="E7343" s="192" t="s">
        <v>7003</v>
      </c>
      <c r="F7343" t="s">
        <v>6946</v>
      </c>
    </row>
    <row r="7344" spans="1:6">
      <c r="A7344" s="174">
        <f t="shared" si="107"/>
        <v>7343</v>
      </c>
      <c r="B7344" s="163">
        <v>45989</v>
      </c>
      <c r="C7344" s="195">
        <v>0.73862268518518526</v>
      </c>
      <c r="D7344" s="191" t="s">
        <v>7003</v>
      </c>
      <c r="E7344" s="192" t="s">
        <v>7003</v>
      </c>
      <c r="F7344" t="s">
        <v>6946</v>
      </c>
    </row>
    <row r="7345" spans="1:6">
      <c r="A7345" s="174">
        <f t="shared" si="107"/>
        <v>7344</v>
      </c>
      <c r="B7345" s="163">
        <v>45989</v>
      </c>
      <c r="C7345" s="195">
        <v>0.74039351851851853</v>
      </c>
      <c r="D7345" s="191" t="s">
        <v>7003</v>
      </c>
      <c r="E7345" s="192" t="s">
        <v>7003</v>
      </c>
      <c r="F7345" t="s">
        <v>6946</v>
      </c>
    </row>
    <row r="7346" spans="1:6">
      <c r="A7346" s="174">
        <f t="shared" si="107"/>
        <v>7345</v>
      </c>
      <c r="B7346" s="163">
        <v>45989</v>
      </c>
      <c r="C7346" s="195">
        <v>0.72831018518518509</v>
      </c>
      <c r="D7346" s="191" t="s">
        <v>7003</v>
      </c>
      <c r="E7346" s="192" t="s">
        <v>7003</v>
      </c>
      <c r="F7346" t="s">
        <v>6946</v>
      </c>
    </row>
    <row r="7347" spans="1:6">
      <c r="A7347" s="174">
        <f t="shared" si="107"/>
        <v>7346</v>
      </c>
      <c r="B7347" s="163">
        <v>45989</v>
      </c>
      <c r="C7347" s="195">
        <v>0.72740740740740739</v>
      </c>
      <c r="D7347" s="191" t="s">
        <v>7003</v>
      </c>
      <c r="E7347" s="192" t="s">
        <v>7003</v>
      </c>
      <c r="F7347" t="s">
        <v>6946</v>
      </c>
    </row>
    <row r="7348" spans="1:6">
      <c r="A7348" s="174">
        <f t="shared" si="107"/>
        <v>7347</v>
      </c>
      <c r="B7348" s="163">
        <v>45989</v>
      </c>
      <c r="C7348" s="195">
        <v>0.72991898148148149</v>
      </c>
      <c r="D7348" s="191" t="s">
        <v>7003</v>
      </c>
      <c r="E7348" s="192" t="s">
        <v>7003</v>
      </c>
      <c r="F7348" t="s">
        <v>6946</v>
      </c>
    </row>
    <row r="7349" spans="1:6">
      <c r="A7349" s="174">
        <f t="shared" si="107"/>
        <v>7348</v>
      </c>
      <c r="B7349" s="163">
        <v>45989</v>
      </c>
      <c r="C7349" s="195">
        <v>0.72184027777777782</v>
      </c>
      <c r="D7349" s="191" t="s">
        <v>7003</v>
      </c>
      <c r="E7349" s="192" t="s">
        <v>7003</v>
      </c>
      <c r="F7349" t="s">
        <v>6946</v>
      </c>
    </row>
    <row r="7350" spans="1:6">
      <c r="A7350" s="174">
        <f t="shared" si="107"/>
        <v>7349</v>
      </c>
      <c r="B7350" s="163">
        <v>45989</v>
      </c>
      <c r="C7350" s="195">
        <v>0.72806712962962961</v>
      </c>
      <c r="D7350" s="191" t="s">
        <v>7003</v>
      </c>
      <c r="E7350" s="192" t="s">
        <v>7003</v>
      </c>
      <c r="F7350" t="s">
        <v>6946</v>
      </c>
    </row>
    <row r="7351" spans="1:6">
      <c r="A7351" s="174">
        <f t="shared" si="107"/>
        <v>7350</v>
      </c>
      <c r="B7351" s="163">
        <v>45989</v>
      </c>
      <c r="C7351" s="195">
        <v>0.71497685185185178</v>
      </c>
      <c r="D7351" s="191" t="s">
        <v>7003</v>
      </c>
      <c r="E7351" s="192" t="s">
        <v>7003</v>
      </c>
      <c r="F7351" t="s">
        <v>6946</v>
      </c>
    </row>
    <row r="7352" spans="1:6">
      <c r="A7352" s="174">
        <f t="shared" si="107"/>
        <v>7351</v>
      </c>
      <c r="B7352" s="163">
        <v>45989</v>
      </c>
      <c r="C7352" s="195">
        <v>0.71497685185185178</v>
      </c>
      <c r="D7352" s="191" t="s">
        <v>7003</v>
      </c>
      <c r="E7352" s="192" t="s">
        <v>7003</v>
      </c>
      <c r="F7352" t="s">
        <v>6946</v>
      </c>
    </row>
    <row r="7353" spans="1:6">
      <c r="A7353" s="174">
        <f t="shared" si="107"/>
        <v>7352</v>
      </c>
      <c r="B7353" s="163">
        <v>45964</v>
      </c>
      <c r="C7353" s="195">
        <v>0.66901620370370374</v>
      </c>
      <c r="D7353" s="191">
        <v>10</v>
      </c>
      <c r="E7353" s="192" t="s">
        <v>6428</v>
      </c>
      <c r="F7353" t="s">
        <v>6946</v>
      </c>
    </row>
    <row r="7354" spans="1:6">
      <c r="A7354" s="174">
        <f t="shared" si="107"/>
        <v>7353</v>
      </c>
      <c r="B7354" s="163">
        <v>45989</v>
      </c>
      <c r="C7354" s="195">
        <v>0.71065972222222218</v>
      </c>
      <c r="D7354" s="191" t="s">
        <v>7003</v>
      </c>
      <c r="E7354" s="192" t="s">
        <v>7003</v>
      </c>
      <c r="F7354" t="s">
        <v>6946</v>
      </c>
    </row>
    <row r="7355" spans="1:6">
      <c r="A7355" s="174">
        <f t="shared" si="107"/>
        <v>7354</v>
      </c>
      <c r="B7355" s="163">
        <v>45964</v>
      </c>
      <c r="C7355" s="195">
        <v>0.6411458333333333</v>
      </c>
      <c r="D7355" s="191">
        <v>10</v>
      </c>
      <c r="E7355" s="192" t="s">
        <v>6427</v>
      </c>
      <c r="F7355" t="s">
        <v>6946</v>
      </c>
    </row>
    <row r="7356" spans="1:6">
      <c r="A7356" s="174">
        <f t="shared" si="107"/>
        <v>7355</v>
      </c>
      <c r="B7356" s="163">
        <v>45964</v>
      </c>
      <c r="C7356" s="195">
        <v>0.62718750000000001</v>
      </c>
      <c r="D7356" s="191">
        <v>10</v>
      </c>
      <c r="E7356" s="192" t="s">
        <v>6426</v>
      </c>
      <c r="F7356" t="s">
        <v>6946</v>
      </c>
    </row>
    <row r="7357" spans="1:6">
      <c r="A7357" s="174">
        <f t="shared" si="107"/>
        <v>7356</v>
      </c>
      <c r="B7357" s="163">
        <v>45989</v>
      </c>
      <c r="C7357" s="195">
        <v>0.69892361111111112</v>
      </c>
      <c r="D7357" s="191" t="s">
        <v>7003</v>
      </c>
      <c r="E7357" s="192" t="s">
        <v>7003</v>
      </c>
      <c r="F7357" t="s">
        <v>6946</v>
      </c>
    </row>
    <row r="7358" spans="1:6">
      <c r="A7358" s="174">
        <f t="shared" si="107"/>
        <v>7357</v>
      </c>
      <c r="B7358" s="163">
        <v>45964</v>
      </c>
      <c r="C7358" s="194">
        <v>0.60204861111111108</v>
      </c>
      <c r="D7358" s="191">
        <v>10</v>
      </c>
      <c r="E7358" s="192" t="s">
        <v>6425</v>
      </c>
      <c r="F7358" t="s">
        <v>6946</v>
      </c>
    </row>
    <row r="7359" spans="1:6">
      <c r="A7359" s="174">
        <f t="shared" si="107"/>
        <v>7358</v>
      </c>
      <c r="B7359" s="163">
        <v>45989</v>
      </c>
      <c r="C7359" s="194">
        <v>0.69489583333333327</v>
      </c>
      <c r="D7359" s="174" t="s">
        <v>7003</v>
      </c>
      <c r="E7359" s="166" t="s">
        <v>7003</v>
      </c>
      <c r="F7359" t="s">
        <v>6946</v>
      </c>
    </row>
    <row r="7360" spans="1:6">
      <c r="A7360" s="174">
        <f t="shared" si="107"/>
        <v>7359</v>
      </c>
      <c r="B7360" s="163">
        <v>45989</v>
      </c>
      <c r="C7360" s="194">
        <v>0.69778935185185187</v>
      </c>
      <c r="D7360" s="174" t="s">
        <v>7003</v>
      </c>
      <c r="E7360" s="166" t="s">
        <v>7003</v>
      </c>
      <c r="F7360" t="s">
        <v>6946</v>
      </c>
    </row>
    <row r="7361" spans="1:6">
      <c r="A7361" s="174">
        <f t="shared" si="107"/>
        <v>7360</v>
      </c>
      <c r="B7361" s="163">
        <v>45989</v>
      </c>
      <c r="C7361" s="194">
        <v>0.67876157407407411</v>
      </c>
      <c r="D7361" s="174" t="s">
        <v>7003</v>
      </c>
      <c r="E7361" s="166" t="s">
        <v>7003</v>
      </c>
      <c r="F7361" t="s">
        <v>6946</v>
      </c>
    </row>
    <row r="7362" spans="1:6">
      <c r="A7362" s="174">
        <f t="shared" si="107"/>
        <v>7361</v>
      </c>
      <c r="B7362" s="163">
        <v>45964</v>
      </c>
      <c r="C7362" s="194">
        <v>0.58427083333333341</v>
      </c>
      <c r="D7362" s="174">
        <v>10</v>
      </c>
      <c r="E7362" s="166" t="s">
        <v>1579</v>
      </c>
      <c r="F7362" t="s">
        <v>6946</v>
      </c>
    </row>
    <row r="7363" spans="1:6">
      <c r="A7363" s="174">
        <f t="shared" si="107"/>
        <v>7362</v>
      </c>
      <c r="B7363" s="163">
        <v>45989</v>
      </c>
      <c r="C7363" s="194">
        <v>0.6694444444444444</v>
      </c>
      <c r="D7363" s="174" t="s">
        <v>7003</v>
      </c>
      <c r="E7363" s="166" t="s">
        <v>7003</v>
      </c>
      <c r="F7363" t="s">
        <v>6946</v>
      </c>
    </row>
    <row r="7364" spans="1:6">
      <c r="A7364" s="174">
        <f t="shared" si="107"/>
        <v>7363</v>
      </c>
      <c r="B7364" s="163">
        <v>45964</v>
      </c>
      <c r="C7364" s="194">
        <v>0.58414351851851853</v>
      </c>
      <c r="D7364" s="174">
        <v>10</v>
      </c>
      <c r="E7364" s="166" t="s">
        <v>6424</v>
      </c>
      <c r="F7364" t="s">
        <v>6946</v>
      </c>
    </row>
    <row r="7365" spans="1:6">
      <c r="A7365" s="174">
        <f t="shared" si="107"/>
        <v>7364</v>
      </c>
      <c r="B7365" s="163">
        <v>45989</v>
      </c>
      <c r="C7365" s="194">
        <v>0.67584490740740744</v>
      </c>
      <c r="D7365" s="174" t="s">
        <v>7003</v>
      </c>
      <c r="E7365" s="166" t="s">
        <v>7003</v>
      </c>
      <c r="F7365" t="s">
        <v>6946</v>
      </c>
    </row>
    <row r="7366" spans="1:6">
      <c r="A7366" s="174">
        <f t="shared" si="107"/>
        <v>7365</v>
      </c>
      <c r="B7366" s="163">
        <v>45989</v>
      </c>
      <c r="C7366" s="194">
        <v>0.66706018518518517</v>
      </c>
      <c r="D7366" s="174" t="s">
        <v>7003</v>
      </c>
      <c r="E7366" s="166" t="s">
        <v>7003</v>
      </c>
      <c r="F7366" t="s">
        <v>6946</v>
      </c>
    </row>
    <row r="7367" spans="1:6">
      <c r="A7367" s="174">
        <f t="shared" si="107"/>
        <v>7366</v>
      </c>
      <c r="B7367" s="163">
        <v>45989</v>
      </c>
      <c r="C7367" s="194">
        <v>0.66530092592592593</v>
      </c>
      <c r="D7367" s="174" t="s">
        <v>7003</v>
      </c>
      <c r="E7367" s="166" t="s">
        <v>7003</v>
      </c>
      <c r="F7367" t="s">
        <v>6946</v>
      </c>
    </row>
    <row r="7368" spans="1:6">
      <c r="A7368" s="174">
        <f t="shared" si="107"/>
        <v>7367</v>
      </c>
      <c r="B7368" s="163">
        <v>45989</v>
      </c>
      <c r="C7368" s="194">
        <v>0.65099537037037036</v>
      </c>
      <c r="D7368" s="174" t="s">
        <v>7003</v>
      </c>
      <c r="E7368" s="166" t="s">
        <v>7003</v>
      </c>
      <c r="F7368" t="s">
        <v>6946</v>
      </c>
    </row>
    <row r="7369" spans="1:6">
      <c r="A7369" s="174">
        <f t="shared" si="107"/>
        <v>7368</v>
      </c>
      <c r="B7369" s="163">
        <v>45989</v>
      </c>
      <c r="C7369" s="194">
        <v>0.65085648148148145</v>
      </c>
      <c r="D7369" s="174" t="s">
        <v>7003</v>
      </c>
      <c r="E7369" s="166" t="s">
        <v>7003</v>
      </c>
      <c r="F7369" t="s">
        <v>6946</v>
      </c>
    </row>
    <row r="7370" spans="1:6">
      <c r="A7370" s="174">
        <f t="shared" si="107"/>
        <v>7369</v>
      </c>
      <c r="B7370" s="163">
        <v>45989</v>
      </c>
      <c r="C7370" s="194">
        <v>0.64511574074074074</v>
      </c>
      <c r="D7370" s="174" t="s">
        <v>7003</v>
      </c>
      <c r="E7370" s="166" t="s">
        <v>7003</v>
      </c>
      <c r="F7370" t="s">
        <v>6946</v>
      </c>
    </row>
    <row r="7371" spans="1:6">
      <c r="A7371" s="174">
        <f t="shared" si="107"/>
        <v>7370</v>
      </c>
      <c r="B7371" s="163">
        <v>45989</v>
      </c>
      <c r="C7371" s="194">
        <v>0.64422453703703708</v>
      </c>
      <c r="D7371" s="174" t="s">
        <v>7003</v>
      </c>
      <c r="E7371" s="166" t="s">
        <v>7003</v>
      </c>
      <c r="F7371" t="s">
        <v>6946</v>
      </c>
    </row>
    <row r="7372" spans="1:6">
      <c r="A7372" s="174">
        <f t="shared" si="107"/>
        <v>7371</v>
      </c>
      <c r="B7372" s="163">
        <v>45989</v>
      </c>
      <c r="C7372" s="194">
        <v>0.63914351851851847</v>
      </c>
      <c r="D7372" s="174" t="s">
        <v>7003</v>
      </c>
      <c r="E7372" s="166" t="s">
        <v>7003</v>
      </c>
      <c r="F7372" t="s">
        <v>6946</v>
      </c>
    </row>
    <row r="7373" spans="1:6">
      <c r="A7373" s="174">
        <f t="shared" si="107"/>
        <v>7372</v>
      </c>
      <c r="B7373" s="163">
        <v>45989</v>
      </c>
      <c r="C7373" s="194">
        <v>0.6422106481481481</v>
      </c>
      <c r="D7373" s="174" t="s">
        <v>7003</v>
      </c>
      <c r="E7373" s="166" t="s">
        <v>7003</v>
      </c>
      <c r="F7373" t="s">
        <v>6946</v>
      </c>
    </row>
    <row r="7374" spans="1:6">
      <c r="A7374" s="174">
        <f t="shared" si="107"/>
        <v>7373</v>
      </c>
      <c r="B7374" s="163">
        <v>45989</v>
      </c>
      <c r="C7374" s="194">
        <v>0.65093750000000006</v>
      </c>
      <c r="D7374" s="174" t="s">
        <v>7003</v>
      </c>
      <c r="E7374" s="166" t="s">
        <v>7003</v>
      </c>
      <c r="F7374" t="s">
        <v>6946</v>
      </c>
    </row>
    <row r="7375" spans="1:6">
      <c r="A7375" s="174">
        <f t="shared" si="107"/>
        <v>7374</v>
      </c>
      <c r="B7375" s="163">
        <v>45989</v>
      </c>
      <c r="C7375" s="194">
        <v>0.61986111111111108</v>
      </c>
      <c r="D7375" s="174" t="s">
        <v>7003</v>
      </c>
      <c r="E7375" s="166" t="s">
        <v>7003</v>
      </c>
      <c r="F7375" t="s">
        <v>6946</v>
      </c>
    </row>
    <row r="7376" spans="1:6">
      <c r="A7376" s="174">
        <f t="shared" si="107"/>
        <v>7375</v>
      </c>
      <c r="B7376" s="163">
        <v>45964</v>
      </c>
      <c r="C7376" s="194">
        <v>0.54331018518518526</v>
      </c>
      <c r="D7376" s="174">
        <v>10</v>
      </c>
      <c r="E7376" s="166" t="s">
        <v>6423</v>
      </c>
      <c r="F7376" t="s">
        <v>6946</v>
      </c>
    </row>
    <row r="7377" spans="1:6">
      <c r="A7377" s="174">
        <f t="shared" si="107"/>
        <v>7376</v>
      </c>
      <c r="B7377" s="163">
        <v>45989</v>
      </c>
      <c r="C7377" s="194">
        <v>0.61780092592592595</v>
      </c>
      <c r="D7377" s="174" t="s">
        <v>7003</v>
      </c>
      <c r="E7377" s="166" t="s">
        <v>7003</v>
      </c>
      <c r="F7377" t="s">
        <v>6946</v>
      </c>
    </row>
    <row r="7378" spans="1:6">
      <c r="A7378" s="174">
        <f t="shared" si="107"/>
        <v>7377</v>
      </c>
      <c r="B7378" s="163">
        <v>45964</v>
      </c>
      <c r="C7378" s="194">
        <v>0.51740740740740743</v>
      </c>
      <c r="D7378" s="174">
        <v>10</v>
      </c>
      <c r="E7378" s="166" t="s">
        <v>6422</v>
      </c>
      <c r="F7378" t="s">
        <v>6946</v>
      </c>
    </row>
    <row r="7379" spans="1:6">
      <c r="A7379" s="174">
        <f t="shared" si="107"/>
        <v>7378</v>
      </c>
      <c r="B7379" s="163">
        <v>45989</v>
      </c>
      <c r="C7379" s="194">
        <v>0.61833333333333329</v>
      </c>
      <c r="D7379" s="174" t="s">
        <v>7003</v>
      </c>
      <c r="E7379" s="166" t="s">
        <v>7003</v>
      </c>
      <c r="F7379" t="s">
        <v>6946</v>
      </c>
    </row>
    <row r="7380" spans="1:6">
      <c r="A7380" s="174">
        <f t="shared" si="107"/>
        <v>7379</v>
      </c>
      <c r="B7380" s="163">
        <v>45989</v>
      </c>
      <c r="C7380" s="194">
        <v>0.62362268518518515</v>
      </c>
      <c r="D7380" s="174" t="s">
        <v>7003</v>
      </c>
      <c r="E7380" s="166" t="s">
        <v>7003</v>
      </c>
      <c r="F7380" t="s">
        <v>6946</v>
      </c>
    </row>
    <row r="7381" spans="1:6">
      <c r="A7381" s="174">
        <f t="shared" si="107"/>
        <v>7380</v>
      </c>
      <c r="B7381" s="163">
        <v>45964</v>
      </c>
      <c r="C7381" s="194">
        <v>0.4890856481481482</v>
      </c>
      <c r="D7381" s="174">
        <v>10</v>
      </c>
      <c r="E7381" s="166" t="s">
        <v>6421</v>
      </c>
      <c r="F7381" t="s">
        <v>6946</v>
      </c>
    </row>
    <row r="7382" spans="1:6">
      <c r="A7382" s="174">
        <f t="shared" si="107"/>
        <v>7381</v>
      </c>
      <c r="B7382" s="163">
        <v>45989</v>
      </c>
      <c r="C7382" s="194">
        <v>0.60613425925925923</v>
      </c>
      <c r="D7382" s="174" t="s">
        <v>7003</v>
      </c>
      <c r="E7382" s="166" t="s">
        <v>7003</v>
      </c>
      <c r="F7382" t="s">
        <v>6946</v>
      </c>
    </row>
    <row r="7383" spans="1:6">
      <c r="A7383" s="174">
        <f t="shared" si="107"/>
        <v>7382</v>
      </c>
      <c r="B7383" s="163">
        <v>45989</v>
      </c>
      <c r="C7383" s="194">
        <v>0.60865740740740748</v>
      </c>
      <c r="D7383" s="174" t="s">
        <v>7003</v>
      </c>
      <c r="E7383" s="166" t="s">
        <v>7003</v>
      </c>
      <c r="F7383" t="s">
        <v>6946</v>
      </c>
    </row>
    <row r="7384" spans="1:6">
      <c r="A7384" s="174">
        <f t="shared" si="107"/>
        <v>7383</v>
      </c>
      <c r="B7384" s="163">
        <v>45989</v>
      </c>
      <c r="C7384" s="194">
        <v>0.61381944444444447</v>
      </c>
      <c r="D7384" s="174" t="s">
        <v>7003</v>
      </c>
      <c r="E7384" s="166" t="s">
        <v>7003</v>
      </c>
      <c r="F7384" t="s">
        <v>6946</v>
      </c>
    </row>
    <row r="7385" spans="1:6">
      <c r="A7385" s="174">
        <f t="shared" si="107"/>
        <v>7384</v>
      </c>
      <c r="B7385" s="163">
        <v>45989</v>
      </c>
      <c r="C7385" s="194">
        <v>0.60635416666666664</v>
      </c>
      <c r="D7385" s="174" t="s">
        <v>7003</v>
      </c>
      <c r="E7385" s="166" t="s">
        <v>7003</v>
      </c>
      <c r="F7385" t="s">
        <v>6946</v>
      </c>
    </row>
    <row r="7386" spans="1:6">
      <c r="A7386" s="174">
        <f t="shared" si="107"/>
        <v>7385</v>
      </c>
      <c r="B7386" s="163">
        <v>45964</v>
      </c>
      <c r="C7386" s="194">
        <v>0.50149305555555557</v>
      </c>
      <c r="D7386" s="174">
        <v>10</v>
      </c>
      <c r="E7386" s="166" t="s">
        <v>311</v>
      </c>
      <c r="F7386" t="s">
        <v>6946</v>
      </c>
    </row>
    <row r="7387" spans="1:6">
      <c r="A7387" s="174">
        <f t="shared" si="107"/>
        <v>7386</v>
      </c>
      <c r="B7387" s="163">
        <v>45989</v>
      </c>
      <c r="C7387" s="194">
        <v>0.58971064814814811</v>
      </c>
      <c r="D7387" s="174" t="s">
        <v>7003</v>
      </c>
      <c r="E7387" s="166" t="s">
        <v>7003</v>
      </c>
      <c r="F7387" t="s">
        <v>6946</v>
      </c>
    </row>
    <row r="7388" spans="1:6">
      <c r="A7388" s="174">
        <f t="shared" si="107"/>
        <v>7387</v>
      </c>
      <c r="B7388" s="163">
        <v>45989</v>
      </c>
      <c r="C7388" s="194">
        <v>0.60392361111111115</v>
      </c>
      <c r="D7388" s="174" t="s">
        <v>7003</v>
      </c>
      <c r="E7388" s="166" t="s">
        <v>7003</v>
      </c>
      <c r="F7388" t="s">
        <v>6946</v>
      </c>
    </row>
    <row r="7389" spans="1:6">
      <c r="A7389" s="174">
        <f t="shared" si="107"/>
        <v>7388</v>
      </c>
      <c r="B7389" s="163">
        <v>45989</v>
      </c>
      <c r="C7389" s="194">
        <v>0.5993518518518518</v>
      </c>
      <c r="D7389" s="174" t="s">
        <v>7003</v>
      </c>
      <c r="E7389" s="166" t="s">
        <v>7003</v>
      </c>
      <c r="F7389" t="s">
        <v>6946</v>
      </c>
    </row>
    <row r="7390" spans="1:6">
      <c r="A7390" s="174">
        <f t="shared" si="107"/>
        <v>7389</v>
      </c>
      <c r="B7390" s="163">
        <v>45989</v>
      </c>
      <c r="C7390" s="194">
        <v>0.58980324074074075</v>
      </c>
      <c r="D7390" s="174" t="s">
        <v>7003</v>
      </c>
      <c r="E7390" s="166" t="s">
        <v>7003</v>
      </c>
      <c r="F7390" t="s">
        <v>6946</v>
      </c>
    </row>
    <row r="7391" spans="1:6">
      <c r="A7391" s="174">
        <f t="shared" si="107"/>
        <v>7390</v>
      </c>
      <c r="B7391" s="163">
        <v>45989</v>
      </c>
      <c r="C7391" s="194">
        <v>0.59694444444444439</v>
      </c>
      <c r="D7391" s="174" t="s">
        <v>7003</v>
      </c>
      <c r="E7391" s="166" t="s">
        <v>7003</v>
      </c>
      <c r="F7391" t="s">
        <v>6946</v>
      </c>
    </row>
    <row r="7392" spans="1:6">
      <c r="A7392" s="174">
        <f t="shared" si="107"/>
        <v>7391</v>
      </c>
      <c r="B7392" s="163">
        <v>45989</v>
      </c>
      <c r="C7392" s="194">
        <v>0.57885416666666667</v>
      </c>
      <c r="D7392" s="174" t="s">
        <v>7003</v>
      </c>
      <c r="E7392" s="166" t="s">
        <v>7003</v>
      </c>
      <c r="F7392" t="s">
        <v>6946</v>
      </c>
    </row>
    <row r="7393" spans="1:6">
      <c r="A7393" s="174">
        <f t="shared" ref="A7393:A7456" si="108">ROW()-1</f>
        <v>7392</v>
      </c>
      <c r="B7393" s="163">
        <v>45989</v>
      </c>
      <c r="C7393" s="194">
        <v>0.58030092592592586</v>
      </c>
      <c r="D7393" s="174" t="s">
        <v>7003</v>
      </c>
      <c r="E7393" s="166" t="s">
        <v>7003</v>
      </c>
      <c r="F7393" t="s">
        <v>6946</v>
      </c>
    </row>
    <row r="7394" spans="1:6">
      <c r="A7394" s="174">
        <f t="shared" si="108"/>
        <v>7393</v>
      </c>
      <c r="B7394" s="163">
        <v>45989</v>
      </c>
      <c r="C7394" s="194">
        <v>0.58070601851851855</v>
      </c>
      <c r="D7394" s="174" t="s">
        <v>7003</v>
      </c>
      <c r="E7394" s="166" t="s">
        <v>7003</v>
      </c>
      <c r="F7394" t="s">
        <v>6946</v>
      </c>
    </row>
    <row r="7395" spans="1:6">
      <c r="A7395" s="174">
        <f t="shared" si="108"/>
        <v>7394</v>
      </c>
      <c r="B7395" s="163">
        <v>45964</v>
      </c>
      <c r="C7395" s="194">
        <v>0.48740740740740746</v>
      </c>
      <c r="D7395" s="174">
        <v>10</v>
      </c>
      <c r="E7395" s="166" t="s">
        <v>6420</v>
      </c>
      <c r="F7395" t="s">
        <v>6946</v>
      </c>
    </row>
    <row r="7396" spans="1:6">
      <c r="A7396" s="174">
        <f t="shared" si="108"/>
        <v>7395</v>
      </c>
      <c r="B7396" s="163">
        <v>45989</v>
      </c>
      <c r="C7396" s="194">
        <v>0.56929398148148147</v>
      </c>
      <c r="D7396" s="174" t="s">
        <v>7003</v>
      </c>
      <c r="E7396" s="166" t="s">
        <v>7003</v>
      </c>
      <c r="F7396" t="s">
        <v>6946</v>
      </c>
    </row>
    <row r="7397" spans="1:6">
      <c r="A7397" s="174">
        <f t="shared" si="108"/>
        <v>7396</v>
      </c>
      <c r="B7397" s="163">
        <v>45989</v>
      </c>
      <c r="C7397" s="194">
        <v>0.56267361111111114</v>
      </c>
      <c r="D7397" s="174" t="s">
        <v>7003</v>
      </c>
      <c r="E7397" s="166" t="s">
        <v>7003</v>
      </c>
      <c r="F7397" t="s">
        <v>6946</v>
      </c>
    </row>
    <row r="7398" spans="1:6">
      <c r="A7398" s="174">
        <f t="shared" si="108"/>
        <v>7397</v>
      </c>
      <c r="B7398" s="163">
        <v>45989</v>
      </c>
      <c r="C7398" s="194">
        <v>0.5430787037037037</v>
      </c>
      <c r="D7398" s="174" t="s">
        <v>7003</v>
      </c>
      <c r="E7398" s="166" t="s">
        <v>7003</v>
      </c>
      <c r="F7398" t="s">
        <v>6946</v>
      </c>
    </row>
    <row r="7399" spans="1:6">
      <c r="A7399" s="174">
        <f t="shared" si="108"/>
        <v>7398</v>
      </c>
      <c r="B7399" s="163">
        <v>45964</v>
      </c>
      <c r="C7399" s="194">
        <v>0.49390046296296292</v>
      </c>
      <c r="D7399" s="174">
        <v>10</v>
      </c>
      <c r="E7399" s="166" t="s">
        <v>6419</v>
      </c>
      <c r="F7399" t="s">
        <v>6946</v>
      </c>
    </row>
    <row r="7400" spans="1:6">
      <c r="A7400" s="174">
        <f t="shared" si="108"/>
        <v>7399</v>
      </c>
      <c r="B7400" s="163">
        <v>45989</v>
      </c>
      <c r="C7400" s="194">
        <v>0.80238425925925927</v>
      </c>
      <c r="D7400" s="174" t="s">
        <v>7003</v>
      </c>
      <c r="E7400" s="166" t="s">
        <v>7003</v>
      </c>
      <c r="F7400" t="s">
        <v>6946</v>
      </c>
    </row>
    <row r="7401" spans="1:6">
      <c r="A7401" s="174">
        <f t="shared" si="108"/>
        <v>7400</v>
      </c>
      <c r="B7401" s="163">
        <v>45989</v>
      </c>
      <c r="C7401" s="194">
        <v>0.52817129629629633</v>
      </c>
      <c r="D7401" s="174" t="s">
        <v>7003</v>
      </c>
      <c r="E7401" s="166" t="s">
        <v>7003</v>
      </c>
      <c r="F7401" t="s">
        <v>6946</v>
      </c>
    </row>
    <row r="7402" spans="1:6">
      <c r="A7402" s="174">
        <f t="shared" si="108"/>
        <v>7401</v>
      </c>
      <c r="B7402" s="163">
        <v>45989</v>
      </c>
      <c r="C7402" s="194">
        <v>0.52273148148148152</v>
      </c>
      <c r="D7402" s="174" t="s">
        <v>7003</v>
      </c>
      <c r="E7402" s="166" t="s">
        <v>7003</v>
      </c>
      <c r="F7402" t="s">
        <v>6946</v>
      </c>
    </row>
    <row r="7403" spans="1:6">
      <c r="A7403" s="174">
        <f t="shared" si="108"/>
        <v>7402</v>
      </c>
      <c r="B7403" s="163">
        <v>45964</v>
      </c>
      <c r="C7403" s="194">
        <v>0.47006944444444443</v>
      </c>
      <c r="D7403" s="174">
        <v>10</v>
      </c>
      <c r="E7403" s="166" t="s">
        <v>6418</v>
      </c>
      <c r="F7403" t="s">
        <v>6946</v>
      </c>
    </row>
    <row r="7404" spans="1:6">
      <c r="A7404" s="174">
        <f t="shared" si="108"/>
        <v>7403</v>
      </c>
      <c r="B7404" s="163">
        <v>45989</v>
      </c>
      <c r="C7404" s="194">
        <v>0.51112268518518522</v>
      </c>
      <c r="D7404" s="174" t="s">
        <v>7003</v>
      </c>
      <c r="E7404" s="166" t="s">
        <v>7003</v>
      </c>
      <c r="F7404" t="s">
        <v>6946</v>
      </c>
    </row>
    <row r="7405" spans="1:6">
      <c r="A7405" s="174">
        <f t="shared" si="108"/>
        <v>7404</v>
      </c>
      <c r="B7405" s="163">
        <v>45989</v>
      </c>
      <c r="C7405" s="194">
        <v>0.51724537037037044</v>
      </c>
      <c r="D7405" s="174" t="s">
        <v>7003</v>
      </c>
      <c r="E7405" s="166" t="s">
        <v>7003</v>
      </c>
      <c r="F7405" t="s">
        <v>6946</v>
      </c>
    </row>
    <row r="7406" spans="1:6">
      <c r="A7406" s="174">
        <f t="shared" si="108"/>
        <v>7405</v>
      </c>
      <c r="B7406" s="163">
        <v>45989</v>
      </c>
      <c r="C7406" s="194">
        <v>0.5003819444444445</v>
      </c>
      <c r="D7406" s="174" t="s">
        <v>7003</v>
      </c>
      <c r="E7406" s="166" t="s">
        <v>7003</v>
      </c>
      <c r="F7406" t="s">
        <v>6946</v>
      </c>
    </row>
    <row r="7407" spans="1:6">
      <c r="A7407" s="174">
        <f t="shared" si="108"/>
        <v>7406</v>
      </c>
      <c r="B7407" s="163">
        <v>45989</v>
      </c>
      <c r="C7407" s="194">
        <v>0.49921296296296297</v>
      </c>
      <c r="D7407" s="174" t="s">
        <v>7003</v>
      </c>
      <c r="E7407" s="166" t="s">
        <v>7003</v>
      </c>
      <c r="F7407" t="s">
        <v>6946</v>
      </c>
    </row>
    <row r="7408" spans="1:6">
      <c r="A7408" s="174">
        <f t="shared" si="108"/>
        <v>7407</v>
      </c>
      <c r="B7408" s="163">
        <v>45989</v>
      </c>
      <c r="C7408" s="194">
        <v>0.50822916666666662</v>
      </c>
      <c r="D7408" s="174" t="s">
        <v>7003</v>
      </c>
      <c r="E7408" s="166" t="s">
        <v>7003</v>
      </c>
      <c r="F7408" t="s">
        <v>6946</v>
      </c>
    </row>
    <row r="7409" spans="1:6">
      <c r="A7409" s="174">
        <f t="shared" si="108"/>
        <v>7408</v>
      </c>
      <c r="B7409" s="163">
        <v>45964</v>
      </c>
      <c r="C7409" s="194">
        <v>0.46915509259259264</v>
      </c>
      <c r="D7409" s="174">
        <v>10</v>
      </c>
      <c r="E7409" s="166" t="s">
        <v>132</v>
      </c>
      <c r="F7409" t="s">
        <v>6946</v>
      </c>
    </row>
    <row r="7410" spans="1:6">
      <c r="A7410" s="174">
        <f t="shared" si="108"/>
        <v>7409</v>
      </c>
      <c r="B7410" s="163">
        <v>45989</v>
      </c>
      <c r="C7410" s="194">
        <v>0.48261574074074076</v>
      </c>
      <c r="D7410" s="174" t="s">
        <v>7003</v>
      </c>
      <c r="E7410" s="166" t="s">
        <v>7003</v>
      </c>
      <c r="F7410" t="s">
        <v>6946</v>
      </c>
    </row>
    <row r="7411" spans="1:6">
      <c r="A7411" s="174">
        <f t="shared" si="108"/>
        <v>7410</v>
      </c>
      <c r="B7411" s="163">
        <v>45989</v>
      </c>
      <c r="C7411" s="194">
        <v>0.48019675925925925</v>
      </c>
      <c r="D7411" s="174" t="s">
        <v>7003</v>
      </c>
      <c r="E7411" s="166" t="s">
        <v>7003</v>
      </c>
      <c r="F7411" t="s">
        <v>6946</v>
      </c>
    </row>
    <row r="7412" spans="1:6">
      <c r="A7412" s="174">
        <f t="shared" si="108"/>
        <v>7411</v>
      </c>
      <c r="B7412" s="163">
        <v>45989</v>
      </c>
      <c r="C7412" s="194">
        <v>0.4883912037037037</v>
      </c>
      <c r="D7412" s="174" t="s">
        <v>7003</v>
      </c>
      <c r="E7412" s="166" t="s">
        <v>7003</v>
      </c>
      <c r="F7412" t="s">
        <v>6946</v>
      </c>
    </row>
    <row r="7413" spans="1:6">
      <c r="A7413" s="174">
        <f t="shared" si="108"/>
        <v>7412</v>
      </c>
      <c r="B7413" s="163">
        <v>45989</v>
      </c>
      <c r="C7413" s="194">
        <v>0.46925925925925926</v>
      </c>
      <c r="D7413" s="174" t="s">
        <v>7003</v>
      </c>
      <c r="E7413" s="166" t="s">
        <v>7003</v>
      </c>
      <c r="F7413" t="s">
        <v>6946</v>
      </c>
    </row>
    <row r="7414" spans="1:6">
      <c r="A7414" s="174">
        <f t="shared" si="108"/>
        <v>7413</v>
      </c>
      <c r="B7414" s="163">
        <v>45989</v>
      </c>
      <c r="C7414" s="194">
        <v>0.45887731481481481</v>
      </c>
      <c r="D7414" s="174" t="s">
        <v>7003</v>
      </c>
      <c r="E7414" s="166" t="s">
        <v>7003</v>
      </c>
      <c r="F7414" t="s">
        <v>6946</v>
      </c>
    </row>
    <row r="7415" spans="1:6">
      <c r="A7415" s="174">
        <f t="shared" si="108"/>
        <v>7414</v>
      </c>
      <c r="B7415" s="163">
        <v>45989</v>
      </c>
      <c r="C7415" s="194">
        <v>0.47412037037037041</v>
      </c>
      <c r="D7415" s="174" t="s">
        <v>7003</v>
      </c>
      <c r="E7415" s="166" t="s">
        <v>7003</v>
      </c>
      <c r="F7415" t="s">
        <v>6946</v>
      </c>
    </row>
    <row r="7416" spans="1:6">
      <c r="A7416" s="174">
        <f t="shared" si="108"/>
        <v>7415</v>
      </c>
      <c r="B7416" s="163">
        <v>45964</v>
      </c>
      <c r="C7416" s="194">
        <v>0.46379629629629626</v>
      </c>
      <c r="D7416" s="174">
        <v>10</v>
      </c>
      <c r="E7416" s="166" t="s">
        <v>6417</v>
      </c>
      <c r="F7416" t="s">
        <v>6946</v>
      </c>
    </row>
    <row r="7417" spans="1:6">
      <c r="A7417" s="174">
        <f t="shared" si="108"/>
        <v>7416</v>
      </c>
      <c r="B7417" s="163">
        <v>45989</v>
      </c>
      <c r="C7417" s="194">
        <v>0.44778935185185187</v>
      </c>
      <c r="D7417" s="174" t="s">
        <v>7003</v>
      </c>
      <c r="E7417" s="166" t="s">
        <v>7003</v>
      </c>
      <c r="F7417" t="s">
        <v>6946</v>
      </c>
    </row>
    <row r="7418" spans="1:6">
      <c r="A7418" s="174">
        <f t="shared" si="108"/>
        <v>7417</v>
      </c>
      <c r="B7418" s="163">
        <v>45989</v>
      </c>
      <c r="C7418" s="194">
        <v>0.45512731481481478</v>
      </c>
      <c r="D7418" s="174" t="s">
        <v>7003</v>
      </c>
      <c r="E7418" s="166" t="s">
        <v>7003</v>
      </c>
      <c r="F7418" t="s">
        <v>6946</v>
      </c>
    </row>
    <row r="7419" spans="1:6">
      <c r="A7419" s="174">
        <f t="shared" si="108"/>
        <v>7418</v>
      </c>
      <c r="B7419" s="163">
        <v>45989</v>
      </c>
      <c r="C7419" s="194">
        <v>0.4478935185185185</v>
      </c>
      <c r="D7419" s="174" t="s">
        <v>7003</v>
      </c>
      <c r="E7419" s="166" t="s">
        <v>7003</v>
      </c>
      <c r="F7419" t="s">
        <v>6946</v>
      </c>
    </row>
    <row r="7420" spans="1:6">
      <c r="A7420" s="174">
        <f t="shared" si="108"/>
        <v>7419</v>
      </c>
      <c r="B7420" s="163">
        <v>45964</v>
      </c>
      <c r="C7420" s="194">
        <v>0.46265046296296292</v>
      </c>
      <c r="D7420" s="174">
        <v>10</v>
      </c>
      <c r="E7420" s="166" t="s">
        <v>6416</v>
      </c>
      <c r="F7420" t="s">
        <v>6946</v>
      </c>
    </row>
    <row r="7421" spans="1:6">
      <c r="A7421" s="174">
        <f t="shared" si="108"/>
        <v>7420</v>
      </c>
      <c r="B7421" s="163">
        <v>45989</v>
      </c>
      <c r="C7421" s="194">
        <v>0.44657407407407407</v>
      </c>
      <c r="D7421" s="174" t="s">
        <v>7003</v>
      </c>
      <c r="E7421" s="166" t="s">
        <v>7003</v>
      </c>
      <c r="F7421" t="s">
        <v>6946</v>
      </c>
    </row>
    <row r="7422" spans="1:6">
      <c r="A7422" s="174">
        <f t="shared" si="108"/>
        <v>7421</v>
      </c>
      <c r="B7422" s="163">
        <v>45989</v>
      </c>
      <c r="C7422" s="194">
        <v>0.44930555555555557</v>
      </c>
      <c r="D7422" s="174" t="s">
        <v>7003</v>
      </c>
      <c r="E7422" s="166" t="s">
        <v>7003</v>
      </c>
      <c r="F7422" t="s">
        <v>6946</v>
      </c>
    </row>
    <row r="7423" spans="1:6">
      <c r="A7423" s="174">
        <f t="shared" si="108"/>
        <v>7422</v>
      </c>
      <c r="B7423" s="163">
        <v>45989</v>
      </c>
      <c r="C7423" s="194">
        <v>0.44953703703703707</v>
      </c>
      <c r="D7423" s="174" t="s">
        <v>7003</v>
      </c>
      <c r="E7423" s="166" t="s">
        <v>7003</v>
      </c>
      <c r="F7423" t="s">
        <v>6946</v>
      </c>
    </row>
    <row r="7424" spans="1:6">
      <c r="A7424" s="174">
        <f t="shared" si="108"/>
        <v>7423</v>
      </c>
      <c r="B7424" s="163">
        <v>45989</v>
      </c>
      <c r="C7424" s="194">
        <v>0.89965277777777775</v>
      </c>
      <c r="D7424" s="174" t="s">
        <v>7003</v>
      </c>
      <c r="E7424" s="166" t="s">
        <v>7003</v>
      </c>
      <c r="F7424" t="s">
        <v>6946</v>
      </c>
    </row>
    <row r="7425" spans="1:6">
      <c r="A7425" s="174">
        <f t="shared" si="108"/>
        <v>7424</v>
      </c>
      <c r="B7425" s="163">
        <v>45989</v>
      </c>
      <c r="C7425" s="194">
        <v>0.43756944444444446</v>
      </c>
      <c r="D7425" s="174" t="s">
        <v>7003</v>
      </c>
      <c r="E7425" s="166" t="s">
        <v>7003</v>
      </c>
      <c r="F7425" t="s">
        <v>6946</v>
      </c>
    </row>
    <row r="7426" spans="1:6">
      <c r="A7426" s="174">
        <f t="shared" si="108"/>
        <v>7425</v>
      </c>
      <c r="B7426" s="163">
        <v>45989</v>
      </c>
      <c r="C7426" s="194">
        <v>0.42631944444444447</v>
      </c>
      <c r="D7426" s="174" t="s">
        <v>7003</v>
      </c>
      <c r="E7426" s="166" t="s">
        <v>7003</v>
      </c>
      <c r="F7426" t="s">
        <v>6946</v>
      </c>
    </row>
    <row r="7427" spans="1:6">
      <c r="A7427" s="174">
        <f t="shared" si="108"/>
        <v>7426</v>
      </c>
      <c r="B7427" s="163">
        <v>45989</v>
      </c>
      <c r="C7427" s="194">
        <v>0.42349537037037038</v>
      </c>
      <c r="D7427" s="174" t="s">
        <v>7003</v>
      </c>
      <c r="E7427" s="166" t="s">
        <v>7003</v>
      </c>
      <c r="F7427" t="s">
        <v>6946</v>
      </c>
    </row>
    <row r="7428" spans="1:6">
      <c r="A7428" s="174">
        <f t="shared" si="108"/>
        <v>7427</v>
      </c>
      <c r="B7428" s="163">
        <v>45964</v>
      </c>
      <c r="C7428" s="194">
        <v>0.46809027777777779</v>
      </c>
      <c r="D7428" s="174">
        <v>10</v>
      </c>
      <c r="E7428" s="166" t="s">
        <v>6415</v>
      </c>
      <c r="F7428" t="s">
        <v>6946</v>
      </c>
    </row>
    <row r="7429" spans="1:6">
      <c r="A7429" s="174">
        <f t="shared" si="108"/>
        <v>7428</v>
      </c>
      <c r="B7429" s="163">
        <v>45989</v>
      </c>
      <c r="C7429" s="194">
        <v>0.42375000000000002</v>
      </c>
      <c r="D7429" s="174" t="s">
        <v>7003</v>
      </c>
      <c r="E7429" s="166" t="s">
        <v>7003</v>
      </c>
      <c r="F7429" t="s">
        <v>6946</v>
      </c>
    </row>
    <row r="7430" spans="1:6">
      <c r="A7430" s="174">
        <f t="shared" si="108"/>
        <v>7429</v>
      </c>
      <c r="B7430" s="163">
        <v>45989</v>
      </c>
      <c r="C7430" s="194">
        <v>0.40229166666666666</v>
      </c>
      <c r="D7430" s="174" t="s">
        <v>7003</v>
      </c>
      <c r="E7430" s="166" t="s">
        <v>7003</v>
      </c>
      <c r="F7430" t="s">
        <v>6946</v>
      </c>
    </row>
    <row r="7431" spans="1:6">
      <c r="A7431" s="174">
        <f t="shared" si="108"/>
        <v>7430</v>
      </c>
      <c r="B7431" s="163">
        <v>45964</v>
      </c>
      <c r="C7431" s="194">
        <v>0.45443287037037039</v>
      </c>
      <c r="D7431" s="174">
        <v>10</v>
      </c>
      <c r="E7431" s="166" t="s">
        <v>6414</v>
      </c>
      <c r="F7431" t="s">
        <v>6946</v>
      </c>
    </row>
    <row r="7432" spans="1:6">
      <c r="A7432" s="174">
        <f t="shared" si="108"/>
        <v>7431</v>
      </c>
      <c r="B7432" s="163">
        <v>45989</v>
      </c>
      <c r="C7432" s="194">
        <v>0.38540509259259265</v>
      </c>
      <c r="D7432" s="174" t="s">
        <v>7003</v>
      </c>
      <c r="E7432" s="166" t="s">
        <v>7003</v>
      </c>
      <c r="F7432" t="s">
        <v>6946</v>
      </c>
    </row>
    <row r="7433" spans="1:6">
      <c r="A7433" s="174">
        <f t="shared" si="108"/>
        <v>7432</v>
      </c>
      <c r="B7433" s="163">
        <v>45964</v>
      </c>
      <c r="C7433" s="194">
        <v>0.44430555555555556</v>
      </c>
      <c r="D7433" s="174">
        <v>10</v>
      </c>
      <c r="E7433" s="166" t="s">
        <v>6413</v>
      </c>
      <c r="F7433" t="s">
        <v>6946</v>
      </c>
    </row>
    <row r="7434" spans="1:6">
      <c r="A7434" s="174">
        <f t="shared" si="108"/>
        <v>7433</v>
      </c>
      <c r="B7434" s="163">
        <v>45989</v>
      </c>
      <c r="C7434" s="194">
        <v>0.38458333333333333</v>
      </c>
      <c r="D7434" s="174" t="s">
        <v>7003</v>
      </c>
      <c r="E7434" s="166" t="s">
        <v>7003</v>
      </c>
      <c r="F7434" t="s">
        <v>6946</v>
      </c>
    </row>
    <row r="7435" spans="1:6">
      <c r="A7435" s="174">
        <f t="shared" si="108"/>
        <v>7434</v>
      </c>
      <c r="B7435" s="163">
        <v>45989</v>
      </c>
      <c r="C7435" s="194">
        <v>0.4039699074074074</v>
      </c>
      <c r="D7435" s="174" t="s">
        <v>7003</v>
      </c>
      <c r="E7435" s="166" t="s">
        <v>7003</v>
      </c>
      <c r="F7435" t="s">
        <v>6946</v>
      </c>
    </row>
    <row r="7436" spans="1:6">
      <c r="A7436" s="174">
        <f t="shared" si="108"/>
        <v>7435</v>
      </c>
      <c r="B7436" s="163">
        <v>45988</v>
      </c>
      <c r="C7436" s="194">
        <v>0.90692129629629636</v>
      </c>
      <c r="D7436" s="174" t="s">
        <v>7003</v>
      </c>
      <c r="E7436" s="166" t="s">
        <v>7003</v>
      </c>
      <c r="F7436" t="s">
        <v>6946</v>
      </c>
    </row>
    <row r="7437" spans="1:6">
      <c r="A7437" s="174">
        <f t="shared" si="108"/>
        <v>7436</v>
      </c>
      <c r="B7437" s="163">
        <v>45988</v>
      </c>
      <c r="C7437" s="194">
        <v>0.8181018518518518</v>
      </c>
      <c r="D7437" s="174" t="s">
        <v>7003</v>
      </c>
      <c r="E7437" s="166" t="s">
        <v>7003</v>
      </c>
      <c r="F7437" t="s">
        <v>6946</v>
      </c>
    </row>
    <row r="7438" spans="1:6">
      <c r="A7438" s="174">
        <f t="shared" si="108"/>
        <v>7437</v>
      </c>
      <c r="B7438" s="163">
        <v>45988</v>
      </c>
      <c r="C7438" s="194">
        <v>0.8118981481481482</v>
      </c>
      <c r="D7438" s="174" t="s">
        <v>7003</v>
      </c>
      <c r="E7438" s="166" t="s">
        <v>7003</v>
      </c>
      <c r="F7438" t="s">
        <v>6946</v>
      </c>
    </row>
    <row r="7439" spans="1:6">
      <c r="A7439" s="174">
        <f t="shared" si="108"/>
        <v>7438</v>
      </c>
      <c r="B7439" s="163">
        <v>45988</v>
      </c>
      <c r="C7439" s="194">
        <v>0.79162037037037036</v>
      </c>
      <c r="D7439" s="174" t="s">
        <v>7003</v>
      </c>
      <c r="E7439" s="166" t="s">
        <v>7003</v>
      </c>
      <c r="F7439" t="s">
        <v>6946</v>
      </c>
    </row>
    <row r="7440" spans="1:6">
      <c r="A7440" s="174">
        <f t="shared" si="108"/>
        <v>7439</v>
      </c>
      <c r="B7440" s="163">
        <v>45988</v>
      </c>
      <c r="C7440" s="194">
        <v>0.78820601851851846</v>
      </c>
      <c r="D7440" s="174" t="s">
        <v>7003</v>
      </c>
      <c r="E7440" s="166" t="s">
        <v>7003</v>
      </c>
      <c r="F7440" t="s">
        <v>6946</v>
      </c>
    </row>
    <row r="7441" spans="1:6">
      <c r="A7441" s="174">
        <f t="shared" si="108"/>
        <v>7440</v>
      </c>
      <c r="B7441" s="163">
        <v>45988</v>
      </c>
      <c r="C7441" s="194">
        <v>0.76180555555555562</v>
      </c>
      <c r="D7441" s="174" t="s">
        <v>7003</v>
      </c>
      <c r="E7441" s="166" t="s">
        <v>7003</v>
      </c>
      <c r="F7441" t="s">
        <v>6946</v>
      </c>
    </row>
    <row r="7442" spans="1:6">
      <c r="A7442" s="174">
        <f t="shared" si="108"/>
        <v>7441</v>
      </c>
      <c r="B7442" s="163">
        <v>45988</v>
      </c>
      <c r="C7442" s="194">
        <v>0.7578125</v>
      </c>
      <c r="D7442" s="174" t="s">
        <v>7003</v>
      </c>
      <c r="E7442" s="166" t="s">
        <v>7003</v>
      </c>
      <c r="F7442" t="s">
        <v>6946</v>
      </c>
    </row>
    <row r="7443" spans="1:6">
      <c r="A7443" s="174">
        <f t="shared" si="108"/>
        <v>7442</v>
      </c>
      <c r="B7443" s="163">
        <v>45988</v>
      </c>
      <c r="C7443" s="194">
        <v>0.75282407407407403</v>
      </c>
      <c r="D7443" s="174" t="s">
        <v>7003</v>
      </c>
      <c r="E7443" s="166" t="s">
        <v>7003</v>
      </c>
      <c r="F7443" t="s">
        <v>6946</v>
      </c>
    </row>
    <row r="7444" spans="1:6">
      <c r="A7444" s="174">
        <f t="shared" si="108"/>
        <v>7443</v>
      </c>
      <c r="B7444" s="163">
        <v>45988</v>
      </c>
      <c r="C7444" s="194">
        <v>0.74655092592592587</v>
      </c>
      <c r="D7444" s="174" t="s">
        <v>7003</v>
      </c>
      <c r="E7444" s="166" t="s">
        <v>7003</v>
      </c>
      <c r="F7444" t="s">
        <v>6946</v>
      </c>
    </row>
    <row r="7445" spans="1:6">
      <c r="A7445" s="174">
        <f t="shared" si="108"/>
        <v>7444</v>
      </c>
      <c r="B7445" s="163">
        <v>45988</v>
      </c>
      <c r="C7445" s="194">
        <v>0.74663194444444436</v>
      </c>
      <c r="D7445" s="174" t="s">
        <v>7003</v>
      </c>
      <c r="E7445" s="166" t="s">
        <v>7003</v>
      </c>
      <c r="F7445" t="s">
        <v>6946</v>
      </c>
    </row>
    <row r="7446" spans="1:6">
      <c r="A7446" s="174">
        <f t="shared" si="108"/>
        <v>7445</v>
      </c>
      <c r="B7446" s="163">
        <v>45964</v>
      </c>
      <c r="C7446" s="194">
        <v>0.44453703703703701</v>
      </c>
      <c r="D7446" s="174">
        <v>10</v>
      </c>
      <c r="E7446" s="166" t="s">
        <v>6412</v>
      </c>
      <c r="F7446" t="s">
        <v>6946</v>
      </c>
    </row>
    <row r="7447" spans="1:6">
      <c r="A7447" s="174">
        <f t="shared" si="108"/>
        <v>7446</v>
      </c>
      <c r="B7447" s="163">
        <v>45988</v>
      </c>
      <c r="C7447" s="194">
        <v>0.75016203703703699</v>
      </c>
      <c r="D7447" s="174" t="s">
        <v>7003</v>
      </c>
      <c r="E7447" s="166" t="s">
        <v>7003</v>
      </c>
      <c r="F7447" t="s">
        <v>6946</v>
      </c>
    </row>
    <row r="7448" spans="1:6">
      <c r="A7448" s="174">
        <f t="shared" si="108"/>
        <v>7447</v>
      </c>
      <c r="B7448" s="163">
        <v>45964</v>
      </c>
      <c r="C7448" s="194">
        <v>0.39516203703703701</v>
      </c>
      <c r="D7448" s="174">
        <v>10</v>
      </c>
      <c r="E7448" s="166" t="s">
        <v>6411</v>
      </c>
      <c r="F7448" t="s">
        <v>6946</v>
      </c>
    </row>
    <row r="7449" spans="1:6">
      <c r="A7449" s="174">
        <f t="shared" si="108"/>
        <v>7448</v>
      </c>
      <c r="B7449" s="163">
        <v>45988</v>
      </c>
      <c r="C7449" s="194">
        <v>0.73988425925925927</v>
      </c>
      <c r="D7449" s="174" t="s">
        <v>7003</v>
      </c>
      <c r="E7449" s="166" t="s">
        <v>7003</v>
      </c>
      <c r="F7449" t="s">
        <v>6946</v>
      </c>
    </row>
    <row r="7450" spans="1:6">
      <c r="A7450" s="174">
        <f t="shared" si="108"/>
        <v>7449</v>
      </c>
      <c r="B7450" s="163">
        <v>45988</v>
      </c>
      <c r="C7450" s="194">
        <v>0.73199074074074078</v>
      </c>
      <c r="D7450" s="174" t="s">
        <v>7003</v>
      </c>
      <c r="E7450" s="166" t="s">
        <v>7003</v>
      </c>
      <c r="F7450" t="s">
        <v>6946</v>
      </c>
    </row>
    <row r="7451" spans="1:6">
      <c r="A7451" s="174">
        <f t="shared" si="108"/>
        <v>7450</v>
      </c>
      <c r="B7451" s="163">
        <v>45988</v>
      </c>
      <c r="C7451" s="194">
        <v>0.72534722222222225</v>
      </c>
      <c r="D7451" s="174" t="s">
        <v>7003</v>
      </c>
      <c r="E7451" s="166" t="s">
        <v>7003</v>
      </c>
      <c r="F7451" t="s">
        <v>6946</v>
      </c>
    </row>
    <row r="7452" spans="1:6">
      <c r="A7452" s="174">
        <f t="shared" si="108"/>
        <v>7451</v>
      </c>
      <c r="B7452" s="163">
        <v>45965</v>
      </c>
      <c r="C7452" s="194">
        <v>0.91126157407407404</v>
      </c>
      <c r="D7452" s="174">
        <v>10</v>
      </c>
      <c r="E7452" s="166" t="s">
        <v>6471</v>
      </c>
      <c r="F7452" t="s">
        <v>6946</v>
      </c>
    </row>
    <row r="7453" spans="1:6">
      <c r="A7453" s="174">
        <f t="shared" si="108"/>
        <v>7452</v>
      </c>
      <c r="B7453" s="163">
        <v>45965</v>
      </c>
      <c r="C7453" s="194">
        <v>0.90706018518518527</v>
      </c>
      <c r="D7453" s="174">
        <v>10</v>
      </c>
      <c r="E7453" s="166" t="s">
        <v>6813</v>
      </c>
      <c r="F7453" t="s">
        <v>6946</v>
      </c>
    </row>
    <row r="7454" spans="1:6">
      <c r="A7454" s="174">
        <f t="shared" si="108"/>
        <v>7453</v>
      </c>
      <c r="B7454" s="163">
        <v>45965</v>
      </c>
      <c r="C7454" s="194">
        <v>0.87633101851851858</v>
      </c>
      <c r="D7454" s="174">
        <v>10</v>
      </c>
      <c r="E7454" s="166" t="s">
        <v>6814</v>
      </c>
      <c r="F7454" t="s">
        <v>6946</v>
      </c>
    </row>
    <row r="7455" spans="1:6">
      <c r="A7455" s="174">
        <f t="shared" si="108"/>
        <v>7454</v>
      </c>
      <c r="B7455" s="163">
        <v>45965</v>
      </c>
      <c r="C7455" s="194">
        <v>0.84804398148148152</v>
      </c>
      <c r="D7455" s="174">
        <v>10</v>
      </c>
      <c r="E7455" s="166" t="s">
        <v>6470</v>
      </c>
      <c r="F7455" t="s">
        <v>6946</v>
      </c>
    </row>
    <row r="7456" spans="1:6">
      <c r="A7456" s="174">
        <f t="shared" si="108"/>
        <v>7455</v>
      </c>
      <c r="B7456" s="163">
        <v>45988</v>
      </c>
      <c r="C7456" s="194">
        <v>0.71965277777777781</v>
      </c>
      <c r="D7456" s="174" t="s">
        <v>7003</v>
      </c>
      <c r="E7456" s="166" t="s">
        <v>7003</v>
      </c>
      <c r="F7456" t="s">
        <v>6946</v>
      </c>
    </row>
    <row r="7457" spans="1:6">
      <c r="A7457" s="174">
        <f t="shared" ref="A7457:A7520" si="109">ROW()-1</f>
        <v>7456</v>
      </c>
      <c r="B7457" s="163">
        <v>45988</v>
      </c>
      <c r="C7457" s="194">
        <v>0.70381944444444444</v>
      </c>
      <c r="D7457" s="174" t="s">
        <v>7003</v>
      </c>
      <c r="E7457" s="166" t="s">
        <v>7003</v>
      </c>
      <c r="F7457" t="s">
        <v>6946</v>
      </c>
    </row>
    <row r="7458" spans="1:6">
      <c r="A7458" s="174">
        <f t="shared" si="109"/>
        <v>7457</v>
      </c>
      <c r="B7458" s="163">
        <v>45988</v>
      </c>
      <c r="C7458" s="194">
        <v>0.70208333333333339</v>
      </c>
      <c r="D7458" s="174" t="s">
        <v>7003</v>
      </c>
      <c r="E7458" s="166" t="s">
        <v>7003</v>
      </c>
      <c r="F7458" t="s">
        <v>6946</v>
      </c>
    </row>
    <row r="7459" spans="1:6">
      <c r="A7459" s="174">
        <f t="shared" si="109"/>
        <v>7458</v>
      </c>
      <c r="B7459" s="163">
        <v>45988</v>
      </c>
      <c r="C7459" s="194">
        <v>0.69353009259259257</v>
      </c>
      <c r="D7459" s="174" t="s">
        <v>7003</v>
      </c>
      <c r="E7459" s="166" t="s">
        <v>7003</v>
      </c>
      <c r="F7459" t="s">
        <v>6946</v>
      </c>
    </row>
    <row r="7460" spans="1:6">
      <c r="A7460" s="174">
        <f t="shared" si="109"/>
        <v>7459</v>
      </c>
      <c r="B7460" s="163">
        <v>45988</v>
      </c>
      <c r="C7460" s="194">
        <v>0.70289351851851845</v>
      </c>
      <c r="D7460" s="174" t="s">
        <v>7003</v>
      </c>
      <c r="E7460" s="166" t="s">
        <v>7003</v>
      </c>
      <c r="F7460" t="s">
        <v>6946</v>
      </c>
    </row>
    <row r="7461" spans="1:6">
      <c r="A7461" s="174">
        <f t="shared" si="109"/>
        <v>7460</v>
      </c>
      <c r="B7461" s="163">
        <v>45965</v>
      </c>
      <c r="C7461" s="194">
        <v>0.83016203703703706</v>
      </c>
      <c r="D7461" s="174">
        <v>10</v>
      </c>
      <c r="E7461" s="166" t="s">
        <v>6815</v>
      </c>
      <c r="F7461" t="s">
        <v>6946</v>
      </c>
    </row>
    <row r="7462" spans="1:6">
      <c r="A7462" s="174">
        <f t="shared" si="109"/>
        <v>7461</v>
      </c>
      <c r="B7462" s="163">
        <v>45988</v>
      </c>
      <c r="C7462" s="194">
        <v>0.69343749999999993</v>
      </c>
      <c r="D7462" s="174" t="s">
        <v>7003</v>
      </c>
      <c r="E7462" s="166" t="s">
        <v>7003</v>
      </c>
      <c r="F7462" t="s">
        <v>6946</v>
      </c>
    </row>
    <row r="7463" spans="1:6">
      <c r="A7463" s="174">
        <f t="shared" si="109"/>
        <v>7462</v>
      </c>
      <c r="B7463" s="163">
        <v>45965</v>
      </c>
      <c r="C7463" s="194">
        <v>0.82413194444444438</v>
      </c>
      <c r="D7463" s="174">
        <v>10</v>
      </c>
      <c r="E7463" s="166" t="s">
        <v>6816</v>
      </c>
      <c r="F7463" t="s">
        <v>6946</v>
      </c>
    </row>
    <row r="7464" spans="1:6">
      <c r="A7464" s="174">
        <f t="shared" si="109"/>
        <v>7463</v>
      </c>
      <c r="B7464" s="163">
        <v>45965</v>
      </c>
      <c r="C7464" s="194">
        <v>0.79192129629629626</v>
      </c>
      <c r="D7464" s="174">
        <v>10</v>
      </c>
      <c r="E7464" s="166" t="s">
        <v>6469</v>
      </c>
      <c r="F7464" t="s">
        <v>6946</v>
      </c>
    </row>
    <row r="7465" spans="1:6">
      <c r="A7465" s="174">
        <f t="shared" si="109"/>
        <v>7464</v>
      </c>
      <c r="B7465" s="163">
        <v>45965</v>
      </c>
      <c r="C7465" s="194">
        <v>0.75998842592592597</v>
      </c>
      <c r="D7465" s="174">
        <v>10</v>
      </c>
      <c r="E7465" s="166" t="s">
        <v>6468</v>
      </c>
      <c r="F7465" t="s">
        <v>6946</v>
      </c>
    </row>
    <row r="7466" spans="1:6">
      <c r="A7466" s="174">
        <f t="shared" si="109"/>
        <v>7465</v>
      </c>
      <c r="B7466" s="163">
        <v>45988</v>
      </c>
      <c r="C7466" s="194">
        <v>0.70784722222222218</v>
      </c>
      <c r="D7466" s="174" t="s">
        <v>7003</v>
      </c>
      <c r="E7466" s="166" t="s">
        <v>7003</v>
      </c>
      <c r="F7466" t="s">
        <v>6946</v>
      </c>
    </row>
    <row r="7467" spans="1:6">
      <c r="A7467" s="174">
        <f t="shared" si="109"/>
        <v>7466</v>
      </c>
      <c r="B7467" s="163">
        <v>45988</v>
      </c>
      <c r="C7467" s="194">
        <v>0.67276620370370377</v>
      </c>
      <c r="D7467" s="174" t="s">
        <v>7003</v>
      </c>
      <c r="E7467" s="166" t="s">
        <v>7003</v>
      </c>
      <c r="F7467" t="s">
        <v>6946</v>
      </c>
    </row>
    <row r="7468" spans="1:6">
      <c r="A7468" s="174">
        <f t="shared" si="109"/>
        <v>7467</v>
      </c>
      <c r="B7468" s="163">
        <v>45965</v>
      </c>
      <c r="C7468" s="194">
        <v>0.74979166666666675</v>
      </c>
      <c r="D7468" s="174">
        <v>10</v>
      </c>
      <c r="E7468" s="166" t="s">
        <v>6467</v>
      </c>
      <c r="F7468" t="s">
        <v>6946</v>
      </c>
    </row>
    <row r="7469" spans="1:6">
      <c r="A7469" s="174">
        <f t="shared" si="109"/>
        <v>7468</v>
      </c>
      <c r="B7469" s="163">
        <v>45988</v>
      </c>
      <c r="C7469" s="194">
        <v>0.66672453703703705</v>
      </c>
      <c r="D7469" s="174" t="s">
        <v>7003</v>
      </c>
      <c r="E7469" s="166" t="s">
        <v>7003</v>
      </c>
      <c r="F7469" t="s">
        <v>6946</v>
      </c>
    </row>
    <row r="7470" spans="1:6">
      <c r="A7470" s="174">
        <f t="shared" si="109"/>
        <v>7469</v>
      </c>
      <c r="B7470" s="163">
        <v>45988</v>
      </c>
      <c r="C7470" s="194">
        <v>0.66509259259259257</v>
      </c>
      <c r="D7470" s="174" t="s">
        <v>7003</v>
      </c>
      <c r="E7470" s="166" t="s">
        <v>7003</v>
      </c>
      <c r="F7470" t="s">
        <v>6946</v>
      </c>
    </row>
    <row r="7471" spans="1:6">
      <c r="A7471" s="174">
        <f t="shared" si="109"/>
        <v>7470</v>
      </c>
      <c r="B7471" s="163">
        <v>45988</v>
      </c>
      <c r="C7471" s="194">
        <v>0.6508680555555556</v>
      </c>
      <c r="D7471" s="174" t="s">
        <v>7003</v>
      </c>
      <c r="E7471" s="166" t="s">
        <v>7003</v>
      </c>
      <c r="F7471" t="s">
        <v>6946</v>
      </c>
    </row>
    <row r="7472" spans="1:6">
      <c r="A7472" s="174">
        <f t="shared" si="109"/>
        <v>7471</v>
      </c>
      <c r="B7472" s="163">
        <v>45988</v>
      </c>
      <c r="C7472" s="194">
        <v>0.65849537037037031</v>
      </c>
      <c r="D7472" s="174" t="s">
        <v>7003</v>
      </c>
      <c r="E7472" s="166" t="s">
        <v>7003</v>
      </c>
      <c r="F7472" t="s">
        <v>6946</v>
      </c>
    </row>
    <row r="7473" spans="1:6">
      <c r="A7473" s="174">
        <f t="shared" si="109"/>
        <v>7472</v>
      </c>
      <c r="B7473" s="163">
        <v>45965</v>
      </c>
      <c r="C7473" s="194">
        <v>0.7319444444444444</v>
      </c>
      <c r="D7473" s="174">
        <v>10</v>
      </c>
      <c r="E7473" s="166" t="s">
        <v>6817</v>
      </c>
      <c r="F7473" t="s">
        <v>6946</v>
      </c>
    </row>
    <row r="7474" spans="1:6">
      <c r="A7474" s="174">
        <f t="shared" si="109"/>
        <v>7473</v>
      </c>
      <c r="B7474" s="163">
        <v>45988</v>
      </c>
      <c r="C7474" s="194">
        <v>0.65097222222222217</v>
      </c>
      <c r="D7474" s="174" t="s">
        <v>7003</v>
      </c>
      <c r="E7474" s="166" t="s">
        <v>7003</v>
      </c>
      <c r="F7474" t="s">
        <v>6946</v>
      </c>
    </row>
    <row r="7475" spans="1:6">
      <c r="A7475" s="174">
        <f t="shared" si="109"/>
        <v>7474</v>
      </c>
      <c r="B7475" s="163">
        <v>45988</v>
      </c>
      <c r="C7475" s="194">
        <v>0.65699074074074071</v>
      </c>
      <c r="D7475" s="174" t="s">
        <v>7003</v>
      </c>
      <c r="E7475" s="166" t="s">
        <v>7003</v>
      </c>
      <c r="F7475" t="s">
        <v>6946</v>
      </c>
    </row>
    <row r="7476" spans="1:6">
      <c r="A7476" s="174">
        <f t="shared" si="109"/>
        <v>7475</v>
      </c>
      <c r="B7476" s="163">
        <v>45988</v>
      </c>
      <c r="C7476" s="194">
        <v>0.64202546296296303</v>
      </c>
      <c r="D7476" s="174" t="s">
        <v>7003</v>
      </c>
      <c r="E7476" s="166" t="s">
        <v>7003</v>
      </c>
      <c r="F7476" t="s">
        <v>6946</v>
      </c>
    </row>
    <row r="7477" spans="1:6">
      <c r="A7477" s="174">
        <f t="shared" si="109"/>
        <v>7476</v>
      </c>
      <c r="B7477" s="163">
        <v>45988</v>
      </c>
      <c r="C7477" s="194">
        <v>0.64722222222222225</v>
      </c>
      <c r="D7477" s="174" t="s">
        <v>7003</v>
      </c>
      <c r="E7477" s="166" t="s">
        <v>7003</v>
      </c>
      <c r="F7477" t="s">
        <v>6946</v>
      </c>
    </row>
    <row r="7478" spans="1:6">
      <c r="A7478" s="174">
        <f t="shared" si="109"/>
        <v>7477</v>
      </c>
      <c r="B7478" s="163">
        <v>45988</v>
      </c>
      <c r="C7478" s="194">
        <v>0.63197916666666665</v>
      </c>
      <c r="D7478" s="174" t="s">
        <v>7003</v>
      </c>
      <c r="E7478" s="166" t="s">
        <v>7003</v>
      </c>
      <c r="F7478" t="s">
        <v>6946</v>
      </c>
    </row>
    <row r="7479" spans="1:6">
      <c r="A7479" s="174">
        <f t="shared" si="109"/>
        <v>7478</v>
      </c>
      <c r="B7479" s="163">
        <v>45988</v>
      </c>
      <c r="C7479" s="194">
        <v>0.63530092592592591</v>
      </c>
      <c r="D7479" s="174" t="s">
        <v>7003</v>
      </c>
      <c r="E7479" s="166" t="s">
        <v>7003</v>
      </c>
      <c r="F7479" t="s">
        <v>6946</v>
      </c>
    </row>
    <row r="7480" spans="1:6">
      <c r="A7480" s="174">
        <f t="shared" si="109"/>
        <v>7479</v>
      </c>
      <c r="B7480" s="163">
        <v>45988</v>
      </c>
      <c r="C7480" s="194">
        <v>0.62092592592592599</v>
      </c>
      <c r="D7480" s="174" t="s">
        <v>7003</v>
      </c>
      <c r="E7480" s="166" t="s">
        <v>7003</v>
      </c>
      <c r="F7480" t="s">
        <v>6946</v>
      </c>
    </row>
    <row r="7481" spans="1:6">
      <c r="A7481" s="174">
        <f t="shared" si="109"/>
        <v>7480</v>
      </c>
      <c r="B7481" s="163">
        <v>45965</v>
      </c>
      <c r="C7481" s="194">
        <v>0.71940972222222221</v>
      </c>
      <c r="D7481" s="174">
        <v>10</v>
      </c>
      <c r="E7481" s="166" t="s">
        <v>6466</v>
      </c>
      <c r="F7481" t="s">
        <v>6946</v>
      </c>
    </row>
    <row r="7482" spans="1:6">
      <c r="A7482" s="174">
        <f t="shared" si="109"/>
        <v>7481</v>
      </c>
      <c r="B7482" s="163">
        <v>45988</v>
      </c>
      <c r="C7482" s="194">
        <v>0.75206018518518514</v>
      </c>
      <c r="D7482" s="174" t="s">
        <v>7003</v>
      </c>
      <c r="E7482" s="166" t="s">
        <v>7003</v>
      </c>
      <c r="F7482" t="s">
        <v>6946</v>
      </c>
    </row>
    <row r="7483" spans="1:6">
      <c r="A7483" s="174">
        <f t="shared" si="109"/>
        <v>7482</v>
      </c>
      <c r="B7483" s="163">
        <v>45988</v>
      </c>
      <c r="C7483" s="194">
        <v>0.63248842592592591</v>
      </c>
      <c r="D7483" s="174" t="s">
        <v>7003</v>
      </c>
      <c r="E7483" s="166" t="s">
        <v>7003</v>
      </c>
      <c r="F7483" t="s">
        <v>6946</v>
      </c>
    </row>
    <row r="7484" spans="1:6">
      <c r="A7484" s="174">
        <f t="shared" si="109"/>
        <v>7483</v>
      </c>
      <c r="B7484" s="163">
        <v>45988</v>
      </c>
      <c r="C7484" s="194">
        <v>0.61526620370370366</v>
      </c>
      <c r="D7484" s="174" t="s">
        <v>7003</v>
      </c>
      <c r="E7484" s="166" t="s">
        <v>7003</v>
      </c>
      <c r="F7484" t="s">
        <v>6946</v>
      </c>
    </row>
    <row r="7485" spans="1:6">
      <c r="A7485" s="174">
        <f t="shared" si="109"/>
        <v>7484</v>
      </c>
      <c r="B7485" s="163">
        <v>45988</v>
      </c>
      <c r="C7485" s="194">
        <v>0.6130902777777778</v>
      </c>
      <c r="D7485" s="174" t="s">
        <v>7003</v>
      </c>
      <c r="E7485" s="166" t="s">
        <v>7003</v>
      </c>
      <c r="F7485" t="s">
        <v>6946</v>
      </c>
    </row>
    <row r="7486" spans="1:6">
      <c r="A7486" s="174">
        <f t="shared" si="109"/>
        <v>7485</v>
      </c>
      <c r="B7486" s="163">
        <v>45988</v>
      </c>
      <c r="C7486" s="194">
        <v>0.60581018518518526</v>
      </c>
      <c r="D7486" s="174" t="s">
        <v>7003</v>
      </c>
      <c r="E7486" s="166" t="s">
        <v>7003</v>
      </c>
      <c r="F7486" t="s">
        <v>6946</v>
      </c>
    </row>
    <row r="7487" spans="1:6">
      <c r="A7487" s="174">
        <f t="shared" si="109"/>
        <v>7486</v>
      </c>
      <c r="B7487" s="163">
        <v>45965</v>
      </c>
      <c r="C7487" s="194">
        <v>0.71004629629629623</v>
      </c>
      <c r="D7487" s="174">
        <v>10</v>
      </c>
      <c r="E7487" s="166" t="s">
        <v>679</v>
      </c>
      <c r="F7487" t="s">
        <v>6946</v>
      </c>
    </row>
    <row r="7488" spans="1:6">
      <c r="A7488" s="174">
        <f t="shared" si="109"/>
        <v>7487</v>
      </c>
      <c r="B7488" s="163">
        <v>45988</v>
      </c>
      <c r="C7488" s="194">
        <v>0.61340277777777774</v>
      </c>
      <c r="D7488" s="174" t="s">
        <v>7003</v>
      </c>
      <c r="E7488" s="166" t="s">
        <v>7003</v>
      </c>
      <c r="F7488" t="s">
        <v>6946</v>
      </c>
    </row>
    <row r="7489" spans="1:6">
      <c r="A7489" s="174">
        <f t="shared" si="109"/>
        <v>7488</v>
      </c>
      <c r="B7489" s="163">
        <v>45965</v>
      </c>
      <c r="C7489" s="194">
        <v>0.71553240740740742</v>
      </c>
      <c r="D7489" s="174">
        <v>10</v>
      </c>
      <c r="E7489" s="166" t="s">
        <v>6465</v>
      </c>
      <c r="F7489" t="s">
        <v>6946</v>
      </c>
    </row>
    <row r="7490" spans="1:6">
      <c r="A7490" s="174">
        <f t="shared" si="109"/>
        <v>7489</v>
      </c>
      <c r="B7490" s="163">
        <v>45989</v>
      </c>
      <c r="C7490" s="194">
        <v>0.60039351851851852</v>
      </c>
      <c r="D7490" s="174" t="s">
        <v>7003</v>
      </c>
      <c r="E7490" s="166" t="s">
        <v>7003</v>
      </c>
      <c r="F7490" t="s">
        <v>6946</v>
      </c>
    </row>
    <row r="7491" spans="1:6">
      <c r="A7491" s="174">
        <f t="shared" si="109"/>
        <v>7490</v>
      </c>
      <c r="B7491" s="163">
        <v>45988</v>
      </c>
      <c r="C7491" s="194">
        <v>0.59846064814814814</v>
      </c>
      <c r="D7491" s="174" t="s">
        <v>7003</v>
      </c>
      <c r="E7491" s="166" t="s">
        <v>7003</v>
      </c>
      <c r="F7491" t="s">
        <v>6946</v>
      </c>
    </row>
    <row r="7492" spans="1:6">
      <c r="A7492" s="174">
        <f t="shared" si="109"/>
        <v>7491</v>
      </c>
      <c r="B7492" s="163">
        <v>45988</v>
      </c>
      <c r="C7492" s="194">
        <v>0.6051967592592592</v>
      </c>
      <c r="D7492" s="174" t="s">
        <v>7003</v>
      </c>
      <c r="E7492" s="166" t="s">
        <v>7003</v>
      </c>
      <c r="F7492" t="s">
        <v>6946</v>
      </c>
    </row>
    <row r="7493" spans="1:6">
      <c r="A7493" s="174">
        <f t="shared" si="109"/>
        <v>7492</v>
      </c>
      <c r="B7493" s="163">
        <v>45988</v>
      </c>
      <c r="C7493" s="194">
        <v>0.60616898148148146</v>
      </c>
      <c r="D7493" s="174" t="s">
        <v>7003</v>
      </c>
      <c r="E7493" s="166" t="s">
        <v>7003</v>
      </c>
      <c r="F7493" t="s">
        <v>6946</v>
      </c>
    </row>
    <row r="7494" spans="1:6">
      <c r="A7494" s="174">
        <f t="shared" si="109"/>
        <v>7493</v>
      </c>
      <c r="B7494" s="163">
        <v>45988</v>
      </c>
      <c r="C7494" s="194">
        <v>0.60230324074074071</v>
      </c>
      <c r="D7494" s="174" t="s">
        <v>7003</v>
      </c>
      <c r="E7494" s="166" t="s">
        <v>7003</v>
      </c>
      <c r="F7494" t="s">
        <v>6946</v>
      </c>
    </row>
    <row r="7495" spans="1:6">
      <c r="A7495" s="174">
        <f t="shared" si="109"/>
        <v>7494</v>
      </c>
      <c r="B7495" s="163">
        <v>45988</v>
      </c>
      <c r="C7495" s="194">
        <v>0.61995370370370373</v>
      </c>
      <c r="D7495" s="174" t="s">
        <v>7003</v>
      </c>
      <c r="E7495" s="166" t="s">
        <v>7003</v>
      </c>
      <c r="F7495" t="s">
        <v>6946</v>
      </c>
    </row>
    <row r="7496" spans="1:6">
      <c r="A7496" s="174">
        <f t="shared" si="109"/>
        <v>7495</v>
      </c>
      <c r="B7496" s="163">
        <v>45988</v>
      </c>
      <c r="C7496" s="194">
        <v>0.60697916666666674</v>
      </c>
      <c r="D7496" s="174" t="s">
        <v>7003</v>
      </c>
      <c r="E7496" s="166" t="s">
        <v>7003</v>
      </c>
      <c r="F7496" t="s">
        <v>6946</v>
      </c>
    </row>
    <row r="7497" spans="1:6">
      <c r="A7497" s="174">
        <f t="shared" si="109"/>
        <v>7496</v>
      </c>
      <c r="B7497" s="163">
        <v>45965</v>
      </c>
      <c r="C7497" s="194">
        <v>0.70587962962962969</v>
      </c>
      <c r="D7497" s="174">
        <v>10</v>
      </c>
      <c r="E7497" s="166" t="s">
        <v>836</v>
      </c>
      <c r="F7497" t="s">
        <v>6946</v>
      </c>
    </row>
    <row r="7498" spans="1:6">
      <c r="A7498" s="174">
        <f t="shared" si="109"/>
        <v>7497</v>
      </c>
      <c r="B7498" s="163">
        <v>45965</v>
      </c>
      <c r="C7498" s="194">
        <v>0.68658564814814815</v>
      </c>
      <c r="D7498" s="174">
        <v>10</v>
      </c>
      <c r="E7498" s="166" t="s">
        <v>6464</v>
      </c>
      <c r="F7498" t="s">
        <v>6946</v>
      </c>
    </row>
    <row r="7499" spans="1:6">
      <c r="A7499" s="174">
        <f t="shared" si="109"/>
        <v>7498</v>
      </c>
      <c r="B7499" s="163">
        <v>45965</v>
      </c>
      <c r="C7499" s="194">
        <v>0.68216435185185187</v>
      </c>
      <c r="D7499" s="174">
        <v>10</v>
      </c>
      <c r="E7499" s="166" t="s">
        <v>6463</v>
      </c>
      <c r="F7499" t="s">
        <v>6946</v>
      </c>
    </row>
    <row r="7500" spans="1:6">
      <c r="A7500" s="174">
        <f t="shared" si="109"/>
        <v>7499</v>
      </c>
      <c r="B7500" s="163">
        <v>45988</v>
      </c>
      <c r="C7500" s="194">
        <v>0.58203703703703702</v>
      </c>
      <c r="D7500" s="174" t="s">
        <v>7003</v>
      </c>
      <c r="E7500" s="166" t="s">
        <v>7003</v>
      </c>
      <c r="F7500" t="s">
        <v>6946</v>
      </c>
    </row>
    <row r="7501" spans="1:6">
      <c r="A7501" s="174">
        <f t="shared" si="109"/>
        <v>7500</v>
      </c>
      <c r="B7501" s="163">
        <v>45965</v>
      </c>
      <c r="C7501" s="194">
        <v>0.6697685185185186</v>
      </c>
      <c r="D7501" s="174">
        <v>10</v>
      </c>
      <c r="E7501" s="166" t="s">
        <v>6462</v>
      </c>
      <c r="F7501" t="s">
        <v>6946</v>
      </c>
    </row>
    <row r="7502" spans="1:6">
      <c r="A7502" s="174">
        <f t="shared" si="109"/>
        <v>7501</v>
      </c>
      <c r="B7502" s="163">
        <v>45965</v>
      </c>
      <c r="C7502" s="194">
        <v>0.64498842592592587</v>
      </c>
      <c r="D7502" s="174">
        <v>10</v>
      </c>
      <c r="E7502" s="166" t="s">
        <v>132</v>
      </c>
      <c r="F7502" t="s">
        <v>6946</v>
      </c>
    </row>
    <row r="7503" spans="1:6">
      <c r="A7503" s="174">
        <f t="shared" si="109"/>
        <v>7502</v>
      </c>
      <c r="B7503" s="163">
        <v>45988</v>
      </c>
      <c r="C7503" s="194">
        <v>0.56900462962962961</v>
      </c>
      <c r="D7503" s="174" t="s">
        <v>7003</v>
      </c>
      <c r="E7503" s="166" t="s">
        <v>7003</v>
      </c>
      <c r="F7503" t="s">
        <v>6946</v>
      </c>
    </row>
    <row r="7504" spans="1:6">
      <c r="A7504" s="174">
        <f t="shared" si="109"/>
        <v>7503</v>
      </c>
      <c r="B7504" s="163">
        <v>45988</v>
      </c>
      <c r="C7504" s="194">
        <v>0.52</v>
      </c>
      <c r="D7504" s="174" t="s">
        <v>7003</v>
      </c>
      <c r="E7504" s="166" t="s">
        <v>7003</v>
      </c>
      <c r="F7504" t="s">
        <v>6946</v>
      </c>
    </row>
    <row r="7505" spans="1:6">
      <c r="A7505" s="174">
        <f t="shared" si="109"/>
        <v>7504</v>
      </c>
      <c r="B7505" s="163">
        <v>45988</v>
      </c>
      <c r="C7505" s="194">
        <v>0.50738425925925923</v>
      </c>
      <c r="D7505" s="174" t="s">
        <v>7003</v>
      </c>
      <c r="E7505" s="166" t="s">
        <v>7003</v>
      </c>
      <c r="F7505" t="s">
        <v>6946</v>
      </c>
    </row>
    <row r="7506" spans="1:6">
      <c r="A7506" s="174">
        <f t="shared" si="109"/>
        <v>7505</v>
      </c>
      <c r="B7506" s="163">
        <v>45988</v>
      </c>
      <c r="C7506" s="194">
        <v>0.52128472222222222</v>
      </c>
      <c r="D7506" s="174" t="s">
        <v>7003</v>
      </c>
      <c r="E7506" s="166" t="s">
        <v>7003</v>
      </c>
      <c r="F7506" t="s">
        <v>6946</v>
      </c>
    </row>
    <row r="7507" spans="1:6" ht="40.5">
      <c r="A7507" s="174">
        <f t="shared" si="109"/>
        <v>7506</v>
      </c>
      <c r="B7507" s="163">
        <v>45965</v>
      </c>
      <c r="C7507" s="194">
        <v>0.64101851851851854</v>
      </c>
      <c r="D7507" s="174">
        <v>10</v>
      </c>
      <c r="E7507" s="166" t="s">
        <v>6818</v>
      </c>
      <c r="F7507" t="s">
        <v>6946</v>
      </c>
    </row>
    <row r="7508" spans="1:6">
      <c r="A7508" s="174">
        <f t="shared" si="109"/>
        <v>7507</v>
      </c>
      <c r="B7508" s="163">
        <v>45965</v>
      </c>
      <c r="C7508" s="194">
        <v>0.60828703703703701</v>
      </c>
      <c r="D7508" s="174">
        <v>10</v>
      </c>
      <c r="E7508" s="166" t="s">
        <v>6461</v>
      </c>
      <c r="F7508" t="s">
        <v>6946</v>
      </c>
    </row>
    <row r="7509" spans="1:6">
      <c r="A7509" s="174">
        <f t="shared" si="109"/>
        <v>7508</v>
      </c>
      <c r="B7509" s="163">
        <v>45988</v>
      </c>
      <c r="C7509" s="194">
        <v>0.48974537037037041</v>
      </c>
      <c r="D7509" s="174" t="s">
        <v>7003</v>
      </c>
      <c r="E7509" s="166" t="s">
        <v>7003</v>
      </c>
      <c r="F7509" t="s">
        <v>6946</v>
      </c>
    </row>
    <row r="7510" spans="1:6">
      <c r="A7510" s="174">
        <f t="shared" si="109"/>
        <v>7509</v>
      </c>
      <c r="B7510" s="163">
        <v>45988</v>
      </c>
      <c r="C7510" s="194">
        <v>0.5213078703703703</v>
      </c>
      <c r="D7510" s="174" t="s">
        <v>7003</v>
      </c>
      <c r="E7510" s="166" t="s">
        <v>7003</v>
      </c>
      <c r="F7510" t="s">
        <v>6946</v>
      </c>
    </row>
    <row r="7511" spans="1:6">
      <c r="A7511" s="174">
        <f t="shared" si="109"/>
        <v>7510</v>
      </c>
      <c r="B7511" s="163">
        <v>45988</v>
      </c>
      <c r="C7511" s="194">
        <v>0.4796643518518518</v>
      </c>
      <c r="D7511" s="174" t="s">
        <v>7003</v>
      </c>
      <c r="E7511" s="166" t="s">
        <v>7003</v>
      </c>
      <c r="F7511" t="s">
        <v>6946</v>
      </c>
    </row>
    <row r="7512" spans="1:6">
      <c r="A7512" s="174">
        <f t="shared" si="109"/>
        <v>7511</v>
      </c>
      <c r="B7512" s="163">
        <v>45965</v>
      </c>
      <c r="C7512" s="194">
        <v>0.58655092592592595</v>
      </c>
      <c r="D7512" s="174">
        <v>10</v>
      </c>
      <c r="E7512" s="166" t="s">
        <v>6460</v>
      </c>
      <c r="F7512" t="s">
        <v>6946</v>
      </c>
    </row>
    <row r="7513" spans="1:6">
      <c r="A7513" s="174">
        <f t="shared" si="109"/>
        <v>7512</v>
      </c>
      <c r="B7513" s="163">
        <v>45989</v>
      </c>
      <c r="C7513" s="194">
        <v>0.39872685185185186</v>
      </c>
      <c r="D7513" s="174" t="s">
        <v>7003</v>
      </c>
      <c r="E7513" s="166" t="s">
        <v>7003</v>
      </c>
      <c r="F7513" t="s">
        <v>6946</v>
      </c>
    </row>
    <row r="7514" spans="1:6">
      <c r="A7514" s="174">
        <f t="shared" si="109"/>
        <v>7513</v>
      </c>
      <c r="B7514" s="163">
        <v>45988</v>
      </c>
      <c r="C7514" s="194">
        <v>0.46618055555555554</v>
      </c>
      <c r="D7514" s="174" t="s">
        <v>7003</v>
      </c>
      <c r="E7514" s="166" t="s">
        <v>7003</v>
      </c>
      <c r="F7514" t="s">
        <v>6946</v>
      </c>
    </row>
    <row r="7515" spans="1:6">
      <c r="A7515" s="174">
        <f t="shared" si="109"/>
        <v>7514</v>
      </c>
      <c r="B7515" s="163">
        <v>45988</v>
      </c>
      <c r="C7515" s="194">
        <v>0.46210648148148148</v>
      </c>
      <c r="D7515" s="174" t="s">
        <v>7003</v>
      </c>
      <c r="E7515" s="166" t="s">
        <v>7003</v>
      </c>
      <c r="F7515" t="s">
        <v>6946</v>
      </c>
    </row>
    <row r="7516" spans="1:6">
      <c r="A7516" s="174">
        <f t="shared" si="109"/>
        <v>7515</v>
      </c>
      <c r="B7516" s="163">
        <v>45988</v>
      </c>
      <c r="C7516" s="194">
        <v>0.46378472222222222</v>
      </c>
      <c r="D7516" s="174" t="s">
        <v>7003</v>
      </c>
      <c r="E7516" s="166" t="s">
        <v>7003</v>
      </c>
      <c r="F7516" t="s">
        <v>6946</v>
      </c>
    </row>
    <row r="7517" spans="1:6">
      <c r="A7517" s="174">
        <f t="shared" si="109"/>
        <v>7516</v>
      </c>
      <c r="B7517" s="163">
        <v>45988</v>
      </c>
      <c r="C7517" s="194">
        <v>0.4557060185185185</v>
      </c>
      <c r="D7517" s="174" t="s">
        <v>7003</v>
      </c>
      <c r="E7517" s="166" t="s">
        <v>7003</v>
      </c>
      <c r="F7517" t="s">
        <v>6946</v>
      </c>
    </row>
    <row r="7518" spans="1:6">
      <c r="A7518" s="174">
        <f t="shared" si="109"/>
        <v>7517</v>
      </c>
      <c r="B7518" s="163">
        <v>45988</v>
      </c>
      <c r="C7518" s="194">
        <v>0.45494212962962965</v>
      </c>
      <c r="D7518" s="174" t="s">
        <v>7003</v>
      </c>
      <c r="E7518" s="166" t="s">
        <v>7003</v>
      </c>
      <c r="F7518" t="s">
        <v>6946</v>
      </c>
    </row>
    <row r="7519" spans="1:6">
      <c r="A7519" s="174">
        <f t="shared" si="109"/>
        <v>7518</v>
      </c>
      <c r="B7519" s="163">
        <v>45965</v>
      </c>
      <c r="C7519" s="194">
        <v>0.58432870370370371</v>
      </c>
      <c r="D7519" s="174">
        <v>10</v>
      </c>
      <c r="E7519" s="166" t="s">
        <v>1042</v>
      </c>
      <c r="F7519" t="s">
        <v>6946</v>
      </c>
    </row>
    <row r="7520" spans="1:6">
      <c r="A7520" s="174">
        <f t="shared" si="109"/>
        <v>7519</v>
      </c>
      <c r="B7520" s="163">
        <v>45988</v>
      </c>
      <c r="C7520" s="194">
        <v>0.4337152777777778</v>
      </c>
      <c r="D7520" s="174" t="s">
        <v>7003</v>
      </c>
      <c r="E7520" s="166" t="s">
        <v>7003</v>
      </c>
      <c r="F7520" t="s">
        <v>6946</v>
      </c>
    </row>
    <row r="7521" spans="1:6">
      <c r="A7521" s="174">
        <f t="shared" ref="A7521:A7584" si="110">ROW()-1</f>
        <v>7520</v>
      </c>
      <c r="B7521" s="163">
        <v>45988</v>
      </c>
      <c r="C7521" s="194">
        <v>0.44120370370370371</v>
      </c>
      <c r="D7521" s="174" t="s">
        <v>7003</v>
      </c>
      <c r="E7521" s="166" t="s">
        <v>7003</v>
      </c>
      <c r="F7521" t="s">
        <v>6946</v>
      </c>
    </row>
    <row r="7522" spans="1:6">
      <c r="A7522" s="174">
        <f t="shared" si="110"/>
        <v>7521</v>
      </c>
      <c r="B7522" s="163">
        <v>45988</v>
      </c>
      <c r="C7522" s="194">
        <v>0.4337847222222222</v>
      </c>
      <c r="D7522" s="174" t="s">
        <v>7003</v>
      </c>
      <c r="E7522" s="166" t="s">
        <v>7003</v>
      </c>
      <c r="F7522" t="s">
        <v>6946</v>
      </c>
    </row>
    <row r="7523" spans="1:6">
      <c r="A7523" s="174">
        <f t="shared" si="110"/>
        <v>7522</v>
      </c>
      <c r="B7523" s="163">
        <v>45988</v>
      </c>
      <c r="C7523" s="194">
        <v>0.42484953703703704</v>
      </c>
      <c r="D7523" s="174" t="s">
        <v>7003</v>
      </c>
      <c r="E7523" s="166" t="s">
        <v>7003</v>
      </c>
      <c r="F7523" t="s">
        <v>6946</v>
      </c>
    </row>
    <row r="7524" spans="1:6">
      <c r="A7524" s="174">
        <f t="shared" si="110"/>
        <v>7523</v>
      </c>
      <c r="B7524" s="163">
        <v>45988</v>
      </c>
      <c r="C7524" s="194">
        <v>0.43953703703703706</v>
      </c>
      <c r="D7524" s="174" t="s">
        <v>7003</v>
      </c>
      <c r="E7524" s="166" t="s">
        <v>7003</v>
      </c>
      <c r="F7524" t="s">
        <v>6946</v>
      </c>
    </row>
    <row r="7525" spans="1:6">
      <c r="A7525" s="174">
        <f t="shared" si="110"/>
        <v>7524</v>
      </c>
      <c r="B7525" s="163">
        <v>45988</v>
      </c>
      <c r="C7525" s="194">
        <v>0.42494212962962963</v>
      </c>
      <c r="D7525" s="174" t="s">
        <v>7003</v>
      </c>
      <c r="E7525" s="166" t="s">
        <v>7003</v>
      </c>
      <c r="F7525" t="s">
        <v>6946</v>
      </c>
    </row>
    <row r="7526" spans="1:6">
      <c r="A7526" s="174">
        <f t="shared" si="110"/>
        <v>7525</v>
      </c>
      <c r="B7526" s="163">
        <v>45988</v>
      </c>
      <c r="C7526" s="194">
        <v>0.44475694444444441</v>
      </c>
      <c r="D7526" s="174" t="s">
        <v>7003</v>
      </c>
      <c r="E7526" s="166" t="s">
        <v>7003</v>
      </c>
      <c r="F7526" t="s">
        <v>6946</v>
      </c>
    </row>
    <row r="7527" spans="1:6">
      <c r="A7527" s="174">
        <f t="shared" si="110"/>
        <v>7526</v>
      </c>
      <c r="B7527" s="163">
        <v>45965</v>
      </c>
      <c r="C7527" s="194">
        <v>0.58579861111111109</v>
      </c>
      <c r="D7527" s="174">
        <v>10</v>
      </c>
      <c r="E7527" s="166" t="s">
        <v>1579</v>
      </c>
      <c r="F7527" t="s">
        <v>6946</v>
      </c>
    </row>
    <row r="7528" spans="1:6">
      <c r="A7528" s="174">
        <f t="shared" si="110"/>
        <v>7527</v>
      </c>
      <c r="B7528" s="163">
        <v>45988</v>
      </c>
      <c r="C7528" s="194">
        <v>0.42430555555555555</v>
      </c>
      <c r="D7528" s="174" t="s">
        <v>7003</v>
      </c>
      <c r="E7528" s="166" t="s">
        <v>7003</v>
      </c>
      <c r="F7528" t="s">
        <v>6946</v>
      </c>
    </row>
    <row r="7529" spans="1:6">
      <c r="A7529" s="174">
        <f t="shared" si="110"/>
        <v>7528</v>
      </c>
      <c r="B7529" s="163">
        <v>45965</v>
      </c>
      <c r="C7529" s="194">
        <v>0.57717592592592593</v>
      </c>
      <c r="D7529" s="174">
        <v>10</v>
      </c>
      <c r="E7529" s="166" t="s">
        <v>6819</v>
      </c>
      <c r="F7529" t="s">
        <v>6946</v>
      </c>
    </row>
    <row r="7530" spans="1:6">
      <c r="A7530" s="174">
        <f t="shared" si="110"/>
        <v>7529</v>
      </c>
      <c r="B7530" s="163">
        <v>45988</v>
      </c>
      <c r="C7530" s="194">
        <v>0.4098148148148148</v>
      </c>
      <c r="D7530" s="174" t="s">
        <v>7003</v>
      </c>
      <c r="E7530" s="166" t="s">
        <v>7003</v>
      </c>
      <c r="F7530" t="s">
        <v>6946</v>
      </c>
    </row>
    <row r="7531" spans="1:6">
      <c r="A7531" s="174">
        <f t="shared" si="110"/>
        <v>7530</v>
      </c>
      <c r="B7531" s="163">
        <v>45988</v>
      </c>
      <c r="C7531" s="194">
        <v>0.40817129629629628</v>
      </c>
      <c r="D7531" s="174" t="s">
        <v>7003</v>
      </c>
      <c r="E7531" s="166" t="s">
        <v>7003</v>
      </c>
      <c r="F7531" t="s">
        <v>6946</v>
      </c>
    </row>
    <row r="7532" spans="1:6">
      <c r="A7532" s="174">
        <f t="shared" si="110"/>
        <v>7531</v>
      </c>
      <c r="B7532" s="163">
        <v>45965</v>
      </c>
      <c r="C7532" s="194">
        <v>0.56967592592592597</v>
      </c>
      <c r="D7532" s="174">
        <v>10</v>
      </c>
      <c r="E7532" s="166" t="s">
        <v>6459</v>
      </c>
      <c r="F7532" t="s">
        <v>6946</v>
      </c>
    </row>
    <row r="7533" spans="1:6">
      <c r="A7533" s="174">
        <f t="shared" si="110"/>
        <v>7532</v>
      </c>
      <c r="B7533" s="163">
        <v>45965</v>
      </c>
      <c r="C7533" s="194">
        <v>0.55999999999999994</v>
      </c>
      <c r="D7533" s="174">
        <v>10</v>
      </c>
      <c r="E7533" s="166" t="s">
        <v>313</v>
      </c>
      <c r="F7533" t="s">
        <v>6946</v>
      </c>
    </row>
    <row r="7534" spans="1:6">
      <c r="A7534" s="174">
        <f t="shared" si="110"/>
        <v>7533</v>
      </c>
      <c r="B7534" s="163">
        <v>45988</v>
      </c>
      <c r="C7534" s="194">
        <v>0.39908564814814818</v>
      </c>
      <c r="D7534" s="174" t="s">
        <v>7003</v>
      </c>
      <c r="E7534" s="166" t="s">
        <v>7003</v>
      </c>
      <c r="F7534" t="s">
        <v>6946</v>
      </c>
    </row>
    <row r="7535" spans="1:6">
      <c r="A7535" s="174">
        <f t="shared" si="110"/>
        <v>7534</v>
      </c>
      <c r="B7535" s="163">
        <v>45965</v>
      </c>
      <c r="C7535" s="194">
        <v>0.54137731481481477</v>
      </c>
      <c r="D7535" s="174">
        <v>10</v>
      </c>
      <c r="E7535" s="166" t="s">
        <v>6458</v>
      </c>
      <c r="F7535" t="s">
        <v>6946</v>
      </c>
    </row>
    <row r="7536" spans="1:6">
      <c r="A7536" s="174">
        <f t="shared" si="110"/>
        <v>7535</v>
      </c>
      <c r="B7536" s="163">
        <v>45965</v>
      </c>
      <c r="C7536" s="194">
        <v>0.50069444444444444</v>
      </c>
      <c r="D7536" s="174">
        <v>10</v>
      </c>
      <c r="E7536" s="166" t="s">
        <v>6457</v>
      </c>
      <c r="F7536" t="s">
        <v>6946</v>
      </c>
    </row>
    <row r="7537" spans="1:6">
      <c r="A7537" s="174">
        <f t="shared" si="110"/>
        <v>7536</v>
      </c>
      <c r="B7537" s="163">
        <v>45965</v>
      </c>
      <c r="C7537" s="194">
        <v>0.51049768518518512</v>
      </c>
      <c r="D7537" s="174">
        <v>10</v>
      </c>
      <c r="E7537" s="166" t="s">
        <v>6456</v>
      </c>
      <c r="F7537" t="s">
        <v>6946</v>
      </c>
    </row>
    <row r="7538" spans="1:6">
      <c r="A7538" s="174">
        <f t="shared" si="110"/>
        <v>7537</v>
      </c>
      <c r="B7538" s="163">
        <v>45987</v>
      </c>
      <c r="C7538" s="194">
        <v>0.88593749999999993</v>
      </c>
      <c r="D7538" s="174" t="s">
        <v>7003</v>
      </c>
      <c r="E7538" s="166" t="s">
        <v>7003</v>
      </c>
      <c r="F7538" t="s">
        <v>6946</v>
      </c>
    </row>
    <row r="7539" spans="1:6">
      <c r="A7539" s="174">
        <f t="shared" si="110"/>
        <v>7538</v>
      </c>
      <c r="B7539" s="163">
        <v>45987</v>
      </c>
      <c r="C7539" s="194">
        <v>0.87987268518518524</v>
      </c>
      <c r="D7539" s="174" t="s">
        <v>7003</v>
      </c>
      <c r="E7539" s="166" t="s">
        <v>7003</v>
      </c>
      <c r="F7539" t="s">
        <v>6946</v>
      </c>
    </row>
    <row r="7540" spans="1:6">
      <c r="A7540" s="174">
        <f t="shared" si="110"/>
        <v>7539</v>
      </c>
      <c r="B7540" s="163">
        <v>45965</v>
      </c>
      <c r="C7540" s="194">
        <v>0.49184027777777778</v>
      </c>
      <c r="D7540" s="174">
        <v>10</v>
      </c>
      <c r="E7540" s="166" t="s">
        <v>6284</v>
      </c>
      <c r="F7540" t="s">
        <v>6946</v>
      </c>
    </row>
    <row r="7541" spans="1:6">
      <c r="A7541" s="174">
        <f t="shared" si="110"/>
        <v>7540</v>
      </c>
      <c r="B7541" s="163">
        <v>45965</v>
      </c>
      <c r="C7541" s="194">
        <v>0.48061342592592587</v>
      </c>
      <c r="D7541" s="174">
        <v>10</v>
      </c>
      <c r="E7541" s="166" t="s">
        <v>6455</v>
      </c>
      <c r="F7541" t="s">
        <v>6946</v>
      </c>
    </row>
    <row r="7542" spans="1:6">
      <c r="A7542" s="174">
        <f t="shared" si="110"/>
        <v>7541</v>
      </c>
      <c r="B7542" s="163">
        <v>45965</v>
      </c>
      <c r="C7542" s="194">
        <v>0.45999999999999996</v>
      </c>
      <c r="D7542" s="174">
        <v>10</v>
      </c>
      <c r="E7542" s="166" t="s">
        <v>6454</v>
      </c>
      <c r="F7542" t="s">
        <v>6946</v>
      </c>
    </row>
    <row r="7543" spans="1:6">
      <c r="A7543" s="174">
        <f t="shared" si="110"/>
        <v>7542</v>
      </c>
      <c r="B7543" s="163">
        <v>45987</v>
      </c>
      <c r="C7543" s="194">
        <v>0.83046296296296296</v>
      </c>
      <c r="D7543" s="174" t="s">
        <v>7003</v>
      </c>
      <c r="E7543" s="166" t="s">
        <v>7003</v>
      </c>
      <c r="F7543" t="s">
        <v>6946</v>
      </c>
    </row>
    <row r="7544" spans="1:6">
      <c r="A7544" s="174">
        <f t="shared" si="110"/>
        <v>7543</v>
      </c>
      <c r="B7544" s="163">
        <v>45987</v>
      </c>
      <c r="C7544" s="194">
        <v>0.81045138888888879</v>
      </c>
      <c r="D7544" s="174" t="s">
        <v>7003</v>
      </c>
      <c r="E7544" s="166" t="s">
        <v>7003</v>
      </c>
      <c r="F7544" t="s">
        <v>6946</v>
      </c>
    </row>
    <row r="7545" spans="1:6">
      <c r="A7545" s="174">
        <f t="shared" si="110"/>
        <v>7544</v>
      </c>
      <c r="B7545" s="163">
        <v>45987</v>
      </c>
      <c r="C7545" s="194">
        <v>0.80296296296296299</v>
      </c>
      <c r="D7545" s="174" t="s">
        <v>7003</v>
      </c>
      <c r="E7545" s="166" t="s">
        <v>7003</v>
      </c>
      <c r="F7545" t="s">
        <v>6946</v>
      </c>
    </row>
    <row r="7546" spans="1:6">
      <c r="A7546" s="174">
        <f t="shared" si="110"/>
        <v>7545</v>
      </c>
      <c r="B7546" s="163">
        <v>45965</v>
      </c>
      <c r="C7546" s="194">
        <v>0.45646990740740739</v>
      </c>
      <c r="D7546" s="174">
        <v>10</v>
      </c>
      <c r="E7546" s="166" t="s">
        <v>6453</v>
      </c>
      <c r="F7546" t="s">
        <v>6946</v>
      </c>
    </row>
    <row r="7547" spans="1:6">
      <c r="A7547" s="174">
        <f t="shared" si="110"/>
        <v>7546</v>
      </c>
      <c r="B7547" s="163">
        <v>45987</v>
      </c>
      <c r="C7547" s="194">
        <v>0.77686342592592583</v>
      </c>
      <c r="D7547" s="174" t="s">
        <v>7003</v>
      </c>
      <c r="E7547" s="166" t="s">
        <v>7003</v>
      </c>
      <c r="F7547" t="s">
        <v>6946</v>
      </c>
    </row>
    <row r="7548" spans="1:6">
      <c r="A7548" s="174">
        <f t="shared" si="110"/>
        <v>7547</v>
      </c>
      <c r="B7548" s="163">
        <v>45987</v>
      </c>
      <c r="C7548" s="194">
        <v>0.77642361111111102</v>
      </c>
      <c r="D7548" s="174" t="s">
        <v>7003</v>
      </c>
      <c r="E7548" s="166" t="s">
        <v>7003</v>
      </c>
      <c r="F7548" t="s">
        <v>6946</v>
      </c>
    </row>
    <row r="7549" spans="1:6">
      <c r="A7549" s="174">
        <f t="shared" si="110"/>
        <v>7548</v>
      </c>
      <c r="B7549" s="163">
        <v>45988</v>
      </c>
      <c r="C7549" s="194">
        <v>0.75047453703703704</v>
      </c>
      <c r="D7549" s="174" t="s">
        <v>7003</v>
      </c>
      <c r="E7549" s="166" t="s">
        <v>7003</v>
      </c>
      <c r="F7549" t="s">
        <v>6946</v>
      </c>
    </row>
    <row r="7550" spans="1:6">
      <c r="A7550" s="174">
        <f t="shared" si="110"/>
        <v>7549</v>
      </c>
      <c r="B7550" s="163">
        <v>45987</v>
      </c>
      <c r="C7550" s="194">
        <v>0.75219907407407405</v>
      </c>
      <c r="D7550" s="174" t="s">
        <v>7003</v>
      </c>
      <c r="E7550" s="166" t="s">
        <v>7003</v>
      </c>
      <c r="F7550" t="s">
        <v>6946</v>
      </c>
    </row>
    <row r="7551" spans="1:6">
      <c r="A7551" s="174">
        <f t="shared" si="110"/>
        <v>7550</v>
      </c>
      <c r="B7551" s="163">
        <v>45965</v>
      </c>
      <c r="C7551" s="194">
        <v>0.45263888888888887</v>
      </c>
      <c r="D7551" s="174">
        <v>10</v>
      </c>
      <c r="E7551" s="166" t="s">
        <v>6452</v>
      </c>
      <c r="F7551" t="s">
        <v>6946</v>
      </c>
    </row>
    <row r="7552" spans="1:6">
      <c r="A7552" s="174">
        <f t="shared" si="110"/>
        <v>7551</v>
      </c>
      <c r="B7552" s="163">
        <v>45987</v>
      </c>
      <c r="C7552" s="194">
        <v>0.83489583333333339</v>
      </c>
      <c r="D7552" s="174" t="s">
        <v>7003</v>
      </c>
      <c r="E7552" s="166" t="s">
        <v>7003</v>
      </c>
      <c r="F7552" t="s">
        <v>6946</v>
      </c>
    </row>
    <row r="7553" spans="1:6">
      <c r="A7553" s="174">
        <f t="shared" si="110"/>
        <v>7552</v>
      </c>
      <c r="B7553" s="163">
        <v>45987</v>
      </c>
      <c r="C7553" s="194">
        <v>0.75541666666666663</v>
      </c>
      <c r="D7553" s="174" t="s">
        <v>7003</v>
      </c>
      <c r="E7553" s="166" t="s">
        <v>7003</v>
      </c>
      <c r="F7553" t="s">
        <v>6946</v>
      </c>
    </row>
    <row r="7554" spans="1:6">
      <c r="A7554" s="174">
        <f t="shared" si="110"/>
        <v>7553</v>
      </c>
      <c r="B7554" s="163">
        <v>45965</v>
      </c>
      <c r="C7554" s="194">
        <v>0.44667824074074075</v>
      </c>
      <c r="D7554" s="174">
        <v>10</v>
      </c>
      <c r="E7554" s="166" t="s">
        <v>6451</v>
      </c>
      <c r="F7554" t="s">
        <v>6946</v>
      </c>
    </row>
    <row r="7555" spans="1:6">
      <c r="A7555" s="174">
        <f t="shared" si="110"/>
        <v>7554</v>
      </c>
      <c r="B7555" s="163">
        <v>45987</v>
      </c>
      <c r="C7555" s="194">
        <v>0.73906250000000007</v>
      </c>
      <c r="D7555" s="174" t="s">
        <v>7003</v>
      </c>
      <c r="E7555" s="166" t="s">
        <v>7003</v>
      </c>
      <c r="F7555" t="s">
        <v>6946</v>
      </c>
    </row>
    <row r="7556" spans="1:6">
      <c r="A7556" s="174">
        <f t="shared" si="110"/>
        <v>7555</v>
      </c>
      <c r="B7556" s="163">
        <v>45987</v>
      </c>
      <c r="C7556" s="194">
        <v>0.75178240740740743</v>
      </c>
      <c r="D7556" s="174" t="s">
        <v>7003</v>
      </c>
      <c r="E7556" s="166" t="s">
        <v>7003</v>
      </c>
      <c r="F7556" t="s">
        <v>6946</v>
      </c>
    </row>
    <row r="7557" spans="1:6">
      <c r="A7557" s="174">
        <f t="shared" si="110"/>
        <v>7556</v>
      </c>
      <c r="B7557" s="163">
        <v>45965</v>
      </c>
      <c r="C7557" s="194">
        <v>0.42858796296296298</v>
      </c>
      <c r="D7557" s="174">
        <v>10</v>
      </c>
      <c r="E7557" s="166" t="s">
        <v>179</v>
      </c>
      <c r="F7557" t="s">
        <v>6946</v>
      </c>
    </row>
    <row r="7558" spans="1:6">
      <c r="A7558" s="174">
        <f t="shared" si="110"/>
        <v>7557</v>
      </c>
      <c r="B7558" s="163">
        <v>45987</v>
      </c>
      <c r="C7558" s="194">
        <v>0.74549768518518522</v>
      </c>
      <c r="D7558" s="174" t="s">
        <v>7003</v>
      </c>
      <c r="E7558" s="166" t="s">
        <v>7003</v>
      </c>
      <c r="F7558" t="s">
        <v>6946</v>
      </c>
    </row>
    <row r="7559" spans="1:6">
      <c r="A7559" s="174">
        <f t="shared" si="110"/>
        <v>7558</v>
      </c>
      <c r="B7559" s="163">
        <v>45987</v>
      </c>
      <c r="C7559" s="194">
        <v>0.73912037037037026</v>
      </c>
      <c r="D7559" s="174" t="s">
        <v>7003</v>
      </c>
      <c r="E7559" s="166" t="s">
        <v>7003</v>
      </c>
      <c r="F7559" t="s">
        <v>6946</v>
      </c>
    </row>
    <row r="7560" spans="1:6">
      <c r="A7560" s="174">
        <f t="shared" si="110"/>
        <v>7559</v>
      </c>
      <c r="B7560" s="163">
        <v>45987</v>
      </c>
      <c r="C7560" s="194">
        <v>0.72693287037037047</v>
      </c>
      <c r="D7560" s="174" t="s">
        <v>7003</v>
      </c>
      <c r="E7560" s="166" t="s">
        <v>7003</v>
      </c>
      <c r="F7560" t="s">
        <v>6946</v>
      </c>
    </row>
    <row r="7561" spans="1:6">
      <c r="A7561" s="174">
        <f t="shared" si="110"/>
        <v>7560</v>
      </c>
      <c r="B7561" s="163">
        <v>45965</v>
      </c>
      <c r="C7561" s="194">
        <v>0.43039351851851854</v>
      </c>
      <c r="D7561" s="174">
        <v>10</v>
      </c>
      <c r="E7561" s="166" t="s">
        <v>6450</v>
      </c>
      <c r="F7561" t="s">
        <v>6946</v>
      </c>
    </row>
    <row r="7562" spans="1:6">
      <c r="A7562" s="174">
        <f t="shared" si="110"/>
        <v>7561</v>
      </c>
      <c r="B7562" s="163">
        <v>45965</v>
      </c>
      <c r="C7562" s="194">
        <v>0.42049768518518515</v>
      </c>
      <c r="D7562" s="174">
        <v>10</v>
      </c>
      <c r="E7562" s="166" t="s">
        <v>4348</v>
      </c>
      <c r="F7562" t="s">
        <v>6946</v>
      </c>
    </row>
    <row r="7563" spans="1:6">
      <c r="A7563" s="174">
        <f t="shared" si="110"/>
        <v>7562</v>
      </c>
      <c r="B7563" s="163">
        <v>45965</v>
      </c>
      <c r="C7563" s="194">
        <v>0.41021990740740738</v>
      </c>
      <c r="D7563" s="174">
        <v>10</v>
      </c>
      <c r="E7563" s="166" t="s">
        <v>6820</v>
      </c>
      <c r="F7563" t="s">
        <v>6946</v>
      </c>
    </row>
    <row r="7564" spans="1:6">
      <c r="A7564" s="174">
        <f t="shared" si="110"/>
        <v>7563</v>
      </c>
      <c r="B7564" s="163">
        <v>45966</v>
      </c>
      <c r="C7564" s="194">
        <v>0.91104166666666664</v>
      </c>
      <c r="D7564" s="174">
        <v>10</v>
      </c>
      <c r="E7564" s="166" t="s">
        <v>6496</v>
      </c>
      <c r="F7564" t="s">
        <v>6946</v>
      </c>
    </row>
    <row r="7565" spans="1:6">
      <c r="A7565" s="174">
        <f t="shared" si="110"/>
        <v>7564</v>
      </c>
      <c r="B7565" s="163">
        <v>45966</v>
      </c>
      <c r="C7565" s="194">
        <v>0.90114583333333342</v>
      </c>
      <c r="D7565" s="174">
        <v>10</v>
      </c>
      <c r="E7565" s="166" t="s">
        <v>6495</v>
      </c>
      <c r="F7565" t="s">
        <v>6946</v>
      </c>
    </row>
    <row r="7566" spans="1:6">
      <c r="A7566" s="174">
        <f t="shared" si="110"/>
        <v>7565</v>
      </c>
      <c r="B7566" s="163">
        <v>45987</v>
      </c>
      <c r="C7566" s="194">
        <v>0.7302777777777778</v>
      </c>
      <c r="D7566" s="174" t="s">
        <v>7003</v>
      </c>
      <c r="E7566" s="166" t="s">
        <v>7003</v>
      </c>
      <c r="F7566" t="s">
        <v>6946</v>
      </c>
    </row>
    <row r="7567" spans="1:6">
      <c r="A7567" s="174">
        <f t="shared" si="110"/>
        <v>7566</v>
      </c>
      <c r="B7567" s="163">
        <v>45987</v>
      </c>
      <c r="C7567" s="194">
        <v>0.74180555555555561</v>
      </c>
      <c r="D7567" s="174" t="s">
        <v>7003</v>
      </c>
      <c r="E7567" s="166" t="s">
        <v>7003</v>
      </c>
      <c r="F7567" t="s">
        <v>6946</v>
      </c>
    </row>
    <row r="7568" spans="1:6">
      <c r="A7568" s="174">
        <f t="shared" si="110"/>
        <v>7567</v>
      </c>
      <c r="B7568" s="163">
        <v>45987</v>
      </c>
      <c r="C7568" s="194">
        <v>0.70994212962962966</v>
      </c>
      <c r="D7568" s="174" t="s">
        <v>7003</v>
      </c>
      <c r="E7568" s="166" t="s">
        <v>7003</v>
      </c>
      <c r="F7568" t="s">
        <v>6946</v>
      </c>
    </row>
    <row r="7569" spans="1:6">
      <c r="A7569" s="174">
        <f t="shared" si="110"/>
        <v>7568</v>
      </c>
      <c r="B7569" s="163">
        <v>45987</v>
      </c>
      <c r="C7569" s="194">
        <v>0.70108796296296294</v>
      </c>
      <c r="D7569" s="174" t="s">
        <v>7003</v>
      </c>
      <c r="E7569" s="166" t="s">
        <v>7003</v>
      </c>
      <c r="F7569" t="s">
        <v>6946</v>
      </c>
    </row>
    <row r="7570" spans="1:6">
      <c r="A7570" s="174">
        <f t="shared" si="110"/>
        <v>7569</v>
      </c>
      <c r="B7570" s="163">
        <v>45987</v>
      </c>
      <c r="C7570" s="194">
        <v>0.70974537037037033</v>
      </c>
      <c r="D7570" s="174" t="s">
        <v>7003</v>
      </c>
      <c r="E7570" s="166" t="s">
        <v>7003</v>
      </c>
      <c r="F7570" t="s">
        <v>6946</v>
      </c>
    </row>
    <row r="7571" spans="1:6">
      <c r="A7571" s="174">
        <f t="shared" si="110"/>
        <v>7570</v>
      </c>
      <c r="B7571" s="163">
        <v>45987</v>
      </c>
      <c r="C7571" s="194">
        <v>0.69760416666666669</v>
      </c>
      <c r="D7571" s="174" t="s">
        <v>7003</v>
      </c>
      <c r="E7571" s="166" t="s">
        <v>7003</v>
      </c>
      <c r="F7571" t="s">
        <v>6946</v>
      </c>
    </row>
    <row r="7572" spans="1:6">
      <c r="A7572" s="174">
        <f t="shared" si="110"/>
        <v>7571</v>
      </c>
      <c r="B7572" s="163">
        <v>45987</v>
      </c>
      <c r="C7572" s="194">
        <v>0.69684027777777768</v>
      </c>
      <c r="D7572" s="174" t="s">
        <v>7003</v>
      </c>
      <c r="E7572" s="166" t="s">
        <v>7003</v>
      </c>
      <c r="F7572" t="s">
        <v>6946</v>
      </c>
    </row>
    <row r="7573" spans="1:6">
      <c r="A7573" s="174">
        <f t="shared" si="110"/>
        <v>7572</v>
      </c>
      <c r="B7573" s="163">
        <v>45987</v>
      </c>
      <c r="C7573" s="194">
        <v>0.68469907407407404</v>
      </c>
      <c r="D7573" s="174" t="s">
        <v>7003</v>
      </c>
      <c r="E7573" s="166" t="s">
        <v>7003</v>
      </c>
      <c r="F7573" t="s">
        <v>6946</v>
      </c>
    </row>
    <row r="7574" spans="1:6">
      <c r="A7574" s="174">
        <f t="shared" si="110"/>
        <v>7573</v>
      </c>
      <c r="B7574" s="163">
        <v>45987</v>
      </c>
      <c r="C7574" s="194">
        <v>0.6859143518518519</v>
      </c>
      <c r="D7574" s="174" t="s">
        <v>7003</v>
      </c>
      <c r="E7574" s="166" t="s">
        <v>7003</v>
      </c>
      <c r="F7574" t="s">
        <v>6946</v>
      </c>
    </row>
    <row r="7575" spans="1:6">
      <c r="A7575" s="174">
        <f t="shared" si="110"/>
        <v>7574</v>
      </c>
      <c r="B7575" s="163">
        <v>45987</v>
      </c>
      <c r="C7575" s="194">
        <v>0.67690972222222223</v>
      </c>
      <c r="D7575" s="174" t="s">
        <v>7003</v>
      </c>
      <c r="E7575" s="166" t="s">
        <v>7003</v>
      </c>
      <c r="F7575" t="s">
        <v>6946</v>
      </c>
    </row>
    <row r="7576" spans="1:6">
      <c r="A7576" s="174">
        <f t="shared" si="110"/>
        <v>7575</v>
      </c>
      <c r="B7576" s="163">
        <v>45987</v>
      </c>
      <c r="C7576" s="194">
        <v>0.67024305555555552</v>
      </c>
      <c r="D7576" s="174" t="s">
        <v>7003</v>
      </c>
      <c r="E7576" s="166" t="s">
        <v>7003</v>
      </c>
      <c r="F7576" t="s">
        <v>6946</v>
      </c>
    </row>
    <row r="7577" spans="1:6">
      <c r="A7577" s="174">
        <f t="shared" si="110"/>
        <v>7576</v>
      </c>
      <c r="B7577" s="163">
        <v>45966</v>
      </c>
      <c r="C7577" s="194">
        <v>0.85856481481481473</v>
      </c>
      <c r="D7577" s="174">
        <v>10</v>
      </c>
      <c r="E7577" s="166" t="s">
        <v>6494</v>
      </c>
      <c r="F7577" t="s">
        <v>6946</v>
      </c>
    </row>
    <row r="7578" spans="1:6">
      <c r="A7578" s="174">
        <f t="shared" si="110"/>
        <v>7577</v>
      </c>
      <c r="B7578" s="163">
        <v>45966</v>
      </c>
      <c r="C7578" s="194">
        <v>0.81547453703703709</v>
      </c>
      <c r="D7578" s="174">
        <v>10</v>
      </c>
      <c r="E7578" s="166" t="s">
        <v>6493</v>
      </c>
      <c r="F7578" t="s">
        <v>6946</v>
      </c>
    </row>
    <row r="7579" spans="1:6">
      <c r="A7579" s="174">
        <f t="shared" si="110"/>
        <v>7578</v>
      </c>
      <c r="B7579" s="163">
        <v>45987</v>
      </c>
      <c r="C7579" s="194">
        <v>0.65218750000000003</v>
      </c>
      <c r="D7579" s="174" t="s">
        <v>7003</v>
      </c>
      <c r="E7579" s="166" t="s">
        <v>7003</v>
      </c>
      <c r="F7579" t="s">
        <v>6946</v>
      </c>
    </row>
    <row r="7580" spans="1:6">
      <c r="A7580" s="174">
        <f t="shared" si="110"/>
        <v>7579</v>
      </c>
      <c r="B7580" s="163">
        <v>45966</v>
      </c>
      <c r="C7580" s="194">
        <v>0.82288194444444451</v>
      </c>
      <c r="D7580" s="174">
        <v>10</v>
      </c>
      <c r="E7580" s="166" t="s">
        <v>6492</v>
      </c>
      <c r="F7580" t="s">
        <v>6946</v>
      </c>
    </row>
    <row r="7581" spans="1:6">
      <c r="A7581" s="174">
        <f t="shared" si="110"/>
        <v>7580</v>
      </c>
      <c r="B7581" s="163">
        <v>45987</v>
      </c>
      <c r="C7581" s="194">
        <v>0.64291666666666669</v>
      </c>
      <c r="D7581" s="174" t="s">
        <v>7003</v>
      </c>
      <c r="E7581" s="166" t="s">
        <v>7003</v>
      </c>
      <c r="F7581" t="s">
        <v>6946</v>
      </c>
    </row>
    <row r="7582" spans="1:6">
      <c r="A7582" s="174">
        <f t="shared" si="110"/>
        <v>7581</v>
      </c>
      <c r="B7582" s="163">
        <v>45966</v>
      </c>
      <c r="C7582" s="194">
        <v>0.80869212962962955</v>
      </c>
      <c r="D7582" s="174">
        <v>10</v>
      </c>
      <c r="E7582" s="166" t="s">
        <v>6491</v>
      </c>
      <c r="F7582" t="s">
        <v>6946</v>
      </c>
    </row>
    <row r="7583" spans="1:6">
      <c r="A7583" s="174">
        <f t="shared" si="110"/>
        <v>7582</v>
      </c>
      <c r="B7583" s="163">
        <v>45966</v>
      </c>
      <c r="C7583" s="194">
        <v>0.80351851851851841</v>
      </c>
      <c r="D7583" s="174">
        <v>10</v>
      </c>
      <c r="E7583" s="166" t="s">
        <v>6490</v>
      </c>
      <c r="F7583" t="s">
        <v>6946</v>
      </c>
    </row>
    <row r="7584" spans="1:6">
      <c r="A7584" s="174">
        <f t="shared" si="110"/>
        <v>7583</v>
      </c>
      <c r="B7584" s="163">
        <v>45987</v>
      </c>
      <c r="C7584" s="194">
        <v>0.6696875000000001</v>
      </c>
      <c r="D7584" s="174" t="s">
        <v>7003</v>
      </c>
      <c r="E7584" s="166" t="s">
        <v>7003</v>
      </c>
      <c r="F7584" t="s">
        <v>6946</v>
      </c>
    </row>
    <row r="7585" spans="1:6">
      <c r="A7585" s="174">
        <f t="shared" ref="A7585:A7648" si="111">ROW()-1</f>
        <v>7584</v>
      </c>
      <c r="B7585" s="163">
        <v>45987</v>
      </c>
      <c r="C7585" s="194">
        <v>0.62656250000000002</v>
      </c>
      <c r="D7585" s="174" t="s">
        <v>7003</v>
      </c>
      <c r="E7585" s="166" t="s">
        <v>7003</v>
      </c>
      <c r="F7585" t="s">
        <v>6946</v>
      </c>
    </row>
    <row r="7586" spans="1:6">
      <c r="A7586" s="174">
        <f t="shared" si="111"/>
        <v>7585</v>
      </c>
      <c r="B7586" s="163">
        <v>45966</v>
      </c>
      <c r="C7586" s="194">
        <v>0.7955092592592593</v>
      </c>
      <c r="D7586" s="174">
        <v>10</v>
      </c>
      <c r="E7586" s="166" t="s">
        <v>6489</v>
      </c>
      <c r="F7586" t="s">
        <v>6946</v>
      </c>
    </row>
    <row r="7587" spans="1:6">
      <c r="A7587" s="174">
        <f t="shared" si="111"/>
        <v>7586</v>
      </c>
      <c r="B7587" s="163">
        <v>45987</v>
      </c>
      <c r="C7587" s="194">
        <v>0.62443287037037043</v>
      </c>
      <c r="D7587" s="174" t="s">
        <v>7003</v>
      </c>
      <c r="E7587" s="166" t="s">
        <v>7003</v>
      </c>
      <c r="F7587" t="s">
        <v>6946</v>
      </c>
    </row>
    <row r="7588" spans="1:6">
      <c r="A7588" s="174">
        <f t="shared" si="111"/>
        <v>7587</v>
      </c>
      <c r="B7588" s="163">
        <v>45987</v>
      </c>
      <c r="C7588" s="194">
        <v>0.63637731481481474</v>
      </c>
      <c r="D7588" s="174" t="s">
        <v>7003</v>
      </c>
      <c r="E7588" s="166" t="s">
        <v>7003</v>
      </c>
      <c r="F7588" t="s">
        <v>6946</v>
      </c>
    </row>
    <row r="7589" spans="1:6">
      <c r="A7589" s="174">
        <f t="shared" si="111"/>
        <v>7588</v>
      </c>
      <c r="B7589" s="163">
        <v>45987</v>
      </c>
      <c r="C7589" s="194">
        <v>0.6213657407407408</v>
      </c>
      <c r="D7589" s="174" t="s">
        <v>7003</v>
      </c>
      <c r="E7589" s="166" t="s">
        <v>7003</v>
      </c>
      <c r="F7589" t="s">
        <v>6946</v>
      </c>
    </row>
    <row r="7590" spans="1:6">
      <c r="A7590" s="174">
        <f t="shared" si="111"/>
        <v>7589</v>
      </c>
      <c r="B7590" s="163">
        <v>45987</v>
      </c>
      <c r="C7590" s="194">
        <v>0.59690972222222227</v>
      </c>
      <c r="D7590" s="174" t="s">
        <v>7003</v>
      </c>
      <c r="E7590" s="166" t="s">
        <v>7003</v>
      </c>
      <c r="F7590" t="s">
        <v>6946</v>
      </c>
    </row>
    <row r="7591" spans="1:6">
      <c r="A7591" s="174">
        <f t="shared" si="111"/>
        <v>7590</v>
      </c>
      <c r="B7591" s="163">
        <v>45987</v>
      </c>
      <c r="C7591" s="194">
        <v>0.60752314814814812</v>
      </c>
      <c r="D7591" s="174" t="s">
        <v>7003</v>
      </c>
      <c r="E7591" s="166" t="s">
        <v>7003</v>
      </c>
      <c r="F7591" t="s">
        <v>6946</v>
      </c>
    </row>
    <row r="7592" spans="1:6">
      <c r="A7592" s="174">
        <f t="shared" si="111"/>
        <v>7591</v>
      </c>
      <c r="B7592" s="163">
        <v>45987</v>
      </c>
      <c r="C7592" s="194">
        <v>0.59804398148148141</v>
      </c>
      <c r="D7592" s="174" t="s">
        <v>7003</v>
      </c>
      <c r="E7592" s="166" t="s">
        <v>7003</v>
      </c>
      <c r="F7592" t="s">
        <v>6946</v>
      </c>
    </row>
    <row r="7593" spans="1:6">
      <c r="A7593" s="174">
        <f t="shared" si="111"/>
        <v>7592</v>
      </c>
      <c r="B7593" s="163">
        <v>45987</v>
      </c>
      <c r="C7593" s="194">
        <v>0.58895833333333336</v>
      </c>
      <c r="D7593" s="174" t="s">
        <v>7003</v>
      </c>
      <c r="E7593" s="166" t="s">
        <v>7003</v>
      </c>
      <c r="F7593" t="s">
        <v>6946</v>
      </c>
    </row>
    <row r="7594" spans="1:6">
      <c r="A7594" s="174">
        <f t="shared" si="111"/>
        <v>7593</v>
      </c>
      <c r="B7594" s="163">
        <v>45987</v>
      </c>
      <c r="C7594" s="194">
        <v>0.58416666666666661</v>
      </c>
      <c r="D7594" s="174" t="s">
        <v>7003</v>
      </c>
      <c r="E7594" s="166" t="s">
        <v>7003</v>
      </c>
      <c r="F7594" t="s">
        <v>6946</v>
      </c>
    </row>
    <row r="7595" spans="1:6">
      <c r="A7595" s="174">
        <f t="shared" si="111"/>
        <v>7594</v>
      </c>
      <c r="B7595" s="163">
        <v>45966</v>
      </c>
      <c r="C7595" s="194">
        <v>0.75726851851851851</v>
      </c>
      <c r="D7595" s="174">
        <v>10</v>
      </c>
      <c r="E7595" s="166" t="s">
        <v>6488</v>
      </c>
      <c r="F7595" t="s">
        <v>6946</v>
      </c>
    </row>
    <row r="7596" spans="1:6">
      <c r="A7596" s="174">
        <f t="shared" si="111"/>
        <v>7595</v>
      </c>
      <c r="B7596" s="163">
        <v>45987</v>
      </c>
      <c r="C7596" s="194">
        <v>0.57733796296296302</v>
      </c>
      <c r="D7596" s="174" t="s">
        <v>7003</v>
      </c>
      <c r="E7596" s="166" t="s">
        <v>7003</v>
      </c>
      <c r="F7596" t="s">
        <v>6946</v>
      </c>
    </row>
    <row r="7597" spans="1:6">
      <c r="A7597" s="174">
        <f t="shared" si="111"/>
        <v>7596</v>
      </c>
      <c r="B7597" s="163">
        <v>45987</v>
      </c>
      <c r="C7597" s="194">
        <v>0.57973379629629629</v>
      </c>
      <c r="D7597" s="174" t="s">
        <v>7003</v>
      </c>
      <c r="E7597" s="166" t="s">
        <v>7003</v>
      </c>
      <c r="F7597" t="s">
        <v>6946</v>
      </c>
    </row>
    <row r="7598" spans="1:6">
      <c r="A7598" s="174">
        <f t="shared" si="111"/>
        <v>7597</v>
      </c>
      <c r="B7598" s="163">
        <v>45987</v>
      </c>
      <c r="C7598" s="194">
        <v>0.57324074074074072</v>
      </c>
      <c r="D7598" s="174" t="s">
        <v>7003</v>
      </c>
      <c r="E7598" s="166" t="s">
        <v>7003</v>
      </c>
      <c r="F7598" t="s">
        <v>6946</v>
      </c>
    </row>
    <row r="7599" spans="1:6">
      <c r="A7599" s="174">
        <f t="shared" si="111"/>
        <v>7598</v>
      </c>
      <c r="B7599" s="163">
        <v>45987</v>
      </c>
      <c r="C7599" s="194">
        <v>0.57203703703703701</v>
      </c>
      <c r="D7599" s="174" t="s">
        <v>7003</v>
      </c>
      <c r="E7599" s="166" t="s">
        <v>7003</v>
      </c>
      <c r="F7599" t="s">
        <v>6946</v>
      </c>
    </row>
    <row r="7600" spans="1:6">
      <c r="A7600" s="174">
        <f t="shared" si="111"/>
        <v>7599</v>
      </c>
      <c r="B7600" s="163">
        <v>45987</v>
      </c>
      <c r="C7600" s="194">
        <v>0.56958333333333333</v>
      </c>
      <c r="D7600" s="174" t="s">
        <v>7003</v>
      </c>
      <c r="E7600" s="166" t="s">
        <v>7003</v>
      </c>
      <c r="F7600" t="s">
        <v>6946</v>
      </c>
    </row>
    <row r="7601" spans="1:6">
      <c r="A7601" s="174">
        <f t="shared" si="111"/>
        <v>7600</v>
      </c>
      <c r="B7601" s="163">
        <v>45966</v>
      </c>
      <c r="C7601" s="194">
        <v>0.74427083333333333</v>
      </c>
      <c r="D7601" s="174">
        <v>10</v>
      </c>
      <c r="E7601" s="166" t="s">
        <v>6810</v>
      </c>
      <c r="F7601" t="s">
        <v>6946</v>
      </c>
    </row>
    <row r="7602" spans="1:6">
      <c r="A7602" s="174">
        <f t="shared" si="111"/>
        <v>7601</v>
      </c>
      <c r="B7602" s="163">
        <v>45966</v>
      </c>
      <c r="C7602" s="194">
        <v>0.7494791666666667</v>
      </c>
      <c r="D7602" s="174">
        <v>10</v>
      </c>
      <c r="E7602" s="166" t="s">
        <v>537</v>
      </c>
      <c r="F7602" t="s">
        <v>6946</v>
      </c>
    </row>
    <row r="7603" spans="1:6">
      <c r="A7603" s="174">
        <f t="shared" si="111"/>
        <v>7602</v>
      </c>
      <c r="B7603" s="163">
        <v>45966</v>
      </c>
      <c r="C7603" s="194">
        <v>0.73694444444444451</v>
      </c>
      <c r="D7603" s="174">
        <v>10</v>
      </c>
      <c r="E7603" s="166" t="s">
        <v>6487</v>
      </c>
      <c r="F7603" t="s">
        <v>6946</v>
      </c>
    </row>
    <row r="7604" spans="1:6">
      <c r="A7604" s="174">
        <f t="shared" si="111"/>
        <v>7603</v>
      </c>
      <c r="B7604" s="163">
        <v>45966</v>
      </c>
      <c r="C7604" s="194">
        <v>0.71918981481481481</v>
      </c>
      <c r="D7604" s="174">
        <v>10</v>
      </c>
      <c r="E7604" s="166" t="s">
        <v>6811</v>
      </c>
      <c r="F7604" t="s">
        <v>6946</v>
      </c>
    </row>
    <row r="7605" spans="1:6">
      <c r="A7605" s="174">
        <f t="shared" si="111"/>
        <v>7604</v>
      </c>
      <c r="B7605" s="163">
        <v>45987</v>
      </c>
      <c r="C7605" s="194">
        <v>0.508275462962963</v>
      </c>
      <c r="D7605" s="174" t="s">
        <v>7003</v>
      </c>
      <c r="E7605" s="166" t="s">
        <v>7003</v>
      </c>
      <c r="F7605" t="s">
        <v>6946</v>
      </c>
    </row>
    <row r="7606" spans="1:6">
      <c r="A7606" s="174">
        <f t="shared" si="111"/>
        <v>7605</v>
      </c>
      <c r="B7606" s="163">
        <v>45966</v>
      </c>
      <c r="C7606" s="194">
        <v>0.7209374999999999</v>
      </c>
      <c r="D7606" s="174">
        <v>10</v>
      </c>
      <c r="E7606" s="166" t="s">
        <v>6486</v>
      </c>
      <c r="F7606" t="s">
        <v>6946</v>
      </c>
    </row>
    <row r="7607" spans="1:6">
      <c r="A7607" s="174">
        <f t="shared" si="111"/>
        <v>7606</v>
      </c>
      <c r="B7607" s="163">
        <v>45987</v>
      </c>
      <c r="C7607" s="194">
        <v>0.49950231481481483</v>
      </c>
      <c r="D7607" s="174" t="s">
        <v>7003</v>
      </c>
      <c r="E7607" s="166" t="s">
        <v>7003</v>
      </c>
      <c r="F7607" t="s">
        <v>6946</v>
      </c>
    </row>
    <row r="7608" spans="1:6">
      <c r="A7608" s="174">
        <f t="shared" si="111"/>
        <v>7607</v>
      </c>
      <c r="B7608" s="163">
        <v>45966</v>
      </c>
      <c r="C7608" s="194">
        <v>0.69653935185185178</v>
      </c>
      <c r="D7608" s="174">
        <v>10</v>
      </c>
      <c r="E7608" s="166" t="s">
        <v>6485</v>
      </c>
      <c r="F7608" t="s">
        <v>6946</v>
      </c>
    </row>
    <row r="7609" spans="1:6">
      <c r="A7609" s="174">
        <f t="shared" si="111"/>
        <v>7608</v>
      </c>
      <c r="B7609" s="163">
        <v>45966</v>
      </c>
      <c r="C7609" s="194">
        <v>0.69918981481481479</v>
      </c>
      <c r="D7609" s="174">
        <v>10</v>
      </c>
      <c r="E7609" s="166" t="s">
        <v>6812</v>
      </c>
      <c r="F7609" t="s">
        <v>6946</v>
      </c>
    </row>
    <row r="7610" spans="1:6">
      <c r="A7610" s="174">
        <f t="shared" si="111"/>
        <v>7609</v>
      </c>
      <c r="B7610" s="163">
        <v>45966</v>
      </c>
      <c r="C7610" s="194">
        <v>0.67475694444444445</v>
      </c>
      <c r="D7610" s="174">
        <v>10</v>
      </c>
      <c r="E7610" s="166" t="s">
        <v>6484</v>
      </c>
      <c r="F7610" t="s">
        <v>6946</v>
      </c>
    </row>
    <row r="7611" spans="1:6">
      <c r="A7611" s="174">
        <f t="shared" si="111"/>
        <v>7610</v>
      </c>
      <c r="B7611" s="163">
        <v>45966</v>
      </c>
      <c r="C7611" s="194">
        <v>0.64521990740740742</v>
      </c>
      <c r="D7611" s="174">
        <v>10</v>
      </c>
      <c r="E7611" s="166" t="s">
        <v>6483</v>
      </c>
      <c r="F7611" t="s">
        <v>6946</v>
      </c>
    </row>
    <row r="7612" spans="1:6">
      <c r="A7612" s="174">
        <f t="shared" si="111"/>
        <v>7611</v>
      </c>
      <c r="B7612" s="163">
        <v>45987</v>
      </c>
      <c r="C7612" s="194">
        <v>0.45815972222222223</v>
      </c>
      <c r="D7612" s="174" t="s">
        <v>7003</v>
      </c>
      <c r="E7612" s="166" t="s">
        <v>7003</v>
      </c>
      <c r="F7612" t="s">
        <v>6946</v>
      </c>
    </row>
    <row r="7613" spans="1:6">
      <c r="A7613" s="174">
        <f t="shared" si="111"/>
        <v>7612</v>
      </c>
      <c r="B7613" s="163">
        <v>45987</v>
      </c>
      <c r="C7613" s="194">
        <v>0.4488078703703704</v>
      </c>
      <c r="D7613" s="174" t="s">
        <v>7003</v>
      </c>
      <c r="E7613" s="166" t="s">
        <v>7003</v>
      </c>
      <c r="F7613" t="s">
        <v>6946</v>
      </c>
    </row>
    <row r="7614" spans="1:6">
      <c r="A7614" s="174">
        <f t="shared" si="111"/>
        <v>7613</v>
      </c>
      <c r="B7614" s="163">
        <v>45987</v>
      </c>
      <c r="C7614" s="194">
        <v>0.44883101851851853</v>
      </c>
      <c r="D7614" s="174" t="s">
        <v>7003</v>
      </c>
      <c r="E7614" s="166" t="s">
        <v>7003</v>
      </c>
      <c r="F7614" t="s">
        <v>6946</v>
      </c>
    </row>
    <row r="7615" spans="1:6">
      <c r="A7615" s="174">
        <f t="shared" si="111"/>
        <v>7614</v>
      </c>
      <c r="B7615" s="163">
        <v>45966</v>
      </c>
      <c r="C7615" s="194">
        <v>0.64964120370370371</v>
      </c>
      <c r="D7615" s="174">
        <v>10</v>
      </c>
      <c r="E7615" s="166" t="s">
        <v>6482</v>
      </c>
      <c r="F7615" t="s">
        <v>6946</v>
      </c>
    </row>
    <row r="7616" spans="1:6">
      <c r="A7616" s="174">
        <f t="shared" si="111"/>
        <v>7615</v>
      </c>
      <c r="B7616" s="163">
        <v>45987</v>
      </c>
      <c r="C7616" s="194">
        <v>0.44530092592592596</v>
      </c>
      <c r="D7616" s="174" t="s">
        <v>7003</v>
      </c>
      <c r="E7616" s="166" t="s">
        <v>7003</v>
      </c>
      <c r="F7616" t="s">
        <v>6946</v>
      </c>
    </row>
    <row r="7617" spans="1:6">
      <c r="A7617" s="174">
        <f t="shared" si="111"/>
        <v>7616</v>
      </c>
      <c r="B7617" s="163">
        <v>45966</v>
      </c>
      <c r="C7617" s="194">
        <v>0.6213657407407408</v>
      </c>
      <c r="D7617" s="174">
        <v>10</v>
      </c>
      <c r="E7617" s="166" t="s">
        <v>6481</v>
      </c>
      <c r="F7617" t="s">
        <v>6946</v>
      </c>
    </row>
    <row r="7618" spans="1:6">
      <c r="A7618" s="174">
        <f t="shared" si="111"/>
        <v>7617</v>
      </c>
      <c r="B7618" s="163">
        <v>45966</v>
      </c>
      <c r="C7618" s="194">
        <v>0.58834490740740741</v>
      </c>
      <c r="D7618" s="174">
        <v>10</v>
      </c>
      <c r="E7618" s="166" t="s">
        <v>6480</v>
      </c>
      <c r="F7618" t="s">
        <v>6946</v>
      </c>
    </row>
    <row r="7619" spans="1:6">
      <c r="A7619" s="174">
        <f t="shared" si="111"/>
        <v>7618</v>
      </c>
      <c r="B7619" s="163">
        <v>45987</v>
      </c>
      <c r="C7619" s="194">
        <v>0.44856481481481486</v>
      </c>
      <c r="D7619" s="174" t="s">
        <v>7003</v>
      </c>
      <c r="E7619" s="166" t="s">
        <v>7003</v>
      </c>
      <c r="F7619" t="s">
        <v>6946</v>
      </c>
    </row>
    <row r="7620" spans="1:6">
      <c r="A7620" s="174">
        <f t="shared" si="111"/>
        <v>7619</v>
      </c>
      <c r="B7620" s="163">
        <v>45987</v>
      </c>
      <c r="C7620" s="194">
        <v>0.44133101851851847</v>
      </c>
      <c r="D7620" s="174" t="s">
        <v>7003</v>
      </c>
      <c r="E7620" s="166" t="s">
        <v>7003</v>
      </c>
      <c r="F7620" t="s">
        <v>6946</v>
      </c>
    </row>
    <row r="7621" spans="1:6">
      <c r="A7621" s="174">
        <f t="shared" si="111"/>
        <v>7620</v>
      </c>
      <c r="B7621" s="163">
        <v>45987</v>
      </c>
      <c r="C7621" s="194">
        <v>0.43049768518518516</v>
      </c>
      <c r="D7621" s="174" t="s">
        <v>7003</v>
      </c>
      <c r="E7621" s="166" t="s">
        <v>7003</v>
      </c>
      <c r="F7621" t="s">
        <v>6946</v>
      </c>
    </row>
    <row r="7622" spans="1:6">
      <c r="A7622" s="174">
        <f t="shared" si="111"/>
        <v>7621</v>
      </c>
      <c r="B7622" s="163">
        <v>45987</v>
      </c>
      <c r="C7622" s="194">
        <v>0.42023148148148143</v>
      </c>
      <c r="D7622" s="174" t="s">
        <v>7003</v>
      </c>
      <c r="E7622" s="166" t="s">
        <v>7003</v>
      </c>
      <c r="F7622" t="s">
        <v>6946</v>
      </c>
    </row>
    <row r="7623" spans="1:6">
      <c r="A7623" s="174">
        <f t="shared" si="111"/>
        <v>7622</v>
      </c>
      <c r="B7623" s="163">
        <v>45987</v>
      </c>
      <c r="C7623" s="194">
        <v>0.41915509259259259</v>
      </c>
      <c r="D7623" s="174" t="s">
        <v>7003</v>
      </c>
      <c r="E7623" s="166" t="s">
        <v>7003</v>
      </c>
      <c r="F7623" t="s">
        <v>6946</v>
      </c>
    </row>
    <row r="7624" spans="1:6">
      <c r="A7624" s="174">
        <f t="shared" si="111"/>
        <v>7623</v>
      </c>
      <c r="B7624" s="163">
        <v>45987</v>
      </c>
      <c r="C7624" s="194">
        <v>0.41921296296296301</v>
      </c>
      <c r="D7624" s="174" t="s">
        <v>7003</v>
      </c>
      <c r="E7624" s="166" t="s">
        <v>7003</v>
      </c>
      <c r="F7624" t="s">
        <v>6946</v>
      </c>
    </row>
    <row r="7625" spans="1:6">
      <c r="A7625" s="174">
        <f t="shared" si="111"/>
        <v>7624</v>
      </c>
      <c r="B7625" s="163">
        <v>45966</v>
      </c>
      <c r="C7625" s="194">
        <v>0.56960648148148152</v>
      </c>
      <c r="D7625" s="174">
        <v>10</v>
      </c>
      <c r="E7625" s="166" t="s">
        <v>6479</v>
      </c>
      <c r="F7625" t="s">
        <v>6946</v>
      </c>
    </row>
    <row r="7626" spans="1:6">
      <c r="A7626" s="174">
        <f t="shared" si="111"/>
        <v>7625</v>
      </c>
      <c r="B7626" s="163">
        <v>45987</v>
      </c>
      <c r="C7626" s="194">
        <v>0.40968749999999998</v>
      </c>
      <c r="D7626" s="174" t="s">
        <v>7003</v>
      </c>
      <c r="E7626" s="166" t="s">
        <v>7003</v>
      </c>
      <c r="F7626" t="s">
        <v>6946</v>
      </c>
    </row>
    <row r="7627" spans="1:6">
      <c r="A7627" s="174">
        <f t="shared" si="111"/>
        <v>7626</v>
      </c>
      <c r="B7627" s="163">
        <v>45966</v>
      </c>
      <c r="C7627" s="194">
        <v>0.55335648148148142</v>
      </c>
      <c r="D7627" s="174">
        <v>10</v>
      </c>
      <c r="E7627" s="166" t="s">
        <v>6478</v>
      </c>
      <c r="F7627" t="s">
        <v>6946</v>
      </c>
    </row>
    <row r="7628" spans="1:6">
      <c r="A7628" s="174">
        <f t="shared" si="111"/>
        <v>7627</v>
      </c>
      <c r="B7628" s="163">
        <v>45987</v>
      </c>
      <c r="C7628" s="194">
        <v>0.41149305555555554</v>
      </c>
      <c r="D7628" s="174" t="s">
        <v>7003</v>
      </c>
      <c r="E7628" s="166" t="s">
        <v>7003</v>
      </c>
      <c r="F7628" t="s">
        <v>6946</v>
      </c>
    </row>
    <row r="7629" spans="1:6">
      <c r="A7629" s="174">
        <f t="shared" si="111"/>
        <v>7628</v>
      </c>
      <c r="B7629" s="163">
        <v>45966</v>
      </c>
      <c r="C7629" s="194">
        <v>0.5455092592592593</v>
      </c>
      <c r="D7629" s="174">
        <v>10</v>
      </c>
      <c r="E7629" s="166" t="s">
        <v>6477</v>
      </c>
      <c r="F7629" t="s">
        <v>6946</v>
      </c>
    </row>
    <row r="7630" spans="1:6">
      <c r="A7630" s="174">
        <f t="shared" si="111"/>
        <v>7629</v>
      </c>
      <c r="B7630" s="163">
        <v>45966</v>
      </c>
      <c r="C7630" s="194">
        <v>0.4994675925925926</v>
      </c>
      <c r="D7630" s="174">
        <v>10</v>
      </c>
      <c r="E7630" s="166" t="s">
        <v>6476</v>
      </c>
      <c r="F7630" t="s">
        <v>6946</v>
      </c>
    </row>
    <row r="7631" spans="1:6">
      <c r="A7631" s="174">
        <f t="shared" si="111"/>
        <v>7630</v>
      </c>
      <c r="B7631" s="163">
        <v>45987</v>
      </c>
      <c r="C7631" s="194">
        <v>0.41239583333333335</v>
      </c>
      <c r="D7631" s="174" t="s">
        <v>7003</v>
      </c>
      <c r="E7631" s="166" t="s">
        <v>7003</v>
      </c>
      <c r="F7631" t="s">
        <v>6946</v>
      </c>
    </row>
    <row r="7632" spans="1:6">
      <c r="A7632" s="174">
        <f t="shared" si="111"/>
        <v>7631</v>
      </c>
      <c r="B7632" s="163">
        <v>45966</v>
      </c>
      <c r="C7632" s="194">
        <v>0.48752314814814812</v>
      </c>
      <c r="D7632" s="174">
        <v>10</v>
      </c>
      <c r="E7632" s="166" t="s">
        <v>6475</v>
      </c>
      <c r="F7632" t="s">
        <v>6946</v>
      </c>
    </row>
    <row r="7633" spans="1:6">
      <c r="A7633" s="174">
        <f t="shared" si="111"/>
        <v>7632</v>
      </c>
      <c r="B7633" s="163">
        <v>45986</v>
      </c>
      <c r="C7633" s="194">
        <v>0.88921296296296293</v>
      </c>
      <c r="D7633" s="174" t="s">
        <v>7003</v>
      </c>
      <c r="E7633" s="166" t="s">
        <v>7003</v>
      </c>
      <c r="F7633" t="s">
        <v>6946</v>
      </c>
    </row>
    <row r="7634" spans="1:6">
      <c r="A7634" s="174">
        <f t="shared" si="111"/>
        <v>7633</v>
      </c>
      <c r="B7634" s="163">
        <v>45986</v>
      </c>
      <c r="C7634" s="194">
        <v>0.8714467592592593</v>
      </c>
      <c r="D7634" s="174" t="s">
        <v>7003</v>
      </c>
      <c r="E7634" s="166" t="s">
        <v>7003</v>
      </c>
      <c r="F7634" t="s">
        <v>6946</v>
      </c>
    </row>
    <row r="7635" spans="1:6">
      <c r="A7635" s="174">
        <f t="shared" si="111"/>
        <v>7634</v>
      </c>
      <c r="B7635" s="163">
        <v>45986</v>
      </c>
      <c r="C7635" s="194">
        <v>0.87081018518518516</v>
      </c>
      <c r="D7635" s="174" t="s">
        <v>7003</v>
      </c>
      <c r="E7635" s="166" t="s">
        <v>7003</v>
      </c>
      <c r="F7635" t="s">
        <v>6946</v>
      </c>
    </row>
    <row r="7636" spans="1:6">
      <c r="A7636" s="174">
        <f t="shared" si="111"/>
        <v>7635</v>
      </c>
      <c r="B7636" s="163">
        <v>45986</v>
      </c>
      <c r="C7636" s="194">
        <v>0.86956018518518519</v>
      </c>
      <c r="D7636" s="174" t="s">
        <v>7003</v>
      </c>
      <c r="E7636" s="166" t="s">
        <v>7003</v>
      </c>
      <c r="F7636" t="s">
        <v>6946</v>
      </c>
    </row>
    <row r="7637" spans="1:6">
      <c r="A7637" s="174">
        <f t="shared" si="111"/>
        <v>7636</v>
      </c>
      <c r="B7637" s="163">
        <v>45986</v>
      </c>
      <c r="C7637" s="194">
        <v>0.83983796296296298</v>
      </c>
      <c r="D7637" s="174" t="s">
        <v>7003</v>
      </c>
      <c r="E7637" s="166" t="s">
        <v>7003</v>
      </c>
      <c r="F7637" t="s">
        <v>6946</v>
      </c>
    </row>
    <row r="7638" spans="1:6">
      <c r="A7638" s="174">
        <f t="shared" si="111"/>
        <v>7637</v>
      </c>
      <c r="B7638" s="163">
        <v>45966</v>
      </c>
      <c r="C7638" s="194">
        <v>0.48503472222222221</v>
      </c>
      <c r="D7638" s="174">
        <v>8</v>
      </c>
      <c r="E7638" s="166" t="s">
        <v>433</v>
      </c>
      <c r="F7638" t="s">
        <v>6946</v>
      </c>
    </row>
    <row r="7639" spans="1:6">
      <c r="A7639" s="174">
        <f t="shared" si="111"/>
        <v>7638</v>
      </c>
      <c r="B7639" s="163">
        <v>45986</v>
      </c>
      <c r="C7639" s="194">
        <v>0.81355324074074076</v>
      </c>
      <c r="D7639" s="174" t="s">
        <v>7003</v>
      </c>
      <c r="E7639" s="166" t="s">
        <v>7003</v>
      </c>
      <c r="F7639" t="s">
        <v>6946</v>
      </c>
    </row>
    <row r="7640" spans="1:6">
      <c r="A7640" s="174">
        <f t="shared" si="111"/>
        <v>7639</v>
      </c>
      <c r="B7640" s="163">
        <v>45986</v>
      </c>
      <c r="C7640" s="194">
        <v>0.78921296296296306</v>
      </c>
      <c r="D7640" s="174" t="s">
        <v>7003</v>
      </c>
      <c r="E7640" s="166" t="s">
        <v>7003</v>
      </c>
      <c r="F7640" t="s">
        <v>6946</v>
      </c>
    </row>
    <row r="7641" spans="1:6">
      <c r="A7641" s="174">
        <f t="shared" si="111"/>
        <v>7640</v>
      </c>
      <c r="B7641" s="163">
        <v>45986</v>
      </c>
      <c r="C7641" s="194">
        <v>0.78879629629629633</v>
      </c>
      <c r="D7641" s="174" t="s">
        <v>7003</v>
      </c>
      <c r="E7641" s="166" t="s">
        <v>7003</v>
      </c>
      <c r="F7641" t="s">
        <v>6946</v>
      </c>
    </row>
    <row r="7642" spans="1:6">
      <c r="A7642" s="174">
        <f t="shared" si="111"/>
        <v>7641</v>
      </c>
      <c r="B7642" s="163">
        <v>45986</v>
      </c>
      <c r="C7642" s="194">
        <v>0.78716435185185185</v>
      </c>
      <c r="D7642" s="174" t="s">
        <v>7003</v>
      </c>
      <c r="E7642" s="166" t="s">
        <v>7003</v>
      </c>
      <c r="F7642" t="s">
        <v>6946</v>
      </c>
    </row>
    <row r="7643" spans="1:6">
      <c r="A7643" s="174">
        <f t="shared" si="111"/>
        <v>7642</v>
      </c>
      <c r="B7643" s="163">
        <v>45986</v>
      </c>
      <c r="C7643" s="194">
        <v>0.76350694444444445</v>
      </c>
      <c r="D7643" s="174" t="s">
        <v>7003</v>
      </c>
      <c r="E7643" s="166" t="s">
        <v>7003</v>
      </c>
      <c r="F7643" t="s">
        <v>6946</v>
      </c>
    </row>
    <row r="7644" spans="1:6">
      <c r="A7644" s="174">
        <f t="shared" si="111"/>
        <v>7643</v>
      </c>
      <c r="B7644" s="163">
        <v>45986</v>
      </c>
      <c r="C7644" s="194">
        <v>0.76531249999999995</v>
      </c>
      <c r="D7644" s="174" t="s">
        <v>7003</v>
      </c>
      <c r="E7644" s="166" t="s">
        <v>7003</v>
      </c>
      <c r="F7644" t="s">
        <v>6946</v>
      </c>
    </row>
    <row r="7645" spans="1:6">
      <c r="A7645" s="174">
        <f t="shared" si="111"/>
        <v>7644</v>
      </c>
      <c r="B7645" s="163">
        <v>45986</v>
      </c>
      <c r="C7645" s="194">
        <v>0.76446759259259256</v>
      </c>
      <c r="D7645" s="174" t="s">
        <v>7003</v>
      </c>
      <c r="E7645" s="166" t="s">
        <v>7003</v>
      </c>
      <c r="F7645" t="s">
        <v>6946</v>
      </c>
    </row>
    <row r="7646" spans="1:6">
      <c r="A7646" s="174">
        <f t="shared" si="111"/>
        <v>7645</v>
      </c>
      <c r="B7646" s="163">
        <v>45966</v>
      </c>
      <c r="C7646" s="194">
        <v>0.46865740740740741</v>
      </c>
      <c r="D7646" s="174">
        <v>8</v>
      </c>
      <c r="E7646" s="166" t="s">
        <v>288</v>
      </c>
      <c r="F7646" t="s">
        <v>6946</v>
      </c>
    </row>
    <row r="7647" spans="1:6" ht="27">
      <c r="A7647" s="174">
        <f t="shared" si="111"/>
        <v>7646</v>
      </c>
      <c r="B7647" s="163">
        <v>45966</v>
      </c>
      <c r="C7647" s="194">
        <v>0.46134259259259264</v>
      </c>
      <c r="D7647" s="174">
        <v>10</v>
      </c>
      <c r="E7647" s="166" t="s">
        <v>6474</v>
      </c>
      <c r="F7647" t="s">
        <v>6946</v>
      </c>
    </row>
    <row r="7648" spans="1:6">
      <c r="A7648" s="174">
        <f t="shared" si="111"/>
        <v>7647</v>
      </c>
      <c r="B7648" s="163">
        <v>45986</v>
      </c>
      <c r="C7648" s="194">
        <v>0.75252314814814814</v>
      </c>
      <c r="D7648" s="174" t="s">
        <v>7003</v>
      </c>
      <c r="E7648" s="166" t="s">
        <v>7003</v>
      </c>
      <c r="F7648" t="s">
        <v>6946</v>
      </c>
    </row>
    <row r="7649" spans="1:6">
      <c r="A7649" s="174">
        <f t="shared" ref="A7649:A7712" si="112">ROW()-1</f>
        <v>7648</v>
      </c>
      <c r="B7649" s="163">
        <v>45986</v>
      </c>
      <c r="C7649" s="194">
        <v>0.74807870370370377</v>
      </c>
      <c r="D7649" s="174" t="s">
        <v>7003</v>
      </c>
      <c r="E7649" s="166" t="s">
        <v>7003</v>
      </c>
      <c r="F7649" t="s">
        <v>6946</v>
      </c>
    </row>
    <row r="7650" spans="1:6">
      <c r="A7650" s="174">
        <f t="shared" si="112"/>
        <v>7649</v>
      </c>
      <c r="B7650" s="163">
        <v>45966</v>
      </c>
      <c r="C7650" s="194">
        <v>0.4430324074074074</v>
      </c>
      <c r="D7650" s="174">
        <v>10</v>
      </c>
      <c r="E7650" s="166" t="s">
        <v>6473</v>
      </c>
      <c r="F7650" t="s">
        <v>6946</v>
      </c>
    </row>
    <row r="7651" spans="1:6">
      <c r="A7651" s="174">
        <f t="shared" si="112"/>
        <v>7650</v>
      </c>
      <c r="B7651" s="163">
        <v>45986</v>
      </c>
      <c r="C7651" s="194">
        <v>0.76355324074074071</v>
      </c>
      <c r="D7651" s="174" t="s">
        <v>7003</v>
      </c>
      <c r="E7651" s="166" t="s">
        <v>7003</v>
      </c>
      <c r="F7651" t="s">
        <v>6946</v>
      </c>
    </row>
    <row r="7652" spans="1:6">
      <c r="A7652" s="174">
        <f t="shared" si="112"/>
        <v>7651</v>
      </c>
      <c r="B7652" s="163">
        <v>45986</v>
      </c>
      <c r="C7652" s="194">
        <v>0.74693287037037026</v>
      </c>
      <c r="D7652" s="174" t="s">
        <v>7003</v>
      </c>
      <c r="E7652" s="166" t="s">
        <v>7003</v>
      </c>
      <c r="F7652" t="s">
        <v>6946</v>
      </c>
    </row>
    <row r="7653" spans="1:6">
      <c r="A7653" s="174">
        <f t="shared" si="112"/>
        <v>7652</v>
      </c>
      <c r="B7653" s="163">
        <v>45986</v>
      </c>
      <c r="C7653" s="194">
        <v>0.74774305555555554</v>
      </c>
      <c r="D7653" s="174" t="s">
        <v>7003</v>
      </c>
      <c r="E7653" s="166" t="s">
        <v>7003</v>
      </c>
      <c r="F7653" t="s">
        <v>6946</v>
      </c>
    </row>
    <row r="7654" spans="1:6">
      <c r="A7654" s="174">
        <f t="shared" si="112"/>
        <v>7653</v>
      </c>
      <c r="B7654" s="163">
        <v>45986</v>
      </c>
      <c r="C7654" s="194">
        <v>0.73974537037037036</v>
      </c>
      <c r="D7654" s="174" t="s">
        <v>7003</v>
      </c>
      <c r="E7654" s="166" t="s">
        <v>7003</v>
      </c>
      <c r="F7654" t="s">
        <v>6946</v>
      </c>
    </row>
    <row r="7655" spans="1:6">
      <c r="A7655" s="174">
        <f t="shared" si="112"/>
        <v>7654</v>
      </c>
      <c r="B7655" s="163">
        <v>45986</v>
      </c>
      <c r="C7655" s="194">
        <v>0.74850694444444443</v>
      </c>
      <c r="D7655" s="174" t="s">
        <v>7003</v>
      </c>
      <c r="E7655" s="166" t="s">
        <v>7003</v>
      </c>
      <c r="F7655" t="s">
        <v>6946</v>
      </c>
    </row>
    <row r="7656" spans="1:6">
      <c r="A7656" s="174">
        <f t="shared" si="112"/>
        <v>7655</v>
      </c>
      <c r="B7656" s="163">
        <v>45966</v>
      </c>
      <c r="C7656" s="194">
        <v>0.43943287037037032</v>
      </c>
      <c r="D7656" s="174">
        <v>10</v>
      </c>
      <c r="E7656" s="166" t="s">
        <v>2398</v>
      </c>
      <c r="F7656" t="s">
        <v>6946</v>
      </c>
    </row>
    <row r="7657" spans="1:6">
      <c r="A7657" s="174">
        <f t="shared" si="112"/>
        <v>7656</v>
      </c>
      <c r="B7657" s="163">
        <v>45986</v>
      </c>
      <c r="C7657" s="194">
        <v>0.72760416666666661</v>
      </c>
      <c r="D7657" s="174" t="s">
        <v>7003</v>
      </c>
      <c r="E7657" s="166" t="s">
        <v>7003</v>
      </c>
      <c r="F7657" t="s">
        <v>6946</v>
      </c>
    </row>
    <row r="7658" spans="1:6">
      <c r="A7658" s="174">
        <f t="shared" si="112"/>
        <v>7657</v>
      </c>
      <c r="B7658" s="163">
        <v>45966</v>
      </c>
      <c r="C7658" s="194">
        <v>0.41099537037037037</v>
      </c>
      <c r="D7658" s="174">
        <v>10</v>
      </c>
      <c r="E7658" s="166" t="s">
        <v>6472</v>
      </c>
      <c r="F7658" t="s">
        <v>6946</v>
      </c>
    </row>
    <row r="7659" spans="1:6">
      <c r="A7659" s="174">
        <f t="shared" si="112"/>
        <v>7658</v>
      </c>
      <c r="B7659" s="163">
        <v>45986</v>
      </c>
      <c r="C7659" s="194">
        <v>0.72215277777777775</v>
      </c>
      <c r="D7659" s="174" t="s">
        <v>7003</v>
      </c>
      <c r="E7659" s="166" t="s">
        <v>7003</v>
      </c>
      <c r="F7659" t="s">
        <v>6946</v>
      </c>
    </row>
    <row r="7660" spans="1:6">
      <c r="A7660" s="174">
        <f t="shared" si="112"/>
        <v>7659</v>
      </c>
      <c r="B7660" s="163">
        <v>45986</v>
      </c>
      <c r="C7660" s="194">
        <v>0.70886574074074071</v>
      </c>
      <c r="D7660" s="174" t="s">
        <v>7003</v>
      </c>
      <c r="E7660" s="166" t="s">
        <v>7003</v>
      </c>
      <c r="F7660" t="s">
        <v>6946</v>
      </c>
    </row>
    <row r="7661" spans="1:6">
      <c r="A7661" s="174">
        <f t="shared" si="112"/>
        <v>7660</v>
      </c>
      <c r="B7661" s="163">
        <v>45986</v>
      </c>
      <c r="C7661" s="194">
        <v>0.69703703703703701</v>
      </c>
      <c r="D7661" s="174" t="s">
        <v>7003</v>
      </c>
      <c r="E7661" s="166" t="s">
        <v>7003</v>
      </c>
      <c r="F7661" t="s">
        <v>6946</v>
      </c>
    </row>
    <row r="7662" spans="1:6">
      <c r="A7662" s="174">
        <f t="shared" si="112"/>
        <v>7661</v>
      </c>
      <c r="B7662" s="163">
        <v>45967</v>
      </c>
      <c r="C7662" s="194">
        <v>0.91692129629629626</v>
      </c>
      <c r="D7662" s="174">
        <v>10</v>
      </c>
      <c r="E7662" s="166" t="s">
        <v>6528</v>
      </c>
      <c r="F7662" t="s">
        <v>6946</v>
      </c>
    </row>
    <row r="7663" spans="1:6">
      <c r="A7663" s="174">
        <f t="shared" si="112"/>
        <v>7662</v>
      </c>
      <c r="B7663" s="163">
        <v>45967</v>
      </c>
      <c r="C7663" s="194">
        <v>0.91300925925925924</v>
      </c>
      <c r="D7663" s="174">
        <v>10</v>
      </c>
      <c r="E7663" s="166" t="s">
        <v>6527</v>
      </c>
      <c r="F7663" t="s">
        <v>6946</v>
      </c>
    </row>
    <row r="7664" spans="1:6">
      <c r="A7664" s="174">
        <f t="shared" si="112"/>
        <v>7663</v>
      </c>
      <c r="B7664" s="163">
        <v>45986</v>
      </c>
      <c r="C7664" s="194">
        <v>0.70886574074074071</v>
      </c>
      <c r="D7664" s="174" t="s">
        <v>7003</v>
      </c>
      <c r="E7664" s="166" t="s">
        <v>7003</v>
      </c>
      <c r="F7664" t="s">
        <v>6946</v>
      </c>
    </row>
    <row r="7665" spans="1:6">
      <c r="A7665" s="174">
        <f t="shared" si="112"/>
        <v>7664</v>
      </c>
      <c r="B7665" s="163">
        <v>45986</v>
      </c>
      <c r="C7665" s="194">
        <v>0.69306712962962969</v>
      </c>
      <c r="D7665" s="174" t="s">
        <v>7003</v>
      </c>
      <c r="E7665" s="166" t="s">
        <v>7003</v>
      </c>
      <c r="F7665" t="s">
        <v>6946</v>
      </c>
    </row>
    <row r="7666" spans="1:6">
      <c r="A7666" s="174">
        <f t="shared" si="112"/>
        <v>7665</v>
      </c>
      <c r="B7666" s="163">
        <v>45986</v>
      </c>
      <c r="C7666" s="194">
        <v>0.69885416666666667</v>
      </c>
      <c r="D7666" s="174" t="s">
        <v>7003</v>
      </c>
      <c r="E7666" s="166" t="s">
        <v>7003</v>
      </c>
      <c r="F7666" t="s">
        <v>6946</v>
      </c>
    </row>
    <row r="7667" spans="1:6">
      <c r="A7667" s="174">
        <f t="shared" si="112"/>
        <v>7666</v>
      </c>
      <c r="B7667" s="163">
        <v>45986</v>
      </c>
      <c r="C7667" s="194">
        <v>0.68664351851851846</v>
      </c>
      <c r="D7667" s="174" t="s">
        <v>7003</v>
      </c>
      <c r="E7667" s="166" t="s">
        <v>7003</v>
      </c>
      <c r="F7667" t="s">
        <v>6946</v>
      </c>
    </row>
    <row r="7668" spans="1:6">
      <c r="A7668" s="174">
        <f t="shared" si="112"/>
        <v>7667</v>
      </c>
      <c r="B7668" s="163">
        <v>45986</v>
      </c>
      <c r="C7668" s="194">
        <v>0.68975694444444446</v>
      </c>
      <c r="D7668" s="174" t="s">
        <v>7003</v>
      </c>
      <c r="E7668" s="166" t="s">
        <v>7003</v>
      </c>
      <c r="F7668" t="s">
        <v>6946</v>
      </c>
    </row>
    <row r="7669" spans="1:6">
      <c r="A7669" s="174">
        <f t="shared" si="112"/>
        <v>7668</v>
      </c>
      <c r="B7669" s="163">
        <v>45986</v>
      </c>
      <c r="C7669" s="194">
        <v>0.69953703703703696</v>
      </c>
      <c r="D7669" s="174" t="s">
        <v>7003</v>
      </c>
      <c r="E7669" s="166" t="s">
        <v>7003</v>
      </c>
      <c r="F7669" t="s">
        <v>6946</v>
      </c>
    </row>
    <row r="7670" spans="1:6">
      <c r="A7670" s="174">
        <f t="shared" si="112"/>
        <v>7669</v>
      </c>
      <c r="B7670" s="163">
        <v>45986</v>
      </c>
      <c r="C7670" s="194">
        <v>0.68439814814814814</v>
      </c>
      <c r="D7670" s="174" t="s">
        <v>7003</v>
      </c>
      <c r="E7670" s="166" t="s">
        <v>7003</v>
      </c>
      <c r="F7670" t="s">
        <v>6946</v>
      </c>
    </row>
    <row r="7671" spans="1:6">
      <c r="A7671" s="174">
        <f t="shared" si="112"/>
        <v>7670</v>
      </c>
      <c r="B7671" s="163">
        <v>45986</v>
      </c>
      <c r="C7671" s="194">
        <v>0.6840856481481481</v>
      </c>
      <c r="D7671" s="174" t="s">
        <v>7003</v>
      </c>
      <c r="E7671" s="166" t="s">
        <v>7003</v>
      </c>
      <c r="F7671" t="s">
        <v>6946</v>
      </c>
    </row>
    <row r="7672" spans="1:6">
      <c r="A7672" s="174">
        <f t="shared" si="112"/>
        <v>7671</v>
      </c>
      <c r="B7672" s="163">
        <v>45967</v>
      </c>
      <c r="C7672" s="194">
        <v>0.88898148148148148</v>
      </c>
      <c r="D7672" s="174">
        <v>10</v>
      </c>
      <c r="E7672" s="166" t="s">
        <v>6526</v>
      </c>
      <c r="F7672" t="s">
        <v>6946</v>
      </c>
    </row>
    <row r="7673" spans="1:6">
      <c r="A7673" s="174">
        <f t="shared" si="112"/>
        <v>7672</v>
      </c>
      <c r="B7673" s="163">
        <v>45967</v>
      </c>
      <c r="C7673" s="194">
        <v>0.83453703703703708</v>
      </c>
      <c r="D7673" s="174">
        <v>10</v>
      </c>
      <c r="E7673" s="166" t="s">
        <v>6525</v>
      </c>
      <c r="F7673" t="s">
        <v>6946</v>
      </c>
    </row>
    <row r="7674" spans="1:6" ht="27">
      <c r="A7674" s="174">
        <f t="shared" si="112"/>
        <v>7673</v>
      </c>
      <c r="B7674" s="163">
        <v>45967</v>
      </c>
      <c r="C7674" s="194">
        <v>0.83062499999999995</v>
      </c>
      <c r="D7674" s="174">
        <v>10</v>
      </c>
      <c r="E7674" s="166" t="s">
        <v>6944</v>
      </c>
      <c r="F7674" t="s">
        <v>6946</v>
      </c>
    </row>
    <row r="7675" spans="1:6">
      <c r="A7675" s="174">
        <f t="shared" si="112"/>
        <v>7674</v>
      </c>
      <c r="B7675" s="163">
        <v>45967</v>
      </c>
      <c r="C7675" s="194">
        <v>0.81686342592592587</v>
      </c>
      <c r="D7675" s="174">
        <v>10</v>
      </c>
      <c r="E7675" s="166" t="s">
        <v>6524</v>
      </c>
      <c r="F7675" t="s">
        <v>6946</v>
      </c>
    </row>
    <row r="7676" spans="1:6">
      <c r="A7676" s="174">
        <f t="shared" si="112"/>
        <v>7675</v>
      </c>
      <c r="B7676" s="163">
        <v>45986</v>
      </c>
      <c r="C7676" s="194">
        <v>0.66959490740740746</v>
      </c>
      <c r="D7676" s="174" t="s">
        <v>7003</v>
      </c>
      <c r="E7676" s="166" t="s">
        <v>7003</v>
      </c>
      <c r="F7676" t="s">
        <v>6946</v>
      </c>
    </row>
    <row r="7677" spans="1:6">
      <c r="A7677" s="174">
        <f t="shared" si="112"/>
        <v>7676</v>
      </c>
      <c r="B7677" s="163">
        <v>45986</v>
      </c>
      <c r="C7677" s="194">
        <v>0.66370370370370368</v>
      </c>
      <c r="D7677" s="174" t="s">
        <v>7003</v>
      </c>
      <c r="E7677" s="166" t="s">
        <v>7003</v>
      </c>
      <c r="F7677" t="s">
        <v>6946</v>
      </c>
    </row>
    <row r="7678" spans="1:6">
      <c r="A7678" s="174">
        <f t="shared" si="112"/>
        <v>7677</v>
      </c>
      <c r="B7678" s="163">
        <v>45986</v>
      </c>
      <c r="C7678" s="194">
        <v>0.66508101851851853</v>
      </c>
      <c r="D7678" s="174" t="s">
        <v>7003</v>
      </c>
      <c r="E7678" s="166" t="s">
        <v>7003</v>
      </c>
      <c r="F7678" t="s">
        <v>6946</v>
      </c>
    </row>
    <row r="7679" spans="1:6">
      <c r="A7679" s="174">
        <f t="shared" si="112"/>
        <v>7678</v>
      </c>
      <c r="B7679" s="163">
        <v>45967</v>
      </c>
      <c r="C7679" s="194">
        <v>0.81004629629629632</v>
      </c>
      <c r="D7679" s="174">
        <v>10</v>
      </c>
      <c r="E7679" s="166" t="s">
        <v>6523</v>
      </c>
      <c r="F7679" t="s">
        <v>6946</v>
      </c>
    </row>
    <row r="7680" spans="1:6">
      <c r="A7680" s="174">
        <f t="shared" si="112"/>
        <v>7679</v>
      </c>
      <c r="B7680" s="163">
        <v>45986</v>
      </c>
      <c r="C7680" s="194">
        <v>0.64870370370370367</v>
      </c>
      <c r="D7680" s="174" t="s">
        <v>7003</v>
      </c>
      <c r="E7680" s="166" t="s">
        <v>7003</v>
      </c>
      <c r="F7680" t="s">
        <v>6946</v>
      </c>
    </row>
    <row r="7681" spans="1:6">
      <c r="A7681" s="174">
        <f t="shared" si="112"/>
        <v>7680</v>
      </c>
      <c r="B7681" s="163">
        <v>45986</v>
      </c>
      <c r="C7681" s="194">
        <v>0.63692129629629635</v>
      </c>
      <c r="D7681" s="174" t="s">
        <v>7003</v>
      </c>
      <c r="E7681" s="166" t="s">
        <v>7003</v>
      </c>
      <c r="F7681" t="s">
        <v>6946</v>
      </c>
    </row>
    <row r="7682" spans="1:6">
      <c r="A7682" s="174">
        <f t="shared" si="112"/>
        <v>7681</v>
      </c>
      <c r="B7682" s="163">
        <v>45986</v>
      </c>
      <c r="C7682" s="194">
        <v>0.64096064814814813</v>
      </c>
      <c r="D7682" s="174" t="s">
        <v>7003</v>
      </c>
      <c r="E7682" s="166" t="s">
        <v>7003</v>
      </c>
      <c r="F7682" t="s">
        <v>6946</v>
      </c>
    </row>
    <row r="7683" spans="1:6">
      <c r="A7683" s="174">
        <f t="shared" si="112"/>
        <v>7682</v>
      </c>
      <c r="B7683" s="163">
        <v>45986</v>
      </c>
      <c r="C7683" s="194">
        <v>0.63649305555555558</v>
      </c>
      <c r="D7683" s="174" t="s">
        <v>7003</v>
      </c>
      <c r="E7683" s="166" t="s">
        <v>7003</v>
      </c>
      <c r="F7683" t="s">
        <v>6946</v>
      </c>
    </row>
    <row r="7684" spans="1:6">
      <c r="A7684" s="174">
        <f t="shared" si="112"/>
        <v>7683</v>
      </c>
      <c r="B7684" s="163">
        <v>45967</v>
      </c>
      <c r="C7684" s="194">
        <v>0.78248842592592593</v>
      </c>
      <c r="D7684" s="174">
        <v>10</v>
      </c>
      <c r="E7684" s="166" t="s">
        <v>6522</v>
      </c>
      <c r="F7684" t="s">
        <v>6946</v>
      </c>
    </row>
    <row r="7685" spans="1:6">
      <c r="A7685" s="174">
        <f t="shared" si="112"/>
        <v>7684</v>
      </c>
      <c r="B7685" s="163">
        <v>45967</v>
      </c>
      <c r="C7685" s="194">
        <v>0.75127314814814816</v>
      </c>
      <c r="D7685" s="174">
        <v>10</v>
      </c>
      <c r="E7685" s="166" t="s">
        <v>6521</v>
      </c>
      <c r="F7685" t="s">
        <v>6946</v>
      </c>
    </row>
    <row r="7686" spans="1:6">
      <c r="A7686" s="174">
        <f t="shared" si="112"/>
        <v>7685</v>
      </c>
      <c r="B7686" s="163">
        <v>45986</v>
      </c>
      <c r="C7686" s="194">
        <v>0.63951388888888883</v>
      </c>
      <c r="D7686" s="174" t="s">
        <v>7003</v>
      </c>
      <c r="E7686" s="166" t="s">
        <v>7003</v>
      </c>
      <c r="F7686" t="s">
        <v>6946</v>
      </c>
    </row>
    <row r="7687" spans="1:6">
      <c r="A7687" s="174">
        <f t="shared" si="112"/>
        <v>7686</v>
      </c>
      <c r="B7687" s="163">
        <v>45986</v>
      </c>
      <c r="C7687" s="194">
        <v>0.62333333333333341</v>
      </c>
      <c r="D7687" s="174" t="s">
        <v>7003</v>
      </c>
      <c r="E7687" s="166" t="s">
        <v>7003</v>
      </c>
      <c r="F7687" t="s">
        <v>6946</v>
      </c>
    </row>
    <row r="7688" spans="1:6">
      <c r="A7688" s="174">
        <f t="shared" si="112"/>
        <v>7687</v>
      </c>
      <c r="B7688" s="163">
        <v>45986</v>
      </c>
      <c r="C7688" s="194">
        <v>0.61516203703703709</v>
      </c>
      <c r="D7688" s="174" t="s">
        <v>7003</v>
      </c>
      <c r="E7688" s="166" t="s">
        <v>7003</v>
      </c>
      <c r="F7688" t="s">
        <v>6946</v>
      </c>
    </row>
    <row r="7689" spans="1:6">
      <c r="A7689" s="174">
        <f t="shared" si="112"/>
        <v>7688</v>
      </c>
      <c r="B7689" s="163">
        <v>45986</v>
      </c>
      <c r="C7689" s="194">
        <v>0.61089120370370364</v>
      </c>
      <c r="D7689" s="174" t="s">
        <v>7003</v>
      </c>
      <c r="E7689" s="166" t="s">
        <v>7003</v>
      </c>
      <c r="F7689" t="s">
        <v>6946</v>
      </c>
    </row>
    <row r="7690" spans="1:6">
      <c r="A7690" s="174">
        <f t="shared" si="112"/>
        <v>7689</v>
      </c>
      <c r="B7690" s="163">
        <v>45967</v>
      </c>
      <c r="C7690" s="194">
        <v>0.75133101851851858</v>
      </c>
      <c r="D7690" s="174">
        <v>10</v>
      </c>
      <c r="E7690" s="166" t="s">
        <v>6520</v>
      </c>
      <c r="F7690" t="s">
        <v>6946</v>
      </c>
    </row>
    <row r="7691" spans="1:6">
      <c r="A7691" s="174">
        <f t="shared" si="112"/>
        <v>7690</v>
      </c>
      <c r="B7691" s="163">
        <v>45986</v>
      </c>
      <c r="C7691" s="194">
        <v>0.60149305555555554</v>
      </c>
      <c r="D7691" s="174" t="s">
        <v>7003</v>
      </c>
      <c r="E7691" s="166" t="s">
        <v>7003</v>
      </c>
      <c r="F7691" t="s">
        <v>6946</v>
      </c>
    </row>
    <row r="7692" spans="1:6">
      <c r="A7692" s="174">
        <f t="shared" si="112"/>
        <v>7691</v>
      </c>
      <c r="B7692" s="163">
        <v>45986</v>
      </c>
      <c r="C7692" s="194">
        <v>0.59569444444444442</v>
      </c>
      <c r="D7692" s="174" t="s">
        <v>7003</v>
      </c>
      <c r="E7692" s="166" t="s">
        <v>7003</v>
      </c>
      <c r="F7692" t="s">
        <v>6946</v>
      </c>
    </row>
    <row r="7693" spans="1:6">
      <c r="A7693" s="174">
        <f t="shared" si="112"/>
        <v>7692</v>
      </c>
      <c r="B7693" s="163">
        <v>45986</v>
      </c>
      <c r="C7693" s="194">
        <v>0.6051157407407407</v>
      </c>
      <c r="D7693" s="174" t="s">
        <v>7003</v>
      </c>
      <c r="E7693" s="166" t="s">
        <v>7003</v>
      </c>
      <c r="F7693" t="s">
        <v>6946</v>
      </c>
    </row>
    <row r="7694" spans="1:6">
      <c r="A7694" s="174">
        <f t="shared" si="112"/>
        <v>7693</v>
      </c>
      <c r="B7694" s="163">
        <v>45986</v>
      </c>
      <c r="C7694" s="194">
        <v>0.60497685185185179</v>
      </c>
      <c r="D7694" s="174" t="s">
        <v>7003</v>
      </c>
      <c r="E7694" s="166" t="s">
        <v>7003</v>
      </c>
      <c r="F7694" t="s">
        <v>6946</v>
      </c>
    </row>
    <row r="7695" spans="1:6">
      <c r="A7695" s="174">
        <f t="shared" si="112"/>
        <v>7694</v>
      </c>
      <c r="B7695" s="163">
        <v>45986</v>
      </c>
      <c r="C7695" s="194">
        <v>0.59519675925925919</v>
      </c>
      <c r="D7695" s="174" t="s">
        <v>7003</v>
      </c>
      <c r="E7695" s="166" t="s">
        <v>7003</v>
      </c>
      <c r="F7695" t="s">
        <v>6946</v>
      </c>
    </row>
    <row r="7696" spans="1:6">
      <c r="A7696" s="174">
        <f t="shared" si="112"/>
        <v>7695</v>
      </c>
      <c r="B7696" s="163">
        <v>45986</v>
      </c>
      <c r="C7696" s="194">
        <v>0.60439814814814818</v>
      </c>
      <c r="D7696" s="174" t="s">
        <v>7003</v>
      </c>
      <c r="E7696" s="166" t="s">
        <v>7003</v>
      </c>
      <c r="F7696" t="s">
        <v>6946</v>
      </c>
    </row>
    <row r="7697" spans="1:6">
      <c r="A7697" s="174">
        <f t="shared" si="112"/>
        <v>7696</v>
      </c>
      <c r="B7697" s="163">
        <v>45986</v>
      </c>
      <c r="C7697" s="194">
        <v>0.5866203703703704</v>
      </c>
      <c r="D7697" s="174" t="s">
        <v>7003</v>
      </c>
      <c r="E7697" s="166" t="s">
        <v>7003</v>
      </c>
      <c r="F7697" t="s">
        <v>6946</v>
      </c>
    </row>
    <row r="7698" spans="1:6">
      <c r="A7698" s="174">
        <f t="shared" si="112"/>
        <v>7697</v>
      </c>
      <c r="B7698" s="163">
        <v>45967</v>
      </c>
      <c r="C7698" s="194">
        <v>0.75034722222222217</v>
      </c>
      <c r="D7698" s="174">
        <v>10</v>
      </c>
      <c r="E7698" s="166" t="s">
        <v>6519</v>
      </c>
      <c r="F7698" t="s">
        <v>6946</v>
      </c>
    </row>
    <row r="7699" spans="1:6">
      <c r="A7699" s="174">
        <f t="shared" si="112"/>
        <v>7698</v>
      </c>
      <c r="B7699" s="163">
        <v>45967</v>
      </c>
      <c r="C7699" s="194">
        <v>0.74103009259259256</v>
      </c>
      <c r="D7699" s="174">
        <v>10</v>
      </c>
      <c r="E7699" s="166" t="s">
        <v>6518</v>
      </c>
      <c r="F7699" t="s">
        <v>6946</v>
      </c>
    </row>
    <row r="7700" spans="1:6">
      <c r="A7700" s="174">
        <f t="shared" si="112"/>
        <v>7699</v>
      </c>
      <c r="B7700" s="163">
        <v>45967</v>
      </c>
      <c r="C7700" s="194">
        <v>0.72637731481481482</v>
      </c>
      <c r="D7700" s="174">
        <v>10</v>
      </c>
      <c r="E7700" s="166" t="s">
        <v>6517</v>
      </c>
      <c r="F7700" t="s">
        <v>6946</v>
      </c>
    </row>
    <row r="7701" spans="1:6">
      <c r="A7701" s="174">
        <f t="shared" si="112"/>
        <v>7700</v>
      </c>
      <c r="B7701" s="163">
        <v>45986</v>
      </c>
      <c r="C7701" s="194">
        <v>0.58241898148148141</v>
      </c>
      <c r="D7701" s="174" t="s">
        <v>7003</v>
      </c>
      <c r="E7701" s="166" t="s">
        <v>7003</v>
      </c>
      <c r="F7701" t="s">
        <v>6946</v>
      </c>
    </row>
    <row r="7702" spans="1:6">
      <c r="A7702" s="174">
        <f t="shared" si="112"/>
        <v>7701</v>
      </c>
      <c r="B7702" s="163">
        <v>45986</v>
      </c>
      <c r="C7702" s="194">
        <v>0.59578703703703706</v>
      </c>
      <c r="D7702" s="174" t="s">
        <v>7003</v>
      </c>
      <c r="E7702" s="166" t="s">
        <v>7003</v>
      </c>
      <c r="F7702" t="s">
        <v>6946</v>
      </c>
    </row>
    <row r="7703" spans="1:6">
      <c r="A7703" s="174">
        <f t="shared" si="112"/>
        <v>7702</v>
      </c>
      <c r="B7703" s="163">
        <v>45986</v>
      </c>
      <c r="C7703" s="194">
        <v>0.59675925925925932</v>
      </c>
      <c r="D7703" s="174" t="s">
        <v>7003</v>
      </c>
      <c r="E7703" s="166" t="s">
        <v>7003</v>
      </c>
      <c r="F7703" t="s">
        <v>6946</v>
      </c>
    </row>
    <row r="7704" spans="1:6">
      <c r="A7704" s="174">
        <f t="shared" si="112"/>
        <v>7703</v>
      </c>
      <c r="B7704" s="163">
        <v>45986</v>
      </c>
      <c r="C7704" s="194">
        <v>0.56862268518518522</v>
      </c>
      <c r="D7704" s="174" t="s">
        <v>7003</v>
      </c>
      <c r="E7704" s="166" t="s">
        <v>7003</v>
      </c>
      <c r="F7704" t="s">
        <v>6946</v>
      </c>
    </row>
    <row r="7705" spans="1:6">
      <c r="A7705" s="174">
        <f t="shared" si="112"/>
        <v>7704</v>
      </c>
      <c r="B7705" s="163">
        <v>45986</v>
      </c>
      <c r="C7705" s="194">
        <v>0.5720601851851852</v>
      </c>
      <c r="D7705" s="174" t="s">
        <v>7003</v>
      </c>
      <c r="E7705" s="166" t="s">
        <v>7003</v>
      </c>
      <c r="F7705" t="s">
        <v>6946</v>
      </c>
    </row>
    <row r="7706" spans="1:6">
      <c r="A7706" s="174">
        <f t="shared" si="112"/>
        <v>7705</v>
      </c>
      <c r="B7706" s="163">
        <v>45986</v>
      </c>
      <c r="C7706" s="194">
        <v>0.5801736111111111</v>
      </c>
      <c r="D7706" s="174" t="s">
        <v>7003</v>
      </c>
      <c r="E7706" s="166" t="s">
        <v>7003</v>
      </c>
      <c r="F7706" t="s">
        <v>6946</v>
      </c>
    </row>
    <row r="7707" spans="1:6">
      <c r="A7707" s="174">
        <f t="shared" si="112"/>
        <v>7706</v>
      </c>
      <c r="B7707" s="163">
        <v>45967</v>
      </c>
      <c r="C7707" s="194">
        <v>0.71901620370370367</v>
      </c>
      <c r="D7707" s="174">
        <v>10</v>
      </c>
      <c r="E7707" s="166" t="s">
        <v>6516</v>
      </c>
      <c r="F7707" t="s">
        <v>6946</v>
      </c>
    </row>
    <row r="7708" spans="1:6">
      <c r="A7708" s="174">
        <f t="shared" si="112"/>
        <v>7707</v>
      </c>
      <c r="B7708" s="163">
        <v>45986</v>
      </c>
      <c r="C7708" s="194">
        <v>0.58190972222222226</v>
      </c>
      <c r="D7708" s="174" t="s">
        <v>7003</v>
      </c>
      <c r="E7708" s="166" t="s">
        <v>7003</v>
      </c>
      <c r="F7708" t="s">
        <v>6946</v>
      </c>
    </row>
    <row r="7709" spans="1:6">
      <c r="A7709" s="174">
        <f t="shared" si="112"/>
        <v>7708</v>
      </c>
      <c r="B7709" s="163">
        <v>45986</v>
      </c>
      <c r="C7709" s="194">
        <v>0.55299768518518522</v>
      </c>
      <c r="D7709" s="174" t="s">
        <v>7003</v>
      </c>
      <c r="E7709" s="166" t="s">
        <v>7003</v>
      </c>
      <c r="F7709" t="s">
        <v>6946</v>
      </c>
    </row>
    <row r="7710" spans="1:6">
      <c r="A7710" s="174">
        <f t="shared" si="112"/>
        <v>7709</v>
      </c>
      <c r="B7710" s="163">
        <v>45986</v>
      </c>
      <c r="C7710" s="194">
        <v>0.58168981481481474</v>
      </c>
      <c r="D7710" s="174" t="s">
        <v>7003</v>
      </c>
      <c r="E7710" s="166" t="s">
        <v>7003</v>
      </c>
      <c r="F7710" t="s">
        <v>6946</v>
      </c>
    </row>
    <row r="7711" spans="1:6">
      <c r="A7711" s="174">
        <f t="shared" si="112"/>
        <v>7710</v>
      </c>
      <c r="B7711" s="163">
        <v>45986</v>
      </c>
      <c r="C7711" s="194">
        <v>0.56428240740740743</v>
      </c>
      <c r="D7711" s="174" t="s">
        <v>7003</v>
      </c>
      <c r="E7711" s="166" t="s">
        <v>7003</v>
      </c>
      <c r="F7711" t="s">
        <v>6946</v>
      </c>
    </row>
    <row r="7712" spans="1:6">
      <c r="A7712" s="174">
        <f t="shared" si="112"/>
        <v>7711</v>
      </c>
      <c r="B7712" s="163">
        <v>45986</v>
      </c>
      <c r="C7712" s="194">
        <v>0.55106481481481484</v>
      </c>
      <c r="D7712" s="174" t="s">
        <v>7003</v>
      </c>
      <c r="E7712" s="166" t="s">
        <v>7003</v>
      </c>
      <c r="F7712" t="s">
        <v>6946</v>
      </c>
    </row>
    <row r="7713" spans="1:6">
      <c r="A7713" s="174">
        <f t="shared" ref="A7713:A7776" si="113">ROW()-1</f>
        <v>7712</v>
      </c>
      <c r="B7713" s="163">
        <v>45986</v>
      </c>
      <c r="C7713" s="194">
        <v>0.55454861111111109</v>
      </c>
      <c r="D7713" s="174" t="s">
        <v>7003</v>
      </c>
      <c r="E7713" s="166" t="s">
        <v>7003</v>
      </c>
      <c r="F7713" t="s">
        <v>6946</v>
      </c>
    </row>
    <row r="7714" spans="1:6">
      <c r="A7714" s="174">
        <f t="shared" si="113"/>
        <v>7713</v>
      </c>
      <c r="B7714" s="163">
        <v>45986</v>
      </c>
      <c r="C7714" s="194">
        <v>0.54287037037037034</v>
      </c>
      <c r="D7714" s="174" t="s">
        <v>7003</v>
      </c>
      <c r="E7714" s="166" t="s">
        <v>7003</v>
      </c>
      <c r="F7714" t="s">
        <v>6946</v>
      </c>
    </row>
    <row r="7715" spans="1:6">
      <c r="A7715" s="174">
        <f t="shared" si="113"/>
        <v>7714</v>
      </c>
      <c r="B7715" s="163">
        <v>45986</v>
      </c>
      <c r="C7715" s="194">
        <v>0.53576388888888882</v>
      </c>
      <c r="D7715" s="174" t="s">
        <v>7003</v>
      </c>
      <c r="E7715" s="166" t="s">
        <v>7003</v>
      </c>
      <c r="F7715" t="s">
        <v>6946</v>
      </c>
    </row>
    <row r="7716" spans="1:6">
      <c r="A7716" s="174">
        <f t="shared" si="113"/>
        <v>7715</v>
      </c>
      <c r="B7716" s="163">
        <v>45967</v>
      </c>
      <c r="C7716" s="194">
        <v>0.71168981481481486</v>
      </c>
      <c r="D7716" s="174">
        <v>10</v>
      </c>
      <c r="E7716" s="166" t="s">
        <v>6515</v>
      </c>
      <c r="F7716" t="s">
        <v>6946</v>
      </c>
    </row>
    <row r="7717" spans="1:6">
      <c r="A7717" s="174">
        <f t="shared" si="113"/>
        <v>7716</v>
      </c>
      <c r="B7717" s="163">
        <v>45986</v>
      </c>
      <c r="C7717" s="194">
        <v>0.6725578703703704</v>
      </c>
      <c r="D7717" s="174" t="s">
        <v>7003</v>
      </c>
      <c r="E7717" s="166" t="s">
        <v>7003</v>
      </c>
      <c r="F7717" t="s">
        <v>6946</v>
      </c>
    </row>
    <row r="7718" spans="1:6">
      <c r="A7718" s="174">
        <f t="shared" si="113"/>
        <v>7717</v>
      </c>
      <c r="B7718" s="163">
        <v>45986</v>
      </c>
      <c r="C7718" s="194">
        <v>0.4990856481481481</v>
      </c>
      <c r="D7718" s="174" t="s">
        <v>7003</v>
      </c>
      <c r="E7718" s="166" t="s">
        <v>7003</v>
      </c>
      <c r="F7718" t="s">
        <v>6946</v>
      </c>
    </row>
    <row r="7719" spans="1:6">
      <c r="A7719" s="174">
        <f t="shared" si="113"/>
        <v>7718</v>
      </c>
      <c r="B7719" s="163">
        <v>45986</v>
      </c>
      <c r="C7719" s="194">
        <v>0.50556712962962969</v>
      </c>
      <c r="D7719" s="174" t="s">
        <v>7003</v>
      </c>
      <c r="E7719" s="166" t="s">
        <v>7003</v>
      </c>
      <c r="F7719" t="s">
        <v>6946</v>
      </c>
    </row>
    <row r="7720" spans="1:6">
      <c r="A7720" s="174">
        <f t="shared" si="113"/>
        <v>7719</v>
      </c>
      <c r="B7720" s="163">
        <v>45986</v>
      </c>
      <c r="C7720" s="194">
        <v>0.48962962962962964</v>
      </c>
      <c r="D7720" s="174" t="s">
        <v>7003</v>
      </c>
      <c r="E7720" s="166" t="s">
        <v>7003</v>
      </c>
      <c r="F7720" t="s">
        <v>6946</v>
      </c>
    </row>
    <row r="7721" spans="1:6">
      <c r="A7721" s="174">
        <f t="shared" si="113"/>
        <v>7720</v>
      </c>
      <c r="B7721" s="163">
        <v>45986</v>
      </c>
      <c r="C7721" s="194">
        <v>0.49534722222222222</v>
      </c>
      <c r="D7721" s="174" t="s">
        <v>7003</v>
      </c>
      <c r="E7721" s="166" t="s">
        <v>7003</v>
      </c>
      <c r="F7721" t="s">
        <v>6946</v>
      </c>
    </row>
    <row r="7722" spans="1:6">
      <c r="A7722" s="174">
        <f t="shared" si="113"/>
        <v>7721</v>
      </c>
      <c r="B7722" s="163">
        <v>45986</v>
      </c>
      <c r="C7722" s="194">
        <v>0.48540509259259257</v>
      </c>
      <c r="D7722" s="174" t="s">
        <v>7003</v>
      </c>
      <c r="E7722" s="166" t="s">
        <v>7003</v>
      </c>
      <c r="F7722" t="s">
        <v>6946</v>
      </c>
    </row>
    <row r="7723" spans="1:6">
      <c r="A7723" s="174">
        <f t="shared" si="113"/>
        <v>7722</v>
      </c>
      <c r="B7723" s="163">
        <v>45986</v>
      </c>
      <c r="C7723" s="194">
        <v>0.4947685185185185</v>
      </c>
      <c r="D7723" s="174" t="s">
        <v>7003</v>
      </c>
      <c r="E7723" s="166" t="s">
        <v>7003</v>
      </c>
      <c r="F7723" t="s">
        <v>6946</v>
      </c>
    </row>
    <row r="7724" spans="1:6">
      <c r="A7724" s="174">
        <f t="shared" si="113"/>
        <v>7723</v>
      </c>
      <c r="B7724" s="163">
        <v>45986</v>
      </c>
      <c r="C7724" s="194">
        <v>0.49170138888888887</v>
      </c>
      <c r="D7724" s="174" t="s">
        <v>7003</v>
      </c>
      <c r="E7724" s="166" t="s">
        <v>7003</v>
      </c>
      <c r="F7724" t="s">
        <v>6946</v>
      </c>
    </row>
    <row r="7725" spans="1:6">
      <c r="A7725" s="174">
        <f t="shared" si="113"/>
        <v>7724</v>
      </c>
      <c r="B7725" s="163">
        <v>45986</v>
      </c>
      <c r="C7725" s="194">
        <v>0.49532407407407408</v>
      </c>
      <c r="D7725" s="174" t="s">
        <v>7003</v>
      </c>
      <c r="E7725" s="166" t="s">
        <v>7003</v>
      </c>
      <c r="F7725" t="s">
        <v>6946</v>
      </c>
    </row>
    <row r="7726" spans="1:6">
      <c r="A7726" s="174">
        <f t="shared" si="113"/>
        <v>7725</v>
      </c>
      <c r="B7726" s="163">
        <v>45986</v>
      </c>
      <c r="C7726" s="194">
        <v>0.71087962962962958</v>
      </c>
      <c r="D7726" s="174" t="s">
        <v>7003</v>
      </c>
      <c r="E7726" s="166" t="s">
        <v>7003</v>
      </c>
      <c r="F7726" t="s">
        <v>6946</v>
      </c>
    </row>
    <row r="7727" spans="1:6">
      <c r="A7727" s="174">
        <f t="shared" si="113"/>
        <v>7726</v>
      </c>
      <c r="B7727" s="163">
        <v>45967</v>
      </c>
      <c r="C7727" s="194">
        <v>0.68547453703703709</v>
      </c>
      <c r="D7727" s="174">
        <v>10</v>
      </c>
      <c r="E7727" s="166" t="s">
        <v>6514</v>
      </c>
      <c r="F7727" t="s">
        <v>6946</v>
      </c>
    </row>
    <row r="7728" spans="1:6">
      <c r="A7728" s="174">
        <f t="shared" si="113"/>
        <v>7727</v>
      </c>
      <c r="B7728" s="163">
        <v>45986</v>
      </c>
      <c r="C7728" s="194">
        <v>0.4846759259259259</v>
      </c>
      <c r="D7728" s="174" t="s">
        <v>7003</v>
      </c>
      <c r="E7728" s="166" t="s">
        <v>7003</v>
      </c>
      <c r="F7728" t="s">
        <v>6946</v>
      </c>
    </row>
    <row r="7729" spans="1:6">
      <c r="A7729" s="174">
        <f t="shared" si="113"/>
        <v>7728</v>
      </c>
      <c r="B7729" s="163">
        <v>45967</v>
      </c>
      <c r="C7729" s="194">
        <v>0.69148148148148147</v>
      </c>
      <c r="D7729" s="174">
        <v>10</v>
      </c>
      <c r="E7729" s="166" t="s">
        <v>6513</v>
      </c>
      <c r="F7729" t="s">
        <v>6946</v>
      </c>
    </row>
    <row r="7730" spans="1:6">
      <c r="A7730" s="174">
        <f t="shared" si="113"/>
        <v>7729</v>
      </c>
      <c r="B7730" s="163">
        <v>45986</v>
      </c>
      <c r="C7730" s="194">
        <v>0.49092592592592593</v>
      </c>
      <c r="D7730" s="174" t="s">
        <v>7003</v>
      </c>
      <c r="E7730" s="166" t="s">
        <v>7003</v>
      </c>
      <c r="F7730" t="s">
        <v>6946</v>
      </c>
    </row>
    <row r="7731" spans="1:6">
      <c r="A7731" s="174">
        <f t="shared" si="113"/>
        <v>7730</v>
      </c>
      <c r="B7731" s="163">
        <v>45986</v>
      </c>
      <c r="C7731" s="194">
        <v>0.47960648148148149</v>
      </c>
      <c r="D7731" s="174" t="s">
        <v>7003</v>
      </c>
      <c r="E7731" s="166" t="s">
        <v>7003</v>
      </c>
      <c r="F7731" t="s">
        <v>6946</v>
      </c>
    </row>
    <row r="7732" spans="1:6">
      <c r="A7732" s="174">
        <f t="shared" si="113"/>
        <v>7731</v>
      </c>
      <c r="B7732" s="163">
        <v>45986</v>
      </c>
      <c r="C7732" s="194">
        <v>0.49540509259259258</v>
      </c>
      <c r="D7732" s="174" t="s">
        <v>7003</v>
      </c>
      <c r="E7732" s="166" t="s">
        <v>7003</v>
      </c>
      <c r="F7732" t="s">
        <v>6946</v>
      </c>
    </row>
    <row r="7733" spans="1:6">
      <c r="A7733" s="174">
        <f t="shared" si="113"/>
        <v>7732</v>
      </c>
      <c r="B7733" s="163">
        <v>45967</v>
      </c>
      <c r="C7733" s="194">
        <v>0.66092592592592592</v>
      </c>
      <c r="D7733" s="174">
        <v>10</v>
      </c>
      <c r="E7733" s="166" t="s">
        <v>4982</v>
      </c>
      <c r="F7733" t="s">
        <v>6946</v>
      </c>
    </row>
    <row r="7734" spans="1:6">
      <c r="A7734" s="174">
        <f t="shared" si="113"/>
        <v>7733</v>
      </c>
      <c r="B7734" s="163">
        <v>45967</v>
      </c>
      <c r="C7734" s="194">
        <v>0.67434027777777772</v>
      </c>
      <c r="D7734" s="174">
        <v>10</v>
      </c>
      <c r="E7734" s="166" t="s">
        <v>6512</v>
      </c>
      <c r="F7734" t="s">
        <v>6946</v>
      </c>
    </row>
    <row r="7735" spans="1:6">
      <c r="A7735" s="174">
        <f t="shared" si="113"/>
        <v>7734</v>
      </c>
      <c r="B7735" s="163">
        <v>45986</v>
      </c>
      <c r="C7735" s="194">
        <v>0.47729166666666667</v>
      </c>
      <c r="D7735" s="174" t="s">
        <v>7003</v>
      </c>
      <c r="E7735" s="166" t="s">
        <v>7003</v>
      </c>
      <c r="F7735" t="s">
        <v>6946</v>
      </c>
    </row>
    <row r="7736" spans="1:6">
      <c r="A7736" s="174">
        <f t="shared" si="113"/>
        <v>7735</v>
      </c>
      <c r="B7736" s="163">
        <v>45967</v>
      </c>
      <c r="C7736" s="194">
        <v>0.63085648148148155</v>
      </c>
      <c r="D7736" s="174">
        <v>10</v>
      </c>
      <c r="E7736" s="166" t="s">
        <v>179</v>
      </c>
      <c r="F7736" t="s">
        <v>6946</v>
      </c>
    </row>
    <row r="7737" spans="1:6">
      <c r="A7737" s="174">
        <f t="shared" si="113"/>
        <v>7736</v>
      </c>
      <c r="B7737" s="163">
        <v>45967</v>
      </c>
      <c r="C7737" s="194">
        <v>0.62888888888888894</v>
      </c>
      <c r="D7737" s="174">
        <v>10</v>
      </c>
      <c r="E7737" s="166" t="s">
        <v>6511</v>
      </c>
      <c r="F7737" t="s">
        <v>6946</v>
      </c>
    </row>
    <row r="7738" spans="1:6">
      <c r="A7738" s="174">
        <f t="shared" si="113"/>
        <v>7737</v>
      </c>
      <c r="B7738" s="163">
        <v>45986</v>
      </c>
      <c r="C7738" s="194">
        <v>0.48592592592592593</v>
      </c>
      <c r="D7738" s="174" t="s">
        <v>7003</v>
      </c>
      <c r="E7738" s="166" t="s">
        <v>7003</v>
      </c>
      <c r="F7738" t="s">
        <v>6946</v>
      </c>
    </row>
    <row r="7739" spans="1:6">
      <c r="A7739" s="174">
        <f t="shared" si="113"/>
        <v>7738</v>
      </c>
      <c r="B7739" s="163">
        <v>45986</v>
      </c>
      <c r="C7739" s="194">
        <v>0.48928240740740742</v>
      </c>
      <c r="D7739" s="174" t="s">
        <v>7003</v>
      </c>
      <c r="E7739" s="166" t="s">
        <v>7003</v>
      </c>
      <c r="F7739" t="s">
        <v>6946</v>
      </c>
    </row>
    <row r="7740" spans="1:6">
      <c r="A7740" s="174">
        <f t="shared" si="113"/>
        <v>7739</v>
      </c>
      <c r="B7740" s="163">
        <v>45967</v>
      </c>
      <c r="C7740" s="194">
        <v>0.61310185185185184</v>
      </c>
      <c r="D7740" s="174">
        <v>10</v>
      </c>
      <c r="E7740" s="166" t="s">
        <v>6510</v>
      </c>
      <c r="F7740" t="s">
        <v>6946</v>
      </c>
    </row>
    <row r="7741" spans="1:6">
      <c r="A7741" s="174">
        <f t="shared" si="113"/>
        <v>7740</v>
      </c>
      <c r="B7741" s="163">
        <v>45986</v>
      </c>
      <c r="C7741" s="194">
        <v>0.45098379629629631</v>
      </c>
      <c r="D7741" s="174" t="s">
        <v>7003</v>
      </c>
      <c r="E7741" s="166" t="s">
        <v>7003</v>
      </c>
      <c r="F7741" t="s">
        <v>6946</v>
      </c>
    </row>
    <row r="7742" spans="1:6">
      <c r="A7742" s="174">
        <f t="shared" si="113"/>
        <v>7741</v>
      </c>
      <c r="B7742" s="163">
        <v>45986</v>
      </c>
      <c r="C7742" s="194">
        <v>0.44375000000000003</v>
      </c>
      <c r="D7742" s="174" t="s">
        <v>7003</v>
      </c>
      <c r="E7742" s="166" t="s">
        <v>7003</v>
      </c>
      <c r="F7742" t="s">
        <v>6946</v>
      </c>
    </row>
    <row r="7743" spans="1:6">
      <c r="A7743" s="174">
        <f t="shared" si="113"/>
        <v>7742</v>
      </c>
      <c r="B7743" s="163">
        <v>45986</v>
      </c>
      <c r="C7743" s="194">
        <v>0.44377314814814817</v>
      </c>
      <c r="D7743" s="174" t="s">
        <v>7003</v>
      </c>
      <c r="E7743" s="166" t="s">
        <v>7003</v>
      </c>
      <c r="F7743" t="s">
        <v>6946</v>
      </c>
    </row>
    <row r="7744" spans="1:6">
      <c r="A7744" s="174">
        <f t="shared" si="113"/>
        <v>7743</v>
      </c>
      <c r="B7744" s="163">
        <v>45986</v>
      </c>
      <c r="C7744" s="194">
        <v>0.43578703703703708</v>
      </c>
      <c r="D7744" s="174" t="s">
        <v>7003</v>
      </c>
      <c r="E7744" s="166" t="s">
        <v>7003</v>
      </c>
      <c r="F7744" t="s">
        <v>6946</v>
      </c>
    </row>
    <row r="7745" spans="1:6">
      <c r="A7745" s="174">
        <f t="shared" si="113"/>
        <v>7744</v>
      </c>
      <c r="B7745" s="163">
        <v>45986</v>
      </c>
      <c r="C7745" s="194">
        <v>0.4299189814814815</v>
      </c>
      <c r="D7745" s="174" t="s">
        <v>7003</v>
      </c>
      <c r="E7745" s="166" t="s">
        <v>7003</v>
      </c>
      <c r="F7745" t="s">
        <v>6946</v>
      </c>
    </row>
    <row r="7746" spans="1:6">
      <c r="A7746" s="174">
        <f t="shared" si="113"/>
        <v>7745</v>
      </c>
      <c r="B7746" s="163">
        <v>45967</v>
      </c>
      <c r="C7746" s="194">
        <v>0.61315972222222226</v>
      </c>
      <c r="D7746" s="174">
        <v>10</v>
      </c>
      <c r="E7746" s="166" t="s">
        <v>6509</v>
      </c>
      <c r="F7746" t="s">
        <v>6946</v>
      </c>
    </row>
    <row r="7747" spans="1:6">
      <c r="A7747" s="174">
        <f t="shared" si="113"/>
        <v>7746</v>
      </c>
      <c r="B7747" s="163">
        <v>45986</v>
      </c>
      <c r="C7747" s="194">
        <v>0.42468750000000005</v>
      </c>
      <c r="D7747" s="174" t="s">
        <v>7003</v>
      </c>
      <c r="E7747" s="166" t="s">
        <v>7003</v>
      </c>
      <c r="F7747" t="s">
        <v>6946</v>
      </c>
    </row>
    <row r="7748" spans="1:6">
      <c r="A7748" s="174">
        <f t="shared" si="113"/>
        <v>7747</v>
      </c>
      <c r="B7748" s="163">
        <v>45967</v>
      </c>
      <c r="C7748" s="194">
        <v>0.59633101851851855</v>
      </c>
      <c r="D7748" s="174">
        <v>10</v>
      </c>
      <c r="E7748" s="166" t="s">
        <v>6508</v>
      </c>
      <c r="F7748" t="s">
        <v>6946</v>
      </c>
    </row>
    <row r="7749" spans="1:6">
      <c r="A7749" s="174">
        <f t="shared" si="113"/>
        <v>7748</v>
      </c>
      <c r="B7749" s="163">
        <v>45986</v>
      </c>
      <c r="C7749" s="194">
        <v>0.42325231481481485</v>
      </c>
      <c r="D7749" s="174" t="s">
        <v>7003</v>
      </c>
      <c r="E7749" s="166" t="s">
        <v>7003</v>
      </c>
      <c r="F7749" t="s">
        <v>6946</v>
      </c>
    </row>
    <row r="7750" spans="1:6">
      <c r="A7750" s="174">
        <f t="shared" si="113"/>
        <v>7749</v>
      </c>
      <c r="B7750" s="163">
        <v>45986</v>
      </c>
      <c r="C7750" s="194">
        <v>0.42596064814814816</v>
      </c>
      <c r="D7750" s="174" t="s">
        <v>7003</v>
      </c>
      <c r="E7750" s="166" t="s">
        <v>7003</v>
      </c>
      <c r="F7750" t="s">
        <v>6946</v>
      </c>
    </row>
    <row r="7751" spans="1:6">
      <c r="A7751" s="174">
        <f t="shared" si="113"/>
        <v>7750</v>
      </c>
      <c r="B7751" s="163">
        <v>45967</v>
      </c>
      <c r="C7751" s="194">
        <v>0.58611111111111114</v>
      </c>
      <c r="D7751" s="174">
        <v>10</v>
      </c>
      <c r="E7751" s="166" t="s">
        <v>6507</v>
      </c>
      <c r="F7751" t="s">
        <v>6946</v>
      </c>
    </row>
    <row r="7752" spans="1:6">
      <c r="A7752" s="174">
        <f t="shared" si="113"/>
        <v>7751</v>
      </c>
      <c r="B7752" s="163">
        <v>45986</v>
      </c>
      <c r="C7752" s="194">
        <v>0.40592592592592597</v>
      </c>
      <c r="D7752" s="174" t="s">
        <v>7003</v>
      </c>
      <c r="E7752" s="166" t="s">
        <v>7003</v>
      </c>
      <c r="F7752" t="s">
        <v>6946</v>
      </c>
    </row>
    <row r="7753" spans="1:6">
      <c r="A7753" s="174">
        <f t="shared" si="113"/>
        <v>7752</v>
      </c>
      <c r="B7753" s="163">
        <v>45986</v>
      </c>
      <c r="C7753" s="194">
        <v>0.39962962962962961</v>
      </c>
      <c r="D7753" s="174" t="s">
        <v>7003</v>
      </c>
      <c r="E7753" s="166" t="s">
        <v>7003</v>
      </c>
      <c r="F7753" t="s">
        <v>6946</v>
      </c>
    </row>
    <row r="7754" spans="1:6">
      <c r="A7754" s="174">
        <f t="shared" si="113"/>
        <v>7753</v>
      </c>
      <c r="B7754" s="163">
        <v>45985</v>
      </c>
      <c r="C7754" s="194">
        <v>0.904363425925926</v>
      </c>
      <c r="D7754" s="174" t="s">
        <v>7003</v>
      </c>
      <c r="E7754" s="166" t="s">
        <v>7003</v>
      </c>
      <c r="F7754" t="s">
        <v>6946</v>
      </c>
    </row>
    <row r="7755" spans="1:6">
      <c r="A7755" s="174">
        <f t="shared" si="113"/>
        <v>7754</v>
      </c>
      <c r="B7755" s="163">
        <v>45985</v>
      </c>
      <c r="C7755" s="194">
        <v>0.89393518518518522</v>
      </c>
      <c r="D7755" s="174" t="s">
        <v>7003</v>
      </c>
      <c r="E7755" s="166" t="s">
        <v>7003</v>
      </c>
      <c r="F7755" t="s">
        <v>6946</v>
      </c>
    </row>
    <row r="7756" spans="1:6">
      <c r="A7756" s="174">
        <f t="shared" si="113"/>
        <v>7755</v>
      </c>
      <c r="B7756" s="163">
        <v>45985</v>
      </c>
      <c r="C7756" s="194">
        <v>0.89515046296296286</v>
      </c>
      <c r="D7756" s="174" t="s">
        <v>7003</v>
      </c>
      <c r="E7756" s="166" t="s">
        <v>7003</v>
      </c>
      <c r="F7756" t="s">
        <v>6946</v>
      </c>
    </row>
    <row r="7757" spans="1:6">
      <c r="A7757" s="174">
        <f t="shared" si="113"/>
        <v>7756</v>
      </c>
      <c r="B7757" s="163">
        <v>45985</v>
      </c>
      <c r="C7757" s="194">
        <v>0.88836805555555554</v>
      </c>
      <c r="D7757" s="174" t="s">
        <v>7003</v>
      </c>
      <c r="E7757" s="166" t="s">
        <v>7003</v>
      </c>
      <c r="F7757" t="s">
        <v>6946</v>
      </c>
    </row>
    <row r="7758" spans="1:6">
      <c r="A7758" s="174">
        <f t="shared" si="113"/>
        <v>7757</v>
      </c>
      <c r="B7758" s="163">
        <v>45986</v>
      </c>
      <c r="C7758" s="194">
        <v>0.59385416666666668</v>
      </c>
      <c r="D7758" s="174" t="s">
        <v>7003</v>
      </c>
      <c r="E7758" s="166" t="s">
        <v>7003</v>
      </c>
      <c r="F7758" t="s">
        <v>6946</v>
      </c>
    </row>
    <row r="7759" spans="1:6">
      <c r="A7759" s="174">
        <f t="shared" si="113"/>
        <v>7758</v>
      </c>
      <c r="B7759" s="163">
        <v>45985</v>
      </c>
      <c r="C7759" s="194">
        <v>0.86782407407407414</v>
      </c>
      <c r="D7759" s="174" t="s">
        <v>7003</v>
      </c>
      <c r="E7759" s="166" t="s">
        <v>7003</v>
      </c>
      <c r="F7759" t="s">
        <v>6946</v>
      </c>
    </row>
    <row r="7760" spans="1:6">
      <c r="A7760" s="174">
        <f t="shared" si="113"/>
        <v>7759</v>
      </c>
      <c r="B7760" s="163">
        <v>45985</v>
      </c>
      <c r="C7760" s="194">
        <v>0.87200231481481483</v>
      </c>
      <c r="D7760" s="174" t="s">
        <v>7003</v>
      </c>
      <c r="E7760" s="166" t="s">
        <v>7003</v>
      </c>
      <c r="F7760" t="s">
        <v>6946</v>
      </c>
    </row>
    <row r="7761" spans="1:6">
      <c r="A7761" s="174">
        <f t="shared" si="113"/>
        <v>7760</v>
      </c>
      <c r="B7761" s="163">
        <v>45967</v>
      </c>
      <c r="C7761" s="194">
        <v>0.57995370370370369</v>
      </c>
      <c r="D7761" s="174">
        <v>10</v>
      </c>
      <c r="E7761" s="166" t="s">
        <v>6506</v>
      </c>
      <c r="F7761" t="s">
        <v>6946</v>
      </c>
    </row>
    <row r="7762" spans="1:6">
      <c r="A7762" s="174">
        <f t="shared" si="113"/>
        <v>7761</v>
      </c>
      <c r="B7762" s="163">
        <v>45967</v>
      </c>
      <c r="C7762" s="194">
        <v>0.54027777777777775</v>
      </c>
      <c r="D7762" s="174">
        <v>10</v>
      </c>
      <c r="E7762" s="166" t="s">
        <v>6505</v>
      </c>
      <c r="F7762" t="s">
        <v>6946</v>
      </c>
    </row>
    <row r="7763" spans="1:6">
      <c r="A7763" s="174">
        <f t="shared" si="113"/>
        <v>7762</v>
      </c>
      <c r="B7763" s="163">
        <v>45985</v>
      </c>
      <c r="C7763" s="194">
        <v>0.82418981481481479</v>
      </c>
      <c r="D7763" s="174" t="s">
        <v>7003</v>
      </c>
      <c r="E7763" s="166" t="s">
        <v>7003</v>
      </c>
      <c r="F7763" t="s">
        <v>6946</v>
      </c>
    </row>
    <row r="7764" spans="1:6">
      <c r="A7764" s="174">
        <f t="shared" si="113"/>
        <v>7763</v>
      </c>
      <c r="B7764" s="163">
        <v>45967</v>
      </c>
      <c r="C7764" s="194">
        <v>0.50555555555555554</v>
      </c>
      <c r="D7764" s="174">
        <v>10</v>
      </c>
      <c r="E7764" s="166" t="s">
        <v>6504</v>
      </c>
      <c r="F7764" t="s">
        <v>6946</v>
      </c>
    </row>
    <row r="7765" spans="1:6">
      <c r="A7765" s="174">
        <f t="shared" si="113"/>
        <v>7764</v>
      </c>
      <c r="B7765" s="163">
        <v>45985</v>
      </c>
      <c r="C7765" s="194">
        <v>0.79453703703703704</v>
      </c>
      <c r="D7765" s="174" t="s">
        <v>7003</v>
      </c>
      <c r="E7765" s="166" t="s">
        <v>7003</v>
      </c>
      <c r="F7765" t="s">
        <v>6946</v>
      </c>
    </row>
    <row r="7766" spans="1:6">
      <c r="A7766" s="174">
        <f t="shared" si="113"/>
        <v>7765</v>
      </c>
      <c r="B7766" s="163">
        <v>45967</v>
      </c>
      <c r="C7766" s="194">
        <v>0.48851851851851852</v>
      </c>
      <c r="D7766" s="174">
        <v>10</v>
      </c>
      <c r="E7766" s="166" t="s">
        <v>6503</v>
      </c>
      <c r="F7766" t="s">
        <v>6946</v>
      </c>
    </row>
    <row r="7767" spans="1:6">
      <c r="A7767" s="174">
        <f t="shared" si="113"/>
        <v>7766</v>
      </c>
      <c r="B7767" s="163">
        <v>45985</v>
      </c>
      <c r="C7767" s="194">
        <v>0.7869328703703703</v>
      </c>
      <c r="D7767" s="174" t="s">
        <v>7003</v>
      </c>
      <c r="E7767" s="166" t="s">
        <v>7003</v>
      </c>
      <c r="F7767" t="s">
        <v>6946</v>
      </c>
    </row>
    <row r="7768" spans="1:6">
      <c r="A7768" s="174">
        <f t="shared" si="113"/>
        <v>7767</v>
      </c>
      <c r="B7768" s="163">
        <v>45967</v>
      </c>
      <c r="C7768" s="194">
        <v>0.46483796296296293</v>
      </c>
      <c r="D7768" s="174">
        <v>10</v>
      </c>
      <c r="E7768" s="166" t="s">
        <v>6502</v>
      </c>
      <c r="F7768" t="s">
        <v>6946</v>
      </c>
    </row>
    <row r="7769" spans="1:6">
      <c r="A7769" s="174">
        <f t="shared" si="113"/>
        <v>7768</v>
      </c>
      <c r="B7769" s="163">
        <v>45985</v>
      </c>
      <c r="C7769" s="194">
        <v>0.79697916666666668</v>
      </c>
      <c r="D7769" s="174" t="s">
        <v>7003</v>
      </c>
      <c r="E7769" s="166" t="s">
        <v>7003</v>
      </c>
      <c r="F7769" t="s">
        <v>6946</v>
      </c>
    </row>
    <row r="7770" spans="1:6">
      <c r="A7770" s="174">
        <f t="shared" si="113"/>
        <v>7769</v>
      </c>
      <c r="B7770" s="163">
        <v>45985</v>
      </c>
      <c r="C7770" s="194">
        <v>0.78309027777777773</v>
      </c>
      <c r="D7770" s="174" t="s">
        <v>7003</v>
      </c>
      <c r="E7770" s="166" t="s">
        <v>7003</v>
      </c>
      <c r="F7770" t="s">
        <v>6946</v>
      </c>
    </row>
    <row r="7771" spans="1:6">
      <c r="A7771" s="174">
        <f t="shared" si="113"/>
        <v>7770</v>
      </c>
      <c r="B7771" s="163">
        <v>45985</v>
      </c>
      <c r="C7771" s="194">
        <v>0.78320601851851857</v>
      </c>
      <c r="D7771" s="174" t="s">
        <v>7003</v>
      </c>
      <c r="E7771" s="166" t="s">
        <v>7003</v>
      </c>
      <c r="F7771" t="s">
        <v>6946</v>
      </c>
    </row>
    <row r="7772" spans="1:6">
      <c r="A7772" s="174">
        <f t="shared" si="113"/>
        <v>7771</v>
      </c>
      <c r="B7772" s="163">
        <v>45985</v>
      </c>
      <c r="C7772" s="194">
        <v>0.76415509259259251</v>
      </c>
      <c r="D7772" s="174" t="s">
        <v>7003</v>
      </c>
      <c r="E7772" s="166" t="s">
        <v>7003</v>
      </c>
      <c r="F7772" t="s">
        <v>6946</v>
      </c>
    </row>
    <row r="7773" spans="1:6">
      <c r="A7773" s="174">
        <f t="shared" si="113"/>
        <v>7772</v>
      </c>
      <c r="B7773" s="163">
        <v>45985</v>
      </c>
      <c r="C7773" s="194">
        <v>0.75642361111111101</v>
      </c>
      <c r="D7773" s="174" t="s">
        <v>7003</v>
      </c>
      <c r="E7773" s="166" t="s">
        <v>7003</v>
      </c>
      <c r="F7773" t="s">
        <v>6946</v>
      </c>
    </row>
    <row r="7774" spans="1:6">
      <c r="A7774" s="174">
        <f t="shared" si="113"/>
        <v>7773</v>
      </c>
      <c r="B7774" s="163">
        <v>45967</v>
      </c>
      <c r="C7774" s="194">
        <v>0.45471064814814816</v>
      </c>
      <c r="D7774" s="174">
        <v>10</v>
      </c>
      <c r="E7774" s="166" t="s">
        <v>6501</v>
      </c>
      <c r="F7774" t="s">
        <v>6946</v>
      </c>
    </row>
    <row r="7775" spans="1:6">
      <c r="A7775" s="174">
        <f t="shared" si="113"/>
        <v>7774</v>
      </c>
      <c r="B7775" s="163">
        <v>45985</v>
      </c>
      <c r="C7775" s="194">
        <v>0.75111111111111117</v>
      </c>
      <c r="D7775" s="174" t="s">
        <v>7003</v>
      </c>
      <c r="E7775" s="166" t="s">
        <v>7003</v>
      </c>
      <c r="F7775" t="s">
        <v>6946</v>
      </c>
    </row>
    <row r="7776" spans="1:6">
      <c r="A7776" s="174">
        <f t="shared" si="113"/>
        <v>7775</v>
      </c>
      <c r="B7776" s="163">
        <v>45985</v>
      </c>
      <c r="C7776" s="194">
        <v>0.75497685185185182</v>
      </c>
      <c r="D7776" s="174" t="s">
        <v>7003</v>
      </c>
      <c r="E7776" s="166" t="s">
        <v>7003</v>
      </c>
      <c r="F7776" t="s">
        <v>6946</v>
      </c>
    </row>
    <row r="7777" spans="1:6">
      <c r="A7777" s="174">
        <f t="shared" ref="A7777:A7840" si="114">ROW()-1</f>
        <v>7776</v>
      </c>
      <c r="B7777" s="163">
        <v>45985</v>
      </c>
      <c r="C7777" s="194">
        <v>0.75650462962962972</v>
      </c>
      <c r="D7777" s="174" t="s">
        <v>7003</v>
      </c>
      <c r="E7777" s="166" t="s">
        <v>7003</v>
      </c>
      <c r="F7777" t="s">
        <v>6946</v>
      </c>
    </row>
    <row r="7778" spans="1:6">
      <c r="A7778" s="174">
        <f t="shared" si="114"/>
        <v>7777</v>
      </c>
      <c r="B7778" s="163">
        <v>45985</v>
      </c>
      <c r="C7778" s="194">
        <v>0.75037037037037047</v>
      </c>
      <c r="D7778" s="174" t="s">
        <v>7003</v>
      </c>
      <c r="E7778" s="166" t="s">
        <v>7003</v>
      </c>
      <c r="F7778" t="s">
        <v>6946</v>
      </c>
    </row>
    <row r="7779" spans="1:6">
      <c r="A7779" s="174">
        <f t="shared" si="114"/>
        <v>7778</v>
      </c>
      <c r="B7779" s="163">
        <v>45985</v>
      </c>
      <c r="C7779" s="194">
        <v>0.75002314814814808</v>
      </c>
      <c r="D7779" s="174" t="s">
        <v>7003</v>
      </c>
      <c r="E7779" s="166" t="s">
        <v>7003</v>
      </c>
      <c r="F7779" t="s">
        <v>6946</v>
      </c>
    </row>
    <row r="7780" spans="1:6">
      <c r="A7780" s="174">
        <f t="shared" si="114"/>
        <v>7779</v>
      </c>
      <c r="B7780" s="163">
        <v>45985</v>
      </c>
      <c r="C7780" s="194">
        <v>0.75107638888888895</v>
      </c>
      <c r="D7780" s="174" t="s">
        <v>7003</v>
      </c>
      <c r="E7780" s="166" t="s">
        <v>7003</v>
      </c>
      <c r="F7780" t="s">
        <v>6946</v>
      </c>
    </row>
    <row r="7781" spans="1:6">
      <c r="A7781" s="174">
        <f t="shared" si="114"/>
        <v>7780</v>
      </c>
      <c r="B7781" s="163">
        <v>45985</v>
      </c>
      <c r="C7781" s="194">
        <v>0.74293981481481486</v>
      </c>
      <c r="D7781" s="174" t="s">
        <v>7003</v>
      </c>
      <c r="E7781" s="166" t="s">
        <v>7003</v>
      </c>
      <c r="F7781" t="s">
        <v>6946</v>
      </c>
    </row>
    <row r="7782" spans="1:6">
      <c r="A7782" s="174">
        <f t="shared" si="114"/>
        <v>7781</v>
      </c>
      <c r="B7782" s="163">
        <v>45985</v>
      </c>
      <c r="C7782" s="194">
        <v>0.74261574074074066</v>
      </c>
      <c r="D7782" s="174" t="s">
        <v>7003</v>
      </c>
      <c r="E7782" s="166" t="s">
        <v>7003</v>
      </c>
      <c r="F7782" t="s">
        <v>6946</v>
      </c>
    </row>
    <row r="7783" spans="1:6">
      <c r="A7783" s="174">
        <f t="shared" si="114"/>
        <v>7782</v>
      </c>
      <c r="B7783" s="163">
        <v>45967</v>
      </c>
      <c r="C7783" s="194">
        <v>0.45012731481481483</v>
      </c>
      <c r="D7783" s="174">
        <v>10</v>
      </c>
      <c r="E7783" s="166" t="s">
        <v>406</v>
      </c>
      <c r="F7783" t="s">
        <v>6946</v>
      </c>
    </row>
    <row r="7784" spans="1:6">
      <c r="A7784" s="174">
        <f t="shared" si="114"/>
        <v>7783</v>
      </c>
      <c r="B7784" s="163">
        <v>45985</v>
      </c>
      <c r="C7784" s="194">
        <v>0.74844907407407402</v>
      </c>
      <c r="D7784" s="174" t="s">
        <v>7003</v>
      </c>
      <c r="E7784" s="166" t="s">
        <v>7003</v>
      </c>
      <c r="F7784" t="s">
        <v>6946</v>
      </c>
    </row>
    <row r="7785" spans="1:6">
      <c r="A7785" s="174">
        <f t="shared" si="114"/>
        <v>7784</v>
      </c>
      <c r="B7785" s="163">
        <v>45985</v>
      </c>
      <c r="C7785" s="194">
        <v>0.72644675925925928</v>
      </c>
      <c r="D7785" s="174" t="s">
        <v>7003</v>
      </c>
      <c r="E7785" s="166" t="s">
        <v>7003</v>
      </c>
      <c r="F7785" t="s">
        <v>6946</v>
      </c>
    </row>
    <row r="7786" spans="1:6">
      <c r="A7786" s="174">
        <f t="shared" si="114"/>
        <v>7785</v>
      </c>
      <c r="B7786" s="163">
        <v>45967</v>
      </c>
      <c r="C7786" s="194">
        <v>0.44775462962962959</v>
      </c>
      <c r="D7786" s="174">
        <v>10</v>
      </c>
      <c r="E7786" s="166" t="s">
        <v>6500</v>
      </c>
      <c r="F7786" t="s">
        <v>6946</v>
      </c>
    </row>
    <row r="7787" spans="1:6">
      <c r="A7787" s="174">
        <f t="shared" si="114"/>
        <v>7786</v>
      </c>
      <c r="B7787" s="163">
        <v>45985</v>
      </c>
      <c r="C7787" s="194">
        <v>0.74938657407407405</v>
      </c>
      <c r="D7787" s="174" t="s">
        <v>7003</v>
      </c>
      <c r="E7787" s="166" t="s">
        <v>7003</v>
      </c>
      <c r="F7787" t="s">
        <v>6946</v>
      </c>
    </row>
    <row r="7788" spans="1:6">
      <c r="A7788" s="174">
        <f t="shared" si="114"/>
        <v>7787</v>
      </c>
      <c r="B7788" s="163">
        <v>45985</v>
      </c>
      <c r="C7788" s="194">
        <v>0.74356481481481485</v>
      </c>
      <c r="D7788" s="174" t="s">
        <v>7003</v>
      </c>
      <c r="E7788" s="166" t="s">
        <v>7003</v>
      </c>
      <c r="F7788" t="s">
        <v>6946</v>
      </c>
    </row>
    <row r="7789" spans="1:6">
      <c r="A7789" s="174">
        <f t="shared" si="114"/>
        <v>7788</v>
      </c>
      <c r="B7789" s="163">
        <v>45985</v>
      </c>
      <c r="C7789" s="194">
        <v>0.75120370370370371</v>
      </c>
      <c r="D7789" s="174" t="s">
        <v>7003</v>
      </c>
      <c r="E7789" s="166" t="s">
        <v>7003</v>
      </c>
      <c r="F7789" t="s">
        <v>6946</v>
      </c>
    </row>
    <row r="7790" spans="1:6">
      <c r="A7790" s="174">
        <f t="shared" si="114"/>
        <v>7789</v>
      </c>
      <c r="B7790" s="163">
        <v>45985</v>
      </c>
      <c r="C7790" s="194">
        <v>0.71620370370370379</v>
      </c>
      <c r="D7790" s="174" t="s">
        <v>7003</v>
      </c>
      <c r="E7790" s="166" t="s">
        <v>7003</v>
      </c>
      <c r="F7790" t="s">
        <v>6946</v>
      </c>
    </row>
    <row r="7791" spans="1:6">
      <c r="A7791" s="174">
        <f t="shared" si="114"/>
        <v>7790</v>
      </c>
      <c r="B7791" s="163">
        <v>45967</v>
      </c>
      <c r="C7791" s="194">
        <v>0.46278935185185183</v>
      </c>
      <c r="D7791" s="174">
        <v>10</v>
      </c>
      <c r="E7791" s="166" t="s">
        <v>6499</v>
      </c>
      <c r="F7791" t="s">
        <v>6946</v>
      </c>
    </row>
    <row r="7792" spans="1:6">
      <c r="A7792" s="174">
        <f t="shared" si="114"/>
        <v>7791</v>
      </c>
      <c r="B7792" s="163">
        <v>45986</v>
      </c>
      <c r="C7792" s="194">
        <v>0.72743055555555547</v>
      </c>
      <c r="D7792" s="174" t="s">
        <v>7003</v>
      </c>
      <c r="E7792" s="166" t="s">
        <v>7003</v>
      </c>
      <c r="F7792" t="s">
        <v>6946</v>
      </c>
    </row>
    <row r="7793" spans="1:6">
      <c r="A7793" s="174">
        <f t="shared" si="114"/>
        <v>7792</v>
      </c>
      <c r="B7793" s="163">
        <v>45985</v>
      </c>
      <c r="C7793" s="194">
        <v>0.71501157407407412</v>
      </c>
      <c r="D7793" s="174" t="s">
        <v>7003</v>
      </c>
      <c r="E7793" s="166" t="s">
        <v>7003</v>
      </c>
      <c r="F7793" t="s">
        <v>6946</v>
      </c>
    </row>
    <row r="7794" spans="1:6">
      <c r="A7794" s="174">
        <f t="shared" si="114"/>
        <v>7793</v>
      </c>
      <c r="B7794" s="163">
        <v>45985</v>
      </c>
      <c r="C7794" s="194">
        <v>0.70917824074074076</v>
      </c>
      <c r="D7794" s="174" t="s">
        <v>7003</v>
      </c>
      <c r="E7794" s="166" t="s">
        <v>7003</v>
      </c>
      <c r="F7794" t="s">
        <v>6946</v>
      </c>
    </row>
    <row r="7795" spans="1:6">
      <c r="A7795" s="174">
        <f t="shared" si="114"/>
        <v>7794</v>
      </c>
      <c r="B7795" s="163">
        <v>45985</v>
      </c>
      <c r="C7795" s="194">
        <v>0.69575231481481481</v>
      </c>
      <c r="D7795" s="174" t="s">
        <v>7003</v>
      </c>
      <c r="E7795" s="166" t="s">
        <v>7003</v>
      </c>
      <c r="F7795" t="s">
        <v>6946</v>
      </c>
    </row>
    <row r="7796" spans="1:6">
      <c r="A7796" s="174">
        <f t="shared" si="114"/>
        <v>7795</v>
      </c>
      <c r="B7796" s="163">
        <v>45985</v>
      </c>
      <c r="C7796" s="194">
        <v>0.703125</v>
      </c>
      <c r="D7796" s="174" t="s">
        <v>7003</v>
      </c>
      <c r="E7796" s="166" t="s">
        <v>7003</v>
      </c>
      <c r="F7796" t="s">
        <v>6946</v>
      </c>
    </row>
    <row r="7797" spans="1:6">
      <c r="A7797" s="174">
        <f t="shared" si="114"/>
        <v>7796</v>
      </c>
      <c r="B7797" s="163">
        <v>45967</v>
      </c>
      <c r="C7797" s="194">
        <v>0.43377314814814816</v>
      </c>
      <c r="D7797" s="174">
        <v>10</v>
      </c>
      <c r="E7797" s="166" t="s">
        <v>6498</v>
      </c>
      <c r="F7797" t="s">
        <v>6946</v>
      </c>
    </row>
    <row r="7798" spans="1:6">
      <c r="A7798" s="174">
        <f t="shared" si="114"/>
        <v>7797</v>
      </c>
      <c r="B7798" s="163">
        <v>45985</v>
      </c>
      <c r="C7798" s="194">
        <v>0.68592592592592594</v>
      </c>
      <c r="D7798" s="174" t="s">
        <v>7003</v>
      </c>
      <c r="E7798" s="166" t="s">
        <v>7003</v>
      </c>
      <c r="F7798" t="s">
        <v>6946</v>
      </c>
    </row>
    <row r="7799" spans="1:6">
      <c r="A7799" s="174">
        <f t="shared" si="114"/>
        <v>7798</v>
      </c>
      <c r="B7799" s="163">
        <v>45985</v>
      </c>
      <c r="C7799" s="194">
        <v>0.69592592592592595</v>
      </c>
      <c r="D7799" s="174" t="s">
        <v>7003</v>
      </c>
      <c r="E7799" s="166" t="s">
        <v>7003</v>
      </c>
      <c r="F7799" t="s">
        <v>6946</v>
      </c>
    </row>
    <row r="7800" spans="1:6">
      <c r="A7800" s="174">
        <f t="shared" si="114"/>
        <v>7799</v>
      </c>
      <c r="B7800" s="163">
        <v>45985</v>
      </c>
      <c r="C7800" s="194">
        <v>0.69071759259259258</v>
      </c>
      <c r="D7800" s="174" t="s">
        <v>7003</v>
      </c>
      <c r="E7800" s="166" t="s">
        <v>7003</v>
      </c>
      <c r="F7800" t="s">
        <v>6946</v>
      </c>
    </row>
    <row r="7801" spans="1:6">
      <c r="A7801" s="174">
        <f t="shared" si="114"/>
        <v>7800</v>
      </c>
      <c r="B7801" s="163">
        <v>45985</v>
      </c>
      <c r="C7801" s="194">
        <v>0.69396990740740738</v>
      </c>
      <c r="D7801" s="174" t="s">
        <v>7003</v>
      </c>
      <c r="E7801" s="166" t="s">
        <v>7003</v>
      </c>
      <c r="F7801" t="s">
        <v>6946</v>
      </c>
    </row>
    <row r="7802" spans="1:6">
      <c r="A7802" s="174">
        <f t="shared" si="114"/>
        <v>7801</v>
      </c>
      <c r="B7802" s="163">
        <v>45985</v>
      </c>
      <c r="C7802" s="194">
        <v>0.68879629629629635</v>
      </c>
      <c r="D7802" s="174" t="s">
        <v>7003</v>
      </c>
      <c r="E7802" s="166" t="s">
        <v>7003</v>
      </c>
      <c r="F7802" t="s">
        <v>6946</v>
      </c>
    </row>
    <row r="7803" spans="1:6">
      <c r="A7803" s="174">
        <f t="shared" si="114"/>
        <v>7802</v>
      </c>
      <c r="B7803" s="163">
        <v>45967</v>
      </c>
      <c r="C7803" s="194">
        <v>0.41106481481481483</v>
      </c>
      <c r="D7803" s="174">
        <v>10</v>
      </c>
      <c r="E7803" s="166" t="s">
        <v>6497</v>
      </c>
      <c r="F7803" t="s">
        <v>6946</v>
      </c>
    </row>
    <row r="7804" spans="1:6">
      <c r="A7804" s="174">
        <f t="shared" si="114"/>
        <v>7803</v>
      </c>
      <c r="B7804" s="163">
        <v>45985</v>
      </c>
      <c r="C7804" s="194">
        <v>0.68604166666666666</v>
      </c>
      <c r="D7804" s="174" t="s">
        <v>7003</v>
      </c>
      <c r="E7804" s="166" t="s">
        <v>7003</v>
      </c>
      <c r="F7804" t="s">
        <v>6946</v>
      </c>
    </row>
    <row r="7805" spans="1:6">
      <c r="A7805" s="174">
        <f t="shared" si="114"/>
        <v>7804</v>
      </c>
      <c r="B7805" s="163">
        <v>45985</v>
      </c>
      <c r="C7805" s="194">
        <v>0.67763888888888879</v>
      </c>
      <c r="D7805" s="174" t="s">
        <v>7003</v>
      </c>
      <c r="E7805" s="166" t="s">
        <v>7003</v>
      </c>
      <c r="F7805" t="s">
        <v>6946</v>
      </c>
    </row>
    <row r="7806" spans="1:6">
      <c r="A7806" s="174">
        <f t="shared" si="114"/>
        <v>7805</v>
      </c>
      <c r="B7806" s="163">
        <v>45967</v>
      </c>
      <c r="C7806" s="194">
        <v>0.41736111111111113</v>
      </c>
      <c r="D7806" s="174">
        <v>10</v>
      </c>
      <c r="E7806" s="166" t="s">
        <v>6809</v>
      </c>
      <c r="F7806" t="s">
        <v>6946</v>
      </c>
    </row>
    <row r="7807" spans="1:6">
      <c r="A7807" s="174">
        <f t="shared" si="114"/>
        <v>7806</v>
      </c>
      <c r="B7807" s="163">
        <v>45968</v>
      </c>
      <c r="C7807" s="194">
        <v>0.91385416666666675</v>
      </c>
      <c r="D7807" s="174">
        <v>10</v>
      </c>
      <c r="E7807" s="166" t="s">
        <v>6552</v>
      </c>
      <c r="F7807" t="s">
        <v>6946</v>
      </c>
    </row>
    <row r="7808" spans="1:6">
      <c r="A7808" s="174">
        <f t="shared" si="114"/>
        <v>7807</v>
      </c>
      <c r="B7808" s="163">
        <v>45968</v>
      </c>
      <c r="C7808" s="194">
        <v>0.89644675925925921</v>
      </c>
      <c r="D7808" s="174">
        <v>10</v>
      </c>
      <c r="E7808" s="166" t="s">
        <v>6551</v>
      </c>
      <c r="F7808" t="s">
        <v>6946</v>
      </c>
    </row>
    <row r="7809" spans="1:6" ht="67.5">
      <c r="A7809" s="174">
        <f t="shared" si="114"/>
        <v>7808</v>
      </c>
      <c r="B7809" s="163">
        <v>45968</v>
      </c>
      <c r="C7809" s="194">
        <v>0.78729166666666661</v>
      </c>
      <c r="D7809" s="174">
        <v>10</v>
      </c>
      <c r="E7809" s="166" t="s">
        <v>6550</v>
      </c>
      <c r="F7809" t="s">
        <v>6946</v>
      </c>
    </row>
    <row r="7810" spans="1:6">
      <c r="A7810" s="174">
        <f t="shared" si="114"/>
        <v>7809</v>
      </c>
      <c r="B7810" s="163">
        <v>45968</v>
      </c>
      <c r="C7810" s="194">
        <v>0.78881944444444441</v>
      </c>
      <c r="D7810" s="174">
        <v>10</v>
      </c>
      <c r="E7810" s="166" t="s">
        <v>6549</v>
      </c>
      <c r="F7810" t="s">
        <v>6946</v>
      </c>
    </row>
    <row r="7811" spans="1:6">
      <c r="A7811" s="174">
        <f t="shared" si="114"/>
        <v>7810</v>
      </c>
      <c r="B7811" s="163">
        <v>45985</v>
      </c>
      <c r="C7811" s="194">
        <v>0.69190972222222225</v>
      </c>
      <c r="D7811" s="174" t="s">
        <v>7003</v>
      </c>
      <c r="E7811" s="166" t="s">
        <v>7003</v>
      </c>
      <c r="F7811" t="s">
        <v>6946</v>
      </c>
    </row>
    <row r="7812" spans="1:6">
      <c r="A7812" s="174">
        <f t="shared" si="114"/>
        <v>7811</v>
      </c>
      <c r="B7812" s="163">
        <v>45985</v>
      </c>
      <c r="C7812" s="194">
        <v>0.67185185185185192</v>
      </c>
      <c r="D7812" s="174" t="s">
        <v>7003</v>
      </c>
      <c r="E7812" s="166" t="s">
        <v>7003</v>
      </c>
      <c r="F7812" t="s">
        <v>6946</v>
      </c>
    </row>
    <row r="7813" spans="1:6">
      <c r="A7813" s="174">
        <f t="shared" si="114"/>
        <v>7812</v>
      </c>
      <c r="B7813" s="163">
        <v>45985</v>
      </c>
      <c r="C7813" s="194">
        <v>0.66898148148148151</v>
      </c>
      <c r="D7813" s="174" t="s">
        <v>7003</v>
      </c>
      <c r="E7813" s="166" t="s">
        <v>7003</v>
      </c>
      <c r="F7813" t="s">
        <v>6946</v>
      </c>
    </row>
    <row r="7814" spans="1:6">
      <c r="A7814" s="174">
        <f t="shared" si="114"/>
        <v>7813</v>
      </c>
      <c r="B7814" s="163">
        <v>45968</v>
      </c>
      <c r="C7814" s="194">
        <v>0.7678356481481482</v>
      </c>
      <c r="D7814" s="174">
        <v>10</v>
      </c>
      <c r="E7814" s="166" t="s">
        <v>6548</v>
      </c>
      <c r="F7814" t="s">
        <v>6946</v>
      </c>
    </row>
    <row r="7815" spans="1:6">
      <c r="A7815" s="174">
        <f t="shared" si="114"/>
        <v>7814</v>
      </c>
      <c r="B7815" s="163">
        <v>45985</v>
      </c>
      <c r="C7815" s="194">
        <v>0.67518518518518522</v>
      </c>
      <c r="D7815" s="174" t="s">
        <v>7003</v>
      </c>
      <c r="E7815" s="166" t="s">
        <v>7003</v>
      </c>
      <c r="F7815" t="s">
        <v>6946</v>
      </c>
    </row>
    <row r="7816" spans="1:6">
      <c r="A7816" s="174">
        <f t="shared" si="114"/>
        <v>7815</v>
      </c>
      <c r="B7816" s="163">
        <v>45985</v>
      </c>
      <c r="C7816" s="194">
        <v>0.67513888888888884</v>
      </c>
      <c r="D7816" s="174" t="s">
        <v>7003</v>
      </c>
      <c r="E7816" s="166" t="s">
        <v>7003</v>
      </c>
      <c r="F7816" t="s">
        <v>6946</v>
      </c>
    </row>
    <row r="7817" spans="1:6">
      <c r="A7817" s="174">
        <f t="shared" si="114"/>
        <v>7816</v>
      </c>
      <c r="B7817" s="163">
        <v>45968</v>
      </c>
      <c r="C7817" s="194">
        <v>0.76194444444444442</v>
      </c>
      <c r="D7817" s="174">
        <v>10</v>
      </c>
      <c r="E7817" s="166" t="s">
        <v>6547</v>
      </c>
      <c r="F7817" t="s">
        <v>6946</v>
      </c>
    </row>
    <row r="7818" spans="1:6">
      <c r="A7818" s="174">
        <f t="shared" si="114"/>
        <v>7817</v>
      </c>
      <c r="B7818" s="163">
        <v>45968</v>
      </c>
      <c r="C7818" s="194">
        <v>0.7375694444444445</v>
      </c>
      <c r="D7818" s="174">
        <v>10</v>
      </c>
      <c r="E7818" s="166" t="s">
        <v>6546</v>
      </c>
      <c r="F7818" t="s">
        <v>6946</v>
      </c>
    </row>
    <row r="7819" spans="1:6">
      <c r="A7819" s="174">
        <f t="shared" si="114"/>
        <v>7818</v>
      </c>
      <c r="B7819" s="163">
        <v>45985</v>
      </c>
      <c r="C7819" s="194">
        <v>0.66108796296296302</v>
      </c>
      <c r="D7819" s="174" t="s">
        <v>7003</v>
      </c>
      <c r="E7819" s="166" t="s">
        <v>7003</v>
      </c>
      <c r="F7819" t="s">
        <v>6946</v>
      </c>
    </row>
    <row r="7820" spans="1:6">
      <c r="A7820" s="174">
        <f t="shared" si="114"/>
        <v>7819</v>
      </c>
      <c r="B7820" s="163">
        <v>45985</v>
      </c>
      <c r="C7820" s="194">
        <v>0.6497222222222222</v>
      </c>
      <c r="D7820" s="174" t="s">
        <v>7003</v>
      </c>
      <c r="E7820" s="166" t="s">
        <v>7003</v>
      </c>
      <c r="F7820" t="s">
        <v>6946</v>
      </c>
    </row>
    <row r="7821" spans="1:6">
      <c r="A7821" s="174">
        <f t="shared" si="114"/>
        <v>7820</v>
      </c>
      <c r="B7821" s="163">
        <v>45968</v>
      </c>
      <c r="C7821" s="194">
        <v>0.73512731481481486</v>
      </c>
      <c r="D7821" s="174">
        <v>10</v>
      </c>
      <c r="E7821" s="166" t="s">
        <v>6545</v>
      </c>
      <c r="F7821" t="s">
        <v>6946</v>
      </c>
    </row>
    <row r="7822" spans="1:6">
      <c r="A7822" s="174">
        <f t="shared" si="114"/>
        <v>7821</v>
      </c>
      <c r="B7822" s="163">
        <v>45968</v>
      </c>
      <c r="C7822" s="194">
        <v>0.74450231481481488</v>
      </c>
      <c r="D7822" s="174">
        <v>10</v>
      </c>
      <c r="E7822" s="166" t="s">
        <v>132</v>
      </c>
      <c r="F7822" t="s">
        <v>6946</v>
      </c>
    </row>
    <row r="7823" spans="1:6">
      <c r="A7823" s="174">
        <f t="shared" si="114"/>
        <v>7822</v>
      </c>
      <c r="B7823" s="163">
        <v>45985</v>
      </c>
      <c r="C7823" s="194">
        <v>0.64021990740740742</v>
      </c>
      <c r="D7823" s="174" t="s">
        <v>7003</v>
      </c>
      <c r="E7823" s="166" t="s">
        <v>7003</v>
      </c>
      <c r="F7823" t="s">
        <v>6946</v>
      </c>
    </row>
    <row r="7824" spans="1:6">
      <c r="A7824" s="174">
        <f t="shared" si="114"/>
        <v>7823</v>
      </c>
      <c r="B7824" s="163">
        <v>45985</v>
      </c>
      <c r="C7824" s="194">
        <v>0.64249999999999996</v>
      </c>
      <c r="D7824" s="174" t="s">
        <v>7003</v>
      </c>
      <c r="E7824" s="166" t="s">
        <v>7003</v>
      </c>
      <c r="F7824" t="s">
        <v>6946</v>
      </c>
    </row>
    <row r="7825" spans="1:6">
      <c r="A7825" s="174">
        <f t="shared" si="114"/>
        <v>7824</v>
      </c>
      <c r="B7825" s="163">
        <v>45985</v>
      </c>
      <c r="C7825" s="194">
        <v>0.63059027777777776</v>
      </c>
      <c r="D7825" s="174" t="s">
        <v>7003</v>
      </c>
      <c r="E7825" s="166" t="s">
        <v>7003</v>
      </c>
      <c r="F7825" t="s">
        <v>6946</v>
      </c>
    </row>
    <row r="7826" spans="1:6">
      <c r="A7826" s="174">
        <f t="shared" si="114"/>
        <v>7825</v>
      </c>
      <c r="B7826" s="163">
        <v>45985</v>
      </c>
      <c r="C7826" s="194">
        <v>0.63203703703703706</v>
      </c>
      <c r="D7826" s="174" t="s">
        <v>7003</v>
      </c>
      <c r="E7826" s="166" t="s">
        <v>7003</v>
      </c>
      <c r="F7826" t="s">
        <v>6946</v>
      </c>
    </row>
    <row r="7827" spans="1:6">
      <c r="A7827" s="174">
        <f t="shared" si="114"/>
        <v>7826</v>
      </c>
      <c r="B7827" s="163">
        <v>45985</v>
      </c>
      <c r="C7827" s="194">
        <v>0.62542824074074077</v>
      </c>
      <c r="D7827" s="174" t="s">
        <v>7003</v>
      </c>
      <c r="E7827" s="166" t="s">
        <v>7003</v>
      </c>
      <c r="F7827" t="s">
        <v>6946</v>
      </c>
    </row>
    <row r="7828" spans="1:6">
      <c r="A7828" s="174">
        <f t="shared" si="114"/>
        <v>7827</v>
      </c>
      <c r="B7828" s="163">
        <v>45968</v>
      </c>
      <c r="C7828" s="194">
        <v>0.72599537037037043</v>
      </c>
      <c r="D7828" s="174">
        <v>10</v>
      </c>
      <c r="E7828" s="166" t="s">
        <v>6544</v>
      </c>
      <c r="F7828" t="s">
        <v>6946</v>
      </c>
    </row>
    <row r="7829" spans="1:6">
      <c r="A7829" s="174">
        <f t="shared" si="114"/>
        <v>7828</v>
      </c>
      <c r="B7829" s="163">
        <v>45968</v>
      </c>
      <c r="C7829" s="194">
        <v>0.72687500000000005</v>
      </c>
      <c r="D7829" s="174">
        <v>10</v>
      </c>
      <c r="E7829" s="166" t="s">
        <v>132</v>
      </c>
      <c r="F7829" t="s">
        <v>6946</v>
      </c>
    </row>
    <row r="7830" spans="1:6" ht="27">
      <c r="A7830" s="174">
        <f t="shared" si="114"/>
        <v>7829</v>
      </c>
      <c r="B7830" s="163">
        <v>45968</v>
      </c>
      <c r="C7830" s="194">
        <v>0.71391203703703709</v>
      </c>
      <c r="D7830" s="174">
        <v>10</v>
      </c>
      <c r="E7830" s="166" t="s">
        <v>6942</v>
      </c>
      <c r="F7830" t="s">
        <v>6946</v>
      </c>
    </row>
    <row r="7831" spans="1:6">
      <c r="A7831" s="174">
        <f t="shared" si="114"/>
        <v>7830</v>
      </c>
      <c r="B7831" s="163">
        <v>45985</v>
      </c>
      <c r="C7831" s="194">
        <v>0.62533564814814813</v>
      </c>
      <c r="D7831" s="174" t="s">
        <v>7003</v>
      </c>
      <c r="E7831" s="166" t="s">
        <v>7003</v>
      </c>
      <c r="F7831" t="s">
        <v>6946</v>
      </c>
    </row>
    <row r="7832" spans="1:6">
      <c r="A7832" s="174">
        <f t="shared" si="114"/>
        <v>7831</v>
      </c>
      <c r="B7832" s="163">
        <v>45968</v>
      </c>
      <c r="C7832" s="194">
        <v>0.71848379629629633</v>
      </c>
      <c r="D7832" s="174">
        <v>10</v>
      </c>
      <c r="E7832" s="166" t="s">
        <v>6543</v>
      </c>
      <c r="F7832" t="s">
        <v>6946</v>
      </c>
    </row>
    <row r="7833" spans="1:6">
      <c r="A7833" s="174">
        <f t="shared" si="114"/>
        <v>7832</v>
      </c>
      <c r="B7833" s="163">
        <v>45985</v>
      </c>
      <c r="C7833" s="194">
        <v>0.62017361111111113</v>
      </c>
      <c r="D7833" s="174" t="s">
        <v>7003</v>
      </c>
      <c r="E7833" s="166" t="s">
        <v>7003</v>
      </c>
      <c r="F7833" t="s">
        <v>6946</v>
      </c>
    </row>
    <row r="7834" spans="1:6">
      <c r="A7834" s="174">
        <f t="shared" si="114"/>
        <v>7833</v>
      </c>
      <c r="B7834" s="163">
        <v>45986</v>
      </c>
      <c r="C7834" s="194">
        <v>0.55947916666666664</v>
      </c>
      <c r="D7834" s="174" t="s">
        <v>7003</v>
      </c>
      <c r="E7834" s="166" t="s">
        <v>7003</v>
      </c>
      <c r="F7834" t="s">
        <v>6946</v>
      </c>
    </row>
    <row r="7835" spans="1:6">
      <c r="A7835" s="174">
        <f t="shared" si="114"/>
        <v>7834</v>
      </c>
      <c r="B7835" s="163">
        <v>45986</v>
      </c>
      <c r="C7835" s="194">
        <v>0.55940972222222218</v>
      </c>
      <c r="D7835" s="174" t="s">
        <v>7003</v>
      </c>
      <c r="E7835" s="166" t="s">
        <v>7003</v>
      </c>
      <c r="F7835" t="s">
        <v>6946</v>
      </c>
    </row>
    <row r="7836" spans="1:6">
      <c r="A7836" s="174">
        <f t="shared" si="114"/>
        <v>7835</v>
      </c>
      <c r="B7836" s="163">
        <v>45985</v>
      </c>
      <c r="C7836" s="194">
        <v>0.60958333333333337</v>
      </c>
      <c r="D7836" s="174" t="s">
        <v>7003</v>
      </c>
      <c r="E7836" s="166" t="s">
        <v>7003</v>
      </c>
      <c r="F7836" t="s">
        <v>6946</v>
      </c>
    </row>
    <row r="7837" spans="1:6">
      <c r="A7837" s="174">
        <f t="shared" si="114"/>
        <v>7836</v>
      </c>
      <c r="B7837" s="163">
        <v>45968</v>
      </c>
      <c r="C7837" s="194">
        <v>0.70478009259259267</v>
      </c>
      <c r="D7837" s="174">
        <v>10</v>
      </c>
      <c r="E7837" s="166" t="s">
        <v>6542</v>
      </c>
      <c r="F7837" t="s">
        <v>6946</v>
      </c>
    </row>
    <row r="7838" spans="1:6">
      <c r="A7838" s="174">
        <f t="shared" si="114"/>
        <v>7837</v>
      </c>
      <c r="B7838" s="163">
        <v>45985</v>
      </c>
      <c r="C7838" s="194">
        <v>0.60623842592592592</v>
      </c>
      <c r="D7838" s="174" t="s">
        <v>7003</v>
      </c>
      <c r="E7838" s="166" t="s">
        <v>7003</v>
      </c>
      <c r="F7838" t="s">
        <v>6946</v>
      </c>
    </row>
    <row r="7839" spans="1:6">
      <c r="A7839" s="174">
        <f t="shared" si="114"/>
        <v>7838</v>
      </c>
      <c r="B7839" s="163">
        <v>45985</v>
      </c>
      <c r="C7839" s="194">
        <v>0.75041666666666673</v>
      </c>
      <c r="D7839" s="174" t="s">
        <v>7003</v>
      </c>
      <c r="E7839" s="166" t="s">
        <v>7003</v>
      </c>
      <c r="F7839" t="s">
        <v>6946</v>
      </c>
    </row>
    <row r="7840" spans="1:6">
      <c r="A7840" s="174">
        <f t="shared" si="114"/>
        <v>7839</v>
      </c>
      <c r="B7840" s="163">
        <v>45968</v>
      </c>
      <c r="C7840" s="194">
        <v>0.69751157407407405</v>
      </c>
      <c r="D7840" s="174">
        <v>10</v>
      </c>
      <c r="E7840" s="166" t="s">
        <v>5677</v>
      </c>
      <c r="F7840" t="s">
        <v>6946</v>
      </c>
    </row>
    <row r="7841" spans="1:6">
      <c r="A7841" s="174">
        <f t="shared" ref="A7841:A7904" si="115">ROW()-1</f>
        <v>7840</v>
      </c>
      <c r="B7841" s="163">
        <v>45985</v>
      </c>
      <c r="C7841" s="194">
        <v>0.59497685185185178</v>
      </c>
      <c r="D7841" s="174" t="s">
        <v>7003</v>
      </c>
      <c r="E7841" s="166" t="s">
        <v>7003</v>
      </c>
      <c r="F7841" t="s">
        <v>6946</v>
      </c>
    </row>
    <row r="7842" spans="1:6">
      <c r="A7842" s="174">
        <f t="shared" si="115"/>
        <v>7841</v>
      </c>
      <c r="B7842" s="163">
        <v>45985</v>
      </c>
      <c r="C7842" s="194">
        <v>0.60041666666666671</v>
      </c>
      <c r="D7842" s="174" t="s">
        <v>7003</v>
      </c>
      <c r="E7842" s="166" t="s">
        <v>7003</v>
      </c>
      <c r="F7842" t="s">
        <v>6946</v>
      </c>
    </row>
    <row r="7843" spans="1:6">
      <c r="A7843" s="174">
        <f t="shared" si="115"/>
        <v>7842</v>
      </c>
      <c r="B7843" s="163">
        <v>45985</v>
      </c>
      <c r="C7843" s="194">
        <v>0.58328703703703699</v>
      </c>
      <c r="D7843" s="174" t="s">
        <v>7003</v>
      </c>
      <c r="E7843" s="166" t="s">
        <v>7003</v>
      </c>
      <c r="F7843" t="s">
        <v>6946</v>
      </c>
    </row>
    <row r="7844" spans="1:6">
      <c r="A7844" s="174">
        <f t="shared" si="115"/>
        <v>7843</v>
      </c>
      <c r="B7844" s="163">
        <v>45985</v>
      </c>
      <c r="C7844" s="194">
        <v>0.59063657407407411</v>
      </c>
      <c r="D7844" s="174" t="s">
        <v>7003</v>
      </c>
      <c r="E7844" s="166" t="s">
        <v>7003</v>
      </c>
      <c r="F7844" t="s">
        <v>6946</v>
      </c>
    </row>
    <row r="7845" spans="1:6">
      <c r="A7845" s="174">
        <f t="shared" si="115"/>
        <v>7844</v>
      </c>
      <c r="B7845" s="163">
        <v>45985</v>
      </c>
      <c r="C7845" s="194">
        <v>0.59697916666666673</v>
      </c>
      <c r="D7845" s="174" t="s">
        <v>7003</v>
      </c>
      <c r="E7845" s="166" t="s">
        <v>7003</v>
      </c>
      <c r="F7845" t="s">
        <v>6946</v>
      </c>
    </row>
    <row r="7846" spans="1:6">
      <c r="A7846" s="174">
        <f t="shared" si="115"/>
        <v>7845</v>
      </c>
      <c r="B7846" s="163">
        <v>45985</v>
      </c>
      <c r="C7846" s="194">
        <v>0.57230324074074079</v>
      </c>
      <c r="D7846" s="174" t="s">
        <v>7003</v>
      </c>
      <c r="E7846" s="166" t="s">
        <v>7003</v>
      </c>
      <c r="F7846" t="s">
        <v>6946</v>
      </c>
    </row>
    <row r="7847" spans="1:6">
      <c r="A7847" s="174">
        <f t="shared" si="115"/>
        <v>7846</v>
      </c>
      <c r="B7847" s="163">
        <v>45985</v>
      </c>
      <c r="C7847" s="194">
        <v>0.56960648148148152</v>
      </c>
      <c r="D7847" s="174" t="s">
        <v>7003</v>
      </c>
      <c r="E7847" s="166" t="s">
        <v>7003</v>
      </c>
      <c r="F7847" t="s">
        <v>6946</v>
      </c>
    </row>
    <row r="7848" spans="1:6">
      <c r="A7848" s="174">
        <f t="shared" si="115"/>
        <v>7847</v>
      </c>
      <c r="B7848" s="163">
        <v>45985</v>
      </c>
      <c r="C7848" s="194">
        <v>0.5589467592592593</v>
      </c>
      <c r="D7848" s="174" t="s">
        <v>7003</v>
      </c>
      <c r="E7848" s="166" t="s">
        <v>7003</v>
      </c>
      <c r="F7848" t="s">
        <v>6946</v>
      </c>
    </row>
    <row r="7849" spans="1:6">
      <c r="A7849" s="174">
        <f t="shared" si="115"/>
        <v>7848</v>
      </c>
      <c r="B7849" s="163">
        <v>45985</v>
      </c>
      <c r="C7849" s="194">
        <v>0.56103009259259262</v>
      </c>
      <c r="D7849" s="174" t="s">
        <v>7003</v>
      </c>
      <c r="E7849" s="166" t="s">
        <v>7003</v>
      </c>
      <c r="F7849" t="s">
        <v>6946</v>
      </c>
    </row>
    <row r="7850" spans="1:6">
      <c r="A7850" s="174">
        <f t="shared" si="115"/>
        <v>7849</v>
      </c>
      <c r="B7850" s="163">
        <v>45985</v>
      </c>
      <c r="C7850" s="194">
        <v>0.55783564814814812</v>
      </c>
      <c r="D7850" s="174" t="s">
        <v>7003</v>
      </c>
      <c r="E7850" s="166" t="s">
        <v>7003</v>
      </c>
      <c r="F7850" t="s">
        <v>6946</v>
      </c>
    </row>
    <row r="7851" spans="1:6">
      <c r="A7851" s="174">
        <f t="shared" si="115"/>
        <v>7850</v>
      </c>
      <c r="B7851" s="163">
        <v>45968</v>
      </c>
      <c r="C7851" s="194">
        <v>0.69921296296296298</v>
      </c>
      <c r="D7851" s="174">
        <v>10</v>
      </c>
      <c r="E7851" s="166" t="s">
        <v>6943</v>
      </c>
      <c r="F7851" t="s">
        <v>6946</v>
      </c>
    </row>
    <row r="7852" spans="1:6">
      <c r="A7852" s="174">
        <f t="shared" si="115"/>
        <v>7851</v>
      </c>
      <c r="B7852" s="163">
        <v>45985</v>
      </c>
      <c r="C7852" s="194">
        <v>0.55751157407407403</v>
      </c>
      <c r="D7852" s="174" t="s">
        <v>7003</v>
      </c>
      <c r="E7852" s="166" t="s">
        <v>7003</v>
      </c>
      <c r="F7852" t="s">
        <v>6946</v>
      </c>
    </row>
    <row r="7853" spans="1:6">
      <c r="A7853" s="174">
        <f t="shared" si="115"/>
        <v>7852</v>
      </c>
      <c r="B7853" s="163">
        <v>45985</v>
      </c>
      <c r="C7853" s="194">
        <v>0.53912037037037031</v>
      </c>
      <c r="D7853" s="174" t="s">
        <v>7003</v>
      </c>
      <c r="E7853" s="166" t="s">
        <v>7003</v>
      </c>
      <c r="F7853" t="s">
        <v>6946</v>
      </c>
    </row>
    <row r="7854" spans="1:6">
      <c r="A7854" s="174">
        <f t="shared" si="115"/>
        <v>7853</v>
      </c>
      <c r="B7854" s="163">
        <v>45985</v>
      </c>
      <c r="C7854" s="194">
        <v>0.72222222222222221</v>
      </c>
      <c r="D7854" s="174" t="s">
        <v>7003</v>
      </c>
      <c r="E7854" s="166" t="s">
        <v>7003</v>
      </c>
      <c r="F7854" t="s">
        <v>6946</v>
      </c>
    </row>
    <row r="7855" spans="1:6">
      <c r="A7855" s="174">
        <f t="shared" si="115"/>
        <v>7854</v>
      </c>
      <c r="B7855" s="163">
        <v>45985</v>
      </c>
      <c r="C7855" s="194">
        <v>0.51950231481481479</v>
      </c>
      <c r="D7855" s="174" t="s">
        <v>7003</v>
      </c>
      <c r="E7855" s="166" t="s">
        <v>7003</v>
      </c>
      <c r="F7855" t="s">
        <v>6946</v>
      </c>
    </row>
    <row r="7856" spans="1:6">
      <c r="A7856" s="174">
        <f t="shared" si="115"/>
        <v>7855</v>
      </c>
      <c r="B7856" s="163">
        <v>45985</v>
      </c>
      <c r="C7856" s="194">
        <v>0.54773148148148143</v>
      </c>
      <c r="D7856" s="174" t="s">
        <v>7003</v>
      </c>
      <c r="E7856" s="166" t="s">
        <v>7003</v>
      </c>
      <c r="F7856" t="s">
        <v>6946</v>
      </c>
    </row>
    <row r="7857" spans="1:6">
      <c r="A7857" s="174">
        <f t="shared" si="115"/>
        <v>7856</v>
      </c>
      <c r="B7857" s="163">
        <v>45985</v>
      </c>
      <c r="C7857" s="194">
        <v>0.51657407407407407</v>
      </c>
      <c r="D7857" s="174" t="s">
        <v>7003</v>
      </c>
      <c r="E7857" s="166" t="s">
        <v>7003</v>
      </c>
      <c r="F7857" t="s">
        <v>6946</v>
      </c>
    </row>
    <row r="7858" spans="1:6">
      <c r="A7858" s="174">
        <f t="shared" si="115"/>
        <v>7857</v>
      </c>
      <c r="B7858" s="163">
        <v>45985</v>
      </c>
      <c r="C7858" s="194">
        <v>0.51901620370370372</v>
      </c>
      <c r="D7858" s="174" t="s">
        <v>7003</v>
      </c>
      <c r="E7858" s="166" t="s">
        <v>7003</v>
      </c>
      <c r="F7858" t="s">
        <v>6946</v>
      </c>
    </row>
    <row r="7859" spans="1:6">
      <c r="A7859" s="174">
        <f t="shared" si="115"/>
        <v>7858</v>
      </c>
      <c r="B7859" s="163">
        <v>45985</v>
      </c>
      <c r="C7859" s="194">
        <v>0.58587962962962969</v>
      </c>
      <c r="D7859" s="174" t="s">
        <v>7003</v>
      </c>
      <c r="E7859" s="166" t="s">
        <v>7003</v>
      </c>
      <c r="F7859" t="s">
        <v>6946</v>
      </c>
    </row>
    <row r="7860" spans="1:6">
      <c r="A7860" s="174">
        <f t="shared" si="115"/>
        <v>7859</v>
      </c>
      <c r="B7860" s="163">
        <v>45985</v>
      </c>
      <c r="C7860" s="194">
        <v>0.50287037037037041</v>
      </c>
      <c r="D7860" s="174" t="s">
        <v>7003</v>
      </c>
      <c r="E7860" s="166" t="s">
        <v>7003</v>
      </c>
      <c r="F7860" t="s">
        <v>6946</v>
      </c>
    </row>
    <row r="7861" spans="1:6">
      <c r="A7861" s="174">
        <f t="shared" si="115"/>
        <v>7860</v>
      </c>
      <c r="B7861" s="163">
        <v>45985</v>
      </c>
      <c r="C7861" s="194">
        <v>0.50302083333333336</v>
      </c>
      <c r="D7861" s="174" t="s">
        <v>7003</v>
      </c>
      <c r="E7861" s="166" t="s">
        <v>7003</v>
      </c>
      <c r="F7861" t="s">
        <v>6946</v>
      </c>
    </row>
    <row r="7862" spans="1:6">
      <c r="A7862" s="174">
        <f t="shared" si="115"/>
        <v>7861</v>
      </c>
      <c r="B7862" s="163">
        <v>45985</v>
      </c>
      <c r="C7862" s="194">
        <v>0.56027777777777776</v>
      </c>
      <c r="D7862" s="174" t="s">
        <v>7003</v>
      </c>
      <c r="E7862" s="166" t="s">
        <v>7003</v>
      </c>
      <c r="F7862" t="s">
        <v>6946</v>
      </c>
    </row>
    <row r="7863" spans="1:6">
      <c r="A7863" s="174">
        <f t="shared" si="115"/>
        <v>7862</v>
      </c>
      <c r="B7863" s="163">
        <v>45968</v>
      </c>
      <c r="C7863" s="194">
        <v>0.69731481481481483</v>
      </c>
      <c r="D7863" s="174">
        <v>10</v>
      </c>
      <c r="E7863" s="166" t="s">
        <v>5677</v>
      </c>
      <c r="F7863" t="s">
        <v>6946</v>
      </c>
    </row>
    <row r="7864" spans="1:6">
      <c r="A7864" s="174">
        <f t="shared" si="115"/>
        <v>7863</v>
      </c>
      <c r="B7864" s="163">
        <v>45985</v>
      </c>
      <c r="C7864" s="194">
        <v>0.51662037037037034</v>
      </c>
      <c r="D7864" s="174" t="s">
        <v>7003</v>
      </c>
      <c r="E7864" s="166" t="s">
        <v>7003</v>
      </c>
      <c r="F7864" t="s">
        <v>6946</v>
      </c>
    </row>
    <row r="7865" spans="1:6">
      <c r="A7865" s="174">
        <f t="shared" si="115"/>
        <v>7864</v>
      </c>
      <c r="B7865" s="163">
        <v>45968</v>
      </c>
      <c r="C7865" s="194">
        <v>0.66082175925925923</v>
      </c>
      <c r="D7865" s="174">
        <v>10</v>
      </c>
      <c r="E7865" s="166" t="s">
        <v>6541</v>
      </c>
      <c r="F7865" t="s">
        <v>6946</v>
      </c>
    </row>
    <row r="7866" spans="1:6">
      <c r="A7866" s="174">
        <f t="shared" si="115"/>
        <v>7865</v>
      </c>
      <c r="B7866" s="163">
        <v>45985</v>
      </c>
      <c r="C7866" s="194">
        <v>0.50618055555555552</v>
      </c>
      <c r="D7866" s="174" t="s">
        <v>7003</v>
      </c>
      <c r="E7866" s="166" t="s">
        <v>7003</v>
      </c>
      <c r="F7866" t="s">
        <v>6946</v>
      </c>
    </row>
    <row r="7867" spans="1:6">
      <c r="A7867" s="174">
        <f t="shared" si="115"/>
        <v>7866</v>
      </c>
      <c r="B7867" s="163">
        <v>45968</v>
      </c>
      <c r="C7867" s="194">
        <v>0.64277777777777778</v>
      </c>
      <c r="D7867" s="174">
        <v>10</v>
      </c>
      <c r="E7867" s="166" t="s">
        <v>6540</v>
      </c>
      <c r="F7867" t="s">
        <v>6946</v>
      </c>
    </row>
    <row r="7868" spans="1:6">
      <c r="A7868" s="174">
        <f t="shared" si="115"/>
        <v>7867</v>
      </c>
      <c r="B7868" s="163">
        <v>45968</v>
      </c>
      <c r="C7868" s="194">
        <v>0.65256944444444442</v>
      </c>
      <c r="D7868" s="174">
        <v>10</v>
      </c>
      <c r="E7868" s="166" t="s">
        <v>6539</v>
      </c>
      <c r="F7868" t="s">
        <v>6946</v>
      </c>
    </row>
    <row r="7869" spans="1:6">
      <c r="A7869" s="174">
        <f t="shared" si="115"/>
        <v>7868</v>
      </c>
      <c r="B7869" s="163">
        <v>45968</v>
      </c>
      <c r="C7869" s="194">
        <v>0.58753472222222225</v>
      </c>
      <c r="D7869" s="174">
        <v>10</v>
      </c>
      <c r="E7869" s="166" t="s">
        <v>6538</v>
      </c>
      <c r="F7869" t="s">
        <v>6946</v>
      </c>
    </row>
    <row r="7870" spans="1:6">
      <c r="A7870" s="174">
        <f t="shared" si="115"/>
        <v>7869</v>
      </c>
      <c r="B7870" s="163">
        <v>45985</v>
      </c>
      <c r="C7870" s="194">
        <v>0.50085648148148143</v>
      </c>
      <c r="D7870" s="174" t="s">
        <v>7003</v>
      </c>
      <c r="E7870" s="166" t="s">
        <v>7003</v>
      </c>
      <c r="F7870" t="s">
        <v>6946</v>
      </c>
    </row>
    <row r="7871" spans="1:6">
      <c r="A7871" s="174">
        <f t="shared" si="115"/>
        <v>7870</v>
      </c>
      <c r="B7871" s="163">
        <v>45985</v>
      </c>
      <c r="C7871" s="194">
        <v>0.48215277777777782</v>
      </c>
      <c r="D7871" s="174" t="s">
        <v>7003</v>
      </c>
      <c r="E7871" s="166" t="s">
        <v>7003</v>
      </c>
      <c r="F7871" t="s">
        <v>6946</v>
      </c>
    </row>
    <row r="7872" spans="1:6">
      <c r="A7872" s="174">
        <f t="shared" si="115"/>
        <v>7871</v>
      </c>
      <c r="B7872" s="163">
        <v>45985</v>
      </c>
      <c r="C7872" s="194">
        <v>0.47081018518518519</v>
      </c>
      <c r="D7872" s="174" t="s">
        <v>7003</v>
      </c>
      <c r="E7872" s="166" t="s">
        <v>7003</v>
      </c>
      <c r="F7872" t="s">
        <v>6946</v>
      </c>
    </row>
    <row r="7873" spans="1:6">
      <c r="A7873" s="174">
        <f t="shared" si="115"/>
        <v>7872</v>
      </c>
      <c r="B7873" s="163">
        <v>45968</v>
      </c>
      <c r="C7873" s="194">
        <v>0.58282407407407411</v>
      </c>
      <c r="D7873" s="174">
        <v>10</v>
      </c>
      <c r="E7873" s="166" t="s">
        <v>6537</v>
      </c>
      <c r="F7873" t="s">
        <v>6946</v>
      </c>
    </row>
    <row r="7874" spans="1:6">
      <c r="A7874" s="174">
        <f t="shared" si="115"/>
        <v>7873</v>
      </c>
      <c r="B7874" s="163">
        <v>45985</v>
      </c>
      <c r="C7874" s="194">
        <v>0.45770833333333333</v>
      </c>
      <c r="D7874" s="174" t="s">
        <v>7003</v>
      </c>
      <c r="E7874" s="166" t="s">
        <v>7003</v>
      </c>
      <c r="F7874" t="s">
        <v>6946</v>
      </c>
    </row>
    <row r="7875" spans="1:6">
      <c r="A7875" s="174">
        <f t="shared" si="115"/>
        <v>7874</v>
      </c>
      <c r="B7875" s="163">
        <v>45985</v>
      </c>
      <c r="C7875" s="194">
        <v>0.46591435185185182</v>
      </c>
      <c r="D7875" s="174" t="s">
        <v>7003</v>
      </c>
      <c r="E7875" s="166" t="s">
        <v>7003</v>
      </c>
      <c r="F7875" t="s">
        <v>6946</v>
      </c>
    </row>
    <row r="7876" spans="1:6">
      <c r="A7876" s="174">
        <f t="shared" si="115"/>
        <v>7875</v>
      </c>
      <c r="B7876" s="163">
        <v>45985</v>
      </c>
      <c r="C7876" s="194">
        <v>0.45635416666666667</v>
      </c>
      <c r="D7876" s="174" t="s">
        <v>7003</v>
      </c>
      <c r="E7876" s="166" t="s">
        <v>7003</v>
      </c>
      <c r="F7876" t="s">
        <v>6946</v>
      </c>
    </row>
    <row r="7877" spans="1:6">
      <c r="A7877" s="174">
        <f t="shared" si="115"/>
        <v>7876</v>
      </c>
      <c r="B7877" s="163">
        <v>45968</v>
      </c>
      <c r="C7877" s="194">
        <v>0.57414351851851853</v>
      </c>
      <c r="D7877" s="174">
        <v>10</v>
      </c>
      <c r="E7877" s="166" t="s">
        <v>6536</v>
      </c>
      <c r="F7877" t="s">
        <v>6946</v>
      </c>
    </row>
    <row r="7878" spans="1:6">
      <c r="A7878" s="174">
        <f t="shared" si="115"/>
        <v>7877</v>
      </c>
      <c r="B7878" s="163">
        <v>45968</v>
      </c>
      <c r="C7878" s="194">
        <v>0.56623842592592599</v>
      </c>
      <c r="D7878" s="174">
        <v>10</v>
      </c>
      <c r="E7878" s="166" t="s">
        <v>273</v>
      </c>
      <c r="F7878" t="s">
        <v>6946</v>
      </c>
    </row>
    <row r="7879" spans="1:6">
      <c r="A7879" s="174">
        <f t="shared" si="115"/>
        <v>7878</v>
      </c>
      <c r="B7879" s="163">
        <v>45985</v>
      </c>
      <c r="C7879" s="194">
        <v>0.43554398148148149</v>
      </c>
      <c r="D7879" s="174" t="s">
        <v>7003</v>
      </c>
      <c r="E7879" s="166" t="s">
        <v>7003</v>
      </c>
      <c r="F7879" t="s">
        <v>6946</v>
      </c>
    </row>
    <row r="7880" spans="1:6">
      <c r="A7880" s="174">
        <f t="shared" si="115"/>
        <v>7879</v>
      </c>
      <c r="B7880" s="163">
        <v>45985</v>
      </c>
      <c r="C7880" s="194">
        <v>0.41824074074074075</v>
      </c>
      <c r="D7880" s="174" t="s">
        <v>7003</v>
      </c>
      <c r="E7880" s="166" t="s">
        <v>7003</v>
      </c>
      <c r="F7880" t="s">
        <v>6946</v>
      </c>
    </row>
    <row r="7881" spans="1:6">
      <c r="A7881" s="174">
        <f t="shared" si="115"/>
        <v>7880</v>
      </c>
      <c r="B7881" s="163">
        <v>45985</v>
      </c>
      <c r="C7881" s="194">
        <v>0.41362268518518519</v>
      </c>
      <c r="D7881" s="174" t="s">
        <v>7003</v>
      </c>
      <c r="E7881" s="166" t="s">
        <v>7003</v>
      </c>
      <c r="F7881" t="s">
        <v>6946</v>
      </c>
    </row>
    <row r="7882" spans="1:6">
      <c r="A7882" s="174">
        <f t="shared" si="115"/>
        <v>7881</v>
      </c>
      <c r="B7882" s="163">
        <v>45985</v>
      </c>
      <c r="C7882" s="194">
        <v>0.46384259259259258</v>
      </c>
      <c r="D7882" s="174" t="s">
        <v>7003</v>
      </c>
      <c r="E7882" s="166" t="s">
        <v>7003</v>
      </c>
      <c r="F7882" t="s">
        <v>6946</v>
      </c>
    </row>
    <row r="7883" spans="1:6">
      <c r="A7883" s="174">
        <f t="shared" si="115"/>
        <v>7882</v>
      </c>
      <c r="B7883" s="163">
        <v>45968</v>
      </c>
      <c r="C7883" s="194">
        <v>0.56371527777777775</v>
      </c>
      <c r="D7883" s="174">
        <v>10</v>
      </c>
      <c r="E7883" s="166" t="s">
        <v>6535</v>
      </c>
      <c r="F7883" t="s">
        <v>6946</v>
      </c>
    </row>
    <row r="7884" spans="1:6">
      <c r="A7884" s="174">
        <f t="shared" si="115"/>
        <v>7883</v>
      </c>
      <c r="B7884" s="163">
        <v>45985</v>
      </c>
      <c r="C7884" s="194">
        <v>0.40324074074074073</v>
      </c>
      <c r="D7884" s="174" t="s">
        <v>7003</v>
      </c>
      <c r="E7884" s="166" t="s">
        <v>7003</v>
      </c>
      <c r="F7884" t="s">
        <v>6946</v>
      </c>
    </row>
    <row r="7885" spans="1:6">
      <c r="A7885" s="174">
        <f t="shared" si="115"/>
        <v>7884</v>
      </c>
      <c r="B7885" s="163">
        <v>45968</v>
      </c>
      <c r="C7885" s="194">
        <v>0.51483796296296302</v>
      </c>
      <c r="D7885" s="174">
        <v>10</v>
      </c>
      <c r="E7885" s="166" t="s">
        <v>6534</v>
      </c>
      <c r="F7885" t="s">
        <v>6946</v>
      </c>
    </row>
    <row r="7886" spans="1:6">
      <c r="A7886" s="174">
        <f t="shared" si="115"/>
        <v>7885</v>
      </c>
      <c r="B7886" s="163">
        <v>45985</v>
      </c>
      <c r="C7886" s="194">
        <v>0.39232638888888888</v>
      </c>
      <c r="D7886" s="174" t="s">
        <v>7003</v>
      </c>
      <c r="E7886" s="166" t="s">
        <v>7003</v>
      </c>
      <c r="F7886" t="s">
        <v>6946</v>
      </c>
    </row>
    <row r="7887" spans="1:6">
      <c r="A7887" s="174">
        <f t="shared" si="115"/>
        <v>7886</v>
      </c>
      <c r="B7887" s="163">
        <v>45985</v>
      </c>
      <c r="C7887" s="194">
        <v>0.41840277777777773</v>
      </c>
      <c r="D7887" s="174" t="s">
        <v>7003</v>
      </c>
      <c r="E7887" s="166" t="s">
        <v>7003</v>
      </c>
      <c r="F7887" t="s">
        <v>6946</v>
      </c>
    </row>
    <row r="7888" spans="1:6">
      <c r="A7888" s="174">
        <f t="shared" si="115"/>
        <v>7887</v>
      </c>
      <c r="B7888" s="163">
        <v>45985</v>
      </c>
      <c r="C7888" s="194">
        <v>0.3762152777777778</v>
      </c>
      <c r="D7888" s="174" t="s">
        <v>7003</v>
      </c>
      <c r="E7888" s="166" t="s">
        <v>7003</v>
      </c>
      <c r="F7888" t="s">
        <v>6946</v>
      </c>
    </row>
    <row r="7889" spans="1:6">
      <c r="A7889" s="174">
        <f t="shared" si="115"/>
        <v>7888</v>
      </c>
      <c r="B7889" s="163">
        <v>45985</v>
      </c>
      <c r="C7889" s="194">
        <v>0.37593750000000004</v>
      </c>
      <c r="D7889" s="174" t="s">
        <v>7003</v>
      </c>
      <c r="E7889" s="166" t="s">
        <v>7003</v>
      </c>
      <c r="F7889" t="s">
        <v>6946</v>
      </c>
    </row>
    <row r="7890" spans="1:6">
      <c r="A7890" s="174">
        <f t="shared" si="115"/>
        <v>7889</v>
      </c>
      <c r="B7890" s="163">
        <v>45983</v>
      </c>
      <c r="C7890" s="194">
        <v>0.74703703703703705</v>
      </c>
      <c r="D7890" s="174" t="s">
        <v>7003</v>
      </c>
      <c r="E7890" s="166" t="s">
        <v>7003</v>
      </c>
      <c r="F7890" t="s">
        <v>6946</v>
      </c>
    </row>
    <row r="7891" spans="1:6">
      <c r="A7891" s="174">
        <f t="shared" si="115"/>
        <v>7890</v>
      </c>
      <c r="B7891" s="163">
        <v>45983</v>
      </c>
      <c r="C7891" s="194">
        <v>0.75047453703703704</v>
      </c>
      <c r="D7891" s="174" t="s">
        <v>7003</v>
      </c>
      <c r="E7891" s="166" t="s">
        <v>7003</v>
      </c>
      <c r="F7891" t="s">
        <v>6946</v>
      </c>
    </row>
    <row r="7892" spans="1:6">
      <c r="A7892" s="174">
        <f t="shared" si="115"/>
        <v>7891</v>
      </c>
      <c r="B7892" s="163">
        <v>45983</v>
      </c>
      <c r="C7892" s="194">
        <v>0.7449189814814815</v>
      </c>
      <c r="D7892" s="174" t="s">
        <v>7003</v>
      </c>
      <c r="E7892" s="166" t="s">
        <v>7003</v>
      </c>
      <c r="F7892" t="s">
        <v>6946</v>
      </c>
    </row>
    <row r="7893" spans="1:6">
      <c r="A7893" s="174">
        <f t="shared" si="115"/>
        <v>7892</v>
      </c>
      <c r="B7893" s="163">
        <v>45983</v>
      </c>
      <c r="C7893" s="194">
        <v>0.74121527777777774</v>
      </c>
      <c r="D7893" s="174" t="s">
        <v>7003</v>
      </c>
      <c r="E7893" s="166" t="s">
        <v>7003</v>
      </c>
      <c r="F7893" t="s">
        <v>6946</v>
      </c>
    </row>
    <row r="7894" spans="1:6">
      <c r="A7894" s="174">
        <f t="shared" si="115"/>
        <v>7893</v>
      </c>
      <c r="B7894" s="163">
        <v>45983</v>
      </c>
      <c r="C7894" s="194">
        <v>0.74064814814814817</v>
      </c>
      <c r="D7894" s="174" t="s">
        <v>7003</v>
      </c>
      <c r="E7894" s="166" t="s">
        <v>7003</v>
      </c>
      <c r="F7894" t="s">
        <v>6946</v>
      </c>
    </row>
    <row r="7895" spans="1:6">
      <c r="A7895" s="174">
        <f t="shared" si="115"/>
        <v>7894</v>
      </c>
      <c r="B7895" s="163">
        <v>45983</v>
      </c>
      <c r="C7895" s="194">
        <v>0.7260416666666667</v>
      </c>
      <c r="D7895" s="174" t="s">
        <v>7003</v>
      </c>
      <c r="E7895" s="166" t="s">
        <v>7003</v>
      </c>
      <c r="F7895" t="s">
        <v>6946</v>
      </c>
    </row>
    <row r="7896" spans="1:6">
      <c r="A7896" s="174">
        <f t="shared" si="115"/>
        <v>7895</v>
      </c>
      <c r="B7896" s="163">
        <v>45983</v>
      </c>
      <c r="C7896" s="194">
        <v>0.73048611111111106</v>
      </c>
      <c r="D7896" s="174" t="s">
        <v>7003</v>
      </c>
      <c r="E7896" s="166" t="s">
        <v>7003</v>
      </c>
      <c r="F7896" t="s">
        <v>6946</v>
      </c>
    </row>
    <row r="7897" spans="1:6">
      <c r="A7897" s="174">
        <f t="shared" si="115"/>
        <v>7896</v>
      </c>
      <c r="B7897" s="163">
        <v>45983</v>
      </c>
      <c r="C7897" s="194">
        <v>0.72564814814814815</v>
      </c>
      <c r="D7897" s="174" t="s">
        <v>7003</v>
      </c>
      <c r="E7897" s="166" t="s">
        <v>7003</v>
      </c>
      <c r="F7897" t="s">
        <v>6946</v>
      </c>
    </row>
    <row r="7898" spans="1:6">
      <c r="A7898" s="174">
        <f t="shared" si="115"/>
        <v>7897</v>
      </c>
      <c r="B7898" s="163">
        <v>45983</v>
      </c>
      <c r="C7898" s="194">
        <v>0.69366898148148148</v>
      </c>
      <c r="D7898" s="174" t="s">
        <v>7003</v>
      </c>
      <c r="E7898" s="166" t="s">
        <v>7003</v>
      </c>
      <c r="F7898" t="s">
        <v>6946</v>
      </c>
    </row>
    <row r="7899" spans="1:6">
      <c r="A7899" s="174">
        <f t="shared" si="115"/>
        <v>7898</v>
      </c>
      <c r="B7899" s="163">
        <v>45983</v>
      </c>
      <c r="C7899" s="194">
        <v>0.71182870370370377</v>
      </c>
      <c r="D7899" s="174" t="s">
        <v>7003</v>
      </c>
      <c r="E7899" s="166" t="s">
        <v>7003</v>
      </c>
      <c r="F7899" t="s">
        <v>6946</v>
      </c>
    </row>
    <row r="7900" spans="1:6">
      <c r="A7900" s="174">
        <f t="shared" si="115"/>
        <v>7899</v>
      </c>
      <c r="B7900" s="163">
        <v>45983</v>
      </c>
      <c r="C7900" s="194">
        <v>0.66759259259259263</v>
      </c>
      <c r="D7900" s="174" t="s">
        <v>7003</v>
      </c>
      <c r="E7900" s="166" t="s">
        <v>7003</v>
      </c>
      <c r="F7900" t="s">
        <v>6946</v>
      </c>
    </row>
    <row r="7901" spans="1:6">
      <c r="A7901" s="174">
        <f t="shared" si="115"/>
        <v>7900</v>
      </c>
      <c r="B7901" s="163">
        <v>45983</v>
      </c>
      <c r="C7901" s="194">
        <v>0.68101851851851858</v>
      </c>
      <c r="D7901" s="174" t="s">
        <v>7003</v>
      </c>
      <c r="E7901" s="166" t="s">
        <v>7003</v>
      </c>
      <c r="F7901" t="s">
        <v>6946</v>
      </c>
    </row>
    <row r="7902" spans="1:6">
      <c r="A7902" s="174">
        <f t="shared" si="115"/>
        <v>7901</v>
      </c>
      <c r="B7902" s="163">
        <v>45983</v>
      </c>
      <c r="C7902" s="194">
        <v>0.66594907407407411</v>
      </c>
      <c r="D7902" s="174" t="s">
        <v>7003</v>
      </c>
      <c r="E7902" s="166" t="s">
        <v>7003</v>
      </c>
      <c r="F7902" t="s">
        <v>6946</v>
      </c>
    </row>
    <row r="7903" spans="1:6">
      <c r="A7903" s="174">
        <f t="shared" si="115"/>
        <v>7902</v>
      </c>
      <c r="B7903" s="163">
        <v>45983</v>
      </c>
      <c r="C7903" s="194">
        <v>0.66796296296296298</v>
      </c>
      <c r="D7903" s="174" t="s">
        <v>7003</v>
      </c>
      <c r="E7903" s="166" t="s">
        <v>7003</v>
      </c>
      <c r="F7903" t="s">
        <v>6946</v>
      </c>
    </row>
    <row r="7904" spans="1:6">
      <c r="A7904" s="174">
        <f t="shared" si="115"/>
        <v>7903</v>
      </c>
      <c r="B7904" s="163">
        <v>45983</v>
      </c>
      <c r="C7904" s="194">
        <v>0.65976851851851859</v>
      </c>
      <c r="D7904" s="174" t="s">
        <v>7003</v>
      </c>
      <c r="E7904" s="166" t="s">
        <v>7003</v>
      </c>
      <c r="F7904" t="s">
        <v>6946</v>
      </c>
    </row>
    <row r="7905" spans="1:6" ht="27">
      <c r="A7905" s="174">
        <f t="shared" ref="A7905:A7968" si="116">ROW()-1</f>
        <v>7904</v>
      </c>
      <c r="B7905" s="163">
        <v>45968</v>
      </c>
      <c r="C7905" s="194">
        <v>0.51101851851851854</v>
      </c>
      <c r="D7905" s="174">
        <v>10</v>
      </c>
      <c r="E7905" s="166" t="s">
        <v>6533</v>
      </c>
      <c r="F7905" t="s">
        <v>6946</v>
      </c>
    </row>
    <row r="7906" spans="1:6">
      <c r="A7906" s="174">
        <f t="shared" si="116"/>
        <v>7905</v>
      </c>
      <c r="B7906" s="163">
        <v>45983</v>
      </c>
      <c r="C7906" s="194">
        <v>0.64917824074074071</v>
      </c>
      <c r="D7906" s="174" t="s">
        <v>7003</v>
      </c>
      <c r="E7906" s="166" t="s">
        <v>7003</v>
      </c>
      <c r="F7906" t="s">
        <v>6946</v>
      </c>
    </row>
    <row r="7907" spans="1:6">
      <c r="A7907" s="174">
        <f t="shared" si="116"/>
        <v>7906</v>
      </c>
      <c r="B7907" s="163">
        <v>45983</v>
      </c>
      <c r="C7907" s="194">
        <v>0.64059027777777777</v>
      </c>
      <c r="D7907" s="174" t="s">
        <v>7003</v>
      </c>
      <c r="E7907" s="166" t="s">
        <v>7003</v>
      </c>
      <c r="F7907" t="s">
        <v>6946</v>
      </c>
    </row>
    <row r="7908" spans="1:6">
      <c r="A7908" s="174">
        <f t="shared" si="116"/>
        <v>7907</v>
      </c>
      <c r="B7908" s="163">
        <v>45983</v>
      </c>
      <c r="C7908" s="194">
        <v>0.63473379629629634</v>
      </c>
      <c r="D7908" s="174" t="s">
        <v>7003</v>
      </c>
      <c r="E7908" s="166" t="s">
        <v>7003</v>
      </c>
      <c r="F7908" t="s">
        <v>6946</v>
      </c>
    </row>
    <row r="7909" spans="1:6">
      <c r="A7909" s="174">
        <f t="shared" si="116"/>
        <v>7908</v>
      </c>
      <c r="B7909" s="163">
        <v>45983</v>
      </c>
      <c r="C7909" s="194">
        <v>0.63293981481481476</v>
      </c>
      <c r="D7909" s="174" t="s">
        <v>7003</v>
      </c>
      <c r="E7909" s="166" t="s">
        <v>7003</v>
      </c>
      <c r="F7909" t="s">
        <v>6946</v>
      </c>
    </row>
    <row r="7910" spans="1:6">
      <c r="A7910" s="174">
        <f t="shared" si="116"/>
        <v>7909</v>
      </c>
      <c r="B7910" s="163">
        <v>45983</v>
      </c>
      <c r="C7910" s="194">
        <v>0.63113425925925926</v>
      </c>
      <c r="D7910" s="174" t="s">
        <v>7003</v>
      </c>
      <c r="E7910" s="166" t="s">
        <v>7003</v>
      </c>
      <c r="F7910" t="s">
        <v>6946</v>
      </c>
    </row>
    <row r="7911" spans="1:6">
      <c r="A7911" s="174">
        <f t="shared" si="116"/>
        <v>7910</v>
      </c>
      <c r="B7911" s="163">
        <v>45983</v>
      </c>
      <c r="C7911" s="194">
        <v>0.63918981481481485</v>
      </c>
      <c r="D7911" s="174" t="s">
        <v>7003</v>
      </c>
      <c r="E7911" s="166" t="s">
        <v>7003</v>
      </c>
      <c r="F7911" t="s">
        <v>6946</v>
      </c>
    </row>
    <row r="7912" spans="1:6">
      <c r="A7912" s="174">
        <f t="shared" si="116"/>
        <v>7911</v>
      </c>
      <c r="B7912" s="163">
        <v>45983</v>
      </c>
      <c r="C7912" s="194">
        <v>0.6164236111111111</v>
      </c>
      <c r="D7912" s="174" t="s">
        <v>7003</v>
      </c>
      <c r="E7912" s="166" t="s">
        <v>7003</v>
      </c>
      <c r="F7912" t="s">
        <v>6946</v>
      </c>
    </row>
    <row r="7913" spans="1:6">
      <c r="A7913" s="174">
        <f t="shared" si="116"/>
        <v>7912</v>
      </c>
      <c r="B7913" s="163">
        <v>45988</v>
      </c>
      <c r="C7913" s="194">
        <v>0.37671296296296292</v>
      </c>
      <c r="D7913" s="174" t="s">
        <v>7003</v>
      </c>
      <c r="E7913" s="166" t="s">
        <v>7003</v>
      </c>
      <c r="F7913" t="s">
        <v>6946</v>
      </c>
    </row>
    <row r="7914" spans="1:6">
      <c r="A7914" s="174">
        <f t="shared" si="116"/>
        <v>7913</v>
      </c>
      <c r="B7914" s="163">
        <v>45983</v>
      </c>
      <c r="C7914" s="194">
        <v>0.64059027777777777</v>
      </c>
      <c r="D7914" s="174" t="s">
        <v>7003</v>
      </c>
      <c r="E7914" s="166" t="s">
        <v>7003</v>
      </c>
      <c r="F7914" t="s">
        <v>6946</v>
      </c>
    </row>
    <row r="7915" spans="1:6">
      <c r="A7915" s="174">
        <f t="shared" si="116"/>
        <v>7914</v>
      </c>
      <c r="B7915" s="163">
        <v>45983</v>
      </c>
      <c r="C7915" s="194">
        <v>0.60001157407407402</v>
      </c>
      <c r="D7915" s="174" t="s">
        <v>7003</v>
      </c>
      <c r="E7915" s="166" t="s">
        <v>7003</v>
      </c>
      <c r="F7915" t="s">
        <v>6946</v>
      </c>
    </row>
    <row r="7916" spans="1:6">
      <c r="A7916" s="174">
        <f t="shared" si="116"/>
        <v>7915</v>
      </c>
      <c r="B7916" s="163">
        <v>45983</v>
      </c>
      <c r="C7916" s="194">
        <v>0.58761574074074074</v>
      </c>
      <c r="D7916" s="174" t="s">
        <v>7003</v>
      </c>
      <c r="E7916" s="166" t="s">
        <v>7003</v>
      </c>
      <c r="F7916" t="s">
        <v>6946</v>
      </c>
    </row>
    <row r="7917" spans="1:6">
      <c r="A7917" s="174">
        <f t="shared" si="116"/>
        <v>7916</v>
      </c>
      <c r="B7917" s="163">
        <v>45989</v>
      </c>
      <c r="C7917" s="194">
        <v>0.41895833333333332</v>
      </c>
      <c r="D7917" s="174" t="s">
        <v>7003</v>
      </c>
      <c r="E7917" s="166" t="s">
        <v>7003</v>
      </c>
      <c r="F7917" t="s">
        <v>6946</v>
      </c>
    </row>
    <row r="7918" spans="1:6">
      <c r="A7918" s="174">
        <f t="shared" si="116"/>
        <v>7917</v>
      </c>
      <c r="B7918" s="163">
        <v>45983</v>
      </c>
      <c r="C7918" s="194">
        <v>0.55347222222222225</v>
      </c>
      <c r="D7918" s="174" t="s">
        <v>7003</v>
      </c>
      <c r="E7918" s="166" t="s">
        <v>7003</v>
      </c>
      <c r="F7918" t="s">
        <v>6946</v>
      </c>
    </row>
    <row r="7919" spans="1:6">
      <c r="A7919" s="174">
        <f t="shared" si="116"/>
        <v>7918</v>
      </c>
      <c r="B7919" s="163">
        <v>45983</v>
      </c>
      <c r="C7919" s="194">
        <v>0.54881944444444442</v>
      </c>
      <c r="D7919" s="174" t="s">
        <v>7003</v>
      </c>
      <c r="E7919" s="166" t="s">
        <v>7003</v>
      </c>
      <c r="F7919" t="s">
        <v>6946</v>
      </c>
    </row>
    <row r="7920" spans="1:6">
      <c r="A7920" s="174">
        <f t="shared" si="116"/>
        <v>7919</v>
      </c>
      <c r="B7920" s="163">
        <v>45968</v>
      </c>
      <c r="C7920" s="194">
        <v>0.49362268518518521</v>
      </c>
      <c r="D7920" s="174">
        <v>10</v>
      </c>
      <c r="E7920" s="166" t="s">
        <v>448</v>
      </c>
      <c r="F7920" t="s">
        <v>6946</v>
      </c>
    </row>
    <row r="7921" spans="1:6">
      <c r="A7921" s="174">
        <f t="shared" si="116"/>
        <v>7920</v>
      </c>
      <c r="B7921" s="163">
        <v>45983</v>
      </c>
      <c r="C7921" s="194">
        <v>0.5305671296296296</v>
      </c>
      <c r="D7921" s="174" t="s">
        <v>7003</v>
      </c>
      <c r="E7921" s="166" t="s">
        <v>7003</v>
      </c>
      <c r="F7921" t="s">
        <v>6946</v>
      </c>
    </row>
    <row r="7922" spans="1:6">
      <c r="A7922" s="174">
        <f t="shared" si="116"/>
        <v>7921</v>
      </c>
      <c r="B7922" s="163">
        <v>45983</v>
      </c>
      <c r="C7922" s="194">
        <v>0.5213888888888889</v>
      </c>
      <c r="D7922" s="174" t="s">
        <v>7003</v>
      </c>
      <c r="E7922" s="166" t="s">
        <v>7003</v>
      </c>
      <c r="F7922" t="s">
        <v>6946</v>
      </c>
    </row>
    <row r="7923" spans="1:6">
      <c r="A7923" s="174">
        <f t="shared" si="116"/>
        <v>7922</v>
      </c>
      <c r="B7923" s="163">
        <v>45983</v>
      </c>
      <c r="C7923" s="194">
        <v>0.51636574074074071</v>
      </c>
      <c r="D7923" s="174" t="s">
        <v>7003</v>
      </c>
      <c r="E7923" s="166" t="s">
        <v>7003</v>
      </c>
      <c r="F7923" t="s">
        <v>6946</v>
      </c>
    </row>
    <row r="7924" spans="1:6">
      <c r="A7924" s="174">
        <f t="shared" si="116"/>
        <v>7923</v>
      </c>
      <c r="B7924" s="163">
        <v>45983</v>
      </c>
      <c r="C7924" s="194">
        <v>0.48037037037037034</v>
      </c>
      <c r="D7924" s="174" t="s">
        <v>7003</v>
      </c>
      <c r="E7924" s="166" t="s">
        <v>7003</v>
      </c>
      <c r="F7924" t="s">
        <v>6946</v>
      </c>
    </row>
    <row r="7925" spans="1:6">
      <c r="A7925" s="174">
        <f t="shared" si="116"/>
        <v>7924</v>
      </c>
      <c r="B7925" s="163">
        <v>45983</v>
      </c>
      <c r="C7925" s="194">
        <v>0.46013888888888888</v>
      </c>
      <c r="D7925" s="174" t="s">
        <v>7003</v>
      </c>
      <c r="E7925" s="166" t="s">
        <v>7003</v>
      </c>
      <c r="F7925" t="s">
        <v>6946</v>
      </c>
    </row>
    <row r="7926" spans="1:6">
      <c r="A7926" s="174">
        <f t="shared" si="116"/>
        <v>7925</v>
      </c>
      <c r="B7926" s="163">
        <v>45983</v>
      </c>
      <c r="C7926" s="194">
        <v>0.46899305555555554</v>
      </c>
      <c r="D7926" s="174" t="s">
        <v>7003</v>
      </c>
      <c r="E7926" s="166" t="s">
        <v>7003</v>
      </c>
      <c r="F7926" t="s">
        <v>6946</v>
      </c>
    </row>
    <row r="7927" spans="1:6">
      <c r="A7927" s="174">
        <f t="shared" si="116"/>
        <v>7926</v>
      </c>
      <c r="B7927" s="163">
        <v>45968</v>
      </c>
      <c r="C7927" s="194">
        <v>0.4538773148148148</v>
      </c>
      <c r="D7927" s="174">
        <v>10</v>
      </c>
      <c r="E7927" s="166" t="s">
        <v>6532</v>
      </c>
      <c r="F7927" t="s">
        <v>6946</v>
      </c>
    </row>
    <row r="7928" spans="1:6">
      <c r="A7928" s="174">
        <f t="shared" si="116"/>
        <v>7927</v>
      </c>
      <c r="B7928" s="163">
        <v>45983</v>
      </c>
      <c r="C7928" s="194">
        <v>0.43556712962962968</v>
      </c>
      <c r="D7928" s="174" t="s">
        <v>7003</v>
      </c>
      <c r="E7928" s="166" t="s">
        <v>7003</v>
      </c>
      <c r="F7928" t="s">
        <v>6946</v>
      </c>
    </row>
    <row r="7929" spans="1:6">
      <c r="A7929" s="174">
        <f t="shared" si="116"/>
        <v>7928</v>
      </c>
      <c r="B7929" s="163">
        <v>45968</v>
      </c>
      <c r="C7929" s="194">
        <v>0.4366666666666667</v>
      </c>
      <c r="D7929" s="174">
        <v>10</v>
      </c>
      <c r="E7929" s="166" t="s">
        <v>354</v>
      </c>
      <c r="F7929" t="s">
        <v>6946</v>
      </c>
    </row>
    <row r="7930" spans="1:6">
      <c r="A7930" s="174">
        <f t="shared" si="116"/>
        <v>7929</v>
      </c>
      <c r="B7930" s="163">
        <v>45983</v>
      </c>
      <c r="C7930" s="194">
        <v>0.41001157407407413</v>
      </c>
      <c r="D7930" s="174" t="s">
        <v>7003</v>
      </c>
      <c r="E7930" s="166" t="s">
        <v>7003</v>
      </c>
      <c r="F7930" t="s">
        <v>6946</v>
      </c>
    </row>
    <row r="7931" spans="1:6">
      <c r="A7931" s="174">
        <f t="shared" si="116"/>
        <v>7930</v>
      </c>
      <c r="B7931" s="163">
        <v>45983</v>
      </c>
      <c r="C7931" s="194">
        <v>0.42296296296296299</v>
      </c>
      <c r="D7931" s="174" t="s">
        <v>7003</v>
      </c>
      <c r="E7931" s="166" t="s">
        <v>7003</v>
      </c>
      <c r="F7931" t="s">
        <v>6946</v>
      </c>
    </row>
    <row r="7932" spans="1:6">
      <c r="A7932" s="174">
        <f t="shared" si="116"/>
        <v>7931</v>
      </c>
      <c r="B7932" s="163">
        <v>45982</v>
      </c>
      <c r="C7932" s="194">
        <v>0.93261574074074083</v>
      </c>
      <c r="D7932" s="174" t="s">
        <v>7003</v>
      </c>
      <c r="E7932" s="166" t="s">
        <v>7003</v>
      </c>
      <c r="F7932" t="s">
        <v>6946</v>
      </c>
    </row>
    <row r="7933" spans="1:6">
      <c r="A7933" s="174">
        <f t="shared" si="116"/>
        <v>7932</v>
      </c>
      <c r="B7933" s="163">
        <v>45982</v>
      </c>
      <c r="C7933" s="194">
        <v>0.90922453703703709</v>
      </c>
      <c r="D7933" s="174" t="s">
        <v>7003</v>
      </c>
      <c r="E7933" s="166" t="s">
        <v>7003</v>
      </c>
      <c r="F7933" t="s">
        <v>6946</v>
      </c>
    </row>
    <row r="7934" spans="1:6">
      <c r="A7934" s="174">
        <f t="shared" si="116"/>
        <v>7933</v>
      </c>
      <c r="B7934" s="163">
        <v>45982</v>
      </c>
      <c r="C7934" s="194">
        <v>0.9009490740740741</v>
      </c>
      <c r="D7934" s="174" t="s">
        <v>7003</v>
      </c>
      <c r="E7934" s="166" t="s">
        <v>7003</v>
      </c>
      <c r="F7934" t="s">
        <v>6946</v>
      </c>
    </row>
    <row r="7935" spans="1:6">
      <c r="A7935" s="174">
        <f t="shared" si="116"/>
        <v>7934</v>
      </c>
      <c r="B7935" s="163">
        <v>45982</v>
      </c>
      <c r="C7935" s="194">
        <v>0.8903240740740741</v>
      </c>
      <c r="D7935" s="174" t="s">
        <v>7003</v>
      </c>
      <c r="E7935" s="166" t="s">
        <v>7003</v>
      </c>
      <c r="F7935" t="s">
        <v>6946</v>
      </c>
    </row>
    <row r="7936" spans="1:6">
      <c r="A7936" s="174">
        <f t="shared" si="116"/>
        <v>7935</v>
      </c>
      <c r="B7936" s="163">
        <v>45968</v>
      </c>
      <c r="C7936" s="194">
        <v>0.41356481481481483</v>
      </c>
      <c r="D7936" s="174">
        <v>10</v>
      </c>
      <c r="E7936" s="166" t="s">
        <v>6531</v>
      </c>
      <c r="F7936" t="s">
        <v>6946</v>
      </c>
    </row>
    <row r="7937" spans="1:6">
      <c r="A7937" s="174">
        <f t="shared" si="116"/>
        <v>7936</v>
      </c>
      <c r="B7937" s="163">
        <v>45968</v>
      </c>
      <c r="C7937" s="194">
        <v>0.39435185185185184</v>
      </c>
      <c r="D7937" s="174">
        <v>10</v>
      </c>
      <c r="E7937" s="166" t="s">
        <v>6530</v>
      </c>
      <c r="F7937" t="s">
        <v>6946</v>
      </c>
    </row>
    <row r="7938" spans="1:6">
      <c r="A7938" s="174">
        <f t="shared" si="116"/>
        <v>7937</v>
      </c>
      <c r="B7938" s="163">
        <v>45982</v>
      </c>
      <c r="C7938" s="194">
        <v>0.8706018518518519</v>
      </c>
      <c r="D7938" s="174" t="s">
        <v>7003</v>
      </c>
      <c r="E7938" s="166" t="s">
        <v>7003</v>
      </c>
      <c r="F7938" t="s">
        <v>6946</v>
      </c>
    </row>
    <row r="7939" spans="1:6">
      <c r="A7939" s="174">
        <f t="shared" si="116"/>
        <v>7938</v>
      </c>
      <c r="B7939" s="163">
        <v>45982</v>
      </c>
      <c r="C7939" s="194">
        <v>0.81521990740740735</v>
      </c>
      <c r="D7939" s="174" t="s">
        <v>7003</v>
      </c>
      <c r="E7939" s="166" t="s">
        <v>7003</v>
      </c>
      <c r="F7939" t="s">
        <v>6946</v>
      </c>
    </row>
    <row r="7940" spans="1:6">
      <c r="A7940" s="174">
        <f t="shared" si="116"/>
        <v>7939</v>
      </c>
      <c r="B7940" s="163">
        <v>45982</v>
      </c>
      <c r="C7940" s="194">
        <v>0.79075231481481489</v>
      </c>
      <c r="D7940" s="174" t="s">
        <v>7003</v>
      </c>
      <c r="E7940" s="166" t="s">
        <v>7003</v>
      </c>
      <c r="F7940" t="s">
        <v>6946</v>
      </c>
    </row>
    <row r="7941" spans="1:6">
      <c r="A7941" s="174">
        <f t="shared" si="116"/>
        <v>7940</v>
      </c>
      <c r="B7941" s="163">
        <v>45982</v>
      </c>
      <c r="C7941" s="194">
        <v>0.79083333333333339</v>
      </c>
      <c r="D7941" s="174" t="s">
        <v>7003</v>
      </c>
      <c r="E7941" s="166" t="s">
        <v>7003</v>
      </c>
      <c r="F7941" t="s">
        <v>6946</v>
      </c>
    </row>
    <row r="7942" spans="1:6">
      <c r="A7942" s="174">
        <f t="shared" si="116"/>
        <v>7941</v>
      </c>
      <c r="B7942" s="163">
        <v>45968</v>
      </c>
      <c r="C7942" s="194">
        <v>0.40335648148148145</v>
      </c>
      <c r="D7942" s="174">
        <v>10</v>
      </c>
      <c r="E7942" s="166" t="s">
        <v>6529</v>
      </c>
      <c r="F7942" t="s">
        <v>6946</v>
      </c>
    </row>
    <row r="7943" spans="1:6">
      <c r="A7943" s="174">
        <f t="shared" si="116"/>
        <v>7942</v>
      </c>
      <c r="B7943" s="163">
        <v>45982</v>
      </c>
      <c r="C7943" s="194">
        <v>0.7503009259259259</v>
      </c>
      <c r="D7943" s="174" t="s">
        <v>7003</v>
      </c>
      <c r="E7943" s="166" t="s">
        <v>7003</v>
      </c>
      <c r="F7943" t="s">
        <v>6946</v>
      </c>
    </row>
    <row r="7944" spans="1:6">
      <c r="A7944" s="174">
        <f t="shared" si="116"/>
        <v>7943</v>
      </c>
      <c r="B7944" s="163">
        <v>45982</v>
      </c>
      <c r="C7944" s="194">
        <v>0.74836805555555552</v>
      </c>
      <c r="D7944" s="174" t="s">
        <v>7003</v>
      </c>
      <c r="E7944" s="166" t="s">
        <v>7003</v>
      </c>
      <c r="F7944" t="s">
        <v>6946</v>
      </c>
    </row>
    <row r="7945" spans="1:6">
      <c r="A7945" s="174">
        <f t="shared" si="116"/>
        <v>7944</v>
      </c>
      <c r="B7945" s="163">
        <v>45969</v>
      </c>
      <c r="C7945" s="194">
        <v>0.72873842592592597</v>
      </c>
      <c r="D7945" s="174">
        <v>10</v>
      </c>
      <c r="E7945" s="166" t="s">
        <v>6568</v>
      </c>
      <c r="F7945" t="s">
        <v>6946</v>
      </c>
    </row>
    <row r="7946" spans="1:6">
      <c r="A7946" s="174">
        <f t="shared" si="116"/>
        <v>7945</v>
      </c>
      <c r="B7946" s="163">
        <v>45969</v>
      </c>
      <c r="C7946" s="194">
        <v>0.71122685185185175</v>
      </c>
      <c r="D7946" s="174">
        <v>10</v>
      </c>
      <c r="E7946" s="166" t="s">
        <v>6567</v>
      </c>
      <c r="F7946" t="s">
        <v>6946</v>
      </c>
    </row>
    <row r="7947" spans="1:6">
      <c r="A7947" s="174">
        <f t="shared" si="116"/>
        <v>7946</v>
      </c>
      <c r="B7947" s="163">
        <v>45982</v>
      </c>
      <c r="C7947" s="194">
        <v>0.74813657407407408</v>
      </c>
      <c r="D7947" s="174" t="s">
        <v>7003</v>
      </c>
      <c r="E7947" s="166" t="s">
        <v>7003</v>
      </c>
      <c r="F7947" t="s">
        <v>6946</v>
      </c>
    </row>
    <row r="7948" spans="1:6">
      <c r="A7948" s="174">
        <f t="shared" si="116"/>
        <v>7947</v>
      </c>
      <c r="B7948" s="163">
        <v>45982</v>
      </c>
      <c r="C7948" s="194">
        <v>0.75262731481481471</v>
      </c>
      <c r="D7948" s="174" t="s">
        <v>7003</v>
      </c>
      <c r="E7948" s="166" t="s">
        <v>7003</v>
      </c>
      <c r="F7948" t="s">
        <v>6946</v>
      </c>
    </row>
    <row r="7949" spans="1:6" ht="54">
      <c r="A7949" s="174">
        <f t="shared" si="116"/>
        <v>7948</v>
      </c>
      <c r="B7949" s="163">
        <v>45969</v>
      </c>
      <c r="C7949" s="194">
        <v>0.71148148148148149</v>
      </c>
      <c r="D7949" s="174">
        <v>10</v>
      </c>
      <c r="E7949" s="166" t="s">
        <v>6940</v>
      </c>
      <c r="F7949" t="s">
        <v>6946</v>
      </c>
    </row>
    <row r="7950" spans="1:6" ht="27">
      <c r="A7950" s="174">
        <f t="shared" si="116"/>
        <v>7949</v>
      </c>
      <c r="B7950" s="163">
        <v>45969</v>
      </c>
      <c r="C7950" s="194">
        <v>0.71097222222222223</v>
      </c>
      <c r="D7950" s="174">
        <v>10</v>
      </c>
      <c r="E7950" s="166" t="s">
        <v>6566</v>
      </c>
      <c r="F7950" t="s">
        <v>6946</v>
      </c>
    </row>
    <row r="7951" spans="1:6">
      <c r="A7951" s="174">
        <f t="shared" si="116"/>
        <v>7950</v>
      </c>
      <c r="B7951" s="163">
        <v>45969</v>
      </c>
      <c r="C7951" s="194">
        <v>0.68327546296296304</v>
      </c>
      <c r="D7951" s="174">
        <v>10</v>
      </c>
      <c r="E7951" s="166" t="s">
        <v>6565</v>
      </c>
      <c r="F7951" t="s">
        <v>6946</v>
      </c>
    </row>
    <row r="7952" spans="1:6">
      <c r="A7952" s="174">
        <f t="shared" si="116"/>
        <v>7951</v>
      </c>
      <c r="B7952" s="163">
        <v>45982</v>
      </c>
      <c r="C7952" s="194">
        <v>0.75038194444444439</v>
      </c>
      <c r="D7952" s="174" t="s">
        <v>7003</v>
      </c>
      <c r="E7952" s="166" t="s">
        <v>7003</v>
      </c>
      <c r="F7952" t="s">
        <v>6946</v>
      </c>
    </row>
    <row r="7953" spans="1:6">
      <c r="A7953" s="174">
        <f t="shared" si="116"/>
        <v>7952</v>
      </c>
      <c r="B7953" s="163">
        <v>45969</v>
      </c>
      <c r="C7953" s="194">
        <v>0.67019675925925926</v>
      </c>
      <c r="D7953" s="174">
        <v>10</v>
      </c>
      <c r="E7953" s="166" t="s">
        <v>6564</v>
      </c>
      <c r="F7953" t="s">
        <v>6946</v>
      </c>
    </row>
    <row r="7954" spans="1:6">
      <c r="A7954" s="174">
        <f t="shared" si="116"/>
        <v>7953</v>
      </c>
      <c r="B7954" s="163">
        <v>45982</v>
      </c>
      <c r="C7954" s="194">
        <v>0.755</v>
      </c>
      <c r="D7954" s="174" t="s">
        <v>7003</v>
      </c>
      <c r="E7954" s="166" t="s">
        <v>7003</v>
      </c>
      <c r="F7954" t="s">
        <v>6946</v>
      </c>
    </row>
    <row r="7955" spans="1:6">
      <c r="A7955" s="174">
        <f t="shared" si="116"/>
        <v>7954</v>
      </c>
      <c r="B7955" s="163">
        <v>45982</v>
      </c>
      <c r="C7955" s="194">
        <v>0.72585648148148152</v>
      </c>
      <c r="D7955" s="174" t="s">
        <v>7003</v>
      </c>
      <c r="E7955" s="166" t="s">
        <v>7003</v>
      </c>
      <c r="F7955" t="s">
        <v>6946</v>
      </c>
    </row>
    <row r="7956" spans="1:6">
      <c r="A7956" s="174">
        <f t="shared" si="116"/>
        <v>7955</v>
      </c>
      <c r="B7956" s="163">
        <v>45982</v>
      </c>
      <c r="C7956" s="194">
        <v>0.72910879629629621</v>
      </c>
      <c r="D7956" s="174" t="s">
        <v>7003</v>
      </c>
      <c r="E7956" s="166" t="s">
        <v>7003</v>
      </c>
      <c r="F7956" t="s">
        <v>6946</v>
      </c>
    </row>
    <row r="7957" spans="1:6">
      <c r="A7957" s="174">
        <f t="shared" si="116"/>
        <v>7956</v>
      </c>
      <c r="B7957" s="163">
        <v>45982</v>
      </c>
      <c r="C7957" s="194">
        <v>0.73060185185185189</v>
      </c>
      <c r="D7957" s="174" t="s">
        <v>7003</v>
      </c>
      <c r="E7957" s="166" t="s">
        <v>7003</v>
      </c>
      <c r="F7957" t="s">
        <v>6946</v>
      </c>
    </row>
    <row r="7958" spans="1:6">
      <c r="A7958" s="174">
        <f t="shared" si="116"/>
        <v>7957</v>
      </c>
      <c r="B7958" s="163">
        <v>45982</v>
      </c>
      <c r="C7958" s="194">
        <v>0.73749999999999993</v>
      </c>
      <c r="D7958" s="174" t="s">
        <v>7003</v>
      </c>
      <c r="E7958" s="166" t="s">
        <v>7003</v>
      </c>
      <c r="F7958" t="s">
        <v>6946</v>
      </c>
    </row>
    <row r="7959" spans="1:6">
      <c r="A7959" s="174">
        <f t="shared" si="116"/>
        <v>7958</v>
      </c>
      <c r="B7959" s="163">
        <v>45982</v>
      </c>
      <c r="C7959" s="194">
        <v>0.70949074074074081</v>
      </c>
      <c r="D7959" s="174" t="s">
        <v>7003</v>
      </c>
      <c r="E7959" s="166" t="s">
        <v>7003</v>
      </c>
      <c r="F7959" t="s">
        <v>6946</v>
      </c>
    </row>
    <row r="7960" spans="1:6">
      <c r="A7960" s="174">
        <f t="shared" si="116"/>
        <v>7959</v>
      </c>
      <c r="B7960" s="163">
        <v>45982</v>
      </c>
      <c r="C7960" s="194">
        <v>0.71069444444444452</v>
      </c>
      <c r="D7960" s="174" t="s">
        <v>7003</v>
      </c>
      <c r="E7960" s="166" t="s">
        <v>7003</v>
      </c>
      <c r="F7960" t="s">
        <v>6946</v>
      </c>
    </row>
    <row r="7961" spans="1:6">
      <c r="A7961" s="174">
        <f t="shared" si="116"/>
        <v>7960</v>
      </c>
      <c r="B7961" s="163">
        <v>45982</v>
      </c>
      <c r="C7961" s="194">
        <v>0.69828703703703709</v>
      </c>
      <c r="D7961" s="174" t="s">
        <v>7003</v>
      </c>
      <c r="E7961" s="166" t="s">
        <v>7003</v>
      </c>
      <c r="F7961" t="s">
        <v>6946</v>
      </c>
    </row>
    <row r="7962" spans="1:6">
      <c r="A7962" s="174">
        <f t="shared" si="116"/>
        <v>7961</v>
      </c>
      <c r="B7962" s="163">
        <v>45982</v>
      </c>
      <c r="C7962" s="194">
        <v>0.72884259259259254</v>
      </c>
      <c r="D7962" s="174" t="s">
        <v>7003</v>
      </c>
      <c r="E7962" s="166" t="s">
        <v>7003</v>
      </c>
      <c r="F7962" t="s">
        <v>6946</v>
      </c>
    </row>
    <row r="7963" spans="1:6">
      <c r="A7963" s="174">
        <f t="shared" si="116"/>
        <v>7962</v>
      </c>
      <c r="B7963" s="163">
        <v>45982</v>
      </c>
      <c r="C7963" s="194">
        <v>0.69374999999999998</v>
      </c>
      <c r="D7963" s="174" t="s">
        <v>7003</v>
      </c>
      <c r="E7963" s="166" t="s">
        <v>7003</v>
      </c>
      <c r="F7963" t="s">
        <v>6946</v>
      </c>
    </row>
    <row r="7964" spans="1:6">
      <c r="A7964" s="174">
        <f t="shared" si="116"/>
        <v>7963</v>
      </c>
      <c r="B7964" s="163">
        <v>45969</v>
      </c>
      <c r="C7964" s="194">
        <v>0.62924768518518526</v>
      </c>
      <c r="D7964" s="174">
        <v>10</v>
      </c>
      <c r="E7964" s="166" t="s">
        <v>6563</v>
      </c>
      <c r="F7964" t="s">
        <v>6946</v>
      </c>
    </row>
    <row r="7965" spans="1:6">
      <c r="A7965" s="174">
        <f t="shared" si="116"/>
        <v>7964</v>
      </c>
      <c r="B7965" s="163">
        <v>45982</v>
      </c>
      <c r="C7965" s="194">
        <v>0.69138888888888894</v>
      </c>
      <c r="D7965" s="174" t="s">
        <v>7003</v>
      </c>
      <c r="E7965" s="166" t="s">
        <v>7003</v>
      </c>
      <c r="F7965" t="s">
        <v>6946</v>
      </c>
    </row>
    <row r="7966" spans="1:6">
      <c r="A7966" s="174">
        <f t="shared" si="116"/>
        <v>7965</v>
      </c>
      <c r="B7966" s="163">
        <v>45982</v>
      </c>
      <c r="C7966" s="194">
        <v>0.68554398148148143</v>
      </c>
      <c r="D7966" s="174" t="s">
        <v>7003</v>
      </c>
      <c r="E7966" s="166" t="s">
        <v>7003</v>
      </c>
      <c r="F7966" t="s">
        <v>6946</v>
      </c>
    </row>
    <row r="7967" spans="1:6">
      <c r="A7967" s="174">
        <f t="shared" si="116"/>
        <v>7966</v>
      </c>
      <c r="B7967" s="163">
        <v>45982</v>
      </c>
      <c r="C7967" s="194">
        <v>0.68629629629629629</v>
      </c>
      <c r="D7967" s="174" t="s">
        <v>7003</v>
      </c>
      <c r="E7967" s="166" t="s">
        <v>7003</v>
      </c>
      <c r="F7967" t="s">
        <v>6946</v>
      </c>
    </row>
    <row r="7968" spans="1:6">
      <c r="A7968" s="174">
        <f t="shared" si="116"/>
        <v>7967</v>
      </c>
      <c r="B7968" s="163">
        <v>45982</v>
      </c>
      <c r="C7968" s="194">
        <v>0.67855324074074075</v>
      </c>
      <c r="D7968" s="174" t="s">
        <v>7003</v>
      </c>
      <c r="E7968" s="166" t="s">
        <v>7003</v>
      </c>
      <c r="F7968" t="s">
        <v>6946</v>
      </c>
    </row>
    <row r="7969" spans="1:6">
      <c r="A7969" s="174">
        <f t="shared" ref="A7969:A8032" si="117">ROW()-1</f>
        <v>7968</v>
      </c>
      <c r="B7969" s="163">
        <v>45982</v>
      </c>
      <c r="C7969" s="194">
        <v>0.6834027777777778</v>
      </c>
      <c r="D7969" s="174" t="s">
        <v>7003</v>
      </c>
      <c r="E7969" s="166" t="s">
        <v>7003</v>
      </c>
      <c r="F7969" t="s">
        <v>6946</v>
      </c>
    </row>
    <row r="7970" spans="1:6">
      <c r="A7970" s="174">
        <f t="shared" si="117"/>
        <v>7969</v>
      </c>
      <c r="B7970" s="163">
        <v>45982</v>
      </c>
      <c r="C7970" s="194">
        <v>0.68535879629629637</v>
      </c>
      <c r="D7970" s="174" t="s">
        <v>7003</v>
      </c>
      <c r="E7970" s="166" t="s">
        <v>7003</v>
      </c>
      <c r="F7970" t="s">
        <v>6946</v>
      </c>
    </row>
    <row r="7971" spans="1:6">
      <c r="A7971" s="174">
        <f t="shared" si="117"/>
        <v>7970</v>
      </c>
      <c r="B7971" s="163">
        <v>45969</v>
      </c>
      <c r="C7971" s="194">
        <v>0.62930555555555556</v>
      </c>
      <c r="D7971" s="174">
        <v>10</v>
      </c>
      <c r="E7971" s="166" t="s">
        <v>6562</v>
      </c>
      <c r="F7971" t="s">
        <v>6946</v>
      </c>
    </row>
    <row r="7972" spans="1:6">
      <c r="A7972" s="174">
        <f t="shared" si="117"/>
        <v>7971</v>
      </c>
      <c r="B7972" s="163">
        <v>45969</v>
      </c>
      <c r="C7972" s="194">
        <v>0.61655092592592597</v>
      </c>
      <c r="D7972" s="174">
        <v>10</v>
      </c>
      <c r="E7972" s="166" t="s">
        <v>6561</v>
      </c>
      <c r="F7972" t="s">
        <v>6946</v>
      </c>
    </row>
    <row r="7973" spans="1:6">
      <c r="A7973" s="174">
        <f t="shared" si="117"/>
        <v>7972</v>
      </c>
      <c r="B7973" s="163">
        <v>45982</v>
      </c>
      <c r="C7973" s="194">
        <v>0.67667824074074068</v>
      </c>
      <c r="D7973" s="174" t="s">
        <v>7003</v>
      </c>
      <c r="E7973" s="166" t="s">
        <v>7003</v>
      </c>
      <c r="F7973" t="s">
        <v>6946</v>
      </c>
    </row>
    <row r="7974" spans="1:6">
      <c r="A7974" s="174">
        <f t="shared" si="117"/>
        <v>7973</v>
      </c>
      <c r="B7974" s="163">
        <v>45982</v>
      </c>
      <c r="C7974" s="194">
        <v>0.67335648148148142</v>
      </c>
      <c r="D7974" s="174" t="s">
        <v>7003</v>
      </c>
      <c r="E7974" s="166" t="s">
        <v>7003</v>
      </c>
      <c r="F7974" t="s">
        <v>6946</v>
      </c>
    </row>
    <row r="7975" spans="1:6">
      <c r="A7975" s="174">
        <f t="shared" si="117"/>
        <v>7974</v>
      </c>
      <c r="B7975" s="163">
        <v>45982</v>
      </c>
      <c r="C7975" s="194">
        <v>0.6732407407407407</v>
      </c>
      <c r="D7975" s="174" t="s">
        <v>7003</v>
      </c>
      <c r="E7975" s="166" t="s">
        <v>7003</v>
      </c>
      <c r="F7975" t="s">
        <v>6946</v>
      </c>
    </row>
    <row r="7976" spans="1:6">
      <c r="A7976" s="174">
        <f t="shared" si="117"/>
        <v>7975</v>
      </c>
      <c r="B7976" s="163">
        <v>45969</v>
      </c>
      <c r="C7976" s="194">
        <v>0.59084490740740747</v>
      </c>
      <c r="D7976" s="174">
        <v>10</v>
      </c>
      <c r="E7976" s="166" t="s">
        <v>6560</v>
      </c>
      <c r="F7976" t="s">
        <v>6946</v>
      </c>
    </row>
    <row r="7977" spans="1:6">
      <c r="A7977" s="174">
        <f t="shared" si="117"/>
        <v>7976</v>
      </c>
      <c r="B7977" s="163">
        <v>45982</v>
      </c>
      <c r="C7977" s="194">
        <v>0.65473379629629636</v>
      </c>
      <c r="D7977" s="174" t="s">
        <v>7003</v>
      </c>
      <c r="E7977" s="166" t="s">
        <v>7003</v>
      </c>
      <c r="F7977" t="s">
        <v>6946</v>
      </c>
    </row>
    <row r="7978" spans="1:6">
      <c r="A7978" s="174">
        <f t="shared" si="117"/>
        <v>7977</v>
      </c>
      <c r="B7978" s="163">
        <v>45982</v>
      </c>
      <c r="C7978" s="194">
        <v>0.65065972222222224</v>
      </c>
      <c r="D7978" s="174" t="s">
        <v>7003</v>
      </c>
      <c r="E7978" s="166" t="s">
        <v>7003</v>
      </c>
      <c r="F7978" t="s">
        <v>6946</v>
      </c>
    </row>
    <row r="7979" spans="1:6">
      <c r="A7979" s="174">
        <f t="shared" si="117"/>
        <v>7978</v>
      </c>
      <c r="B7979" s="163">
        <v>45982</v>
      </c>
      <c r="C7979" s="194">
        <v>0.64906249999999999</v>
      </c>
      <c r="D7979" s="174" t="s">
        <v>7003</v>
      </c>
      <c r="E7979" s="166" t="s">
        <v>7003</v>
      </c>
      <c r="F7979" t="s">
        <v>6946</v>
      </c>
    </row>
    <row r="7980" spans="1:6">
      <c r="A7980" s="174">
        <f t="shared" si="117"/>
        <v>7979</v>
      </c>
      <c r="B7980" s="163">
        <v>45969</v>
      </c>
      <c r="C7980" s="194">
        <v>0.57590277777777776</v>
      </c>
      <c r="D7980" s="174">
        <v>10</v>
      </c>
      <c r="E7980" s="166" t="s">
        <v>6559</v>
      </c>
      <c r="F7980" t="s">
        <v>6946</v>
      </c>
    </row>
    <row r="7981" spans="1:6">
      <c r="A7981" s="174">
        <f t="shared" si="117"/>
        <v>7980</v>
      </c>
      <c r="B7981" s="163">
        <v>45982</v>
      </c>
      <c r="C7981" s="194">
        <v>0.63305555555555559</v>
      </c>
      <c r="D7981" s="174" t="s">
        <v>7003</v>
      </c>
      <c r="E7981" s="166" t="s">
        <v>7003</v>
      </c>
      <c r="F7981" t="s">
        <v>6946</v>
      </c>
    </row>
    <row r="7982" spans="1:6" ht="27">
      <c r="A7982" s="174">
        <f t="shared" si="117"/>
        <v>7981</v>
      </c>
      <c r="B7982" s="163">
        <v>45969</v>
      </c>
      <c r="C7982" s="194">
        <v>0.56607638888888889</v>
      </c>
      <c r="D7982" s="174">
        <v>10</v>
      </c>
      <c r="E7982" s="166" t="s">
        <v>6558</v>
      </c>
      <c r="F7982" t="s">
        <v>6946</v>
      </c>
    </row>
    <row r="7983" spans="1:6">
      <c r="A7983" s="174">
        <f t="shared" si="117"/>
        <v>7982</v>
      </c>
      <c r="B7983" s="163">
        <v>45969</v>
      </c>
      <c r="C7983" s="194">
        <v>0.55432870370370368</v>
      </c>
      <c r="D7983" s="174">
        <v>10</v>
      </c>
      <c r="E7983" s="166" t="s">
        <v>6557</v>
      </c>
      <c r="F7983" t="s">
        <v>6946</v>
      </c>
    </row>
    <row r="7984" spans="1:6">
      <c r="A7984" s="174">
        <f t="shared" si="117"/>
        <v>7983</v>
      </c>
      <c r="B7984" s="163">
        <v>45982</v>
      </c>
      <c r="C7984" s="194">
        <v>0.63299768518518518</v>
      </c>
      <c r="D7984" s="174" t="s">
        <v>7003</v>
      </c>
      <c r="E7984" s="166" t="s">
        <v>7003</v>
      </c>
      <c r="F7984" t="s">
        <v>6946</v>
      </c>
    </row>
    <row r="7985" spans="1:6">
      <c r="A7985" s="174">
        <f t="shared" si="117"/>
        <v>7984</v>
      </c>
      <c r="B7985" s="163">
        <v>45969</v>
      </c>
      <c r="C7985" s="194">
        <v>0.52877314814814813</v>
      </c>
      <c r="D7985" s="174">
        <v>10</v>
      </c>
      <c r="E7985" s="166" t="s">
        <v>4912</v>
      </c>
      <c r="F7985" t="s">
        <v>6946</v>
      </c>
    </row>
    <row r="7986" spans="1:6">
      <c r="A7986" s="174">
        <f t="shared" si="117"/>
        <v>7985</v>
      </c>
      <c r="B7986" s="163">
        <v>45982</v>
      </c>
      <c r="C7986" s="194">
        <v>0.63489583333333333</v>
      </c>
      <c r="D7986" s="174" t="s">
        <v>7003</v>
      </c>
      <c r="E7986" s="166" t="s">
        <v>7003</v>
      </c>
      <c r="F7986" t="s">
        <v>6946</v>
      </c>
    </row>
    <row r="7987" spans="1:6">
      <c r="A7987" s="174">
        <f t="shared" si="117"/>
        <v>7986</v>
      </c>
      <c r="B7987" s="163">
        <v>45969</v>
      </c>
      <c r="C7987" s="194">
        <v>0.52177083333333341</v>
      </c>
      <c r="D7987" s="174">
        <v>10</v>
      </c>
      <c r="E7987" s="166" t="s">
        <v>6556</v>
      </c>
      <c r="F7987" t="s">
        <v>6946</v>
      </c>
    </row>
    <row r="7988" spans="1:6">
      <c r="A7988" s="174">
        <f t="shared" si="117"/>
        <v>7987</v>
      </c>
      <c r="B7988" s="163">
        <v>45982</v>
      </c>
      <c r="C7988" s="194">
        <v>0.63481481481481483</v>
      </c>
      <c r="D7988" s="174" t="s">
        <v>7003</v>
      </c>
      <c r="E7988" s="166" t="s">
        <v>7003</v>
      </c>
      <c r="F7988" t="s">
        <v>6946</v>
      </c>
    </row>
    <row r="7989" spans="1:6">
      <c r="A7989" s="174">
        <f t="shared" si="117"/>
        <v>7988</v>
      </c>
      <c r="B7989" s="163">
        <v>45982</v>
      </c>
      <c r="C7989" s="194">
        <v>0.61803240740740739</v>
      </c>
      <c r="D7989" s="174" t="s">
        <v>7003</v>
      </c>
      <c r="E7989" s="166" t="s">
        <v>7003</v>
      </c>
      <c r="F7989" t="s">
        <v>6946</v>
      </c>
    </row>
    <row r="7990" spans="1:6">
      <c r="A7990" s="174">
        <f t="shared" si="117"/>
        <v>7989</v>
      </c>
      <c r="B7990" s="163">
        <v>45982</v>
      </c>
      <c r="C7990" s="194">
        <v>0.62644675925925919</v>
      </c>
      <c r="D7990" s="174" t="s">
        <v>7003</v>
      </c>
      <c r="E7990" s="166" t="s">
        <v>7003</v>
      </c>
      <c r="F7990" t="s">
        <v>6946</v>
      </c>
    </row>
    <row r="7991" spans="1:6">
      <c r="A7991" s="174">
        <f t="shared" si="117"/>
        <v>7990</v>
      </c>
      <c r="B7991" s="163">
        <v>45969</v>
      </c>
      <c r="C7991" s="194">
        <v>0.50114583333333329</v>
      </c>
      <c r="D7991" s="174">
        <v>10</v>
      </c>
      <c r="E7991" s="166" t="s">
        <v>6941</v>
      </c>
      <c r="F7991" t="s">
        <v>6946</v>
      </c>
    </row>
    <row r="7992" spans="1:6">
      <c r="A7992" s="174">
        <f t="shared" si="117"/>
        <v>7991</v>
      </c>
      <c r="B7992" s="163">
        <v>45982</v>
      </c>
      <c r="C7992" s="194">
        <v>0.63315972222222217</v>
      </c>
      <c r="D7992" s="174" t="s">
        <v>7003</v>
      </c>
      <c r="E7992" s="166" t="s">
        <v>7003</v>
      </c>
      <c r="F7992" t="s">
        <v>6946</v>
      </c>
    </row>
    <row r="7993" spans="1:6">
      <c r="A7993" s="174">
        <f t="shared" si="117"/>
        <v>7992</v>
      </c>
      <c r="B7993" s="163">
        <v>45969</v>
      </c>
      <c r="C7993" s="194">
        <v>0.48216435185185186</v>
      </c>
      <c r="D7993" s="174">
        <v>10</v>
      </c>
      <c r="E7993" s="166" t="s">
        <v>6555</v>
      </c>
      <c r="F7993" t="s">
        <v>6946</v>
      </c>
    </row>
    <row r="7994" spans="1:6">
      <c r="A7994" s="174">
        <f t="shared" si="117"/>
        <v>7993</v>
      </c>
      <c r="B7994" s="163">
        <v>45982</v>
      </c>
      <c r="C7994" s="194">
        <v>0.60476851851851854</v>
      </c>
      <c r="D7994" s="174" t="s">
        <v>7003</v>
      </c>
      <c r="E7994" s="166" t="s">
        <v>7003</v>
      </c>
      <c r="F7994" t="s">
        <v>6946</v>
      </c>
    </row>
    <row r="7995" spans="1:6">
      <c r="A7995" s="174">
        <f t="shared" si="117"/>
        <v>7994</v>
      </c>
      <c r="B7995" s="163">
        <v>45982</v>
      </c>
      <c r="C7995" s="194">
        <v>0.60271990740740744</v>
      </c>
      <c r="D7995" s="174" t="s">
        <v>7003</v>
      </c>
      <c r="E7995" s="166" t="s">
        <v>7003</v>
      </c>
      <c r="F7995" t="s">
        <v>6946</v>
      </c>
    </row>
    <row r="7996" spans="1:6">
      <c r="A7996" s="174">
        <f t="shared" si="117"/>
        <v>7995</v>
      </c>
      <c r="B7996" s="163">
        <v>45982</v>
      </c>
      <c r="C7996" s="194">
        <v>0.59043981481481478</v>
      </c>
      <c r="D7996" s="174" t="s">
        <v>7003</v>
      </c>
      <c r="E7996" s="166" t="s">
        <v>7003</v>
      </c>
      <c r="F7996" t="s">
        <v>6946</v>
      </c>
    </row>
    <row r="7997" spans="1:6">
      <c r="A7997" s="174">
        <f t="shared" si="117"/>
        <v>7996</v>
      </c>
      <c r="B7997" s="163">
        <v>45969</v>
      </c>
      <c r="C7997" s="194">
        <v>0.47422453703703704</v>
      </c>
      <c r="D7997" s="174">
        <v>10</v>
      </c>
      <c r="E7997" s="166" t="s">
        <v>418</v>
      </c>
      <c r="F7997" t="s">
        <v>6946</v>
      </c>
    </row>
    <row r="7998" spans="1:6">
      <c r="A7998" s="174">
        <f t="shared" si="117"/>
        <v>7997</v>
      </c>
      <c r="B7998" s="163">
        <v>45969</v>
      </c>
      <c r="C7998" s="194">
        <v>0.43520833333333336</v>
      </c>
      <c r="D7998" s="174">
        <v>10</v>
      </c>
      <c r="E7998" s="166" t="s">
        <v>6554</v>
      </c>
      <c r="F7998" t="s">
        <v>6946</v>
      </c>
    </row>
    <row r="7999" spans="1:6">
      <c r="A7999" s="174">
        <f t="shared" si="117"/>
        <v>7998</v>
      </c>
      <c r="B7999" s="163">
        <v>45969</v>
      </c>
      <c r="C7999" s="194">
        <v>0.42650462962962959</v>
      </c>
      <c r="D7999" s="174">
        <v>10</v>
      </c>
      <c r="E7999" s="166" t="s">
        <v>6553</v>
      </c>
      <c r="F7999" t="s">
        <v>6946</v>
      </c>
    </row>
    <row r="8000" spans="1:6">
      <c r="A8000" s="174">
        <f t="shared" si="117"/>
        <v>7999</v>
      </c>
      <c r="B8000" s="163">
        <v>45982</v>
      </c>
      <c r="C8000" s="194">
        <v>0.58255787037037032</v>
      </c>
      <c r="D8000" s="174" t="s">
        <v>7003</v>
      </c>
      <c r="E8000" s="166" t="s">
        <v>7003</v>
      </c>
      <c r="F8000" t="s">
        <v>6946</v>
      </c>
    </row>
    <row r="8001" spans="1:6">
      <c r="A8001" s="174">
        <f t="shared" si="117"/>
        <v>8000</v>
      </c>
      <c r="B8001" s="163">
        <v>45982</v>
      </c>
      <c r="C8001" s="194">
        <v>0.56642361111111106</v>
      </c>
      <c r="D8001" s="174" t="s">
        <v>7003</v>
      </c>
      <c r="E8001" s="166" t="s">
        <v>7003</v>
      </c>
      <c r="F8001" t="s">
        <v>6946</v>
      </c>
    </row>
    <row r="8002" spans="1:6">
      <c r="A8002" s="174">
        <f t="shared" si="117"/>
        <v>8001</v>
      </c>
      <c r="B8002" s="163">
        <v>45971</v>
      </c>
      <c r="C8002" s="194">
        <v>0.8928356481481482</v>
      </c>
      <c r="D8002" s="174">
        <v>10</v>
      </c>
      <c r="E8002" s="166" t="s">
        <v>6595</v>
      </c>
      <c r="F8002" t="s">
        <v>6946</v>
      </c>
    </row>
    <row r="8003" spans="1:6">
      <c r="A8003" s="174">
        <f t="shared" si="117"/>
        <v>8002</v>
      </c>
      <c r="B8003" s="163">
        <v>45982</v>
      </c>
      <c r="C8003" s="194">
        <v>0.55694444444444446</v>
      </c>
      <c r="D8003" s="174" t="s">
        <v>7003</v>
      </c>
      <c r="E8003" s="166" t="s">
        <v>7003</v>
      </c>
      <c r="F8003" t="s">
        <v>6946</v>
      </c>
    </row>
    <row r="8004" spans="1:6">
      <c r="A8004" s="174">
        <f t="shared" si="117"/>
        <v>8003</v>
      </c>
      <c r="B8004" s="163">
        <v>45982</v>
      </c>
      <c r="C8004" s="194">
        <v>0.55923611111111116</v>
      </c>
      <c r="D8004" s="174" t="s">
        <v>7003</v>
      </c>
      <c r="E8004" s="166" t="s">
        <v>7003</v>
      </c>
      <c r="F8004" t="s">
        <v>6946</v>
      </c>
    </row>
    <row r="8005" spans="1:6">
      <c r="A8005" s="174">
        <f t="shared" si="117"/>
        <v>8004</v>
      </c>
      <c r="B8005" s="163">
        <v>45971</v>
      </c>
      <c r="C8005" s="194">
        <v>0.80434027777777783</v>
      </c>
      <c r="D8005" s="174">
        <v>10</v>
      </c>
      <c r="E8005" s="166" t="s">
        <v>6935</v>
      </c>
      <c r="F8005" t="s">
        <v>6946</v>
      </c>
    </row>
    <row r="8006" spans="1:6">
      <c r="A8006" s="174">
        <f t="shared" si="117"/>
        <v>8005</v>
      </c>
      <c r="B8006" s="163">
        <v>45971</v>
      </c>
      <c r="C8006" s="194">
        <v>0.7603240740740741</v>
      </c>
      <c r="D8006" s="174">
        <v>10</v>
      </c>
      <c r="E8006" s="166" t="s">
        <v>6594</v>
      </c>
      <c r="F8006" t="s">
        <v>6946</v>
      </c>
    </row>
    <row r="8007" spans="1:6">
      <c r="A8007" s="174">
        <f t="shared" si="117"/>
        <v>8006</v>
      </c>
      <c r="B8007" s="163">
        <v>45982</v>
      </c>
      <c r="C8007" s="194">
        <v>0.56440972222222219</v>
      </c>
      <c r="D8007" s="174" t="s">
        <v>7003</v>
      </c>
      <c r="E8007" s="166" t="s">
        <v>7003</v>
      </c>
      <c r="F8007" t="s">
        <v>6946</v>
      </c>
    </row>
    <row r="8008" spans="1:6">
      <c r="A8008" s="174">
        <f t="shared" si="117"/>
        <v>8007</v>
      </c>
      <c r="B8008" s="163">
        <v>45971</v>
      </c>
      <c r="C8008" s="194">
        <v>0.7478703703703703</v>
      </c>
      <c r="D8008" s="174">
        <v>10</v>
      </c>
      <c r="E8008" s="166" t="s">
        <v>6593</v>
      </c>
      <c r="F8008" t="s">
        <v>6946</v>
      </c>
    </row>
    <row r="8009" spans="1:6">
      <c r="A8009" s="174">
        <f t="shared" si="117"/>
        <v>8008</v>
      </c>
      <c r="B8009" s="163">
        <v>45982</v>
      </c>
      <c r="C8009" s="194">
        <v>0.53883101851851845</v>
      </c>
      <c r="D8009" s="174" t="s">
        <v>7003</v>
      </c>
      <c r="E8009" s="166" t="s">
        <v>7003</v>
      </c>
      <c r="F8009" t="s">
        <v>6946</v>
      </c>
    </row>
    <row r="8010" spans="1:6">
      <c r="A8010" s="174">
        <f t="shared" si="117"/>
        <v>8009</v>
      </c>
      <c r="B8010" s="163">
        <v>45971</v>
      </c>
      <c r="C8010" s="194">
        <v>0.74472222222222229</v>
      </c>
      <c r="D8010" s="174">
        <v>10</v>
      </c>
      <c r="E8010" s="166" t="s">
        <v>6592</v>
      </c>
      <c r="F8010" t="s">
        <v>6946</v>
      </c>
    </row>
    <row r="8011" spans="1:6">
      <c r="A8011" s="174">
        <f t="shared" si="117"/>
        <v>8010</v>
      </c>
      <c r="B8011" s="163">
        <v>45982</v>
      </c>
      <c r="C8011" s="194">
        <v>0.53800925925925924</v>
      </c>
      <c r="D8011" s="174" t="s">
        <v>7003</v>
      </c>
      <c r="E8011" s="166" t="s">
        <v>7003</v>
      </c>
      <c r="F8011" t="s">
        <v>6946</v>
      </c>
    </row>
    <row r="8012" spans="1:6">
      <c r="A8012" s="174">
        <f t="shared" si="117"/>
        <v>8011</v>
      </c>
      <c r="B8012" s="163">
        <v>45982</v>
      </c>
      <c r="C8012" s="194">
        <v>0.53465277777777775</v>
      </c>
      <c r="D8012" s="174" t="s">
        <v>7003</v>
      </c>
      <c r="E8012" s="166" t="s">
        <v>7003</v>
      </c>
      <c r="F8012" t="s">
        <v>6946</v>
      </c>
    </row>
    <row r="8013" spans="1:6">
      <c r="A8013" s="174">
        <f t="shared" si="117"/>
        <v>8012</v>
      </c>
      <c r="B8013" s="163">
        <v>45982</v>
      </c>
      <c r="C8013" s="194">
        <v>0.52870370370370368</v>
      </c>
      <c r="D8013" s="174" t="s">
        <v>7003</v>
      </c>
      <c r="E8013" s="166" t="s">
        <v>7003</v>
      </c>
      <c r="F8013" t="s">
        <v>6946</v>
      </c>
    </row>
    <row r="8014" spans="1:6">
      <c r="A8014" s="174">
        <f t="shared" si="117"/>
        <v>8013</v>
      </c>
      <c r="B8014" s="163">
        <v>45982</v>
      </c>
      <c r="C8014" s="194">
        <v>0.52874999999999994</v>
      </c>
      <c r="D8014" s="174" t="s">
        <v>7003</v>
      </c>
      <c r="E8014" s="166" t="s">
        <v>7003</v>
      </c>
      <c r="F8014" t="s">
        <v>6946</v>
      </c>
    </row>
    <row r="8015" spans="1:6">
      <c r="A8015" s="174">
        <f t="shared" si="117"/>
        <v>8014</v>
      </c>
      <c r="B8015" s="163">
        <v>45971</v>
      </c>
      <c r="C8015" s="194">
        <v>0.73267361111111118</v>
      </c>
      <c r="D8015" s="174">
        <v>10</v>
      </c>
      <c r="E8015" s="166" t="s">
        <v>6591</v>
      </c>
      <c r="F8015" t="s">
        <v>6946</v>
      </c>
    </row>
    <row r="8016" spans="1:6">
      <c r="A8016" s="174">
        <f t="shared" si="117"/>
        <v>8015</v>
      </c>
      <c r="B8016" s="163">
        <v>45982</v>
      </c>
      <c r="C8016" s="194">
        <v>0.50228009259259265</v>
      </c>
      <c r="D8016" s="174" t="s">
        <v>7003</v>
      </c>
      <c r="E8016" s="166" t="s">
        <v>7003</v>
      </c>
      <c r="F8016" t="s">
        <v>6946</v>
      </c>
    </row>
    <row r="8017" spans="1:6">
      <c r="A8017" s="174">
        <f t="shared" si="117"/>
        <v>8016</v>
      </c>
      <c r="B8017" s="163">
        <v>45982</v>
      </c>
      <c r="C8017" s="194">
        <v>0.49707175925925928</v>
      </c>
      <c r="D8017" s="174" t="s">
        <v>7003</v>
      </c>
      <c r="E8017" s="166" t="s">
        <v>7003</v>
      </c>
      <c r="F8017" t="s">
        <v>6946</v>
      </c>
    </row>
    <row r="8018" spans="1:6">
      <c r="A8018" s="174">
        <f t="shared" si="117"/>
        <v>8017</v>
      </c>
      <c r="B8018" s="163">
        <v>45982</v>
      </c>
      <c r="C8018" s="194">
        <v>0.48871527777777773</v>
      </c>
      <c r="D8018" s="174" t="s">
        <v>7003</v>
      </c>
      <c r="E8018" s="166" t="s">
        <v>7003</v>
      </c>
      <c r="F8018" t="s">
        <v>6946</v>
      </c>
    </row>
    <row r="8019" spans="1:6">
      <c r="A8019" s="174">
        <f t="shared" si="117"/>
        <v>8018</v>
      </c>
      <c r="B8019" s="163">
        <v>45982</v>
      </c>
      <c r="C8019" s="194">
        <v>0.48196759259259259</v>
      </c>
      <c r="D8019" s="174" t="s">
        <v>7003</v>
      </c>
      <c r="E8019" s="166" t="s">
        <v>7003</v>
      </c>
      <c r="F8019" t="s">
        <v>6946</v>
      </c>
    </row>
    <row r="8020" spans="1:6">
      <c r="A8020" s="174">
        <f t="shared" si="117"/>
        <v>8019</v>
      </c>
      <c r="B8020" s="163">
        <v>45971</v>
      </c>
      <c r="C8020" s="194">
        <v>0.73119212962962965</v>
      </c>
      <c r="D8020" s="174">
        <v>10</v>
      </c>
      <c r="E8020" s="166" t="s">
        <v>6590</v>
      </c>
      <c r="F8020" t="s">
        <v>6946</v>
      </c>
    </row>
    <row r="8021" spans="1:6">
      <c r="A8021" s="174">
        <f t="shared" si="117"/>
        <v>8020</v>
      </c>
      <c r="B8021" s="163">
        <v>45982</v>
      </c>
      <c r="C8021" s="194">
        <v>0.48203703703703704</v>
      </c>
      <c r="D8021" s="174" t="s">
        <v>7003</v>
      </c>
      <c r="E8021" s="166" t="s">
        <v>7003</v>
      </c>
      <c r="F8021" t="s">
        <v>6946</v>
      </c>
    </row>
    <row r="8022" spans="1:6">
      <c r="A8022" s="174">
        <f t="shared" si="117"/>
        <v>8021</v>
      </c>
      <c r="B8022" s="163">
        <v>45982</v>
      </c>
      <c r="C8022" s="194">
        <v>0.47151620370370373</v>
      </c>
      <c r="D8022" s="174" t="s">
        <v>7003</v>
      </c>
      <c r="E8022" s="166" t="s">
        <v>7003</v>
      </c>
      <c r="F8022" t="s">
        <v>6946</v>
      </c>
    </row>
    <row r="8023" spans="1:6">
      <c r="A8023" s="174">
        <f t="shared" si="117"/>
        <v>8022</v>
      </c>
      <c r="B8023" s="163">
        <v>45971</v>
      </c>
      <c r="C8023" s="194">
        <v>0.73400462962962953</v>
      </c>
      <c r="D8023" s="174">
        <v>10</v>
      </c>
      <c r="E8023" s="166" t="s">
        <v>6936</v>
      </c>
      <c r="F8023" t="s">
        <v>6946</v>
      </c>
    </row>
    <row r="8024" spans="1:6">
      <c r="A8024" s="174">
        <f t="shared" si="117"/>
        <v>8023</v>
      </c>
      <c r="B8024" s="163">
        <v>45982</v>
      </c>
      <c r="C8024" s="194">
        <v>0.47844907407407405</v>
      </c>
      <c r="D8024" s="174" t="s">
        <v>7003</v>
      </c>
      <c r="E8024" s="166" t="s">
        <v>7003</v>
      </c>
      <c r="F8024" t="s">
        <v>6946</v>
      </c>
    </row>
    <row r="8025" spans="1:6">
      <c r="A8025" s="174">
        <f t="shared" si="117"/>
        <v>8024</v>
      </c>
      <c r="B8025" s="163">
        <v>45971</v>
      </c>
      <c r="C8025" s="194">
        <v>0.73515046296296294</v>
      </c>
      <c r="D8025" s="174">
        <v>10</v>
      </c>
      <c r="E8025" s="166" t="s">
        <v>1340</v>
      </c>
      <c r="F8025" t="s">
        <v>6946</v>
      </c>
    </row>
    <row r="8026" spans="1:6">
      <c r="A8026" s="174">
        <f t="shared" si="117"/>
        <v>8025</v>
      </c>
      <c r="B8026" s="163">
        <v>45982</v>
      </c>
      <c r="C8026" s="194">
        <v>0.46989583333333335</v>
      </c>
      <c r="D8026" s="174" t="s">
        <v>7003</v>
      </c>
      <c r="E8026" s="166" t="s">
        <v>7003</v>
      </c>
      <c r="F8026" t="s">
        <v>6946</v>
      </c>
    </row>
    <row r="8027" spans="1:6">
      <c r="A8027" s="174">
        <f t="shared" si="117"/>
        <v>8026</v>
      </c>
      <c r="B8027" s="163">
        <v>45982</v>
      </c>
      <c r="C8027" s="194">
        <v>0.46408564814814812</v>
      </c>
      <c r="D8027" s="174" t="s">
        <v>7003</v>
      </c>
      <c r="E8027" s="166" t="s">
        <v>7003</v>
      </c>
      <c r="F8027" t="s">
        <v>6946</v>
      </c>
    </row>
    <row r="8028" spans="1:6">
      <c r="A8028" s="174">
        <f t="shared" si="117"/>
        <v>8027</v>
      </c>
      <c r="B8028" s="163">
        <v>45971</v>
      </c>
      <c r="C8028" s="194">
        <v>0.71928240740740745</v>
      </c>
      <c r="D8028" s="174">
        <v>10</v>
      </c>
      <c r="E8028" s="166" t="s">
        <v>6937</v>
      </c>
      <c r="F8028" t="s">
        <v>6946</v>
      </c>
    </row>
    <row r="8029" spans="1:6">
      <c r="A8029" s="174">
        <f t="shared" si="117"/>
        <v>8028</v>
      </c>
      <c r="B8029" s="163">
        <v>45982</v>
      </c>
      <c r="C8029" s="194">
        <v>0.46688657407407402</v>
      </c>
      <c r="D8029" s="174" t="s">
        <v>7003</v>
      </c>
      <c r="E8029" s="166" t="s">
        <v>7003</v>
      </c>
      <c r="F8029" t="s">
        <v>6946</v>
      </c>
    </row>
    <row r="8030" spans="1:6">
      <c r="A8030" s="174">
        <f t="shared" si="117"/>
        <v>8029</v>
      </c>
      <c r="B8030" s="163">
        <v>45971</v>
      </c>
      <c r="C8030" s="194">
        <v>0.70626157407407408</v>
      </c>
      <c r="D8030" s="174">
        <v>10</v>
      </c>
      <c r="E8030" s="166" t="s">
        <v>6589</v>
      </c>
      <c r="F8030" t="s">
        <v>6946</v>
      </c>
    </row>
    <row r="8031" spans="1:6">
      <c r="A8031" s="174">
        <f t="shared" si="117"/>
        <v>8030</v>
      </c>
      <c r="B8031" s="163">
        <v>45982</v>
      </c>
      <c r="C8031" s="194">
        <v>0.45645833333333335</v>
      </c>
      <c r="D8031" s="174" t="s">
        <v>7003</v>
      </c>
      <c r="E8031" s="166" t="s">
        <v>7003</v>
      </c>
      <c r="F8031" t="s">
        <v>6946</v>
      </c>
    </row>
    <row r="8032" spans="1:6">
      <c r="A8032" s="174">
        <f t="shared" si="117"/>
        <v>8031</v>
      </c>
      <c r="B8032" s="163">
        <v>45982</v>
      </c>
      <c r="C8032" s="194">
        <v>0.45276620370370368</v>
      </c>
      <c r="D8032" s="174" t="s">
        <v>7003</v>
      </c>
      <c r="E8032" s="166" t="s">
        <v>7003</v>
      </c>
      <c r="F8032" t="s">
        <v>6946</v>
      </c>
    </row>
    <row r="8033" spans="1:6">
      <c r="A8033" s="174">
        <f t="shared" ref="A8033:A8096" si="118">ROW()-1</f>
        <v>8032</v>
      </c>
      <c r="B8033" s="163">
        <v>45982</v>
      </c>
      <c r="C8033" s="194">
        <v>0.44218750000000001</v>
      </c>
      <c r="D8033" s="174" t="s">
        <v>7003</v>
      </c>
      <c r="E8033" s="166" t="s">
        <v>7003</v>
      </c>
      <c r="F8033" t="s">
        <v>6946</v>
      </c>
    </row>
    <row r="8034" spans="1:6">
      <c r="A8034" s="174">
        <f t="shared" si="118"/>
        <v>8033</v>
      </c>
      <c r="B8034" s="163">
        <v>45982</v>
      </c>
      <c r="C8034" s="194">
        <v>0.4460069444444445</v>
      </c>
      <c r="D8034" s="174" t="s">
        <v>7003</v>
      </c>
      <c r="E8034" s="166" t="s">
        <v>7003</v>
      </c>
      <c r="F8034" t="s">
        <v>6946</v>
      </c>
    </row>
    <row r="8035" spans="1:6">
      <c r="A8035" s="174">
        <f t="shared" si="118"/>
        <v>8034</v>
      </c>
      <c r="B8035" s="163">
        <v>45982</v>
      </c>
      <c r="C8035" s="194">
        <v>0.43716435185185182</v>
      </c>
      <c r="D8035" s="174" t="s">
        <v>7003</v>
      </c>
      <c r="E8035" s="166" t="s">
        <v>7003</v>
      </c>
      <c r="F8035" t="s">
        <v>6946</v>
      </c>
    </row>
    <row r="8036" spans="1:6">
      <c r="A8036" s="174">
        <f t="shared" si="118"/>
        <v>8035</v>
      </c>
      <c r="B8036" s="163">
        <v>45971</v>
      </c>
      <c r="C8036" s="194">
        <v>0.71190972222222226</v>
      </c>
      <c r="D8036" s="174">
        <v>10</v>
      </c>
      <c r="E8036" s="166" t="s">
        <v>6588</v>
      </c>
      <c r="F8036" t="s">
        <v>6946</v>
      </c>
    </row>
    <row r="8037" spans="1:6">
      <c r="A8037" s="174">
        <f t="shared" si="118"/>
        <v>8036</v>
      </c>
      <c r="B8037" s="163">
        <v>45971</v>
      </c>
      <c r="C8037" s="194">
        <v>0.70194444444444448</v>
      </c>
      <c r="D8037" s="174">
        <v>10</v>
      </c>
      <c r="E8037" s="166" t="s">
        <v>6587</v>
      </c>
      <c r="F8037" t="s">
        <v>6946</v>
      </c>
    </row>
    <row r="8038" spans="1:6">
      <c r="A8038" s="174">
        <f t="shared" si="118"/>
        <v>8037</v>
      </c>
      <c r="B8038" s="163">
        <v>45982</v>
      </c>
      <c r="C8038" s="194">
        <v>0.41949074074074072</v>
      </c>
      <c r="D8038" s="174" t="s">
        <v>7003</v>
      </c>
      <c r="E8038" s="166" t="s">
        <v>7003</v>
      </c>
      <c r="F8038" t="s">
        <v>6946</v>
      </c>
    </row>
    <row r="8039" spans="1:6">
      <c r="A8039" s="174">
        <f t="shared" si="118"/>
        <v>8038</v>
      </c>
      <c r="B8039" s="163">
        <v>45982</v>
      </c>
      <c r="C8039" s="194">
        <v>0.3997337962962963</v>
      </c>
      <c r="D8039" s="174" t="s">
        <v>7003</v>
      </c>
      <c r="E8039" s="166" t="s">
        <v>7003</v>
      </c>
      <c r="F8039" t="s">
        <v>6946</v>
      </c>
    </row>
    <row r="8040" spans="1:6">
      <c r="A8040" s="174">
        <f t="shared" si="118"/>
        <v>8039</v>
      </c>
      <c r="B8040" s="163">
        <v>45982</v>
      </c>
      <c r="C8040" s="194">
        <v>0.39777777777777779</v>
      </c>
      <c r="D8040" s="174" t="s">
        <v>7003</v>
      </c>
      <c r="E8040" s="166" t="s">
        <v>7003</v>
      </c>
      <c r="F8040" t="s">
        <v>6946</v>
      </c>
    </row>
    <row r="8041" spans="1:6">
      <c r="A8041" s="174">
        <f t="shared" si="118"/>
        <v>8040</v>
      </c>
      <c r="B8041" s="163">
        <v>45971</v>
      </c>
      <c r="C8041" s="194">
        <v>0.69322916666666667</v>
      </c>
      <c r="D8041" s="174">
        <v>10</v>
      </c>
      <c r="E8041" s="166" t="s">
        <v>6586</v>
      </c>
      <c r="F8041" t="s">
        <v>6946</v>
      </c>
    </row>
    <row r="8042" spans="1:6">
      <c r="A8042" s="174">
        <f t="shared" si="118"/>
        <v>8041</v>
      </c>
      <c r="B8042" s="163">
        <v>45982</v>
      </c>
      <c r="C8042" s="194">
        <v>0.38975694444444442</v>
      </c>
      <c r="D8042" s="174" t="s">
        <v>7003</v>
      </c>
      <c r="E8042" s="166" t="s">
        <v>7003</v>
      </c>
      <c r="F8042" t="s">
        <v>6946</v>
      </c>
    </row>
    <row r="8043" spans="1:6">
      <c r="A8043" s="174">
        <f t="shared" si="118"/>
        <v>8042</v>
      </c>
      <c r="B8043" s="163">
        <v>45971</v>
      </c>
      <c r="C8043" s="194">
        <v>0.69649305555555552</v>
      </c>
      <c r="D8043" s="174">
        <v>10</v>
      </c>
      <c r="E8043" s="166" t="s">
        <v>6585</v>
      </c>
      <c r="F8043" t="s">
        <v>6946</v>
      </c>
    </row>
    <row r="8044" spans="1:6">
      <c r="A8044" s="174">
        <f t="shared" si="118"/>
        <v>8043</v>
      </c>
      <c r="B8044" s="163">
        <v>45982</v>
      </c>
      <c r="C8044" s="194">
        <v>0.40359953703703705</v>
      </c>
      <c r="D8044" s="174" t="s">
        <v>7003</v>
      </c>
      <c r="E8044" s="166" t="s">
        <v>7003</v>
      </c>
      <c r="F8044" t="s">
        <v>6946</v>
      </c>
    </row>
    <row r="8045" spans="1:6">
      <c r="A8045" s="174">
        <f t="shared" si="118"/>
        <v>8044</v>
      </c>
      <c r="B8045" s="163">
        <v>45982</v>
      </c>
      <c r="C8045" s="194">
        <v>0.38986111111111116</v>
      </c>
      <c r="D8045" s="174" t="s">
        <v>7003</v>
      </c>
      <c r="E8045" s="166" t="s">
        <v>7003</v>
      </c>
      <c r="F8045" t="s">
        <v>6946</v>
      </c>
    </row>
    <row r="8046" spans="1:6">
      <c r="A8046" s="174">
        <f t="shared" si="118"/>
        <v>8045</v>
      </c>
      <c r="B8046" s="163">
        <v>45971</v>
      </c>
      <c r="C8046" s="194">
        <v>0.70025462962962959</v>
      </c>
      <c r="D8046" s="174">
        <v>10</v>
      </c>
      <c r="E8046" s="166" t="s">
        <v>6584</v>
      </c>
      <c r="F8046" t="s">
        <v>6946</v>
      </c>
    </row>
    <row r="8047" spans="1:6">
      <c r="A8047" s="174">
        <f t="shared" si="118"/>
        <v>8046</v>
      </c>
      <c r="B8047" s="163">
        <v>45982</v>
      </c>
      <c r="C8047" s="194">
        <v>0.38075231481481481</v>
      </c>
      <c r="D8047" s="174" t="s">
        <v>7003</v>
      </c>
      <c r="E8047" s="166" t="s">
        <v>7003</v>
      </c>
      <c r="F8047" t="s">
        <v>6946</v>
      </c>
    </row>
    <row r="8048" spans="1:6">
      <c r="A8048" s="174">
        <f t="shared" si="118"/>
        <v>8047</v>
      </c>
      <c r="B8048" s="163">
        <v>45982</v>
      </c>
      <c r="C8048" s="194">
        <v>0.38085648148148149</v>
      </c>
      <c r="D8048" s="174" t="s">
        <v>7003</v>
      </c>
      <c r="E8048" s="166" t="s">
        <v>7003</v>
      </c>
      <c r="F8048" t="s">
        <v>6946</v>
      </c>
    </row>
    <row r="8049" spans="1:6">
      <c r="A8049" s="174">
        <f t="shared" si="118"/>
        <v>8048</v>
      </c>
      <c r="B8049" s="163">
        <v>45981</v>
      </c>
      <c r="C8049" s="194">
        <v>0.92334490740740749</v>
      </c>
      <c r="D8049" s="174" t="s">
        <v>7003</v>
      </c>
      <c r="E8049" s="166" t="s">
        <v>7003</v>
      </c>
      <c r="F8049" t="s">
        <v>6946</v>
      </c>
    </row>
    <row r="8050" spans="1:6">
      <c r="A8050" s="174">
        <f t="shared" si="118"/>
        <v>8049</v>
      </c>
      <c r="B8050" s="163">
        <v>45981</v>
      </c>
      <c r="C8050" s="194">
        <v>0.92130787037037043</v>
      </c>
      <c r="D8050" s="174" t="s">
        <v>7003</v>
      </c>
      <c r="E8050" s="166" t="s">
        <v>7003</v>
      </c>
      <c r="F8050" t="s">
        <v>6946</v>
      </c>
    </row>
    <row r="8051" spans="1:6">
      <c r="A8051" s="174">
        <f t="shared" si="118"/>
        <v>8050</v>
      </c>
      <c r="B8051" s="163">
        <v>45981</v>
      </c>
      <c r="C8051" s="194">
        <v>0.92118055555555556</v>
      </c>
      <c r="D8051" s="174" t="s">
        <v>7003</v>
      </c>
      <c r="E8051" s="166" t="s">
        <v>7003</v>
      </c>
      <c r="F8051" t="s">
        <v>6946</v>
      </c>
    </row>
    <row r="8052" spans="1:6">
      <c r="A8052" s="174">
        <f t="shared" si="118"/>
        <v>8051</v>
      </c>
      <c r="B8052" s="163">
        <v>45981</v>
      </c>
      <c r="C8052" s="194">
        <v>0.92256944444444444</v>
      </c>
      <c r="D8052" s="174" t="s">
        <v>7003</v>
      </c>
      <c r="E8052" s="166" t="s">
        <v>7003</v>
      </c>
      <c r="F8052" t="s">
        <v>6946</v>
      </c>
    </row>
    <row r="8053" spans="1:6">
      <c r="A8053" s="174">
        <f t="shared" si="118"/>
        <v>8052</v>
      </c>
      <c r="B8053" s="163">
        <v>45981</v>
      </c>
      <c r="C8053" s="194">
        <v>0.89457175925925936</v>
      </c>
      <c r="D8053" s="174" t="s">
        <v>7003</v>
      </c>
      <c r="E8053" s="166" t="s">
        <v>7003</v>
      </c>
      <c r="F8053" t="s">
        <v>6946</v>
      </c>
    </row>
    <row r="8054" spans="1:6">
      <c r="A8054" s="174">
        <f t="shared" si="118"/>
        <v>8053</v>
      </c>
      <c r="B8054" s="163">
        <v>45981</v>
      </c>
      <c r="C8054" s="194">
        <v>0.8892592592592593</v>
      </c>
      <c r="D8054" s="174" t="s">
        <v>7003</v>
      </c>
      <c r="E8054" s="166" t="s">
        <v>7003</v>
      </c>
      <c r="F8054" t="s">
        <v>6946</v>
      </c>
    </row>
    <row r="8055" spans="1:6">
      <c r="A8055" s="174">
        <f t="shared" si="118"/>
        <v>8054</v>
      </c>
      <c r="B8055" s="163">
        <v>45981</v>
      </c>
      <c r="C8055" s="194">
        <v>0.87291666666666667</v>
      </c>
      <c r="D8055" s="174" t="s">
        <v>7003</v>
      </c>
      <c r="E8055" s="166" t="s">
        <v>7003</v>
      </c>
      <c r="F8055" t="s">
        <v>6946</v>
      </c>
    </row>
    <row r="8056" spans="1:6">
      <c r="A8056" s="174">
        <f t="shared" si="118"/>
        <v>8055</v>
      </c>
      <c r="B8056" s="163">
        <v>45981</v>
      </c>
      <c r="C8056" s="194">
        <v>0.86700231481481482</v>
      </c>
      <c r="D8056" s="174" t="s">
        <v>7003</v>
      </c>
      <c r="E8056" s="166" t="s">
        <v>7003</v>
      </c>
      <c r="F8056" t="s">
        <v>6946</v>
      </c>
    </row>
    <row r="8057" spans="1:6">
      <c r="A8057" s="174">
        <f t="shared" si="118"/>
        <v>8056</v>
      </c>
      <c r="B8057" s="163">
        <v>45981</v>
      </c>
      <c r="C8057" s="194">
        <v>0.84956018518518517</v>
      </c>
      <c r="D8057" s="174" t="s">
        <v>7003</v>
      </c>
      <c r="E8057" s="166" t="s">
        <v>7003</v>
      </c>
      <c r="F8057" t="s">
        <v>6946</v>
      </c>
    </row>
    <row r="8058" spans="1:6">
      <c r="A8058" s="174">
        <f t="shared" si="118"/>
        <v>8057</v>
      </c>
      <c r="B8058" s="163">
        <v>45981</v>
      </c>
      <c r="C8058" s="194">
        <v>0.83702546296296287</v>
      </c>
      <c r="D8058" s="174" t="s">
        <v>7003</v>
      </c>
      <c r="E8058" s="166" t="s">
        <v>7003</v>
      </c>
      <c r="F8058" t="s">
        <v>6946</v>
      </c>
    </row>
    <row r="8059" spans="1:6">
      <c r="A8059" s="174">
        <f t="shared" si="118"/>
        <v>8058</v>
      </c>
      <c r="B8059" s="163">
        <v>45981</v>
      </c>
      <c r="C8059" s="194">
        <v>0.83089120370370362</v>
      </c>
      <c r="D8059" s="174" t="s">
        <v>7003</v>
      </c>
      <c r="E8059" s="166" t="s">
        <v>7003</v>
      </c>
      <c r="F8059" t="s">
        <v>6946</v>
      </c>
    </row>
    <row r="8060" spans="1:6">
      <c r="A8060" s="174">
        <f t="shared" si="118"/>
        <v>8059</v>
      </c>
      <c r="B8060" s="163">
        <v>45981</v>
      </c>
      <c r="C8060" s="194">
        <v>0.83256944444444436</v>
      </c>
      <c r="D8060" s="174" t="s">
        <v>7003</v>
      </c>
      <c r="E8060" s="166" t="s">
        <v>7003</v>
      </c>
      <c r="F8060" t="s">
        <v>6946</v>
      </c>
    </row>
    <row r="8061" spans="1:6">
      <c r="A8061" s="174">
        <f t="shared" si="118"/>
        <v>8060</v>
      </c>
      <c r="B8061" s="163">
        <v>45981</v>
      </c>
      <c r="C8061" s="194">
        <v>0.82216435185185188</v>
      </c>
      <c r="D8061" s="174" t="s">
        <v>7003</v>
      </c>
      <c r="E8061" s="166" t="s">
        <v>7003</v>
      </c>
      <c r="F8061" t="s">
        <v>6946</v>
      </c>
    </row>
    <row r="8062" spans="1:6">
      <c r="A8062" s="174">
        <f t="shared" si="118"/>
        <v>8061</v>
      </c>
      <c r="B8062" s="163">
        <v>45981</v>
      </c>
      <c r="C8062" s="194">
        <v>0.80806712962962957</v>
      </c>
      <c r="D8062" s="174" t="s">
        <v>7003</v>
      </c>
      <c r="E8062" s="166" t="s">
        <v>7003</v>
      </c>
      <c r="F8062" t="s">
        <v>6946</v>
      </c>
    </row>
    <row r="8063" spans="1:6">
      <c r="A8063" s="174">
        <f t="shared" si="118"/>
        <v>8062</v>
      </c>
      <c r="B8063" s="163">
        <v>45981</v>
      </c>
      <c r="C8063" s="194">
        <v>0.80731481481481471</v>
      </c>
      <c r="D8063" s="174" t="s">
        <v>7003</v>
      </c>
      <c r="E8063" s="166" t="s">
        <v>7003</v>
      </c>
      <c r="F8063" t="s">
        <v>6946</v>
      </c>
    </row>
    <row r="8064" spans="1:6">
      <c r="A8064" s="174">
        <f t="shared" si="118"/>
        <v>8063</v>
      </c>
      <c r="B8064" s="163">
        <v>45971</v>
      </c>
      <c r="C8064" s="194">
        <v>0.66771990740740739</v>
      </c>
      <c r="D8064" s="174">
        <v>10</v>
      </c>
      <c r="E8064" s="166" t="s">
        <v>132</v>
      </c>
      <c r="F8064" t="s">
        <v>6946</v>
      </c>
    </row>
    <row r="8065" spans="1:6">
      <c r="A8065" s="174">
        <f t="shared" si="118"/>
        <v>8064</v>
      </c>
      <c r="B8065" s="163">
        <v>45981</v>
      </c>
      <c r="C8065" s="194">
        <v>0.8082407407407407</v>
      </c>
      <c r="D8065" s="174" t="s">
        <v>7003</v>
      </c>
      <c r="E8065" s="166" t="s">
        <v>7003</v>
      </c>
      <c r="F8065" t="s">
        <v>6946</v>
      </c>
    </row>
    <row r="8066" spans="1:6">
      <c r="A8066" s="174">
        <f t="shared" si="118"/>
        <v>8065</v>
      </c>
      <c r="B8066" s="163">
        <v>45983</v>
      </c>
      <c r="C8066" s="194">
        <v>0.7415856481481482</v>
      </c>
      <c r="D8066" s="174" t="s">
        <v>7003</v>
      </c>
      <c r="E8066" s="166" t="s">
        <v>7003</v>
      </c>
      <c r="F8066" t="s">
        <v>6946</v>
      </c>
    </row>
    <row r="8067" spans="1:6">
      <c r="A8067" s="174">
        <f t="shared" si="118"/>
        <v>8066</v>
      </c>
      <c r="B8067" s="163">
        <v>45981</v>
      </c>
      <c r="C8067" s="194">
        <v>0.78105324074074067</v>
      </c>
      <c r="D8067" s="174" t="s">
        <v>7003</v>
      </c>
      <c r="E8067" s="166" t="s">
        <v>7003</v>
      </c>
      <c r="F8067" t="s">
        <v>6946</v>
      </c>
    </row>
    <row r="8068" spans="1:6">
      <c r="A8068" s="174">
        <f t="shared" si="118"/>
        <v>8067</v>
      </c>
      <c r="B8068" s="163">
        <v>45981</v>
      </c>
      <c r="C8068" s="194">
        <v>0.76857638888888891</v>
      </c>
      <c r="D8068" s="174" t="s">
        <v>7003</v>
      </c>
      <c r="E8068" s="166" t="s">
        <v>7003</v>
      </c>
      <c r="F8068" t="s">
        <v>6946</v>
      </c>
    </row>
    <row r="8069" spans="1:6">
      <c r="A8069" s="174">
        <f t="shared" si="118"/>
        <v>8068</v>
      </c>
      <c r="B8069" s="163">
        <v>45981</v>
      </c>
      <c r="C8069" s="194">
        <v>0.78010416666666671</v>
      </c>
      <c r="D8069" s="174" t="s">
        <v>7003</v>
      </c>
      <c r="E8069" s="166" t="s">
        <v>7003</v>
      </c>
      <c r="F8069" t="s">
        <v>6946</v>
      </c>
    </row>
    <row r="8070" spans="1:6">
      <c r="A8070" s="174">
        <f t="shared" si="118"/>
        <v>8069</v>
      </c>
      <c r="B8070" s="163">
        <v>45981</v>
      </c>
      <c r="C8070" s="194">
        <v>0.75119212962962967</v>
      </c>
      <c r="D8070" s="174" t="s">
        <v>7003</v>
      </c>
      <c r="E8070" s="166" t="s">
        <v>7003</v>
      </c>
      <c r="F8070" t="s">
        <v>6946</v>
      </c>
    </row>
    <row r="8071" spans="1:6">
      <c r="A8071" s="174">
        <f t="shared" si="118"/>
        <v>8070</v>
      </c>
      <c r="B8071" s="163">
        <v>45981</v>
      </c>
      <c r="C8071" s="194">
        <v>0.75476851851851856</v>
      </c>
      <c r="D8071" s="174" t="s">
        <v>7003</v>
      </c>
      <c r="E8071" s="166" t="s">
        <v>7003</v>
      </c>
      <c r="F8071" t="s">
        <v>6946</v>
      </c>
    </row>
    <row r="8072" spans="1:6">
      <c r="A8072" s="174">
        <f t="shared" si="118"/>
        <v>8071</v>
      </c>
      <c r="B8072" s="163">
        <v>45981</v>
      </c>
      <c r="C8072" s="194">
        <v>0.76019675925925922</v>
      </c>
      <c r="D8072" s="174" t="s">
        <v>7003</v>
      </c>
      <c r="E8072" s="166" t="s">
        <v>7003</v>
      </c>
      <c r="F8072" t="s">
        <v>6946</v>
      </c>
    </row>
    <row r="8073" spans="1:6">
      <c r="A8073" s="174">
        <f t="shared" si="118"/>
        <v>8072</v>
      </c>
      <c r="B8073" s="163">
        <v>45981</v>
      </c>
      <c r="C8073" s="194">
        <v>0.75353009259259263</v>
      </c>
      <c r="D8073" s="174" t="s">
        <v>7003</v>
      </c>
      <c r="E8073" s="166" t="s">
        <v>7003</v>
      </c>
      <c r="F8073" t="s">
        <v>6946</v>
      </c>
    </row>
    <row r="8074" spans="1:6">
      <c r="A8074" s="174">
        <f t="shared" si="118"/>
        <v>8073</v>
      </c>
      <c r="B8074" s="163">
        <v>45971</v>
      </c>
      <c r="C8074" s="194">
        <v>0.6602662037037037</v>
      </c>
      <c r="D8074" s="174">
        <v>10</v>
      </c>
      <c r="E8074" s="166" t="s">
        <v>6583</v>
      </c>
      <c r="F8074" t="s">
        <v>6946</v>
      </c>
    </row>
    <row r="8075" spans="1:6">
      <c r="A8075" s="174">
        <f t="shared" si="118"/>
        <v>8074</v>
      </c>
      <c r="B8075" s="163">
        <v>45981</v>
      </c>
      <c r="C8075" s="194">
        <v>0.75150462962962961</v>
      </c>
      <c r="D8075" s="174" t="s">
        <v>7003</v>
      </c>
      <c r="E8075" s="166" t="s">
        <v>7003</v>
      </c>
      <c r="F8075" t="s">
        <v>6946</v>
      </c>
    </row>
    <row r="8076" spans="1:6">
      <c r="A8076" s="174">
        <f t="shared" si="118"/>
        <v>8075</v>
      </c>
      <c r="B8076" s="163">
        <v>45981</v>
      </c>
      <c r="C8076" s="194">
        <v>0.74688657407407411</v>
      </c>
      <c r="D8076" s="174" t="s">
        <v>7003</v>
      </c>
      <c r="E8076" s="166" t="s">
        <v>7003</v>
      </c>
      <c r="F8076" t="s">
        <v>6946</v>
      </c>
    </row>
    <row r="8077" spans="1:6">
      <c r="A8077" s="174">
        <f t="shared" si="118"/>
        <v>8076</v>
      </c>
      <c r="B8077" s="163">
        <v>45971</v>
      </c>
      <c r="C8077" s="194">
        <v>0.64489583333333333</v>
      </c>
      <c r="D8077" s="174">
        <v>10</v>
      </c>
      <c r="E8077" s="166" t="s">
        <v>6582</v>
      </c>
      <c r="F8077" t="s">
        <v>6946</v>
      </c>
    </row>
    <row r="8078" spans="1:6">
      <c r="A8078" s="174">
        <f t="shared" si="118"/>
        <v>8077</v>
      </c>
      <c r="B8078" s="163">
        <v>45981</v>
      </c>
      <c r="C8078" s="194">
        <v>0.75501157407407404</v>
      </c>
      <c r="D8078" s="174" t="s">
        <v>7003</v>
      </c>
      <c r="E8078" s="166" t="s">
        <v>7003</v>
      </c>
      <c r="F8078" t="s">
        <v>6946</v>
      </c>
    </row>
    <row r="8079" spans="1:6">
      <c r="A8079" s="174">
        <f t="shared" si="118"/>
        <v>8078</v>
      </c>
      <c r="B8079" s="163">
        <v>45981</v>
      </c>
      <c r="C8079" s="194">
        <v>0.73054398148148147</v>
      </c>
      <c r="D8079" s="174" t="s">
        <v>7003</v>
      </c>
      <c r="E8079" s="166" t="s">
        <v>7003</v>
      </c>
      <c r="F8079" t="s">
        <v>6946</v>
      </c>
    </row>
    <row r="8080" spans="1:6">
      <c r="A8080" s="174">
        <f t="shared" si="118"/>
        <v>8079</v>
      </c>
      <c r="B8080" s="163">
        <v>45981</v>
      </c>
      <c r="C8080" s="194">
        <v>0.74597222222222215</v>
      </c>
      <c r="D8080" s="174" t="s">
        <v>7003</v>
      </c>
      <c r="E8080" s="166" t="s">
        <v>7003</v>
      </c>
      <c r="F8080" t="s">
        <v>6946</v>
      </c>
    </row>
    <row r="8081" spans="1:6">
      <c r="A8081" s="174">
        <f t="shared" si="118"/>
        <v>8080</v>
      </c>
      <c r="B8081" s="163">
        <v>45981</v>
      </c>
      <c r="C8081" s="194">
        <v>0.72526620370370365</v>
      </c>
      <c r="D8081" s="174" t="s">
        <v>7003</v>
      </c>
      <c r="E8081" s="166" t="s">
        <v>7003</v>
      </c>
      <c r="F8081" t="s">
        <v>6946</v>
      </c>
    </row>
    <row r="8082" spans="1:6">
      <c r="A8082" s="174">
        <f t="shared" si="118"/>
        <v>8081</v>
      </c>
      <c r="B8082" s="163">
        <v>45971</v>
      </c>
      <c r="C8082" s="194">
        <v>0.64271990740740736</v>
      </c>
      <c r="D8082" s="174">
        <v>10</v>
      </c>
      <c r="E8082" s="166" t="s">
        <v>6581</v>
      </c>
      <c r="F8082" t="s">
        <v>6946</v>
      </c>
    </row>
    <row r="8083" spans="1:6">
      <c r="A8083" s="174">
        <f t="shared" si="118"/>
        <v>8082</v>
      </c>
      <c r="B8083" s="163">
        <v>45971</v>
      </c>
      <c r="C8083" s="194">
        <v>0.6174074074074074</v>
      </c>
      <c r="D8083" s="174">
        <v>10</v>
      </c>
      <c r="E8083" s="166" t="s">
        <v>6580</v>
      </c>
      <c r="F8083" t="s">
        <v>6946</v>
      </c>
    </row>
    <row r="8084" spans="1:6">
      <c r="A8084" s="174">
        <f t="shared" si="118"/>
        <v>8083</v>
      </c>
      <c r="B8084" s="163">
        <v>45981</v>
      </c>
      <c r="C8084" s="194">
        <v>0.70893518518518517</v>
      </c>
      <c r="D8084" s="174" t="s">
        <v>7003</v>
      </c>
      <c r="E8084" s="166" t="s">
        <v>7003</v>
      </c>
      <c r="F8084" t="s">
        <v>6946</v>
      </c>
    </row>
    <row r="8085" spans="1:6">
      <c r="A8085" s="174">
        <f t="shared" si="118"/>
        <v>8084</v>
      </c>
      <c r="B8085" s="163">
        <v>45981</v>
      </c>
      <c r="C8085" s="194">
        <v>0.70896990740740751</v>
      </c>
      <c r="D8085" s="174" t="s">
        <v>7003</v>
      </c>
      <c r="E8085" s="166" t="s">
        <v>7003</v>
      </c>
      <c r="F8085" t="s">
        <v>6946</v>
      </c>
    </row>
    <row r="8086" spans="1:6">
      <c r="A8086" s="174">
        <f t="shared" si="118"/>
        <v>8085</v>
      </c>
      <c r="B8086" s="163">
        <v>45971</v>
      </c>
      <c r="C8086" s="194">
        <v>0.61296296296296293</v>
      </c>
      <c r="D8086" s="174">
        <v>10</v>
      </c>
      <c r="E8086" s="166" t="s">
        <v>926</v>
      </c>
      <c r="F8086" t="s">
        <v>6946</v>
      </c>
    </row>
    <row r="8087" spans="1:6">
      <c r="A8087" s="174">
        <f t="shared" si="118"/>
        <v>8086</v>
      </c>
      <c r="B8087" s="163">
        <v>45981</v>
      </c>
      <c r="C8087" s="194">
        <v>0.70063657407407398</v>
      </c>
      <c r="D8087" s="174" t="s">
        <v>7003</v>
      </c>
      <c r="E8087" s="166" t="s">
        <v>7003</v>
      </c>
      <c r="F8087" t="s">
        <v>6946</v>
      </c>
    </row>
    <row r="8088" spans="1:6">
      <c r="A8088" s="174">
        <f t="shared" si="118"/>
        <v>8087</v>
      </c>
      <c r="B8088" s="163">
        <v>45981</v>
      </c>
      <c r="C8088" s="194">
        <v>0.68657407407407411</v>
      </c>
      <c r="D8088" s="174" t="s">
        <v>7003</v>
      </c>
      <c r="E8088" s="166" t="s">
        <v>7003</v>
      </c>
      <c r="F8088" t="s">
        <v>6946</v>
      </c>
    </row>
    <row r="8089" spans="1:6">
      <c r="A8089" s="174">
        <f t="shared" si="118"/>
        <v>8088</v>
      </c>
      <c r="B8089" s="163">
        <v>45971</v>
      </c>
      <c r="C8089" s="194">
        <v>0.60807870370370376</v>
      </c>
      <c r="D8089" s="174">
        <v>10</v>
      </c>
      <c r="E8089" s="166" t="s">
        <v>6579</v>
      </c>
      <c r="F8089" t="s">
        <v>6946</v>
      </c>
    </row>
    <row r="8090" spans="1:6">
      <c r="A8090" s="174">
        <f t="shared" si="118"/>
        <v>8089</v>
      </c>
      <c r="B8090" s="163">
        <v>45981</v>
      </c>
      <c r="C8090" s="194">
        <v>0.67134259259259255</v>
      </c>
      <c r="D8090" s="174" t="s">
        <v>7003</v>
      </c>
      <c r="E8090" s="166" t="s">
        <v>7003</v>
      </c>
      <c r="F8090" t="s">
        <v>6946</v>
      </c>
    </row>
    <row r="8091" spans="1:6">
      <c r="A8091" s="174">
        <f t="shared" si="118"/>
        <v>8090</v>
      </c>
      <c r="B8091" s="163">
        <v>45981</v>
      </c>
      <c r="C8091" s="194">
        <v>0.67137731481481477</v>
      </c>
      <c r="D8091" s="174" t="s">
        <v>7003</v>
      </c>
      <c r="E8091" s="166" t="s">
        <v>7003</v>
      </c>
      <c r="F8091" t="s">
        <v>6946</v>
      </c>
    </row>
    <row r="8092" spans="1:6">
      <c r="A8092" s="174">
        <f t="shared" si="118"/>
        <v>8091</v>
      </c>
      <c r="B8092" s="163">
        <v>45981</v>
      </c>
      <c r="C8092" s="194">
        <v>0.68421296296296286</v>
      </c>
      <c r="D8092" s="174" t="s">
        <v>7003</v>
      </c>
      <c r="E8092" s="166" t="s">
        <v>7003</v>
      </c>
      <c r="F8092" t="s">
        <v>6946</v>
      </c>
    </row>
    <row r="8093" spans="1:6">
      <c r="A8093" s="174">
        <f t="shared" si="118"/>
        <v>8092</v>
      </c>
      <c r="B8093" s="163">
        <v>45981</v>
      </c>
      <c r="C8093" s="194">
        <v>0.66568287037037044</v>
      </c>
      <c r="D8093" s="174" t="s">
        <v>7003</v>
      </c>
      <c r="E8093" s="166" t="s">
        <v>7003</v>
      </c>
      <c r="F8093" t="s">
        <v>6946</v>
      </c>
    </row>
    <row r="8094" spans="1:6">
      <c r="A8094" s="174">
        <f t="shared" si="118"/>
        <v>8093</v>
      </c>
      <c r="B8094" s="163">
        <v>45981</v>
      </c>
      <c r="C8094" s="194">
        <v>0.65834490740740736</v>
      </c>
      <c r="D8094" s="174" t="s">
        <v>7003</v>
      </c>
      <c r="E8094" s="166" t="s">
        <v>7003</v>
      </c>
      <c r="F8094" t="s">
        <v>6946</v>
      </c>
    </row>
    <row r="8095" spans="1:6">
      <c r="A8095" s="174">
        <f t="shared" si="118"/>
        <v>8094</v>
      </c>
      <c r="B8095" s="163">
        <v>45981</v>
      </c>
      <c r="C8095" s="194">
        <v>0.6583796296296297</v>
      </c>
      <c r="D8095" s="174" t="s">
        <v>7003</v>
      </c>
      <c r="E8095" s="166" t="s">
        <v>7003</v>
      </c>
      <c r="F8095" t="s">
        <v>6946</v>
      </c>
    </row>
    <row r="8096" spans="1:6">
      <c r="A8096" s="174">
        <f t="shared" si="118"/>
        <v>8095</v>
      </c>
      <c r="B8096" s="163">
        <v>45981</v>
      </c>
      <c r="C8096" s="194">
        <v>0.65749999999999997</v>
      </c>
      <c r="D8096" s="174" t="s">
        <v>7003</v>
      </c>
      <c r="E8096" s="166" t="s">
        <v>7003</v>
      </c>
      <c r="F8096" t="s">
        <v>6946</v>
      </c>
    </row>
    <row r="8097" spans="1:6">
      <c r="A8097" s="174">
        <f t="shared" ref="A8097:A8160" si="119">ROW()-1</f>
        <v>8096</v>
      </c>
      <c r="B8097" s="163">
        <v>45971</v>
      </c>
      <c r="C8097" s="194">
        <v>0.59879629629629627</v>
      </c>
      <c r="D8097" s="174">
        <v>10</v>
      </c>
      <c r="E8097" s="166" t="s">
        <v>406</v>
      </c>
      <c r="F8097" t="s">
        <v>6946</v>
      </c>
    </row>
    <row r="8098" spans="1:6">
      <c r="A8098" s="174">
        <f t="shared" si="119"/>
        <v>8097</v>
      </c>
      <c r="B8098" s="163">
        <v>45971</v>
      </c>
      <c r="C8098" s="194">
        <v>0.58603009259259264</v>
      </c>
      <c r="D8098" s="174">
        <v>10</v>
      </c>
      <c r="E8098" s="166" t="s">
        <v>6938</v>
      </c>
      <c r="F8098" t="s">
        <v>6946</v>
      </c>
    </row>
    <row r="8099" spans="1:6">
      <c r="A8099" s="174">
        <f t="shared" si="119"/>
        <v>8098</v>
      </c>
      <c r="B8099" s="163">
        <v>45981</v>
      </c>
      <c r="C8099" s="194">
        <v>0.69027777777777777</v>
      </c>
      <c r="D8099" s="174" t="s">
        <v>7003</v>
      </c>
      <c r="E8099" s="166" t="s">
        <v>7003</v>
      </c>
      <c r="F8099" t="s">
        <v>6946</v>
      </c>
    </row>
    <row r="8100" spans="1:6">
      <c r="A8100" s="174">
        <f t="shared" si="119"/>
        <v>8099</v>
      </c>
      <c r="B8100" s="163">
        <v>45981</v>
      </c>
      <c r="C8100" s="194">
        <v>0.65185185185185179</v>
      </c>
      <c r="D8100" s="174" t="s">
        <v>7003</v>
      </c>
      <c r="E8100" s="166" t="s">
        <v>7003</v>
      </c>
      <c r="F8100" t="s">
        <v>6946</v>
      </c>
    </row>
    <row r="8101" spans="1:6">
      <c r="A8101" s="174">
        <f t="shared" si="119"/>
        <v>8100</v>
      </c>
      <c r="B8101" s="163">
        <v>45981</v>
      </c>
      <c r="C8101" s="194">
        <v>0.63917824074074081</v>
      </c>
      <c r="D8101" s="174" t="s">
        <v>7003</v>
      </c>
      <c r="E8101" s="166" t="s">
        <v>7003</v>
      </c>
      <c r="F8101" t="s">
        <v>6946</v>
      </c>
    </row>
    <row r="8102" spans="1:6">
      <c r="A8102" s="174">
        <f t="shared" si="119"/>
        <v>8101</v>
      </c>
      <c r="B8102" s="163">
        <v>45981</v>
      </c>
      <c r="C8102" s="194">
        <v>0.65273148148148141</v>
      </c>
      <c r="D8102" s="174" t="s">
        <v>7003</v>
      </c>
      <c r="E8102" s="166" t="s">
        <v>7003</v>
      </c>
      <c r="F8102" t="s">
        <v>6946</v>
      </c>
    </row>
    <row r="8103" spans="1:6" ht="54">
      <c r="A8103" s="174">
        <f t="shared" si="119"/>
        <v>8102</v>
      </c>
      <c r="B8103" s="163">
        <v>45971</v>
      </c>
      <c r="C8103" s="194">
        <v>0.58243055555555556</v>
      </c>
      <c r="D8103" s="174">
        <v>10</v>
      </c>
      <c r="E8103" s="166" t="s">
        <v>6578</v>
      </c>
      <c r="F8103" t="s">
        <v>6946</v>
      </c>
    </row>
    <row r="8104" spans="1:6">
      <c r="A8104" s="174">
        <f t="shared" si="119"/>
        <v>8103</v>
      </c>
      <c r="B8104" s="163">
        <v>45981</v>
      </c>
      <c r="C8104" s="194">
        <v>0.63858796296296294</v>
      </c>
      <c r="D8104" s="174" t="s">
        <v>7003</v>
      </c>
      <c r="E8104" s="166" t="s">
        <v>7003</v>
      </c>
      <c r="F8104" t="s">
        <v>6946</v>
      </c>
    </row>
    <row r="8105" spans="1:6">
      <c r="A8105" s="174">
        <f t="shared" si="119"/>
        <v>8104</v>
      </c>
      <c r="B8105" s="163">
        <v>45981</v>
      </c>
      <c r="C8105" s="194">
        <v>0.63935185185185184</v>
      </c>
      <c r="D8105" s="174" t="s">
        <v>7003</v>
      </c>
      <c r="E8105" s="166" t="s">
        <v>7003</v>
      </c>
      <c r="F8105" t="s">
        <v>6946</v>
      </c>
    </row>
    <row r="8106" spans="1:6">
      <c r="A8106" s="174">
        <f t="shared" si="119"/>
        <v>8105</v>
      </c>
      <c r="B8106" s="163">
        <v>45981</v>
      </c>
      <c r="C8106" s="194">
        <v>0.64348379629629626</v>
      </c>
      <c r="D8106" s="174" t="s">
        <v>7003</v>
      </c>
      <c r="E8106" s="166" t="s">
        <v>7003</v>
      </c>
      <c r="F8106" t="s">
        <v>6946</v>
      </c>
    </row>
    <row r="8107" spans="1:6">
      <c r="A8107" s="174">
        <f t="shared" si="119"/>
        <v>8106</v>
      </c>
      <c r="B8107" s="163">
        <v>45971</v>
      </c>
      <c r="C8107" s="194">
        <v>0.57915509259259257</v>
      </c>
      <c r="D8107" s="174">
        <v>10</v>
      </c>
      <c r="E8107" s="166" t="s">
        <v>5489</v>
      </c>
      <c r="F8107" t="s">
        <v>6946</v>
      </c>
    </row>
    <row r="8108" spans="1:6">
      <c r="A8108" s="174">
        <f t="shared" si="119"/>
        <v>8107</v>
      </c>
      <c r="B8108" s="163">
        <v>45981</v>
      </c>
      <c r="C8108" s="194">
        <v>0.63500000000000001</v>
      </c>
      <c r="D8108" s="174" t="s">
        <v>7003</v>
      </c>
      <c r="E8108" s="166" t="s">
        <v>7003</v>
      </c>
      <c r="F8108" t="s">
        <v>6946</v>
      </c>
    </row>
    <row r="8109" spans="1:6">
      <c r="A8109" s="174">
        <f t="shared" si="119"/>
        <v>8108</v>
      </c>
      <c r="B8109" s="163">
        <v>45981</v>
      </c>
      <c r="C8109" s="194">
        <v>0.62369212962962961</v>
      </c>
      <c r="D8109" s="174" t="s">
        <v>7003</v>
      </c>
      <c r="E8109" s="166" t="s">
        <v>7003</v>
      </c>
      <c r="F8109" t="s">
        <v>6946</v>
      </c>
    </row>
    <row r="8110" spans="1:6">
      <c r="A8110" s="174">
        <f t="shared" si="119"/>
        <v>8109</v>
      </c>
      <c r="B8110" s="163">
        <v>45971</v>
      </c>
      <c r="C8110" s="194">
        <v>0.58200231481481479</v>
      </c>
      <c r="D8110" s="174">
        <v>10</v>
      </c>
      <c r="E8110" s="166" t="s">
        <v>6577</v>
      </c>
      <c r="F8110" t="s">
        <v>6946</v>
      </c>
    </row>
    <row r="8111" spans="1:6">
      <c r="A8111" s="174">
        <f t="shared" si="119"/>
        <v>8110</v>
      </c>
      <c r="B8111" s="163">
        <v>45981</v>
      </c>
      <c r="C8111" s="194">
        <v>0.62011574074074072</v>
      </c>
      <c r="D8111" s="174" t="s">
        <v>7003</v>
      </c>
      <c r="E8111" s="166" t="s">
        <v>7003</v>
      </c>
      <c r="F8111" t="s">
        <v>6946</v>
      </c>
    </row>
    <row r="8112" spans="1:6">
      <c r="A8112" s="174">
        <f t="shared" si="119"/>
        <v>8111</v>
      </c>
      <c r="B8112" s="163">
        <v>45971</v>
      </c>
      <c r="C8112" s="194">
        <v>0.56164351851851857</v>
      </c>
      <c r="D8112" s="174">
        <v>10</v>
      </c>
      <c r="E8112" s="166" t="s">
        <v>6576</v>
      </c>
      <c r="F8112" t="s">
        <v>6946</v>
      </c>
    </row>
    <row r="8113" spans="1:6">
      <c r="A8113" s="174">
        <f t="shared" si="119"/>
        <v>8112</v>
      </c>
      <c r="B8113" s="163">
        <v>45981</v>
      </c>
      <c r="C8113" s="194">
        <v>0.61012731481481486</v>
      </c>
      <c r="D8113" s="174" t="s">
        <v>7003</v>
      </c>
      <c r="E8113" s="166" t="s">
        <v>7003</v>
      </c>
      <c r="F8113" t="s">
        <v>6946</v>
      </c>
    </row>
    <row r="8114" spans="1:6">
      <c r="A8114" s="174">
        <f t="shared" si="119"/>
        <v>8113</v>
      </c>
      <c r="B8114" s="163">
        <v>45981</v>
      </c>
      <c r="C8114" s="194">
        <v>0.58498842592592593</v>
      </c>
      <c r="D8114" s="174" t="s">
        <v>7003</v>
      </c>
      <c r="E8114" s="166" t="s">
        <v>7003</v>
      </c>
      <c r="F8114" t="s">
        <v>6946</v>
      </c>
    </row>
    <row r="8115" spans="1:6">
      <c r="A8115" s="174">
        <f t="shared" si="119"/>
        <v>8114</v>
      </c>
      <c r="B8115" s="163">
        <v>45981</v>
      </c>
      <c r="C8115" s="194">
        <v>0.58317129629629627</v>
      </c>
      <c r="D8115" s="174" t="s">
        <v>7003</v>
      </c>
      <c r="E8115" s="166" t="s">
        <v>7003</v>
      </c>
      <c r="F8115" t="s">
        <v>6946</v>
      </c>
    </row>
    <row r="8116" spans="1:6">
      <c r="A8116" s="174">
        <f t="shared" si="119"/>
        <v>8115</v>
      </c>
      <c r="B8116" s="163">
        <v>45971</v>
      </c>
      <c r="C8116" s="194">
        <v>0.56736111111111109</v>
      </c>
      <c r="D8116" s="174">
        <v>10</v>
      </c>
      <c r="E8116" s="166" t="s">
        <v>6575</v>
      </c>
      <c r="F8116" t="s">
        <v>6946</v>
      </c>
    </row>
    <row r="8117" spans="1:6">
      <c r="A8117" s="174">
        <f t="shared" si="119"/>
        <v>8116</v>
      </c>
      <c r="B8117" s="163">
        <v>45971</v>
      </c>
      <c r="C8117" s="194">
        <v>0.53726851851851853</v>
      </c>
      <c r="D8117" s="174">
        <v>10</v>
      </c>
      <c r="E8117" s="166" t="s">
        <v>6574</v>
      </c>
      <c r="F8117" t="s">
        <v>6946</v>
      </c>
    </row>
    <row r="8118" spans="1:6">
      <c r="A8118" s="174">
        <f t="shared" si="119"/>
        <v>8117</v>
      </c>
      <c r="B8118" s="163">
        <v>45971</v>
      </c>
      <c r="C8118" s="194">
        <v>0.52601851851851855</v>
      </c>
      <c r="D8118" s="174">
        <v>10</v>
      </c>
      <c r="E8118" s="166" t="s">
        <v>6939</v>
      </c>
      <c r="F8118" t="s">
        <v>6946</v>
      </c>
    </row>
    <row r="8119" spans="1:6">
      <c r="A8119" s="174">
        <f t="shared" si="119"/>
        <v>8118</v>
      </c>
      <c r="B8119" s="163">
        <v>45971</v>
      </c>
      <c r="C8119" s="194">
        <v>0.52636574074074072</v>
      </c>
      <c r="D8119" s="174">
        <v>10</v>
      </c>
      <c r="E8119" s="166" t="s">
        <v>132</v>
      </c>
      <c r="F8119" t="s">
        <v>6946</v>
      </c>
    </row>
    <row r="8120" spans="1:6">
      <c r="A8120" s="174">
        <f t="shared" si="119"/>
        <v>8119</v>
      </c>
      <c r="B8120" s="163">
        <v>45981</v>
      </c>
      <c r="C8120" s="194">
        <v>0.56584490740740734</v>
      </c>
      <c r="D8120" s="174" t="s">
        <v>7003</v>
      </c>
      <c r="E8120" s="166" t="s">
        <v>7003</v>
      </c>
      <c r="F8120" t="s">
        <v>6946</v>
      </c>
    </row>
    <row r="8121" spans="1:6">
      <c r="A8121" s="174">
        <f t="shared" si="119"/>
        <v>8120</v>
      </c>
      <c r="B8121" s="163">
        <v>45981</v>
      </c>
      <c r="C8121" s="194">
        <v>0.57874999999999999</v>
      </c>
      <c r="D8121" s="174" t="s">
        <v>7003</v>
      </c>
      <c r="E8121" s="166" t="s">
        <v>7003</v>
      </c>
      <c r="F8121" t="s">
        <v>6946</v>
      </c>
    </row>
    <row r="8122" spans="1:6">
      <c r="A8122" s="174">
        <f t="shared" si="119"/>
        <v>8121</v>
      </c>
      <c r="B8122" s="163">
        <v>45981</v>
      </c>
      <c r="C8122" s="194">
        <v>0.55531249999999999</v>
      </c>
      <c r="D8122" s="174" t="s">
        <v>7003</v>
      </c>
      <c r="E8122" s="166" t="s">
        <v>7003</v>
      </c>
      <c r="F8122" t="s">
        <v>6946</v>
      </c>
    </row>
    <row r="8123" spans="1:6">
      <c r="A8123" s="174">
        <f t="shared" si="119"/>
        <v>8122</v>
      </c>
      <c r="B8123" s="163">
        <v>45981</v>
      </c>
      <c r="C8123" s="194">
        <v>0.58511574074074069</v>
      </c>
      <c r="D8123" s="174" t="s">
        <v>7003</v>
      </c>
      <c r="E8123" s="166" t="s">
        <v>7003</v>
      </c>
      <c r="F8123" t="s">
        <v>6946</v>
      </c>
    </row>
    <row r="8124" spans="1:6">
      <c r="A8124" s="174">
        <f t="shared" si="119"/>
        <v>8123</v>
      </c>
      <c r="B8124" s="163">
        <v>45971</v>
      </c>
      <c r="C8124" s="194">
        <v>0.4946875</v>
      </c>
      <c r="D8124" s="174">
        <v>10</v>
      </c>
      <c r="E8124" s="166" t="s">
        <v>132</v>
      </c>
      <c r="F8124" t="s">
        <v>6946</v>
      </c>
    </row>
    <row r="8125" spans="1:6">
      <c r="A8125" s="174">
        <f t="shared" si="119"/>
        <v>8124</v>
      </c>
      <c r="B8125" s="163">
        <v>45981</v>
      </c>
      <c r="C8125" s="194">
        <v>0.55466435185185181</v>
      </c>
      <c r="D8125" s="174" t="s">
        <v>7003</v>
      </c>
      <c r="E8125" s="166" t="s">
        <v>7003</v>
      </c>
      <c r="F8125" t="s">
        <v>6946</v>
      </c>
    </row>
    <row r="8126" spans="1:6">
      <c r="A8126" s="174">
        <f t="shared" si="119"/>
        <v>8125</v>
      </c>
      <c r="B8126" s="163">
        <v>45981</v>
      </c>
      <c r="C8126" s="194">
        <v>0.55355324074074075</v>
      </c>
      <c r="D8126" s="174" t="s">
        <v>7003</v>
      </c>
      <c r="E8126" s="166" t="s">
        <v>7003</v>
      </c>
      <c r="F8126" t="s">
        <v>6946</v>
      </c>
    </row>
    <row r="8127" spans="1:6">
      <c r="A8127" s="174">
        <f t="shared" si="119"/>
        <v>8126</v>
      </c>
      <c r="B8127" s="163">
        <v>45971</v>
      </c>
      <c r="C8127" s="194">
        <v>0.47563657407407406</v>
      </c>
      <c r="D8127" s="174">
        <v>10</v>
      </c>
      <c r="E8127" s="166" t="s">
        <v>6573</v>
      </c>
      <c r="F8127" t="s">
        <v>6946</v>
      </c>
    </row>
    <row r="8128" spans="1:6">
      <c r="A8128" s="174">
        <f t="shared" si="119"/>
        <v>8127</v>
      </c>
      <c r="B8128" s="163">
        <v>45971</v>
      </c>
      <c r="C8128" s="194">
        <v>0.44329861111111107</v>
      </c>
      <c r="D8128" s="174">
        <v>10</v>
      </c>
      <c r="E8128" s="166" t="s">
        <v>6572</v>
      </c>
      <c r="F8128" t="s">
        <v>6946</v>
      </c>
    </row>
    <row r="8129" spans="1:6">
      <c r="A8129" s="174">
        <f t="shared" si="119"/>
        <v>8128</v>
      </c>
      <c r="B8129" s="163">
        <v>45981</v>
      </c>
      <c r="C8129" s="194">
        <v>0.51412037037037039</v>
      </c>
      <c r="D8129" s="174" t="s">
        <v>7003</v>
      </c>
      <c r="E8129" s="166" t="s">
        <v>7003</v>
      </c>
      <c r="F8129" t="s">
        <v>6946</v>
      </c>
    </row>
    <row r="8130" spans="1:6">
      <c r="A8130" s="174">
        <f t="shared" si="119"/>
        <v>8129</v>
      </c>
      <c r="B8130" s="163">
        <v>45981</v>
      </c>
      <c r="C8130" s="194">
        <v>0.50666666666666671</v>
      </c>
      <c r="D8130" s="174" t="s">
        <v>7003</v>
      </c>
      <c r="E8130" s="166" t="s">
        <v>7003</v>
      </c>
      <c r="F8130" t="s">
        <v>6946</v>
      </c>
    </row>
    <row r="8131" spans="1:6">
      <c r="A8131" s="174">
        <f t="shared" si="119"/>
        <v>8130</v>
      </c>
      <c r="B8131" s="163">
        <v>45981</v>
      </c>
      <c r="C8131" s="194">
        <v>0.53210648148148143</v>
      </c>
      <c r="D8131" s="174" t="s">
        <v>7003</v>
      </c>
      <c r="E8131" s="166" t="s">
        <v>7003</v>
      </c>
      <c r="F8131" t="s">
        <v>6946</v>
      </c>
    </row>
    <row r="8132" spans="1:6">
      <c r="A8132" s="174">
        <f t="shared" si="119"/>
        <v>8131</v>
      </c>
      <c r="B8132" s="163">
        <v>45981</v>
      </c>
      <c r="C8132" s="194">
        <v>0.53150462962962963</v>
      </c>
      <c r="D8132" s="174" t="s">
        <v>7003</v>
      </c>
      <c r="E8132" s="166" t="s">
        <v>7003</v>
      </c>
      <c r="F8132" t="s">
        <v>6946</v>
      </c>
    </row>
    <row r="8133" spans="1:6">
      <c r="A8133" s="174">
        <f t="shared" si="119"/>
        <v>8132</v>
      </c>
      <c r="B8133" s="163">
        <v>45981</v>
      </c>
      <c r="C8133" s="194">
        <v>0.51377314814814812</v>
      </c>
      <c r="D8133" s="174" t="s">
        <v>7003</v>
      </c>
      <c r="E8133" s="166" t="s">
        <v>7003</v>
      </c>
      <c r="F8133" t="s">
        <v>6946</v>
      </c>
    </row>
    <row r="8134" spans="1:6">
      <c r="A8134" s="174">
        <f t="shared" si="119"/>
        <v>8133</v>
      </c>
      <c r="B8134" s="163">
        <v>45981</v>
      </c>
      <c r="C8134" s="194">
        <v>0.5166898148148148</v>
      </c>
      <c r="D8134" s="174" t="s">
        <v>7003</v>
      </c>
      <c r="E8134" s="166" t="s">
        <v>7003</v>
      </c>
      <c r="F8134" t="s">
        <v>6946</v>
      </c>
    </row>
    <row r="8135" spans="1:6">
      <c r="A8135" s="174">
        <f t="shared" si="119"/>
        <v>8134</v>
      </c>
      <c r="B8135" s="163">
        <v>45981</v>
      </c>
      <c r="C8135" s="194">
        <v>0.52515046296296297</v>
      </c>
      <c r="D8135" s="174" t="s">
        <v>7003</v>
      </c>
      <c r="E8135" s="166" t="s">
        <v>7003</v>
      </c>
      <c r="F8135" t="s">
        <v>6946</v>
      </c>
    </row>
    <row r="8136" spans="1:6">
      <c r="A8136" s="174">
        <f t="shared" si="119"/>
        <v>8135</v>
      </c>
      <c r="B8136" s="163">
        <v>45981</v>
      </c>
      <c r="C8136" s="194">
        <v>0.50982638888888887</v>
      </c>
      <c r="D8136" s="174" t="s">
        <v>7003</v>
      </c>
      <c r="E8136" s="166" t="s">
        <v>7003</v>
      </c>
      <c r="F8136" t="s">
        <v>6946</v>
      </c>
    </row>
    <row r="8137" spans="1:6">
      <c r="A8137" s="174">
        <f t="shared" si="119"/>
        <v>8136</v>
      </c>
      <c r="B8137" s="163">
        <v>45981</v>
      </c>
      <c r="C8137" s="194">
        <v>0.75053240740740745</v>
      </c>
      <c r="D8137" s="174" t="s">
        <v>7003</v>
      </c>
      <c r="E8137" s="166" t="s">
        <v>7003</v>
      </c>
      <c r="F8137" t="s">
        <v>6946</v>
      </c>
    </row>
    <row r="8138" spans="1:6">
      <c r="A8138" s="174">
        <f t="shared" si="119"/>
        <v>8137</v>
      </c>
      <c r="B8138" s="163">
        <v>45981</v>
      </c>
      <c r="C8138" s="194">
        <v>0.50687499999999996</v>
      </c>
      <c r="D8138" s="174" t="s">
        <v>7003</v>
      </c>
      <c r="E8138" s="166" t="s">
        <v>7003</v>
      </c>
      <c r="F8138" t="s">
        <v>6946</v>
      </c>
    </row>
    <row r="8139" spans="1:6">
      <c r="A8139" s="174">
        <f t="shared" si="119"/>
        <v>8138</v>
      </c>
      <c r="B8139" s="163">
        <v>45981</v>
      </c>
      <c r="C8139" s="194">
        <v>0.4939236111111111</v>
      </c>
      <c r="D8139" s="174" t="s">
        <v>7003</v>
      </c>
      <c r="E8139" s="166" t="s">
        <v>7003</v>
      </c>
      <c r="F8139" t="s">
        <v>6946</v>
      </c>
    </row>
    <row r="8140" spans="1:6">
      <c r="A8140" s="174">
        <f t="shared" si="119"/>
        <v>8139</v>
      </c>
      <c r="B8140" s="163">
        <v>45981</v>
      </c>
      <c r="C8140" s="194">
        <v>0.50983796296296291</v>
      </c>
      <c r="D8140" s="174" t="s">
        <v>7003</v>
      </c>
      <c r="E8140" s="166" t="s">
        <v>7003</v>
      </c>
      <c r="F8140" t="s">
        <v>6946</v>
      </c>
    </row>
    <row r="8141" spans="1:6">
      <c r="A8141" s="174">
        <f t="shared" si="119"/>
        <v>8140</v>
      </c>
      <c r="B8141" s="163">
        <v>45981</v>
      </c>
      <c r="C8141" s="194">
        <v>0.50137731481481485</v>
      </c>
      <c r="D8141" s="174" t="s">
        <v>7003</v>
      </c>
      <c r="E8141" s="166" t="s">
        <v>7003</v>
      </c>
      <c r="F8141" t="s">
        <v>6946</v>
      </c>
    </row>
    <row r="8142" spans="1:6">
      <c r="A8142" s="174">
        <f t="shared" si="119"/>
        <v>8141</v>
      </c>
      <c r="B8142" s="163">
        <v>45971</v>
      </c>
      <c r="C8142" s="194">
        <v>0.48168981481481482</v>
      </c>
      <c r="D8142" s="174">
        <v>10</v>
      </c>
      <c r="E8142" s="166" t="s">
        <v>6571</v>
      </c>
      <c r="F8142" t="s">
        <v>6946</v>
      </c>
    </row>
    <row r="8143" spans="1:6">
      <c r="A8143" s="174">
        <f t="shared" si="119"/>
        <v>8142</v>
      </c>
      <c r="B8143" s="163">
        <v>45971</v>
      </c>
      <c r="C8143" s="194">
        <v>0.41744212962962962</v>
      </c>
      <c r="D8143" s="174">
        <v>10</v>
      </c>
      <c r="E8143" s="166" t="s">
        <v>6570</v>
      </c>
      <c r="F8143" t="s">
        <v>6946</v>
      </c>
    </row>
    <row r="8144" spans="1:6">
      <c r="A8144" s="174">
        <f t="shared" si="119"/>
        <v>8143</v>
      </c>
      <c r="B8144" s="163">
        <v>45981</v>
      </c>
      <c r="C8144" s="194">
        <v>0.48228009259259258</v>
      </c>
      <c r="D8144" s="174" t="s">
        <v>7003</v>
      </c>
      <c r="E8144" s="166" t="s">
        <v>7003</v>
      </c>
      <c r="F8144" t="s">
        <v>6946</v>
      </c>
    </row>
    <row r="8145" spans="1:6">
      <c r="A8145" s="174">
        <f t="shared" si="119"/>
        <v>8144</v>
      </c>
      <c r="B8145" s="163">
        <v>45971</v>
      </c>
      <c r="C8145" s="194">
        <v>0.42703703703703705</v>
      </c>
      <c r="D8145" s="174">
        <v>10</v>
      </c>
      <c r="E8145" s="166" t="s">
        <v>6569</v>
      </c>
      <c r="F8145" t="s">
        <v>6946</v>
      </c>
    </row>
    <row r="8146" spans="1:6">
      <c r="A8146" s="174">
        <f t="shared" si="119"/>
        <v>8145</v>
      </c>
      <c r="B8146" s="163">
        <v>45972</v>
      </c>
      <c r="C8146" s="194">
        <v>0.85895833333333327</v>
      </c>
      <c r="D8146" s="174">
        <v>10</v>
      </c>
      <c r="E8146" s="166" t="s">
        <v>6622</v>
      </c>
      <c r="F8146" t="s">
        <v>6946</v>
      </c>
    </row>
    <row r="8147" spans="1:6">
      <c r="A8147" s="174">
        <f t="shared" si="119"/>
        <v>8146</v>
      </c>
      <c r="B8147" s="163">
        <v>45972</v>
      </c>
      <c r="C8147" s="194">
        <v>0.85731481481481486</v>
      </c>
      <c r="D8147" s="174">
        <v>10</v>
      </c>
      <c r="E8147" s="166" t="s">
        <v>6621</v>
      </c>
      <c r="F8147" t="s">
        <v>6946</v>
      </c>
    </row>
    <row r="8148" spans="1:6">
      <c r="A8148" s="174">
        <f t="shared" si="119"/>
        <v>8147</v>
      </c>
      <c r="B8148" s="163">
        <v>45981</v>
      </c>
      <c r="C8148" s="194">
        <v>0.43656249999999996</v>
      </c>
      <c r="D8148" s="174" t="s">
        <v>7003</v>
      </c>
      <c r="E8148" s="166" t="s">
        <v>7003</v>
      </c>
      <c r="F8148" t="s">
        <v>6946</v>
      </c>
    </row>
    <row r="8149" spans="1:6">
      <c r="A8149" s="174">
        <f t="shared" si="119"/>
        <v>8148</v>
      </c>
      <c r="B8149" s="163">
        <v>45981</v>
      </c>
      <c r="C8149" s="194">
        <v>0.43673611111111116</v>
      </c>
      <c r="D8149" s="174" t="s">
        <v>7003</v>
      </c>
      <c r="E8149" s="166" t="s">
        <v>7003</v>
      </c>
      <c r="F8149" t="s">
        <v>6946</v>
      </c>
    </row>
    <row r="8150" spans="1:6">
      <c r="A8150" s="174">
        <f t="shared" si="119"/>
        <v>8149</v>
      </c>
      <c r="B8150" s="163">
        <v>45972</v>
      </c>
      <c r="C8150" s="194">
        <v>0.82018518518518524</v>
      </c>
      <c r="D8150" s="174">
        <v>10</v>
      </c>
      <c r="E8150" s="166" t="s">
        <v>6932</v>
      </c>
      <c r="F8150" t="s">
        <v>6946</v>
      </c>
    </row>
    <row r="8151" spans="1:6">
      <c r="A8151" s="174">
        <f t="shared" si="119"/>
        <v>8150</v>
      </c>
      <c r="B8151" s="163">
        <v>45981</v>
      </c>
      <c r="C8151" s="194">
        <v>0.44773148148148145</v>
      </c>
      <c r="D8151" s="174" t="s">
        <v>7003</v>
      </c>
      <c r="E8151" s="166" t="s">
        <v>7003</v>
      </c>
      <c r="F8151" t="s">
        <v>6946</v>
      </c>
    </row>
    <row r="8152" spans="1:6">
      <c r="A8152" s="174">
        <f t="shared" si="119"/>
        <v>8151</v>
      </c>
      <c r="B8152" s="163">
        <v>45972</v>
      </c>
      <c r="C8152" s="194">
        <v>0.74141203703703706</v>
      </c>
      <c r="D8152" s="174">
        <v>10</v>
      </c>
      <c r="E8152" s="166" t="s">
        <v>132</v>
      </c>
      <c r="F8152" t="s">
        <v>6946</v>
      </c>
    </row>
    <row r="8153" spans="1:6">
      <c r="A8153" s="174">
        <f t="shared" si="119"/>
        <v>8152</v>
      </c>
      <c r="B8153" s="163">
        <v>45972</v>
      </c>
      <c r="C8153" s="194">
        <v>0.74906249999999996</v>
      </c>
      <c r="D8153" s="174">
        <v>10</v>
      </c>
      <c r="E8153" s="166" t="s">
        <v>1004</v>
      </c>
      <c r="F8153" t="s">
        <v>6946</v>
      </c>
    </row>
    <row r="8154" spans="1:6">
      <c r="A8154" s="174">
        <f t="shared" si="119"/>
        <v>8153</v>
      </c>
      <c r="B8154" s="163">
        <v>45981</v>
      </c>
      <c r="C8154" s="194">
        <v>0.43396990740740743</v>
      </c>
      <c r="D8154" s="174" t="s">
        <v>7003</v>
      </c>
      <c r="E8154" s="166" t="s">
        <v>7003</v>
      </c>
      <c r="F8154" t="s">
        <v>6946</v>
      </c>
    </row>
    <row r="8155" spans="1:6">
      <c r="A8155" s="174">
        <f t="shared" si="119"/>
        <v>8154</v>
      </c>
      <c r="B8155" s="163">
        <v>45972</v>
      </c>
      <c r="C8155" s="194">
        <v>0.74321759259259268</v>
      </c>
      <c r="D8155" s="174">
        <v>10</v>
      </c>
      <c r="E8155" s="166" t="s">
        <v>6620</v>
      </c>
      <c r="F8155" t="s">
        <v>6946</v>
      </c>
    </row>
    <row r="8156" spans="1:6">
      <c r="A8156" s="174">
        <f t="shared" si="119"/>
        <v>8155</v>
      </c>
      <c r="B8156" s="163">
        <v>45981</v>
      </c>
      <c r="C8156" s="194">
        <v>0.43392361111111111</v>
      </c>
      <c r="D8156" s="174" t="s">
        <v>7003</v>
      </c>
      <c r="E8156" s="166" t="s">
        <v>7003</v>
      </c>
      <c r="F8156" t="s">
        <v>6946</v>
      </c>
    </row>
    <row r="8157" spans="1:6">
      <c r="A8157" s="174">
        <f t="shared" si="119"/>
        <v>8156</v>
      </c>
      <c r="B8157" s="163">
        <v>45981</v>
      </c>
      <c r="C8157" s="194">
        <v>0.42607638888888894</v>
      </c>
      <c r="D8157" s="174" t="s">
        <v>7003</v>
      </c>
      <c r="E8157" s="166" t="s">
        <v>7003</v>
      </c>
      <c r="F8157" t="s">
        <v>6946</v>
      </c>
    </row>
    <row r="8158" spans="1:6">
      <c r="A8158" s="174">
        <f t="shared" si="119"/>
        <v>8157</v>
      </c>
      <c r="B8158" s="163">
        <v>45981</v>
      </c>
      <c r="C8158" s="194">
        <v>0.41917824074074073</v>
      </c>
      <c r="D8158" s="174" t="s">
        <v>7003</v>
      </c>
      <c r="E8158" s="166" t="s">
        <v>7003</v>
      </c>
      <c r="F8158" t="s">
        <v>6946</v>
      </c>
    </row>
    <row r="8159" spans="1:6">
      <c r="A8159" s="174">
        <f t="shared" si="119"/>
        <v>8158</v>
      </c>
      <c r="B8159" s="163">
        <v>45972</v>
      </c>
      <c r="C8159" s="194">
        <v>0.70666666666666667</v>
      </c>
      <c r="D8159" s="174">
        <v>10</v>
      </c>
      <c r="E8159" s="166" t="s">
        <v>6933</v>
      </c>
      <c r="F8159" t="s">
        <v>6946</v>
      </c>
    </row>
    <row r="8160" spans="1:6">
      <c r="A8160" s="174">
        <f t="shared" si="119"/>
        <v>8159</v>
      </c>
      <c r="B8160" s="163">
        <v>45972</v>
      </c>
      <c r="C8160" s="194">
        <v>0.70956018518518515</v>
      </c>
      <c r="D8160" s="174">
        <v>10</v>
      </c>
      <c r="E8160" s="166" t="s">
        <v>6619</v>
      </c>
      <c r="F8160" t="s">
        <v>6946</v>
      </c>
    </row>
    <row r="8161" spans="1:6">
      <c r="A8161" s="174">
        <f t="shared" ref="A8161:A8224" si="120">ROW()-1</f>
        <v>8160</v>
      </c>
      <c r="B8161" s="163">
        <v>45981</v>
      </c>
      <c r="C8161" s="194">
        <v>0.39912037037037035</v>
      </c>
      <c r="D8161" s="174" t="s">
        <v>7003</v>
      </c>
      <c r="E8161" s="166" t="s">
        <v>7003</v>
      </c>
      <c r="F8161" t="s">
        <v>6946</v>
      </c>
    </row>
    <row r="8162" spans="1:6">
      <c r="A8162" s="174">
        <f t="shared" si="120"/>
        <v>8161</v>
      </c>
      <c r="B8162" s="163">
        <v>45981</v>
      </c>
      <c r="C8162" s="194">
        <v>0.41922453703703705</v>
      </c>
      <c r="D8162" s="174" t="s">
        <v>7003</v>
      </c>
      <c r="E8162" s="166" t="s">
        <v>7003</v>
      </c>
      <c r="F8162" t="s">
        <v>6946</v>
      </c>
    </row>
    <row r="8163" spans="1:6">
      <c r="A8163" s="174">
        <f t="shared" si="120"/>
        <v>8162</v>
      </c>
      <c r="B8163" s="163">
        <v>45981</v>
      </c>
      <c r="C8163" s="194">
        <v>0.39917824074074071</v>
      </c>
      <c r="D8163" s="174" t="s">
        <v>7003</v>
      </c>
      <c r="E8163" s="166" t="s">
        <v>7003</v>
      </c>
      <c r="F8163" t="s">
        <v>6946</v>
      </c>
    </row>
    <row r="8164" spans="1:6">
      <c r="A8164" s="174">
        <f t="shared" si="120"/>
        <v>8163</v>
      </c>
      <c r="B8164" s="163">
        <v>45972</v>
      </c>
      <c r="C8164" s="194">
        <v>0.70815972222222223</v>
      </c>
      <c r="D8164" s="174">
        <v>10</v>
      </c>
      <c r="E8164" s="166" t="s">
        <v>6618</v>
      </c>
      <c r="F8164" t="s">
        <v>6946</v>
      </c>
    </row>
    <row r="8165" spans="1:6">
      <c r="A8165" s="174">
        <f t="shared" si="120"/>
        <v>8164</v>
      </c>
      <c r="B8165" s="163">
        <v>45972</v>
      </c>
      <c r="C8165" s="194">
        <v>0.70966435185185184</v>
      </c>
      <c r="D8165" s="174">
        <v>10</v>
      </c>
      <c r="E8165" s="166" t="s">
        <v>6617</v>
      </c>
      <c r="F8165" t="s">
        <v>6946</v>
      </c>
    </row>
    <row r="8166" spans="1:6">
      <c r="A8166" s="174">
        <f t="shared" si="120"/>
        <v>8165</v>
      </c>
      <c r="B8166" s="163">
        <v>45972</v>
      </c>
      <c r="C8166" s="194">
        <v>0.69194444444444436</v>
      </c>
      <c r="D8166" s="174">
        <v>10</v>
      </c>
      <c r="E8166" s="166" t="s">
        <v>6616</v>
      </c>
      <c r="F8166" t="s">
        <v>6946</v>
      </c>
    </row>
    <row r="8167" spans="1:6">
      <c r="A8167" s="174">
        <f t="shared" si="120"/>
        <v>8166</v>
      </c>
      <c r="B8167" s="163">
        <v>45980</v>
      </c>
      <c r="C8167" s="194">
        <v>0.91202546296296294</v>
      </c>
      <c r="D8167" s="174" t="s">
        <v>7003</v>
      </c>
      <c r="E8167" s="166" t="s">
        <v>7003</v>
      </c>
      <c r="F8167" t="s">
        <v>6946</v>
      </c>
    </row>
    <row r="8168" spans="1:6">
      <c r="A8168" s="174">
        <f t="shared" si="120"/>
        <v>8167</v>
      </c>
      <c r="B8168" s="163">
        <v>45972</v>
      </c>
      <c r="C8168" s="194">
        <v>0.65865740740740741</v>
      </c>
      <c r="D8168" s="174">
        <v>10</v>
      </c>
      <c r="E8168" s="166" t="s">
        <v>6615</v>
      </c>
      <c r="F8168" t="s">
        <v>6946</v>
      </c>
    </row>
    <row r="8169" spans="1:6">
      <c r="A8169" s="174">
        <f t="shared" si="120"/>
        <v>8168</v>
      </c>
      <c r="B8169" s="163">
        <v>45980</v>
      </c>
      <c r="C8169" s="194">
        <v>0.90069444444444446</v>
      </c>
      <c r="D8169" s="174" t="s">
        <v>7003</v>
      </c>
      <c r="E8169" s="166" t="s">
        <v>7003</v>
      </c>
      <c r="F8169" t="s">
        <v>6946</v>
      </c>
    </row>
    <row r="8170" spans="1:6">
      <c r="A8170" s="174">
        <f t="shared" si="120"/>
        <v>8169</v>
      </c>
      <c r="B8170" s="163">
        <v>45980</v>
      </c>
      <c r="C8170" s="194">
        <v>0.87804398148148144</v>
      </c>
      <c r="D8170" s="174" t="s">
        <v>7003</v>
      </c>
      <c r="E8170" s="166" t="s">
        <v>7003</v>
      </c>
      <c r="F8170" t="s">
        <v>6946</v>
      </c>
    </row>
    <row r="8171" spans="1:6">
      <c r="A8171" s="174">
        <f t="shared" si="120"/>
        <v>8170</v>
      </c>
      <c r="B8171" s="163">
        <v>45980</v>
      </c>
      <c r="C8171" s="194">
        <v>0.87651620370370376</v>
      </c>
      <c r="D8171" s="174" t="s">
        <v>7003</v>
      </c>
      <c r="E8171" s="166" t="s">
        <v>7003</v>
      </c>
      <c r="F8171" t="s">
        <v>6946</v>
      </c>
    </row>
    <row r="8172" spans="1:6">
      <c r="A8172" s="174">
        <f t="shared" si="120"/>
        <v>8171</v>
      </c>
      <c r="B8172" s="163">
        <v>45972</v>
      </c>
      <c r="C8172" s="194">
        <v>0.65148148148148144</v>
      </c>
      <c r="D8172" s="174">
        <v>10</v>
      </c>
      <c r="E8172" s="166" t="s">
        <v>6614</v>
      </c>
      <c r="F8172" t="s">
        <v>6946</v>
      </c>
    </row>
    <row r="8173" spans="1:6">
      <c r="A8173" s="174">
        <f t="shared" si="120"/>
        <v>8172</v>
      </c>
      <c r="B8173" s="163">
        <v>45980</v>
      </c>
      <c r="C8173" s="194">
        <v>0.86753472222222217</v>
      </c>
      <c r="D8173" s="174" t="s">
        <v>7003</v>
      </c>
      <c r="E8173" s="166" t="s">
        <v>7003</v>
      </c>
      <c r="F8173" t="s">
        <v>6946</v>
      </c>
    </row>
    <row r="8174" spans="1:6">
      <c r="A8174" s="174">
        <f t="shared" si="120"/>
        <v>8173</v>
      </c>
      <c r="B8174" s="163">
        <v>45980</v>
      </c>
      <c r="C8174" s="194">
        <v>0.85715277777777776</v>
      </c>
      <c r="D8174" s="174" t="s">
        <v>7003</v>
      </c>
      <c r="E8174" s="166" t="s">
        <v>7003</v>
      </c>
      <c r="F8174" t="s">
        <v>6946</v>
      </c>
    </row>
    <row r="8175" spans="1:6">
      <c r="A8175" s="174">
        <f t="shared" si="120"/>
        <v>8174</v>
      </c>
      <c r="B8175" s="163">
        <v>45980</v>
      </c>
      <c r="C8175" s="194">
        <v>0.84663194444444445</v>
      </c>
      <c r="D8175" s="174" t="s">
        <v>7003</v>
      </c>
      <c r="E8175" s="166" t="s">
        <v>7003</v>
      </c>
      <c r="F8175" t="s">
        <v>6946</v>
      </c>
    </row>
    <row r="8176" spans="1:6">
      <c r="A8176" s="174">
        <f t="shared" si="120"/>
        <v>8175</v>
      </c>
      <c r="B8176" s="163">
        <v>45980</v>
      </c>
      <c r="C8176" s="194">
        <v>0.80459490740740736</v>
      </c>
      <c r="D8176" s="174" t="s">
        <v>7003</v>
      </c>
      <c r="E8176" s="166" t="s">
        <v>7003</v>
      </c>
      <c r="F8176" t="s">
        <v>6946</v>
      </c>
    </row>
    <row r="8177" spans="1:6">
      <c r="A8177" s="174">
        <f t="shared" si="120"/>
        <v>8176</v>
      </c>
      <c r="B8177" s="163">
        <v>45980</v>
      </c>
      <c r="C8177" s="194">
        <v>0.81017361111111119</v>
      </c>
      <c r="D8177" s="174" t="s">
        <v>7003</v>
      </c>
      <c r="E8177" s="166" t="s">
        <v>7003</v>
      </c>
      <c r="F8177" t="s">
        <v>6946</v>
      </c>
    </row>
    <row r="8178" spans="1:6">
      <c r="A8178" s="174">
        <f t="shared" si="120"/>
        <v>8177</v>
      </c>
      <c r="B8178" s="163">
        <v>45972</v>
      </c>
      <c r="C8178" s="194">
        <v>0.64319444444444451</v>
      </c>
      <c r="D8178" s="174">
        <v>10</v>
      </c>
      <c r="E8178" s="166" t="s">
        <v>1623</v>
      </c>
      <c r="F8178" t="s">
        <v>6946</v>
      </c>
    </row>
    <row r="8179" spans="1:6">
      <c r="A8179" s="174">
        <f t="shared" si="120"/>
        <v>8178</v>
      </c>
      <c r="B8179" s="163">
        <v>45972</v>
      </c>
      <c r="C8179" s="194">
        <v>0.63799768518518518</v>
      </c>
      <c r="D8179" s="174">
        <v>8</v>
      </c>
      <c r="E8179" s="166" t="s">
        <v>448</v>
      </c>
      <c r="F8179" t="s">
        <v>6946</v>
      </c>
    </row>
    <row r="8180" spans="1:6">
      <c r="A8180" s="174">
        <f t="shared" si="120"/>
        <v>8179</v>
      </c>
      <c r="B8180" s="163">
        <v>45980</v>
      </c>
      <c r="C8180" s="194">
        <v>0.78189814814814806</v>
      </c>
      <c r="D8180" s="174" t="s">
        <v>7003</v>
      </c>
      <c r="E8180" s="166" t="s">
        <v>7003</v>
      </c>
      <c r="F8180" t="s">
        <v>6946</v>
      </c>
    </row>
    <row r="8181" spans="1:6">
      <c r="A8181" s="174">
        <f t="shared" si="120"/>
        <v>8180</v>
      </c>
      <c r="B8181" s="163">
        <v>45980</v>
      </c>
      <c r="C8181" s="194">
        <v>0.77164351851851853</v>
      </c>
      <c r="D8181" s="174" t="s">
        <v>7003</v>
      </c>
      <c r="E8181" s="166" t="s">
        <v>7003</v>
      </c>
      <c r="F8181" t="s">
        <v>6946</v>
      </c>
    </row>
    <row r="8182" spans="1:6">
      <c r="A8182" s="174">
        <f t="shared" si="120"/>
        <v>8181</v>
      </c>
      <c r="B8182" s="163">
        <v>45980</v>
      </c>
      <c r="C8182" s="194">
        <v>0.77083333333333337</v>
      </c>
      <c r="D8182" s="174" t="s">
        <v>7003</v>
      </c>
      <c r="E8182" s="166" t="s">
        <v>7003</v>
      </c>
      <c r="F8182" t="s">
        <v>6946</v>
      </c>
    </row>
    <row r="8183" spans="1:6">
      <c r="A8183" s="174">
        <f t="shared" si="120"/>
        <v>8182</v>
      </c>
      <c r="B8183" s="163">
        <v>45980</v>
      </c>
      <c r="C8183" s="194">
        <v>0.76296296296296295</v>
      </c>
      <c r="D8183" s="174" t="s">
        <v>7003</v>
      </c>
      <c r="E8183" s="166" t="s">
        <v>7003</v>
      </c>
      <c r="F8183" t="s">
        <v>6946</v>
      </c>
    </row>
    <row r="8184" spans="1:6">
      <c r="A8184" s="174">
        <f t="shared" si="120"/>
        <v>8183</v>
      </c>
      <c r="B8184" s="163">
        <v>45980</v>
      </c>
      <c r="C8184" s="194">
        <v>0.77120370370370372</v>
      </c>
      <c r="D8184" s="174" t="s">
        <v>7003</v>
      </c>
      <c r="E8184" s="166" t="s">
        <v>7003</v>
      </c>
      <c r="F8184" t="s">
        <v>6946</v>
      </c>
    </row>
    <row r="8185" spans="1:6">
      <c r="A8185" s="174">
        <f t="shared" si="120"/>
        <v>8184</v>
      </c>
      <c r="B8185" s="163">
        <v>45980</v>
      </c>
      <c r="C8185" s="194">
        <v>0.73932870370370374</v>
      </c>
      <c r="D8185" s="174" t="s">
        <v>7003</v>
      </c>
      <c r="E8185" s="166" t="s">
        <v>7003</v>
      </c>
      <c r="F8185" t="s">
        <v>6946</v>
      </c>
    </row>
    <row r="8186" spans="1:6">
      <c r="A8186" s="174">
        <f t="shared" si="120"/>
        <v>8185</v>
      </c>
      <c r="B8186" s="163">
        <v>45980</v>
      </c>
      <c r="C8186" s="194">
        <v>0.75111111111111117</v>
      </c>
      <c r="D8186" s="174" t="s">
        <v>7003</v>
      </c>
      <c r="E8186" s="166" t="s">
        <v>7003</v>
      </c>
      <c r="F8186" t="s">
        <v>6946</v>
      </c>
    </row>
    <row r="8187" spans="1:6">
      <c r="A8187" s="174">
        <f t="shared" si="120"/>
        <v>8186</v>
      </c>
      <c r="B8187" s="163">
        <v>45980</v>
      </c>
      <c r="C8187" s="194">
        <v>0.74449074074074073</v>
      </c>
      <c r="D8187" s="174" t="s">
        <v>7003</v>
      </c>
      <c r="E8187" s="166" t="s">
        <v>7003</v>
      </c>
      <c r="F8187" t="s">
        <v>6946</v>
      </c>
    </row>
    <row r="8188" spans="1:6">
      <c r="A8188" s="174">
        <f t="shared" si="120"/>
        <v>8187</v>
      </c>
      <c r="B8188" s="163">
        <v>45972</v>
      </c>
      <c r="C8188" s="194">
        <v>0.64547453703703705</v>
      </c>
      <c r="D8188" s="174">
        <v>10</v>
      </c>
      <c r="E8188" s="166" t="s">
        <v>6613</v>
      </c>
      <c r="F8188" t="s">
        <v>6946</v>
      </c>
    </row>
    <row r="8189" spans="1:6">
      <c r="A8189" s="174">
        <f t="shared" si="120"/>
        <v>8188</v>
      </c>
      <c r="B8189" s="163">
        <v>45972</v>
      </c>
      <c r="C8189" s="194">
        <v>0.640162037037037</v>
      </c>
      <c r="D8189" s="174">
        <v>10</v>
      </c>
      <c r="E8189" s="166" t="s">
        <v>6612</v>
      </c>
      <c r="F8189" t="s">
        <v>6946</v>
      </c>
    </row>
    <row r="8190" spans="1:6">
      <c r="A8190" s="174">
        <f t="shared" si="120"/>
        <v>8189</v>
      </c>
      <c r="B8190" s="163">
        <v>45972</v>
      </c>
      <c r="C8190" s="194">
        <v>0.63429398148148153</v>
      </c>
      <c r="D8190" s="174">
        <v>10</v>
      </c>
      <c r="E8190" s="166" t="s">
        <v>6611</v>
      </c>
      <c r="F8190" t="s">
        <v>6946</v>
      </c>
    </row>
    <row r="8191" spans="1:6">
      <c r="A8191" s="174">
        <f t="shared" si="120"/>
        <v>8190</v>
      </c>
      <c r="B8191" s="163">
        <v>45980</v>
      </c>
      <c r="C8191" s="194">
        <v>0.73114583333333327</v>
      </c>
      <c r="D8191" s="174" t="s">
        <v>7003</v>
      </c>
      <c r="E8191" s="166" t="s">
        <v>7003</v>
      </c>
      <c r="F8191" t="s">
        <v>6946</v>
      </c>
    </row>
    <row r="8192" spans="1:6">
      <c r="A8192" s="174">
        <f t="shared" si="120"/>
        <v>8191</v>
      </c>
      <c r="B8192" s="163">
        <v>45980</v>
      </c>
      <c r="C8192" s="194">
        <v>0.73129629629629633</v>
      </c>
      <c r="D8192" s="174" t="s">
        <v>7003</v>
      </c>
      <c r="E8192" s="166" t="s">
        <v>7003</v>
      </c>
      <c r="F8192" t="s">
        <v>6946</v>
      </c>
    </row>
    <row r="8193" spans="1:6">
      <c r="A8193" s="174">
        <f t="shared" si="120"/>
        <v>8192</v>
      </c>
      <c r="B8193" s="163">
        <v>45972</v>
      </c>
      <c r="C8193" s="194">
        <v>0.62835648148148149</v>
      </c>
      <c r="D8193" s="174">
        <v>10</v>
      </c>
      <c r="E8193" s="166" t="s">
        <v>6610</v>
      </c>
      <c r="F8193" t="s">
        <v>6946</v>
      </c>
    </row>
    <row r="8194" spans="1:6">
      <c r="A8194" s="174">
        <f t="shared" si="120"/>
        <v>8193</v>
      </c>
      <c r="B8194" s="163">
        <v>45980</v>
      </c>
      <c r="C8194" s="194">
        <v>0.7247337962962962</v>
      </c>
      <c r="D8194" s="174" t="s">
        <v>7003</v>
      </c>
      <c r="E8194" s="166" t="s">
        <v>7003</v>
      </c>
      <c r="F8194" t="s">
        <v>6946</v>
      </c>
    </row>
    <row r="8195" spans="1:6">
      <c r="A8195" s="174">
        <f t="shared" si="120"/>
        <v>8194</v>
      </c>
      <c r="B8195" s="163">
        <v>45980</v>
      </c>
      <c r="C8195" s="194">
        <v>0.72089120370370363</v>
      </c>
      <c r="D8195" s="174" t="s">
        <v>7003</v>
      </c>
      <c r="E8195" s="166" t="s">
        <v>7003</v>
      </c>
      <c r="F8195" t="s">
        <v>6946</v>
      </c>
    </row>
    <row r="8196" spans="1:6">
      <c r="A8196" s="174">
        <f t="shared" si="120"/>
        <v>8195</v>
      </c>
      <c r="B8196" s="163">
        <v>45980</v>
      </c>
      <c r="C8196" s="194">
        <v>0.71002314814814815</v>
      </c>
      <c r="D8196" s="174" t="s">
        <v>7003</v>
      </c>
      <c r="E8196" s="166" t="s">
        <v>7003</v>
      </c>
      <c r="F8196" t="s">
        <v>6946</v>
      </c>
    </row>
    <row r="8197" spans="1:6">
      <c r="A8197" s="174">
        <f t="shared" si="120"/>
        <v>8196</v>
      </c>
      <c r="B8197" s="163">
        <v>45980</v>
      </c>
      <c r="C8197" s="194">
        <v>0.71046296296296296</v>
      </c>
      <c r="D8197" s="174" t="s">
        <v>7003</v>
      </c>
      <c r="E8197" s="166" t="s">
        <v>7003</v>
      </c>
      <c r="F8197" t="s">
        <v>6946</v>
      </c>
    </row>
    <row r="8198" spans="1:6">
      <c r="A8198" s="174">
        <f t="shared" si="120"/>
        <v>8197</v>
      </c>
      <c r="B8198" s="163">
        <v>45972</v>
      </c>
      <c r="C8198" s="194">
        <v>0.63269675925925928</v>
      </c>
      <c r="D8198" s="174">
        <v>10</v>
      </c>
      <c r="E8198" s="166" t="s">
        <v>6609</v>
      </c>
      <c r="F8198" t="s">
        <v>6946</v>
      </c>
    </row>
    <row r="8199" spans="1:6">
      <c r="A8199" s="174">
        <f t="shared" si="120"/>
        <v>8198</v>
      </c>
      <c r="B8199" s="163">
        <v>45980</v>
      </c>
      <c r="C8199" s="194">
        <v>0.68987268518518519</v>
      </c>
      <c r="D8199" s="174" t="s">
        <v>7003</v>
      </c>
      <c r="E8199" s="166" t="s">
        <v>7003</v>
      </c>
      <c r="F8199" t="s">
        <v>6946</v>
      </c>
    </row>
    <row r="8200" spans="1:6">
      <c r="A8200" s="174">
        <f t="shared" si="120"/>
        <v>8199</v>
      </c>
      <c r="B8200" s="163">
        <v>45980</v>
      </c>
      <c r="C8200" s="194">
        <v>0.6881018518518518</v>
      </c>
      <c r="D8200" s="174" t="s">
        <v>7003</v>
      </c>
      <c r="E8200" s="166" t="s">
        <v>7003</v>
      </c>
      <c r="F8200" t="s">
        <v>6946</v>
      </c>
    </row>
    <row r="8201" spans="1:6">
      <c r="A8201" s="174">
        <f t="shared" si="120"/>
        <v>8200</v>
      </c>
      <c r="B8201" s="163">
        <v>45972</v>
      </c>
      <c r="C8201" s="194">
        <v>0.64195601851851858</v>
      </c>
      <c r="D8201" s="174">
        <v>10</v>
      </c>
      <c r="E8201" s="166" t="s">
        <v>1305</v>
      </c>
      <c r="F8201" t="s">
        <v>6946</v>
      </c>
    </row>
    <row r="8202" spans="1:6">
      <c r="A8202" s="174">
        <f t="shared" si="120"/>
        <v>8201</v>
      </c>
      <c r="B8202" s="163">
        <v>45972</v>
      </c>
      <c r="C8202" s="194">
        <v>0.58972222222222215</v>
      </c>
      <c r="D8202" s="174">
        <v>10</v>
      </c>
      <c r="E8202" s="166" t="s">
        <v>6608</v>
      </c>
      <c r="F8202" t="s">
        <v>6946</v>
      </c>
    </row>
    <row r="8203" spans="1:6">
      <c r="A8203" s="174">
        <f t="shared" si="120"/>
        <v>8202</v>
      </c>
      <c r="B8203" s="163">
        <v>45980</v>
      </c>
      <c r="C8203" s="194">
        <v>0.6734606481481481</v>
      </c>
      <c r="D8203" s="174" t="s">
        <v>7003</v>
      </c>
      <c r="E8203" s="166" t="s">
        <v>7003</v>
      </c>
      <c r="F8203" t="s">
        <v>6946</v>
      </c>
    </row>
    <row r="8204" spans="1:6">
      <c r="A8204" s="174">
        <f t="shared" si="120"/>
        <v>8203</v>
      </c>
      <c r="B8204" s="163">
        <v>45980</v>
      </c>
      <c r="C8204" s="194">
        <v>0.66922453703703699</v>
      </c>
      <c r="D8204" s="174" t="s">
        <v>7003</v>
      </c>
      <c r="E8204" s="166" t="s">
        <v>7003</v>
      </c>
      <c r="F8204" t="s">
        <v>6946</v>
      </c>
    </row>
    <row r="8205" spans="1:6">
      <c r="A8205" s="174">
        <f t="shared" si="120"/>
        <v>8204</v>
      </c>
      <c r="B8205" s="163">
        <v>45980</v>
      </c>
      <c r="C8205" s="194">
        <v>0.67015046296296299</v>
      </c>
      <c r="D8205" s="174" t="s">
        <v>7003</v>
      </c>
      <c r="E8205" s="166" t="s">
        <v>7003</v>
      </c>
      <c r="F8205" t="s">
        <v>6946</v>
      </c>
    </row>
    <row r="8206" spans="1:6">
      <c r="A8206" s="174">
        <f t="shared" si="120"/>
        <v>8205</v>
      </c>
      <c r="B8206" s="163">
        <v>45980</v>
      </c>
      <c r="C8206" s="194">
        <v>0.66932870370370379</v>
      </c>
      <c r="D8206" s="174" t="s">
        <v>7003</v>
      </c>
      <c r="E8206" s="166" t="s">
        <v>7003</v>
      </c>
      <c r="F8206" t="s">
        <v>6946</v>
      </c>
    </row>
    <row r="8207" spans="1:6">
      <c r="A8207" s="174">
        <f t="shared" si="120"/>
        <v>8206</v>
      </c>
      <c r="B8207" s="163">
        <v>45972</v>
      </c>
      <c r="C8207" s="194">
        <v>0.58357638888888885</v>
      </c>
      <c r="D8207" s="174">
        <v>10</v>
      </c>
      <c r="E8207" s="166" t="s">
        <v>6607</v>
      </c>
      <c r="F8207" t="s">
        <v>6946</v>
      </c>
    </row>
    <row r="8208" spans="1:6">
      <c r="A8208" s="174">
        <f t="shared" si="120"/>
        <v>8207</v>
      </c>
      <c r="B8208" s="163">
        <v>45980</v>
      </c>
      <c r="C8208" s="194">
        <v>0.68690972222222213</v>
      </c>
      <c r="D8208" s="174" t="s">
        <v>7003</v>
      </c>
      <c r="E8208" s="166" t="s">
        <v>7003</v>
      </c>
      <c r="F8208" t="s">
        <v>6946</v>
      </c>
    </row>
    <row r="8209" spans="1:6">
      <c r="A8209" s="174">
        <f t="shared" si="120"/>
        <v>8208</v>
      </c>
      <c r="B8209" s="163">
        <v>45980</v>
      </c>
      <c r="C8209" s="194">
        <v>0.67122685185185194</v>
      </c>
      <c r="D8209" s="174" t="s">
        <v>7003</v>
      </c>
      <c r="E8209" s="166" t="s">
        <v>7003</v>
      </c>
      <c r="F8209" t="s">
        <v>6946</v>
      </c>
    </row>
    <row r="8210" spans="1:6">
      <c r="A8210" s="174">
        <f t="shared" si="120"/>
        <v>8209</v>
      </c>
      <c r="B8210" s="163">
        <v>45972</v>
      </c>
      <c r="C8210" s="194">
        <v>0.58307870370370374</v>
      </c>
      <c r="D8210" s="174">
        <v>10</v>
      </c>
      <c r="E8210" s="166" t="s">
        <v>448</v>
      </c>
      <c r="F8210" t="s">
        <v>6946</v>
      </c>
    </row>
    <row r="8211" spans="1:6">
      <c r="A8211" s="174">
        <f t="shared" si="120"/>
        <v>8210</v>
      </c>
      <c r="B8211" s="163">
        <v>45980</v>
      </c>
      <c r="C8211" s="194">
        <v>0.66214120370370366</v>
      </c>
      <c r="D8211" s="174" t="s">
        <v>7003</v>
      </c>
      <c r="E8211" s="166" t="s">
        <v>7003</v>
      </c>
      <c r="F8211" t="s">
        <v>6946</v>
      </c>
    </row>
    <row r="8212" spans="1:6">
      <c r="A8212" s="174">
        <f t="shared" si="120"/>
        <v>8211</v>
      </c>
      <c r="B8212" s="163">
        <v>45980</v>
      </c>
      <c r="C8212" s="194">
        <v>0.66300925925925924</v>
      </c>
      <c r="D8212" s="174" t="s">
        <v>7003</v>
      </c>
      <c r="E8212" s="166" t="s">
        <v>7003</v>
      </c>
      <c r="F8212" t="s">
        <v>6946</v>
      </c>
    </row>
    <row r="8213" spans="1:6">
      <c r="A8213" s="174">
        <f t="shared" si="120"/>
        <v>8212</v>
      </c>
      <c r="B8213" s="163">
        <v>45972</v>
      </c>
      <c r="C8213" s="194">
        <v>0.58924768518518522</v>
      </c>
      <c r="D8213" s="174">
        <v>10</v>
      </c>
      <c r="E8213" s="166" t="s">
        <v>6606</v>
      </c>
      <c r="F8213" t="s">
        <v>6946</v>
      </c>
    </row>
    <row r="8214" spans="1:6">
      <c r="A8214" s="174">
        <f t="shared" si="120"/>
        <v>8213</v>
      </c>
      <c r="B8214" s="163">
        <v>45972</v>
      </c>
      <c r="C8214" s="194">
        <v>0.58629629629629632</v>
      </c>
      <c r="D8214" s="174">
        <v>10</v>
      </c>
      <c r="E8214" s="166" t="s">
        <v>6605</v>
      </c>
      <c r="F8214" t="s">
        <v>6946</v>
      </c>
    </row>
    <row r="8215" spans="1:6">
      <c r="A8215" s="174">
        <f t="shared" si="120"/>
        <v>8214</v>
      </c>
      <c r="B8215" s="163">
        <v>45980</v>
      </c>
      <c r="C8215" s="194">
        <v>0.63935185185185184</v>
      </c>
      <c r="D8215" s="174" t="s">
        <v>7003</v>
      </c>
      <c r="E8215" s="166" t="s">
        <v>7003</v>
      </c>
      <c r="F8215" t="s">
        <v>6946</v>
      </c>
    </row>
    <row r="8216" spans="1:6">
      <c r="A8216" s="174">
        <f t="shared" si="120"/>
        <v>8215</v>
      </c>
      <c r="B8216" s="163">
        <v>45980</v>
      </c>
      <c r="C8216" s="194">
        <v>0.64435185185185184</v>
      </c>
      <c r="D8216" s="174" t="s">
        <v>7003</v>
      </c>
      <c r="E8216" s="166" t="s">
        <v>7003</v>
      </c>
      <c r="F8216" t="s">
        <v>6946</v>
      </c>
    </row>
    <row r="8217" spans="1:6">
      <c r="A8217" s="174">
        <f t="shared" si="120"/>
        <v>8216</v>
      </c>
      <c r="B8217" s="163">
        <v>45972</v>
      </c>
      <c r="C8217" s="194">
        <v>0.56525462962962958</v>
      </c>
      <c r="D8217" s="174">
        <v>10</v>
      </c>
      <c r="E8217" s="166" t="s">
        <v>6604</v>
      </c>
      <c r="F8217" t="s">
        <v>6946</v>
      </c>
    </row>
    <row r="8218" spans="1:6">
      <c r="A8218" s="174">
        <f t="shared" si="120"/>
        <v>8217</v>
      </c>
      <c r="B8218" s="163">
        <v>45980</v>
      </c>
      <c r="C8218" s="194">
        <v>0.62771990740740746</v>
      </c>
      <c r="D8218" s="174" t="s">
        <v>7003</v>
      </c>
      <c r="E8218" s="166" t="s">
        <v>7003</v>
      </c>
      <c r="F8218" t="s">
        <v>6946</v>
      </c>
    </row>
    <row r="8219" spans="1:6">
      <c r="A8219" s="174">
        <f t="shared" si="120"/>
        <v>8218</v>
      </c>
      <c r="B8219" s="163">
        <v>45980</v>
      </c>
      <c r="C8219" s="194">
        <v>0.71952546296296294</v>
      </c>
      <c r="D8219" s="174" t="s">
        <v>7003</v>
      </c>
      <c r="E8219" s="166" t="s">
        <v>7003</v>
      </c>
      <c r="F8219" t="s">
        <v>6946</v>
      </c>
    </row>
    <row r="8220" spans="1:6">
      <c r="A8220" s="174">
        <f t="shared" si="120"/>
        <v>8219</v>
      </c>
      <c r="B8220" s="163">
        <v>45980</v>
      </c>
      <c r="C8220" s="194">
        <v>0.61803240740740739</v>
      </c>
      <c r="D8220" s="174" t="s">
        <v>7003</v>
      </c>
      <c r="E8220" s="166" t="s">
        <v>7003</v>
      </c>
      <c r="F8220" t="s">
        <v>6946</v>
      </c>
    </row>
    <row r="8221" spans="1:6">
      <c r="A8221" s="174">
        <f t="shared" si="120"/>
        <v>8220</v>
      </c>
      <c r="B8221" s="163">
        <v>45980</v>
      </c>
      <c r="C8221" s="194">
        <v>0.6436574074074074</v>
      </c>
      <c r="D8221" s="174" t="s">
        <v>7003</v>
      </c>
      <c r="E8221" s="166" t="s">
        <v>7003</v>
      </c>
      <c r="F8221" t="s">
        <v>6946</v>
      </c>
    </row>
    <row r="8222" spans="1:6">
      <c r="A8222" s="174">
        <f t="shared" si="120"/>
        <v>8221</v>
      </c>
      <c r="B8222" s="163">
        <v>45980</v>
      </c>
      <c r="C8222" s="194">
        <v>0.61527777777777781</v>
      </c>
      <c r="D8222" s="174" t="s">
        <v>7003</v>
      </c>
      <c r="E8222" s="166" t="s">
        <v>7003</v>
      </c>
      <c r="F8222" t="s">
        <v>6946</v>
      </c>
    </row>
    <row r="8223" spans="1:6">
      <c r="A8223" s="174">
        <f t="shared" si="120"/>
        <v>8222</v>
      </c>
      <c r="B8223" s="163">
        <v>45980</v>
      </c>
      <c r="C8223" s="194">
        <v>0.61526620370370366</v>
      </c>
      <c r="D8223" s="174" t="s">
        <v>7003</v>
      </c>
      <c r="E8223" s="166" t="s">
        <v>7003</v>
      </c>
      <c r="F8223" t="s">
        <v>6946</v>
      </c>
    </row>
    <row r="8224" spans="1:6">
      <c r="A8224" s="174">
        <f t="shared" si="120"/>
        <v>8223</v>
      </c>
      <c r="B8224" s="163">
        <v>45980</v>
      </c>
      <c r="C8224" s="194">
        <v>0.61261574074074077</v>
      </c>
      <c r="D8224" s="174" t="s">
        <v>7003</v>
      </c>
      <c r="E8224" s="166" t="s">
        <v>7003</v>
      </c>
      <c r="F8224" t="s">
        <v>6946</v>
      </c>
    </row>
    <row r="8225" spans="1:6">
      <c r="A8225" s="174">
        <f t="shared" ref="A8225:A8288" si="121">ROW()-1</f>
        <v>8224</v>
      </c>
      <c r="B8225" s="163">
        <v>45980</v>
      </c>
      <c r="C8225" s="194">
        <v>0.58777777777777784</v>
      </c>
      <c r="D8225" s="174" t="s">
        <v>7003</v>
      </c>
      <c r="E8225" s="166" t="s">
        <v>7003</v>
      </c>
      <c r="F8225" t="s">
        <v>6946</v>
      </c>
    </row>
    <row r="8226" spans="1:6">
      <c r="A8226" s="174">
        <f t="shared" si="121"/>
        <v>8225</v>
      </c>
      <c r="B8226" s="163">
        <v>45980</v>
      </c>
      <c r="C8226" s="194">
        <v>0.58737268518518515</v>
      </c>
      <c r="D8226" s="174" t="s">
        <v>7003</v>
      </c>
      <c r="E8226" s="166" t="s">
        <v>7003</v>
      </c>
      <c r="F8226" t="s">
        <v>6946</v>
      </c>
    </row>
    <row r="8227" spans="1:6">
      <c r="A8227" s="174">
        <f t="shared" si="121"/>
        <v>8226</v>
      </c>
      <c r="B8227" s="163">
        <v>45980</v>
      </c>
      <c r="C8227" s="194">
        <v>0.59655092592592596</v>
      </c>
      <c r="D8227" s="174" t="s">
        <v>7003</v>
      </c>
      <c r="E8227" s="166" t="s">
        <v>7003</v>
      </c>
      <c r="F8227" t="s">
        <v>6946</v>
      </c>
    </row>
    <row r="8228" spans="1:6">
      <c r="A8228" s="174">
        <f t="shared" si="121"/>
        <v>8227</v>
      </c>
      <c r="B8228" s="163">
        <v>45980</v>
      </c>
      <c r="C8228" s="194">
        <v>0.58660879629629636</v>
      </c>
      <c r="D8228" s="174" t="s">
        <v>7003</v>
      </c>
      <c r="E8228" s="166" t="s">
        <v>7003</v>
      </c>
      <c r="F8228" t="s">
        <v>6946</v>
      </c>
    </row>
    <row r="8229" spans="1:6">
      <c r="A8229" s="174">
        <f t="shared" si="121"/>
        <v>8228</v>
      </c>
      <c r="B8229" s="163">
        <v>45980</v>
      </c>
      <c r="C8229" s="194">
        <v>0.58412037037037035</v>
      </c>
      <c r="D8229" s="174" t="s">
        <v>7003</v>
      </c>
      <c r="E8229" s="166" t="s">
        <v>7003</v>
      </c>
      <c r="F8229" t="s">
        <v>6946</v>
      </c>
    </row>
    <row r="8230" spans="1:6">
      <c r="A8230" s="174">
        <f t="shared" si="121"/>
        <v>8229</v>
      </c>
      <c r="B8230" s="163">
        <v>45980</v>
      </c>
      <c r="C8230" s="194">
        <v>0.5742708333333334</v>
      </c>
      <c r="D8230" s="174" t="s">
        <v>7003</v>
      </c>
      <c r="E8230" s="166" t="s">
        <v>7003</v>
      </c>
      <c r="F8230" t="s">
        <v>6946</v>
      </c>
    </row>
    <row r="8231" spans="1:6">
      <c r="A8231" s="174">
        <f t="shared" si="121"/>
        <v>8230</v>
      </c>
      <c r="B8231" s="163">
        <v>45980</v>
      </c>
      <c r="C8231" s="194">
        <v>0.56858796296296299</v>
      </c>
      <c r="D8231" s="174" t="s">
        <v>7003</v>
      </c>
      <c r="E8231" s="166" t="s">
        <v>7003</v>
      </c>
      <c r="F8231" t="s">
        <v>6946</v>
      </c>
    </row>
    <row r="8232" spans="1:6">
      <c r="A8232" s="174">
        <f t="shared" si="121"/>
        <v>8231</v>
      </c>
      <c r="B8232" s="163">
        <v>45980</v>
      </c>
      <c r="C8232" s="194">
        <v>0.5681018518518518</v>
      </c>
      <c r="D8232" s="174" t="s">
        <v>7003</v>
      </c>
      <c r="E8232" s="166" t="s">
        <v>7003</v>
      </c>
      <c r="F8232" t="s">
        <v>6946</v>
      </c>
    </row>
    <row r="8233" spans="1:6">
      <c r="A8233" s="174">
        <f t="shared" si="121"/>
        <v>8232</v>
      </c>
      <c r="B8233" s="163">
        <v>45980</v>
      </c>
      <c r="C8233" s="194">
        <v>0.56153935185185189</v>
      </c>
      <c r="D8233" s="174" t="s">
        <v>7003</v>
      </c>
      <c r="E8233" s="166" t="s">
        <v>7003</v>
      </c>
      <c r="F8233" t="s">
        <v>6946</v>
      </c>
    </row>
    <row r="8234" spans="1:6">
      <c r="A8234" s="174">
        <f t="shared" si="121"/>
        <v>8233</v>
      </c>
      <c r="B8234" s="163">
        <v>45980</v>
      </c>
      <c r="C8234" s="194">
        <v>0.56162037037037038</v>
      </c>
      <c r="D8234" s="174" t="s">
        <v>7003</v>
      </c>
      <c r="E8234" s="166" t="s">
        <v>7003</v>
      </c>
      <c r="F8234" t="s">
        <v>6946</v>
      </c>
    </row>
    <row r="8235" spans="1:6">
      <c r="A8235" s="174">
        <f t="shared" si="121"/>
        <v>8234</v>
      </c>
      <c r="B8235" s="163">
        <v>45980</v>
      </c>
      <c r="C8235" s="194">
        <v>0.55803240740740734</v>
      </c>
      <c r="D8235" s="174" t="s">
        <v>7003</v>
      </c>
      <c r="E8235" s="166" t="s">
        <v>7003</v>
      </c>
      <c r="F8235" t="s">
        <v>6946</v>
      </c>
    </row>
    <row r="8236" spans="1:6">
      <c r="A8236" s="174">
        <f t="shared" si="121"/>
        <v>8235</v>
      </c>
      <c r="B8236" s="163">
        <v>45980</v>
      </c>
      <c r="C8236" s="194">
        <v>0.55576388888888884</v>
      </c>
      <c r="D8236" s="174" t="s">
        <v>7003</v>
      </c>
      <c r="E8236" s="166" t="s">
        <v>7003</v>
      </c>
      <c r="F8236" t="s">
        <v>6946</v>
      </c>
    </row>
    <row r="8237" spans="1:6">
      <c r="A8237" s="174">
        <f t="shared" si="121"/>
        <v>8236</v>
      </c>
      <c r="B8237" s="163">
        <v>45980</v>
      </c>
      <c r="C8237" s="194">
        <v>0.55582175925925925</v>
      </c>
      <c r="D8237" s="174" t="s">
        <v>7003</v>
      </c>
      <c r="E8237" s="166" t="s">
        <v>7003</v>
      </c>
      <c r="F8237" t="s">
        <v>6946</v>
      </c>
    </row>
    <row r="8238" spans="1:6">
      <c r="A8238" s="174">
        <f t="shared" si="121"/>
        <v>8237</v>
      </c>
      <c r="B8238" s="163">
        <v>45972</v>
      </c>
      <c r="C8238" s="194">
        <v>0.52287037037037043</v>
      </c>
      <c r="D8238" s="174">
        <v>10</v>
      </c>
      <c r="E8238" s="166" t="s">
        <v>6603</v>
      </c>
      <c r="F8238" t="s">
        <v>6946</v>
      </c>
    </row>
    <row r="8239" spans="1:6">
      <c r="A8239" s="174">
        <f t="shared" si="121"/>
        <v>8238</v>
      </c>
      <c r="B8239" s="163">
        <v>45980</v>
      </c>
      <c r="C8239" s="194">
        <v>0.55221064814814813</v>
      </c>
      <c r="D8239" s="174" t="s">
        <v>7003</v>
      </c>
      <c r="E8239" s="166" t="s">
        <v>7003</v>
      </c>
      <c r="F8239" t="s">
        <v>6946</v>
      </c>
    </row>
    <row r="8240" spans="1:6">
      <c r="A8240" s="174">
        <f t="shared" si="121"/>
        <v>8239</v>
      </c>
      <c r="B8240" s="163">
        <v>45972</v>
      </c>
      <c r="C8240" s="194">
        <v>0.52299768518518519</v>
      </c>
      <c r="D8240" s="174">
        <v>10</v>
      </c>
      <c r="E8240" s="166" t="s">
        <v>6602</v>
      </c>
      <c r="F8240" t="s">
        <v>6946</v>
      </c>
    </row>
    <row r="8241" spans="1:6">
      <c r="A8241" s="174">
        <f t="shared" si="121"/>
        <v>8240</v>
      </c>
      <c r="B8241" s="163">
        <v>45980</v>
      </c>
      <c r="C8241" s="194">
        <v>0.53584490740740742</v>
      </c>
      <c r="D8241" s="174" t="s">
        <v>7003</v>
      </c>
      <c r="E8241" s="166" t="s">
        <v>7003</v>
      </c>
      <c r="F8241" t="s">
        <v>6946</v>
      </c>
    </row>
    <row r="8242" spans="1:6">
      <c r="A8242" s="174">
        <f t="shared" si="121"/>
        <v>8241</v>
      </c>
      <c r="B8242" s="163">
        <v>45980</v>
      </c>
      <c r="C8242" s="194">
        <v>0.5412731481481482</v>
      </c>
      <c r="D8242" s="174" t="s">
        <v>7003</v>
      </c>
      <c r="E8242" s="166" t="s">
        <v>7003</v>
      </c>
      <c r="F8242" t="s">
        <v>6946</v>
      </c>
    </row>
    <row r="8243" spans="1:6">
      <c r="A8243" s="174">
        <f t="shared" si="121"/>
        <v>8242</v>
      </c>
      <c r="B8243" s="163">
        <v>45980</v>
      </c>
      <c r="C8243" s="194">
        <v>0.51468749999999996</v>
      </c>
      <c r="D8243" s="174" t="s">
        <v>7003</v>
      </c>
      <c r="E8243" s="166" t="s">
        <v>7003</v>
      </c>
      <c r="F8243" t="s">
        <v>6946</v>
      </c>
    </row>
    <row r="8244" spans="1:6">
      <c r="A8244" s="174">
        <f t="shared" si="121"/>
        <v>8243</v>
      </c>
      <c r="B8244" s="163">
        <v>45972</v>
      </c>
      <c r="C8244" s="194">
        <v>0.4773958333333333</v>
      </c>
      <c r="D8244" s="174">
        <v>10</v>
      </c>
      <c r="E8244" s="166" t="s">
        <v>6601</v>
      </c>
      <c r="F8244" t="s">
        <v>6946</v>
      </c>
    </row>
    <row r="8245" spans="1:6">
      <c r="A8245" s="174">
        <f t="shared" si="121"/>
        <v>8244</v>
      </c>
      <c r="B8245" s="163">
        <v>45980</v>
      </c>
      <c r="C8245" s="194">
        <v>0.5057638888888889</v>
      </c>
      <c r="D8245" s="174" t="s">
        <v>7003</v>
      </c>
      <c r="E8245" s="166" t="s">
        <v>7003</v>
      </c>
      <c r="F8245" t="s">
        <v>6946</v>
      </c>
    </row>
    <row r="8246" spans="1:6">
      <c r="A8246" s="174">
        <f t="shared" si="121"/>
        <v>8245</v>
      </c>
      <c r="B8246" s="163">
        <v>45972</v>
      </c>
      <c r="C8246" s="194">
        <v>0.46229166666666671</v>
      </c>
      <c r="D8246" s="174">
        <v>10</v>
      </c>
      <c r="E8246" s="166" t="s">
        <v>3335</v>
      </c>
      <c r="F8246" t="s">
        <v>6946</v>
      </c>
    </row>
    <row r="8247" spans="1:6">
      <c r="A8247" s="174">
        <f t="shared" si="121"/>
        <v>8246</v>
      </c>
      <c r="B8247" s="163">
        <v>45980</v>
      </c>
      <c r="C8247" s="194">
        <v>0.49935185185185182</v>
      </c>
      <c r="D8247" s="174" t="s">
        <v>7003</v>
      </c>
      <c r="E8247" s="166" t="s">
        <v>7003</v>
      </c>
      <c r="F8247" t="s">
        <v>6946</v>
      </c>
    </row>
    <row r="8248" spans="1:6">
      <c r="A8248" s="174">
        <f t="shared" si="121"/>
        <v>8247</v>
      </c>
      <c r="B8248" s="163">
        <v>45980</v>
      </c>
      <c r="C8248" s="194">
        <v>0.50178240740740743</v>
      </c>
      <c r="D8248" s="174" t="s">
        <v>7003</v>
      </c>
      <c r="E8248" s="166" t="s">
        <v>7003</v>
      </c>
      <c r="F8248" t="s">
        <v>6946</v>
      </c>
    </row>
    <row r="8249" spans="1:6">
      <c r="A8249" s="174">
        <f t="shared" si="121"/>
        <v>8248</v>
      </c>
      <c r="B8249" s="163">
        <v>45980</v>
      </c>
      <c r="C8249" s="194">
        <v>0.49266203703703698</v>
      </c>
      <c r="D8249" s="174" t="s">
        <v>7003</v>
      </c>
      <c r="E8249" s="166" t="s">
        <v>7003</v>
      </c>
      <c r="F8249" t="s">
        <v>6946</v>
      </c>
    </row>
    <row r="8250" spans="1:6">
      <c r="A8250" s="174">
        <f t="shared" si="121"/>
        <v>8249</v>
      </c>
      <c r="B8250" s="163">
        <v>45980</v>
      </c>
      <c r="C8250" s="194">
        <v>0.51663194444444438</v>
      </c>
      <c r="D8250" s="174" t="s">
        <v>7003</v>
      </c>
      <c r="E8250" s="166" t="s">
        <v>7003</v>
      </c>
      <c r="F8250" t="s">
        <v>6946</v>
      </c>
    </row>
    <row r="8251" spans="1:6">
      <c r="A8251" s="174">
        <f t="shared" si="121"/>
        <v>8250</v>
      </c>
      <c r="B8251" s="163">
        <v>45980</v>
      </c>
      <c r="C8251" s="194">
        <v>0.49424768518518519</v>
      </c>
      <c r="D8251" s="174" t="s">
        <v>7003</v>
      </c>
      <c r="E8251" s="166" t="s">
        <v>7003</v>
      </c>
      <c r="F8251" t="s">
        <v>6946</v>
      </c>
    </row>
    <row r="8252" spans="1:6">
      <c r="A8252" s="174">
        <f t="shared" si="121"/>
        <v>8251</v>
      </c>
      <c r="B8252" s="163">
        <v>45980</v>
      </c>
      <c r="C8252" s="194">
        <v>0.4977314814814815</v>
      </c>
      <c r="D8252" s="174" t="s">
        <v>7003</v>
      </c>
      <c r="E8252" s="166" t="s">
        <v>7003</v>
      </c>
      <c r="F8252" t="s">
        <v>6946</v>
      </c>
    </row>
    <row r="8253" spans="1:6">
      <c r="A8253" s="174">
        <f t="shared" si="121"/>
        <v>8252</v>
      </c>
      <c r="B8253" s="163">
        <v>45980</v>
      </c>
      <c r="C8253" s="194">
        <v>0.48893518518518514</v>
      </c>
      <c r="D8253" s="174" t="s">
        <v>7003</v>
      </c>
      <c r="E8253" s="166" t="s">
        <v>7003</v>
      </c>
      <c r="F8253" t="s">
        <v>6946</v>
      </c>
    </row>
    <row r="8254" spans="1:6" ht="27">
      <c r="A8254" s="174">
        <f t="shared" si="121"/>
        <v>8253</v>
      </c>
      <c r="B8254" s="163">
        <v>45972</v>
      </c>
      <c r="C8254" s="194">
        <v>0.45375000000000004</v>
      </c>
      <c r="D8254" s="174">
        <v>10</v>
      </c>
      <c r="E8254" s="166" t="s">
        <v>6934</v>
      </c>
      <c r="F8254" t="s">
        <v>6946</v>
      </c>
    </row>
    <row r="8255" spans="1:6">
      <c r="A8255" s="174">
        <f t="shared" si="121"/>
        <v>8254</v>
      </c>
      <c r="B8255" s="163">
        <v>45972</v>
      </c>
      <c r="C8255" s="194">
        <v>0.44688657407407412</v>
      </c>
      <c r="D8255" s="174">
        <v>10</v>
      </c>
      <c r="E8255" s="166" t="s">
        <v>448</v>
      </c>
      <c r="F8255" t="s">
        <v>6946</v>
      </c>
    </row>
    <row r="8256" spans="1:6">
      <c r="A8256" s="174">
        <f t="shared" si="121"/>
        <v>8255</v>
      </c>
      <c r="B8256" s="163">
        <v>45980</v>
      </c>
      <c r="C8256" s="194">
        <v>0.47973379629629626</v>
      </c>
      <c r="D8256" s="174" t="s">
        <v>7003</v>
      </c>
      <c r="E8256" s="166" t="s">
        <v>7003</v>
      </c>
      <c r="F8256" t="s">
        <v>6946</v>
      </c>
    </row>
    <row r="8257" spans="1:6">
      <c r="A8257" s="174">
        <f t="shared" si="121"/>
        <v>8256</v>
      </c>
      <c r="B8257" s="163">
        <v>45980</v>
      </c>
      <c r="C8257" s="194">
        <v>0.67733796296296289</v>
      </c>
      <c r="D8257" s="174" t="s">
        <v>7003</v>
      </c>
      <c r="E8257" s="166" t="s">
        <v>7003</v>
      </c>
      <c r="F8257" t="s">
        <v>6946</v>
      </c>
    </row>
    <row r="8258" spans="1:6">
      <c r="A8258" s="174">
        <f t="shared" si="121"/>
        <v>8257</v>
      </c>
      <c r="B8258" s="163">
        <v>45980</v>
      </c>
      <c r="C8258" s="194">
        <v>0.80423611111111104</v>
      </c>
      <c r="D8258" s="174" t="s">
        <v>7003</v>
      </c>
      <c r="E8258" s="166" t="s">
        <v>7003</v>
      </c>
      <c r="F8258" t="s">
        <v>6946</v>
      </c>
    </row>
    <row r="8259" spans="1:6">
      <c r="A8259" s="174">
        <f t="shared" si="121"/>
        <v>8258</v>
      </c>
      <c r="B8259" s="163">
        <v>45972</v>
      </c>
      <c r="C8259" s="194">
        <v>0.44623842592592594</v>
      </c>
      <c r="D8259" s="174">
        <v>10</v>
      </c>
      <c r="E8259" s="166" t="s">
        <v>1579</v>
      </c>
      <c r="F8259" t="s">
        <v>6946</v>
      </c>
    </row>
    <row r="8260" spans="1:6">
      <c r="A8260" s="174">
        <f t="shared" si="121"/>
        <v>8259</v>
      </c>
      <c r="B8260" s="163">
        <v>45972</v>
      </c>
      <c r="C8260" s="194">
        <v>0.4299074074074074</v>
      </c>
      <c r="D8260" s="174">
        <v>10</v>
      </c>
      <c r="E8260" s="166" t="s">
        <v>6600</v>
      </c>
      <c r="F8260" t="s">
        <v>6946</v>
      </c>
    </row>
    <row r="8261" spans="1:6">
      <c r="A8261" s="174">
        <f t="shared" si="121"/>
        <v>8260</v>
      </c>
      <c r="B8261" s="163">
        <v>45980</v>
      </c>
      <c r="C8261" s="194">
        <v>0.48053240740740738</v>
      </c>
      <c r="D8261" s="174" t="s">
        <v>7003</v>
      </c>
      <c r="E8261" s="166" t="s">
        <v>7003</v>
      </c>
      <c r="F8261" t="s">
        <v>6946</v>
      </c>
    </row>
    <row r="8262" spans="1:6">
      <c r="A8262" s="174">
        <f t="shared" si="121"/>
        <v>8261</v>
      </c>
      <c r="B8262" s="163">
        <v>45980</v>
      </c>
      <c r="C8262" s="194">
        <v>0.45980324074074069</v>
      </c>
      <c r="D8262" s="174" t="s">
        <v>7003</v>
      </c>
      <c r="E8262" s="166" t="s">
        <v>7003</v>
      </c>
      <c r="F8262" t="s">
        <v>6946</v>
      </c>
    </row>
    <row r="8263" spans="1:6">
      <c r="A8263" s="174">
        <f t="shared" si="121"/>
        <v>8262</v>
      </c>
      <c r="B8263" s="163">
        <v>45980</v>
      </c>
      <c r="C8263" s="194">
        <v>0.44717592592592598</v>
      </c>
      <c r="D8263" s="174" t="s">
        <v>7003</v>
      </c>
      <c r="E8263" s="166" t="s">
        <v>7003</v>
      </c>
      <c r="F8263" t="s">
        <v>6946</v>
      </c>
    </row>
    <row r="8264" spans="1:6">
      <c r="A8264" s="174">
        <f t="shared" si="121"/>
        <v>8263</v>
      </c>
      <c r="B8264" s="163">
        <v>45972</v>
      </c>
      <c r="C8264" s="194">
        <v>0.42261574074074071</v>
      </c>
      <c r="D8264" s="174">
        <v>10</v>
      </c>
      <c r="E8264" s="166" t="s">
        <v>6599</v>
      </c>
      <c r="F8264" t="s">
        <v>6946</v>
      </c>
    </row>
    <row r="8265" spans="1:6">
      <c r="A8265" s="174">
        <f t="shared" si="121"/>
        <v>8264</v>
      </c>
      <c r="B8265" s="163">
        <v>45980</v>
      </c>
      <c r="C8265" s="194">
        <v>0.45990740740740743</v>
      </c>
      <c r="D8265" s="174" t="s">
        <v>7003</v>
      </c>
      <c r="E8265" s="166" t="s">
        <v>7003</v>
      </c>
      <c r="F8265" t="s">
        <v>6946</v>
      </c>
    </row>
    <row r="8266" spans="1:6">
      <c r="A8266" s="174">
        <f t="shared" si="121"/>
        <v>8265</v>
      </c>
      <c r="B8266" s="163">
        <v>45972</v>
      </c>
      <c r="C8266" s="194">
        <v>0.41903935185185182</v>
      </c>
      <c r="D8266" s="174">
        <v>10</v>
      </c>
      <c r="E8266" s="166" t="s">
        <v>6598</v>
      </c>
      <c r="F8266" t="s">
        <v>6946</v>
      </c>
    </row>
    <row r="8267" spans="1:6">
      <c r="A8267" s="174">
        <f t="shared" si="121"/>
        <v>8266</v>
      </c>
      <c r="B8267" s="163">
        <v>45980</v>
      </c>
      <c r="C8267" s="194">
        <v>0.43593750000000003</v>
      </c>
      <c r="D8267" s="174" t="s">
        <v>7003</v>
      </c>
      <c r="E8267" s="166" t="s">
        <v>7003</v>
      </c>
      <c r="F8267" t="s">
        <v>6946</v>
      </c>
    </row>
    <row r="8268" spans="1:6">
      <c r="A8268" s="174">
        <f t="shared" si="121"/>
        <v>8267</v>
      </c>
      <c r="B8268" s="163">
        <v>45980</v>
      </c>
      <c r="C8268" s="194">
        <v>0.44027777777777777</v>
      </c>
      <c r="D8268" s="174" t="s">
        <v>7003</v>
      </c>
      <c r="E8268" s="166" t="s">
        <v>7003</v>
      </c>
      <c r="F8268" t="s">
        <v>6946</v>
      </c>
    </row>
    <row r="8269" spans="1:6">
      <c r="A8269" s="174">
        <f t="shared" si="121"/>
        <v>8268</v>
      </c>
      <c r="B8269" s="163">
        <v>45972</v>
      </c>
      <c r="C8269" s="194">
        <v>0.4057986111111111</v>
      </c>
      <c r="D8269" s="174">
        <v>10</v>
      </c>
      <c r="E8269" s="166" t="s">
        <v>6597</v>
      </c>
      <c r="F8269" t="s">
        <v>6946</v>
      </c>
    </row>
    <row r="8270" spans="1:6">
      <c r="A8270" s="174">
        <f t="shared" si="121"/>
        <v>8269</v>
      </c>
      <c r="B8270" s="163">
        <v>45972</v>
      </c>
      <c r="C8270" s="194">
        <v>0.43252314814814818</v>
      </c>
      <c r="D8270" s="174">
        <v>10</v>
      </c>
      <c r="E8270" s="166" t="s">
        <v>6596</v>
      </c>
      <c r="F8270" t="s">
        <v>6946</v>
      </c>
    </row>
    <row r="8271" spans="1:6">
      <c r="A8271" s="174">
        <f t="shared" si="121"/>
        <v>8270</v>
      </c>
      <c r="B8271" s="163">
        <v>45980</v>
      </c>
      <c r="C8271" s="194">
        <v>0.42868055555555556</v>
      </c>
      <c r="D8271" s="193" t="s">
        <v>7003</v>
      </c>
      <c r="E8271" s="166" t="s">
        <v>7003</v>
      </c>
      <c r="F8271" t="s">
        <v>6946</v>
      </c>
    </row>
    <row r="8272" spans="1:6">
      <c r="A8272" s="174">
        <f t="shared" si="121"/>
        <v>8271</v>
      </c>
      <c r="B8272" s="163">
        <v>45980</v>
      </c>
      <c r="C8272" s="194">
        <v>0.84608796296296296</v>
      </c>
      <c r="D8272" s="193" t="s">
        <v>7003</v>
      </c>
      <c r="E8272" s="166" t="s">
        <v>7003</v>
      </c>
      <c r="F8272" t="s">
        <v>6946</v>
      </c>
    </row>
    <row r="8273" spans="1:6">
      <c r="A8273" s="174">
        <f t="shared" si="121"/>
        <v>8272</v>
      </c>
      <c r="B8273" s="163">
        <v>45980</v>
      </c>
      <c r="C8273" s="194">
        <v>0.3966898148148148</v>
      </c>
      <c r="D8273" s="193" t="s">
        <v>7003</v>
      </c>
      <c r="E8273" s="166" t="s">
        <v>7003</v>
      </c>
      <c r="F8273" t="s">
        <v>6946</v>
      </c>
    </row>
    <row r="8274" spans="1:6">
      <c r="A8274" s="174">
        <f t="shared" si="121"/>
        <v>8273</v>
      </c>
      <c r="B8274" s="163">
        <v>45973</v>
      </c>
      <c r="C8274" s="194">
        <v>0.90337962962962959</v>
      </c>
      <c r="D8274" s="174">
        <v>10</v>
      </c>
      <c r="E8274" s="166" t="s">
        <v>6656</v>
      </c>
      <c r="F8274" t="s">
        <v>6946</v>
      </c>
    </row>
    <row r="8275" spans="1:6">
      <c r="A8275" s="174">
        <f t="shared" si="121"/>
        <v>8274</v>
      </c>
      <c r="B8275" s="163">
        <v>45980</v>
      </c>
      <c r="C8275" s="194">
        <v>0.38681712962962966</v>
      </c>
      <c r="D8275" s="174" t="s">
        <v>7003</v>
      </c>
      <c r="E8275" s="166" t="s">
        <v>7003</v>
      </c>
      <c r="F8275" t="s">
        <v>6946</v>
      </c>
    </row>
    <row r="8276" spans="1:6">
      <c r="A8276" s="174">
        <f t="shared" si="121"/>
        <v>8275</v>
      </c>
      <c r="B8276" s="163">
        <v>45980</v>
      </c>
      <c r="C8276" s="194">
        <v>0.38968749999999996</v>
      </c>
      <c r="D8276" s="174" t="s">
        <v>7003</v>
      </c>
      <c r="E8276" s="166" t="s">
        <v>7003</v>
      </c>
      <c r="F8276" t="s">
        <v>6946</v>
      </c>
    </row>
    <row r="8277" spans="1:6">
      <c r="A8277" s="174">
        <f t="shared" si="121"/>
        <v>8276</v>
      </c>
      <c r="B8277" s="163">
        <v>45980</v>
      </c>
      <c r="C8277" s="194">
        <v>0.38909722222222221</v>
      </c>
      <c r="D8277" s="174" t="s">
        <v>7003</v>
      </c>
      <c r="E8277" s="166" t="s">
        <v>7003</v>
      </c>
      <c r="F8277" t="s">
        <v>6946</v>
      </c>
    </row>
    <row r="8278" spans="1:6">
      <c r="A8278" s="174">
        <f t="shared" si="121"/>
        <v>8277</v>
      </c>
      <c r="B8278" s="163">
        <v>45979</v>
      </c>
      <c r="C8278" s="194">
        <v>0.90770833333333334</v>
      </c>
      <c r="D8278" s="174" t="s">
        <v>7003</v>
      </c>
      <c r="E8278" s="166" t="s">
        <v>7003</v>
      </c>
      <c r="F8278" t="s">
        <v>6946</v>
      </c>
    </row>
    <row r="8279" spans="1:6">
      <c r="A8279" s="174">
        <f t="shared" si="121"/>
        <v>8278</v>
      </c>
      <c r="B8279" s="163">
        <v>45979</v>
      </c>
      <c r="C8279" s="194">
        <v>0.90079861111111104</v>
      </c>
      <c r="D8279" s="174" t="s">
        <v>7003</v>
      </c>
      <c r="E8279" s="166" t="s">
        <v>7003</v>
      </c>
      <c r="F8279" t="s">
        <v>6946</v>
      </c>
    </row>
    <row r="8280" spans="1:6">
      <c r="A8280" s="174">
        <f t="shared" si="121"/>
        <v>8279</v>
      </c>
      <c r="B8280" s="163">
        <v>45979</v>
      </c>
      <c r="C8280" s="194">
        <v>0.89599537037037036</v>
      </c>
      <c r="D8280" s="174" t="s">
        <v>7003</v>
      </c>
      <c r="E8280" s="166" t="s">
        <v>7003</v>
      </c>
      <c r="F8280" t="s">
        <v>6946</v>
      </c>
    </row>
    <row r="8281" spans="1:6">
      <c r="A8281" s="174">
        <f t="shared" si="121"/>
        <v>8280</v>
      </c>
      <c r="B8281" s="163">
        <v>45979</v>
      </c>
      <c r="C8281" s="194">
        <v>0.89103009259259258</v>
      </c>
      <c r="D8281" s="174" t="s">
        <v>7003</v>
      </c>
      <c r="E8281" s="166" t="s">
        <v>7003</v>
      </c>
      <c r="F8281" t="s">
        <v>6946</v>
      </c>
    </row>
    <row r="8282" spans="1:6">
      <c r="A8282" s="174">
        <f t="shared" si="121"/>
        <v>8281</v>
      </c>
      <c r="B8282" s="163">
        <v>45979</v>
      </c>
      <c r="C8282" s="194">
        <v>0.86693287037037037</v>
      </c>
      <c r="D8282" s="174" t="s">
        <v>7003</v>
      </c>
      <c r="E8282" s="166" t="s">
        <v>7003</v>
      </c>
      <c r="F8282" t="s">
        <v>6946</v>
      </c>
    </row>
    <row r="8283" spans="1:6">
      <c r="A8283" s="174">
        <f t="shared" si="121"/>
        <v>8282</v>
      </c>
      <c r="B8283" s="163">
        <v>45979</v>
      </c>
      <c r="C8283" s="194">
        <v>0.85994212962962957</v>
      </c>
      <c r="D8283" s="174" t="s">
        <v>7003</v>
      </c>
      <c r="E8283" s="166" t="s">
        <v>7003</v>
      </c>
      <c r="F8283" t="s">
        <v>6946</v>
      </c>
    </row>
    <row r="8284" spans="1:6">
      <c r="A8284" s="174">
        <f t="shared" si="121"/>
        <v>8283</v>
      </c>
      <c r="B8284" s="163">
        <v>45979</v>
      </c>
      <c r="C8284" s="194">
        <v>0.85953703703703699</v>
      </c>
      <c r="D8284" s="174" t="s">
        <v>7003</v>
      </c>
      <c r="E8284" s="166" t="s">
        <v>7003</v>
      </c>
      <c r="F8284" t="s">
        <v>6946</v>
      </c>
    </row>
    <row r="8285" spans="1:6">
      <c r="A8285" s="174">
        <f t="shared" si="121"/>
        <v>8284</v>
      </c>
      <c r="B8285" s="163">
        <v>45979</v>
      </c>
      <c r="C8285" s="194">
        <v>0.85318287037037033</v>
      </c>
      <c r="D8285" s="174" t="s">
        <v>7003</v>
      </c>
      <c r="E8285" s="166" t="s">
        <v>7003</v>
      </c>
      <c r="F8285" t="s">
        <v>6946</v>
      </c>
    </row>
    <row r="8286" spans="1:6">
      <c r="A8286" s="174">
        <f t="shared" si="121"/>
        <v>8285</v>
      </c>
      <c r="B8286" s="163">
        <v>45979</v>
      </c>
      <c r="C8286" s="194">
        <v>0.83539351851851851</v>
      </c>
      <c r="D8286" s="174" t="s">
        <v>7003</v>
      </c>
      <c r="E8286" s="166" t="s">
        <v>7003</v>
      </c>
      <c r="F8286" t="s">
        <v>6946</v>
      </c>
    </row>
    <row r="8287" spans="1:6">
      <c r="A8287" s="174">
        <f t="shared" si="121"/>
        <v>8286</v>
      </c>
      <c r="B8287" s="163">
        <v>45979</v>
      </c>
      <c r="C8287" s="194">
        <v>0.83302083333333332</v>
      </c>
      <c r="D8287" s="174" t="s">
        <v>7003</v>
      </c>
      <c r="E8287" s="166" t="s">
        <v>7003</v>
      </c>
      <c r="F8287" t="s">
        <v>6946</v>
      </c>
    </row>
    <row r="8288" spans="1:6">
      <c r="A8288" s="174">
        <f t="shared" si="121"/>
        <v>8287</v>
      </c>
      <c r="B8288" s="163">
        <v>45973</v>
      </c>
      <c r="C8288" s="194">
        <v>0.90366898148148145</v>
      </c>
      <c r="D8288" s="174">
        <v>10</v>
      </c>
      <c r="E8288" s="166" t="s">
        <v>6655</v>
      </c>
      <c r="F8288" t="s">
        <v>6946</v>
      </c>
    </row>
    <row r="8289" spans="1:6">
      <c r="A8289" s="174">
        <f t="shared" ref="A8289:A8352" si="122">ROW()-1</f>
        <v>8288</v>
      </c>
      <c r="B8289" s="163">
        <v>45979</v>
      </c>
      <c r="C8289" s="194">
        <v>0.8165972222222222</v>
      </c>
      <c r="D8289" s="174" t="s">
        <v>7003</v>
      </c>
      <c r="E8289" s="166" t="s">
        <v>7003</v>
      </c>
      <c r="F8289" t="s">
        <v>6946</v>
      </c>
    </row>
    <row r="8290" spans="1:6">
      <c r="A8290" s="174">
        <f t="shared" si="122"/>
        <v>8289</v>
      </c>
      <c r="B8290" s="163">
        <v>45979</v>
      </c>
      <c r="C8290" s="194">
        <v>0.80461805555555566</v>
      </c>
      <c r="D8290" s="174" t="s">
        <v>7003</v>
      </c>
      <c r="E8290" s="166" t="s">
        <v>7003</v>
      </c>
      <c r="F8290" t="s">
        <v>6946</v>
      </c>
    </row>
    <row r="8291" spans="1:6">
      <c r="A8291" s="174">
        <f t="shared" si="122"/>
        <v>8290</v>
      </c>
      <c r="B8291" s="163">
        <v>45979</v>
      </c>
      <c r="C8291" s="194">
        <v>0.7915740740740741</v>
      </c>
      <c r="D8291" s="174" t="s">
        <v>7003</v>
      </c>
      <c r="E8291" s="166" t="s">
        <v>7003</v>
      </c>
      <c r="F8291" t="s">
        <v>6946</v>
      </c>
    </row>
    <row r="8292" spans="1:6">
      <c r="A8292" s="174">
        <f t="shared" si="122"/>
        <v>8291</v>
      </c>
      <c r="B8292" s="163">
        <v>45979</v>
      </c>
      <c r="C8292" s="194">
        <v>0.78535879629629635</v>
      </c>
      <c r="D8292" s="174" t="s">
        <v>7003</v>
      </c>
      <c r="E8292" s="166" t="s">
        <v>7003</v>
      </c>
      <c r="F8292" t="s">
        <v>6946</v>
      </c>
    </row>
    <row r="8293" spans="1:6">
      <c r="A8293" s="174">
        <f t="shared" si="122"/>
        <v>8292</v>
      </c>
      <c r="B8293" s="163">
        <v>45973</v>
      </c>
      <c r="C8293" s="194">
        <v>0.90329861111111109</v>
      </c>
      <c r="D8293" s="174">
        <v>10</v>
      </c>
      <c r="E8293" s="166" t="s">
        <v>6654</v>
      </c>
      <c r="F8293" t="s">
        <v>6946</v>
      </c>
    </row>
    <row r="8294" spans="1:6">
      <c r="A8294" s="174">
        <f t="shared" si="122"/>
        <v>8293</v>
      </c>
      <c r="B8294" s="163">
        <v>45973</v>
      </c>
      <c r="C8294" s="194">
        <v>0.75466435185185177</v>
      </c>
      <c r="D8294" s="174">
        <v>10</v>
      </c>
      <c r="E8294" s="166" t="s">
        <v>6653</v>
      </c>
      <c r="F8294" t="s">
        <v>6946</v>
      </c>
    </row>
    <row r="8295" spans="1:6">
      <c r="A8295" s="174">
        <f t="shared" si="122"/>
        <v>8294</v>
      </c>
      <c r="B8295" s="163">
        <v>45979</v>
      </c>
      <c r="C8295" s="194">
        <v>0.7569907407407408</v>
      </c>
      <c r="D8295" s="174" t="s">
        <v>7003</v>
      </c>
      <c r="E8295" s="166" t="s">
        <v>7003</v>
      </c>
      <c r="F8295" t="s">
        <v>6946</v>
      </c>
    </row>
    <row r="8296" spans="1:6">
      <c r="A8296" s="174">
        <f t="shared" si="122"/>
        <v>8295</v>
      </c>
      <c r="B8296" s="163">
        <v>45979</v>
      </c>
      <c r="C8296" s="194">
        <v>0.74873842592592599</v>
      </c>
      <c r="D8296" s="174" t="s">
        <v>7003</v>
      </c>
      <c r="E8296" s="166" t="s">
        <v>7003</v>
      </c>
      <c r="F8296" t="s">
        <v>6946</v>
      </c>
    </row>
    <row r="8297" spans="1:6">
      <c r="A8297" s="174">
        <f t="shared" si="122"/>
        <v>8296</v>
      </c>
      <c r="B8297" s="163">
        <v>45979</v>
      </c>
      <c r="C8297" s="194">
        <v>0.75947916666666659</v>
      </c>
      <c r="D8297" s="174" t="s">
        <v>7003</v>
      </c>
      <c r="E8297" s="166" t="s">
        <v>7003</v>
      </c>
      <c r="F8297" t="s">
        <v>6946</v>
      </c>
    </row>
    <row r="8298" spans="1:6">
      <c r="A8298" s="174">
        <f t="shared" si="122"/>
        <v>8297</v>
      </c>
      <c r="B8298" s="163">
        <v>45979</v>
      </c>
      <c r="C8298" s="194">
        <v>0.74715277777777767</v>
      </c>
      <c r="D8298" s="174" t="s">
        <v>7003</v>
      </c>
      <c r="E8298" s="166" t="s">
        <v>7003</v>
      </c>
      <c r="F8298" t="s">
        <v>6946</v>
      </c>
    </row>
    <row r="8299" spans="1:6">
      <c r="A8299" s="174">
        <f t="shared" si="122"/>
        <v>8298</v>
      </c>
      <c r="B8299" s="163">
        <v>45979</v>
      </c>
      <c r="C8299" s="194">
        <v>0.75309027777777782</v>
      </c>
      <c r="D8299" s="174" t="s">
        <v>7003</v>
      </c>
      <c r="E8299" s="166" t="s">
        <v>7003</v>
      </c>
      <c r="F8299" t="s">
        <v>6946</v>
      </c>
    </row>
    <row r="8300" spans="1:6">
      <c r="A8300" s="174">
        <f t="shared" si="122"/>
        <v>8299</v>
      </c>
      <c r="B8300" s="163">
        <v>45973</v>
      </c>
      <c r="C8300" s="194">
        <v>0.7206597222222223</v>
      </c>
      <c r="D8300" s="174">
        <v>10</v>
      </c>
      <c r="E8300" s="166" t="s">
        <v>6652</v>
      </c>
      <c r="F8300" t="s">
        <v>6946</v>
      </c>
    </row>
    <row r="8301" spans="1:6">
      <c r="A8301" s="174">
        <f t="shared" si="122"/>
        <v>8300</v>
      </c>
      <c r="B8301" s="163">
        <v>45979</v>
      </c>
      <c r="C8301" s="194">
        <v>0.74645833333333333</v>
      </c>
      <c r="D8301" s="174" t="s">
        <v>7003</v>
      </c>
      <c r="E8301" s="166" t="s">
        <v>7003</v>
      </c>
      <c r="F8301" t="s">
        <v>6946</v>
      </c>
    </row>
    <row r="8302" spans="1:6">
      <c r="A8302" s="174">
        <f t="shared" si="122"/>
        <v>8301</v>
      </c>
      <c r="B8302" s="163">
        <v>45979</v>
      </c>
      <c r="C8302" s="194">
        <v>0.73857638888888888</v>
      </c>
      <c r="D8302" s="174" t="s">
        <v>7003</v>
      </c>
      <c r="E8302" s="166" t="s">
        <v>7003</v>
      </c>
      <c r="F8302" t="s">
        <v>6946</v>
      </c>
    </row>
    <row r="8303" spans="1:6">
      <c r="A8303" s="174">
        <f t="shared" si="122"/>
        <v>8302</v>
      </c>
      <c r="B8303" s="163">
        <v>45973</v>
      </c>
      <c r="C8303" s="194">
        <v>0.70366898148148149</v>
      </c>
      <c r="D8303" s="174">
        <v>10</v>
      </c>
      <c r="E8303" s="166" t="s">
        <v>6651</v>
      </c>
      <c r="F8303" t="s">
        <v>6946</v>
      </c>
    </row>
    <row r="8304" spans="1:6">
      <c r="A8304" s="174">
        <f t="shared" si="122"/>
        <v>8303</v>
      </c>
      <c r="B8304" s="163">
        <v>45979</v>
      </c>
      <c r="C8304" s="194">
        <v>0.7418865740740741</v>
      </c>
      <c r="D8304" s="174" t="s">
        <v>7003</v>
      </c>
      <c r="E8304" s="166" t="s">
        <v>7003</v>
      </c>
      <c r="F8304" t="s">
        <v>6946</v>
      </c>
    </row>
    <row r="8305" spans="1:6">
      <c r="A8305" s="174">
        <f t="shared" si="122"/>
        <v>8304</v>
      </c>
      <c r="B8305" s="163">
        <v>45979</v>
      </c>
      <c r="C8305" s="194">
        <v>0.73646990740740748</v>
      </c>
      <c r="D8305" s="174" t="s">
        <v>7003</v>
      </c>
      <c r="E8305" s="166" t="s">
        <v>7003</v>
      </c>
      <c r="F8305" t="s">
        <v>6946</v>
      </c>
    </row>
    <row r="8306" spans="1:6">
      <c r="A8306" s="174">
        <f t="shared" si="122"/>
        <v>8305</v>
      </c>
      <c r="B8306" s="163">
        <v>45979</v>
      </c>
      <c r="C8306" s="194">
        <v>0.73593750000000002</v>
      </c>
      <c r="D8306" s="174" t="s">
        <v>7003</v>
      </c>
      <c r="E8306" s="166" t="s">
        <v>7003</v>
      </c>
      <c r="F8306" t="s">
        <v>6946</v>
      </c>
    </row>
    <row r="8307" spans="1:6">
      <c r="A8307" s="174">
        <f t="shared" si="122"/>
        <v>8306</v>
      </c>
      <c r="B8307" s="163">
        <v>45979</v>
      </c>
      <c r="C8307" s="194">
        <v>0.7336111111111111</v>
      </c>
      <c r="D8307" s="174" t="s">
        <v>7003</v>
      </c>
      <c r="E8307" s="166" t="s">
        <v>7003</v>
      </c>
      <c r="F8307" t="s">
        <v>6946</v>
      </c>
    </row>
    <row r="8308" spans="1:6">
      <c r="A8308" s="174">
        <f t="shared" si="122"/>
        <v>8307</v>
      </c>
      <c r="B8308" s="163">
        <v>45979</v>
      </c>
      <c r="C8308" s="194">
        <v>0.7305787037037037</v>
      </c>
      <c r="D8308" s="174" t="s">
        <v>7003</v>
      </c>
      <c r="E8308" s="166" t="s">
        <v>7003</v>
      </c>
      <c r="F8308" t="s">
        <v>6946</v>
      </c>
    </row>
    <row r="8309" spans="1:6">
      <c r="A8309" s="174">
        <f t="shared" si="122"/>
        <v>8308</v>
      </c>
      <c r="B8309" s="163">
        <v>45979</v>
      </c>
      <c r="C8309" s="194">
        <v>0.72060185185185188</v>
      </c>
      <c r="D8309" s="174" t="s">
        <v>7003</v>
      </c>
      <c r="E8309" s="166" t="s">
        <v>7003</v>
      </c>
      <c r="F8309" t="s">
        <v>6946</v>
      </c>
    </row>
    <row r="8310" spans="1:6">
      <c r="A8310" s="174">
        <f t="shared" si="122"/>
        <v>8309</v>
      </c>
      <c r="B8310" s="163">
        <v>45979</v>
      </c>
      <c r="C8310" s="194">
        <v>0.71353009259259259</v>
      </c>
      <c r="D8310" s="174" t="s">
        <v>7003</v>
      </c>
      <c r="E8310" s="166" t="s">
        <v>7003</v>
      </c>
      <c r="F8310" t="s">
        <v>6946</v>
      </c>
    </row>
    <row r="8311" spans="1:6">
      <c r="A8311" s="174">
        <f t="shared" si="122"/>
        <v>8310</v>
      </c>
      <c r="B8311" s="163">
        <v>45973</v>
      </c>
      <c r="C8311" s="194">
        <v>0.69745370370370363</v>
      </c>
      <c r="D8311" s="174">
        <v>10</v>
      </c>
      <c r="E8311" s="166" t="s">
        <v>6650</v>
      </c>
      <c r="F8311" t="s">
        <v>6946</v>
      </c>
    </row>
    <row r="8312" spans="1:6">
      <c r="A8312" s="174">
        <f t="shared" si="122"/>
        <v>8311</v>
      </c>
      <c r="B8312" s="163">
        <v>45979</v>
      </c>
      <c r="C8312" s="194">
        <v>0.74890046296296298</v>
      </c>
      <c r="D8312" s="174" t="s">
        <v>7003</v>
      </c>
      <c r="E8312" s="166" t="s">
        <v>7003</v>
      </c>
      <c r="F8312" t="s">
        <v>6946</v>
      </c>
    </row>
    <row r="8313" spans="1:6">
      <c r="A8313" s="174">
        <f t="shared" si="122"/>
        <v>8312</v>
      </c>
      <c r="B8313" s="163">
        <v>45979</v>
      </c>
      <c r="C8313" s="194">
        <v>0.71361111111111108</v>
      </c>
      <c r="D8313" s="174" t="s">
        <v>7003</v>
      </c>
      <c r="E8313" s="166" t="s">
        <v>7003</v>
      </c>
      <c r="F8313" t="s">
        <v>6946</v>
      </c>
    </row>
    <row r="8314" spans="1:6">
      <c r="A8314" s="174">
        <f t="shared" si="122"/>
        <v>8313</v>
      </c>
      <c r="B8314" s="163">
        <v>45979</v>
      </c>
      <c r="C8314" s="194">
        <v>0.72071759259259249</v>
      </c>
      <c r="D8314" s="174" t="s">
        <v>7003</v>
      </c>
      <c r="E8314" s="166" t="s">
        <v>7003</v>
      </c>
      <c r="F8314" t="s">
        <v>6946</v>
      </c>
    </row>
    <row r="8315" spans="1:6">
      <c r="A8315" s="174">
        <f t="shared" si="122"/>
        <v>8314</v>
      </c>
      <c r="B8315" s="163">
        <v>45973</v>
      </c>
      <c r="C8315" s="194">
        <v>0.69671296296296292</v>
      </c>
      <c r="D8315" s="174">
        <v>10</v>
      </c>
      <c r="E8315" s="166" t="s">
        <v>6649</v>
      </c>
      <c r="F8315" t="s">
        <v>6946</v>
      </c>
    </row>
    <row r="8316" spans="1:6">
      <c r="A8316" s="174">
        <f t="shared" si="122"/>
        <v>8315</v>
      </c>
      <c r="B8316" s="163">
        <v>45979</v>
      </c>
      <c r="C8316" s="194">
        <v>0.705011574074074</v>
      </c>
      <c r="D8316" s="174" t="s">
        <v>7003</v>
      </c>
      <c r="E8316" s="166" t="s">
        <v>7003</v>
      </c>
      <c r="F8316" t="s">
        <v>6946</v>
      </c>
    </row>
    <row r="8317" spans="1:6">
      <c r="A8317" s="174">
        <f t="shared" si="122"/>
        <v>8316</v>
      </c>
      <c r="B8317" s="163">
        <v>45979</v>
      </c>
      <c r="C8317" s="194">
        <v>0.6871990740740741</v>
      </c>
      <c r="D8317" s="174" t="s">
        <v>7003</v>
      </c>
      <c r="E8317" s="166" t="s">
        <v>7003</v>
      </c>
      <c r="F8317" t="s">
        <v>6946</v>
      </c>
    </row>
    <row r="8318" spans="1:6">
      <c r="A8318" s="174">
        <f t="shared" si="122"/>
        <v>8317</v>
      </c>
      <c r="B8318" s="163">
        <v>45979</v>
      </c>
      <c r="C8318" s="194">
        <v>0.69254629629629638</v>
      </c>
      <c r="D8318" s="174" t="s">
        <v>7003</v>
      </c>
      <c r="E8318" s="166" t="s">
        <v>7003</v>
      </c>
      <c r="F8318" t="s">
        <v>6946</v>
      </c>
    </row>
    <row r="8319" spans="1:6">
      <c r="A8319" s="174">
        <f t="shared" si="122"/>
        <v>8318</v>
      </c>
      <c r="B8319" s="163">
        <v>45979</v>
      </c>
      <c r="C8319" s="194">
        <v>0.69103009259259263</v>
      </c>
      <c r="D8319" s="174" t="s">
        <v>7003</v>
      </c>
      <c r="E8319" s="166" t="s">
        <v>7003</v>
      </c>
      <c r="F8319" t="s">
        <v>6946</v>
      </c>
    </row>
    <row r="8320" spans="1:6">
      <c r="A8320" s="174">
        <f t="shared" si="122"/>
        <v>8319</v>
      </c>
      <c r="B8320" s="163">
        <v>45979</v>
      </c>
      <c r="C8320" s="194">
        <v>0.67192129629629627</v>
      </c>
      <c r="D8320" s="174" t="s">
        <v>7003</v>
      </c>
      <c r="E8320" s="166" t="s">
        <v>7003</v>
      </c>
      <c r="F8320" t="s">
        <v>6946</v>
      </c>
    </row>
    <row r="8321" spans="1:6">
      <c r="A8321" s="174">
        <f t="shared" si="122"/>
        <v>8320</v>
      </c>
      <c r="B8321" s="163">
        <v>45973</v>
      </c>
      <c r="C8321" s="194">
        <v>0.70065972222222228</v>
      </c>
      <c r="D8321" s="174">
        <v>9</v>
      </c>
      <c r="E8321" s="166" t="s">
        <v>6648</v>
      </c>
      <c r="F8321" t="s">
        <v>6946</v>
      </c>
    </row>
    <row r="8322" spans="1:6">
      <c r="A8322" s="174">
        <f t="shared" si="122"/>
        <v>8321</v>
      </c>
      <c r="B8322" s="163">
        <v>45979</v>
      </c>
      <c r="C8322" s="194">
        <v>0.70869212962962969</v>
      </c>
      <c r="D8322" s="174" t="s">
        <v>7003</v>
      </c>
      <c r="E8322" s="166" t="s">
        <v>7003</v>
      </c>
      <c r="F8322" t="s">
        <v>6946</v>
      </c>
    </row>
    <row r="8323" spans="1:6">
      <c r="A8323" s="174">
        <f t="shared" si="122"/>
        <v>8322</v>
      </c>
      <c r="B8323" s="163">
        <v>45979</v>
      </c>
      <c r="C8323" s="194">
        <v>0.67214120370370367</v>
      </c>
      <c r="D8323" s="174" t="s">
        <v>7003</v>
      </c>
      <c r="E8323" s="166" t="s">
        <v>7003</v>
      </c>
      <c r="F8323" t="s">
        <v>6946</v>
      </c>
    </row>
    <row r="8324" spans="1:6">
      <c r="A8324" s="174">
        <f t="shared" si="122"/>
        <v>8323</v>
      </c>
      <c r="B8324" s="163">
        <v>45979</v>
      </c>
      <c r="C8324" s="194">
        <v>0.66659722222222217</v>
      </c>
      <c r="D8324" s="174" t="s">
        <v>7003</v>
      </c>
      <c r="E8324" s="166" t="s">
        <v>7003</v>
      </c>
      <c r="F8324" t="s">
        <v>6946</v>
      </c>
    </row>
    <row r="8325" spans="1:6">
      <c r="A8325" s="174">
        <f t="shared" si="122"/>
        <v>8324</v>
      </c>
      <c r="B8325" s="163">
        <v>45973</v>
      </c>
      <c r="C8325" s="194">
        <v>0.6884837962962963</v>
      </c>
      <c r="D8325" s="174">
        <v>10</v>
      </c>
      <c r="E8325" s="166" t="s">
        <v>6647</v>
      </c>
      <c r="F8325" t="s">
        <v>6946</v>
      </c>
    </row>
    <row r="8326" spans="1:6">
      <c r="A8326" s="174">
        <f t="shared" si="122"/>
        <v>8325</v>
      </c>
      <c r="B8326" s="163">
        <v>45979</v>
      </c>
      <c r="C8326" s="194">
        <v>0.66572916666666659</v>
      </c>
      <c r="D8326" s="193" t="s">
        <v>7003</v>
      </c>
      <c r="E8326" s="166" t="s">
        <v>7003</v>
      </c>
      <c r="F8326" t="s">
        <v>6946</v>
      </c>
    </row>
    <row r="8327" spans="1:6">
      <c r="A8327" s="174">
        <f t="shared" si="122"/>
        <v>8326</v>
      </c>
      <c r="B8327" s="163">
        <v>45979</v>
      </c>
      <c r="C8327" s="194">
        <v>0.66664351851851855</v>
      </c>
      <c r="D8327" s="193" t="s">
        <v>7003</v>
      </c>
      <c r="E8327" s="166" t="s">
        <v>7003</v>
      </c>
      <c r="F8327" t="s">
        <v>6946</v>
      </c>
    </row>
    <row r="8328" spans="1:6">
      <c r="A8328" s="174">
        <f t="shared" si="122"/>
        <v>8327</v>
      </c>
      <c r="B8328" s="163">
        <v>45979</v>
      </c>
      <c r="C8328" s="194">
        <v>0.66584490740740743</v>
      </c>
      <c r="D8328" s="193" t="s">
        <v>7003</v>
      </c>
      <c r="E8328" s="166" t="s">
        <v>7003</v>
      </c>
      <c r="F8328" t="s">
        <v>6946</v>
      </c>
    </row>
    <row r="8329" spans="1:6">
      <c r="A8329" s="174">
        <f t="shared" si="122"/>
        <v>8328</v>
      </c>
      <c r="B8329" s="163">
        <v>45973</v>
      </c>
      <c r="C8329" s="194">
        <v>0.70981481481481479</v>
      </c>
      <c r="D8329" s="174">
        <v>10</v>
      </c>
      <c r="E8329" s="166" t="s">
        <v>6646</v>
      </c>
      <c r="F8329" t="s">
        <v>6946</v>
      </c>
    </row>
    <row r="8330" spans="1:6">
      <c r="A8330" s="174">
        <f t="shared" si="122"/>
        <v>8329</v>
      </c>
      <c r="B8330" s="163">
        <v>45979</v>
      </c>
      <c r="C8330" s="194">
        <v>0.66686342592592596</v>
      </c>
      <c r="D8330" s="193" t="s">
        <v>7003</v>
      </c>
      <c r="E8330" s="166" t="s">
        <v>7003</v>
      </c>
      <c r="F8330" t="s">
        <v>6946</v>
      </c>
    </row>
    <row r="8331" spans="1:6">
      <c r="A8331" s="174">
        <f t="shared" si="122"/>
        <v>8330</v>
      </c>
      <c r="B8331" s="163">
        <v>45979</v>
      </c>
      <c r="C8331" s="194">
        <v>0.67113425925925929</v>
      </c>
      <c r="D8331" s="193" t="s">
        <v>7003</v>
      </c>
      <c r="E8331" s="166" t="s">
        <v>7003</v>
      </c>
      <c r="F8331" t="s">
        <v>6946</v>
      </c>
    </row>
    <row r="8332" spans="1:6">
      <c r="A8332" s="174">
        <f t="shared" si="122"/>
        <v>8331</v>
      </c>
      <c r="B8332" s="163">
        <v>45979</v>
      </c>
      <c r="C8332" s="194">
        <v>0.65623842592592596</v>
      </c>
      <c r="D8332" s="174" t="s">
        <v>7003</v>
      </c>
      <c r="E8332" s="166" t="s">
        <v>7003</v>
      </c>
      <c r="F8332" t="s">
        <v>6946</v>
      </c>
    </row>
    <row r="8333" spans="1:6">
      <c r="A8333" s="174">
        <f t="shared" si="122"/>
        <v>8332</v>
      </c>
      <c r="B8333" s="163">
        <v>45979</v>
      </c>
      <c r="C8333" s="194">
        <v>0.65997685185185184</v>
      </c>
      <c r="D8333" s="174" t="s">
        <v>7003</v>
      </c>
      <c r="E8333" s="166" t="s">
        <v>7003</v>
      </c>
      <c r="F8333" t="s">
        <v>6946</v>
      </c>
    </row>
    <row r="8334" spans="1:6">
      <c r="A8334" s="174">
        <f t="shared" si="122"/>
        <v>8333</v>
      </c>
      <c r="B8334" s="163">
        <v>45979</v>
      </c>
      <c r="C8334" s="194">
        <v>0.64614583333333331</v>
      </c>
      <c r="D8334" s="174" t="s">
        <v>7003</v>
      </c>
      <c r="E8334" s="166" t="s">
        <v>7003</v>
      </c>
      <c r="F8334" t="s">
        <v>6946</v>
      </c>
    </row>
    <row r="8335" spans="1:6">
      <c r="A8335" s="174">
        <f t="shared" si="122"/>
        <v>8334</v>
      </c>
      <c r="B8335" s="163">
        <v>45979</v>
      </c>
      <c r="C8335" s="194">
        <v>0.64722222222222225</v>
      </c>
      <c r="D8335" s="174" t="s">
        <v>7003</v>
      </c>
      <c r="E8335" s="166" t="s">
        <v>7003</v>
      </c>
      <c r="F8335" t="s">
        <v>6946</v>
      </c>
    </row>
    <row r="8336" spans="1:6">
      <c r="A8336" s="174">
        <f t="shared" si="122"/>
        <v>8335</v>
      </c>
      <c r="B8336" s="163">
        <v>45979</v>
      </c>
      <c r="C8336" s="194">
        <v>0.63967592592592593</v>
      </c>
      <c r="D8336" s="174" t="s">
        <v>7003</v>
      </c>
      <c r="E8336" s="166" t="s">
        <v>7003</v>
      </c>
      <c r="F8336" t="s">
        <v>6946</v>
      </c>
    </row>
    <row r="8337" spans="1:6">
      <c r="A8337" s="174">
        <f t="shared" si="122"/>
        <v>8336</v>
      </c>
      <c r="B8337" s="163">
        <v>45979</v>
      </c>
      <c r="C8337" s="194">
        <v>0.63836805555555554</v>
      </c>
      <c r="D8337" s="174" t="s">
        <v>7003</v>
      </c>
      <c r="E8337" s="166" t="s">
        <v>7003</v>
      </c>
      <c r="F8337" t="s">
        <v>6946</v>
      </c>
    </row>
    <row r="8338" spans="1:6">
      <c r="A8338" s="174">
        <f t="shared" si="122"/>
        <v>8337</v>
      </c>
      <c r="B8338" s="163">
        <v>45979</v>
      </c>
      <c r="C8338" s="194">
        <v>0.63093750000000004</v>
      </c>
      <c r="D8338" s="174" t="s">
        <v>7003</v>
      </c>
      <c r="E8338" s="166" t="s">
        <v>7003</v>
      </c>
      <c r="F8338" t="s">
        <v>6946</v>
      </c>
    </row>
    <row r="8339" spans="1:6">
      <c r="A8339" s="174">
        <f t="shared" si="122"/>
        <v>8338</v>
      </c>
      <c r="B8339" s="163">
        <v>45973</v>
      </c>
      <c r="C8339" s="194">
        <v>0.68410879629629628</v>
      </c>
      <c r="D8339" s="174">
        <v>10</v>
      </c>
      <c r="E8339" s="166" t="s">
        <v>6645</v>
      </c>
      <c r="F8339" t="s">
        <v>6946</v>
      </c>
    </row>
    <row r="8340" spans="1:6">
      <c r="A8340" s="174">
        <f t="shared" si="122"/>
        <v>8339</v>
      </c>
      <c r="B8340" s="163">
        <v>45979</v>
      </c>
      <c r="C8340" s="194">
        <v>0.62291666666666667</v>
      </c>
      <c r="D8340" s="174" t="s">
        <v>7003</v>
      </c>
      <c r="E8340" s="166" t="s">
        <v>7003</v>
      </c>
      <c r="F8340" t="s">
        <v>6946</v>
      </c>
    </row>
    <row r="8341" spans="1:6">
      <c r="A8341" s="174">
        <f t="shared" si="122"/>
        <v>8340</v>
      </c>
      <c r="B8341" s="163">
        <v>45979</v>
      </c>
      <c r="C8341" s="194">
        <v>0.64021990740740742</v>
      </c>
      <c r="D8341" s="174" t="s">
        <v>7003</v>
      </c>
      <c r="E8341" s="166" t="s">
        <v>7003</v>
      </c>
      <c r="F8341" t="s">
        <v>6946</v>
      </c>
    </row>
    <row r="8342" spans="1:6">
      <c r="A8342" s="174">
        <f t="shared" si="122"/>
        <v>8341</v>
      </c>
      <c r="B8342" s="163">
        <v>45979</v>
      </c>
      <c r="C8342" s="194">
        <v>0.61623842592592593</v>
      </c>
      <c r="D8342" s="174" t="s">
        <v>7003</v>
      </c>
      <c r="E8342" s="166" t="s">
        <v>7003</v>
      </c>
      <c r="F8342" t="s">
        <v>6946</v>
      </c>
    </row>
    <row r="8343" spans="1:6">
      <c r="A8343" s="174">
        <f t="shared" si="122"/>
        <v>8342</v>
      </c>
      <c r="B8343" s="163">
        <v>45979</v>
      </c>
      <c r="C8343" s="194">
        <v>0.61728009259259264</v>
      </c>
      <c r="D8343" s="174" t="s">
        <v>7003</v>
      </c>
      <c r="E8343" s="166" t="s">
        <v>7003</v>
      </c>
      <c r="F8343" t="s">
        <v>6946</v>
      </c>
    </row>
    <row r="8344" spans="1:6">
      <c r="A8344" s="174">
        <f t="shared" si="122"/>
        <v>8343</v>
      </c>
      <c r="B8344" s="163">
        <v>45973</v>
      </c>
      <c r="C8344" s="194">
        <v>0.67915509259259255</v>
      </c>
      <c r="D8344" s="174">
        <v>10</v>
      </c>
      <c r="E8344" s="166" t="s">
        <v>6644</v>
      </c>
      <c r="F8344" t="s">
        <v>6946</v>
      </c>
    </row>
    <row r="8345" spans="1:6">
      <c r="A8345" s="174">
        <f t="shared" si="122"/>
        <v>8344</v>
      </c>
      <c r="B8345" s="163">
        <v>45973</v>
      </c>
      <c r="C8345" s="194">
        <v>0.68059027777777781</v>
      </c>
      <c r="D8345" s="174">
        <v>10</v>
      </c>
      <c r="E8345" s="166" t="s">
        <v>6643</v>
      </c>
      <c r="F8345" t="s">
        <v>6946</v>
      </c>
    </row>
    <row r="8346" spans="1:6">
      <c r="A8346" s="174">
        <f t="shared" si="122"/>
        <v>8345</v>
      </c>
      <c r="B8346" s="163">
        <v>45979</v>
      </c>
      <c r="C8346" s="194">
        <v>0.61396990740740742</v>
      </c>
      <c r="D8346" s="174" t="s">
        <v>7003</v>
      </c>
      <c r="E8346" s="166" t="s">
        <v>7003</v>
      </c>
      <c r="F8346" t="s">
        <v>6946</v>
      </c>
    </row>
    <row r="8347" spans="1:6">
      <c r="A8347" s="174">
        <f t="shared" si="122"/>
        <v>8346</v>
      </c>
      <c r="B8347" s="163">
        <v>45979</v>
      </c>
      <c r="C8347" s="194">
        <v>0.60753472222222216</v>
      </c>
      <c r="D8347" s="174" t="s">
        <v>7003</v>
      </c>
      <c r="E8347" s="166" t="s">
        <v>7003</v>
      </c>
      <c r="F8347" t="s">
        <v>6946</v>
      </c>
    </row>
    <row r="8348" spans="1:6">
      <c r="A8348" s="174">
        <f t="shared" si="122"/>
        <v>8347</v>
      </c>
      <c r="B8348" s="163">
        <v>45979</v>
      </c>
      <c r="C8348" s="194">
        <v>0.58846064814814814</v>
      </c>
      <c r="D8348" s="174" t="s">
        <v>7003</v>
      </c>
      <c r="E8348" s="166" t="s">
        <v>7003</v>
      </c>
      <c r="F8348" t="s">
        <v>6946</v>
      </c>
    </row>
    <row r="8349" spans="1:6">
      <c r="A8349" s="174">
        <f t="shared" si="122"/>
        <v>8348</v>
      </c>
      <c r="B8349" s="163">
        <v>45979</v>
      </c>
      <c r="C8349" s="194">
        <v>0.59376157407407404</v>
      </c>
      <c r="D8349" s="174" t="s">
        <v>7003</v>
      </c>
      <c r="E8349" s="166" t="s">
        <v>7003</v>
      </c>
      <c r="F8349" t="s">
        <v>6946</v>
      </c>
    </row>
    <row r="8350" spans="1:6">
      <c r="A8350" s="174">
        <f t="shared" si="122"/>
        <v>8349</v>
      </c>
      <c r="B8350" s="163">
        <v>45979</v>
      </c>
      <c r="C8350" s="194">
        <v>0.59565972222222219</v>
      </c>
      <c r="D8350" s="174" t="s">
        <v>7003</v>
      </c>
      <c r="E8350" s="166" t="s">
        <v>7003</v>
      </c>
      <c r="F8350" t="s">
        <v>6946</v>
      </c>
    </row>
    <row r="8351" spans="1:6">
      <c r="A8351" s="174">
        <f t="shared" si="122"/>
        <v>8350</v>
      </c>
      <c r="B8351" s="163">
        <v>45979</v>
      </c>
      <c r="C8351" s="194">
        <v>0.58333333333333337</v>
      </c>
      <c r="D8351" s="174" t="s">
        <v>7003</v>
      </c>
      <c r="E8351" s="166" t="s">
        <v>7003</v>
      </c>
      <c r="F8351" t="s">
        <v>6946</v>
      </c>
    </row>
    <row r="8352" spans="1:6">
      <c r="A8352" s="174">
        <f t="shared" si="122"/>
        <v>8351</v>
      </c>
      <c r="B8352" s="163">
        <v>45979</v>
      </c>
      <c r="C8352" s="194">
        <v>0.58333333333333337</v>
      </c>
      <c r="D8352" s="174" t="s">
        <v>7003</v>
      </c>
      <c r="E8352" s="166" t="s">
        <v>7003</v>
      </c>
      <c r="F8352" t="s">
        <v>6946</v>
      </c>
    </row>
    <row r="8353" spans="1:6">
      <c r="A8353" s="174">
        <f t="shared" ref="A8353:A8416" si="123">ROW()-1</f>
        <v>8352</v>
      </c>
      <c r="B8353" s="163">
        <v>45979</v>
      </c>
      <c r="C8353" s="194">
        <v>0.63167824074074075</v>
      </c>
      <c r="D8353" s="174" t="s">
        <v>7003</v>
      </c>
      <c r="E8353" s="166" t="s">
        <v>7003</v>
      </c>
      <c r="F8353" t="s">
        <v>6946</v>
      </c>
    </row>
    <row r="8354" spans="1:6">
      <c r="A8354" s="174">
        <f t="shared" si="123"/>
        <v>8353</v>
      </c>
      <c r="B8354" s="163">
        <v>45979</v>
      </c>
      <c r="C8354" s="194">
        <v>0.58349537037037036</v>
      </c>
      <c r="D8354" s="174" t="s">
        <v>7003</v>
      </c>
      <c r="E8354" s="166" t="s">
        <v>7003</v>
      </c>
      <c r="F8354" t="s">
        <v>6946</v>
      </c>
    </row>
    <row r="8355" spans="1:6">
      <c r="A8355" s="174">
        <f t="shared" si="123"/>
        <v>8354</v>
      </c>
      <c r="B8355" s="163">
        <v>45973</v>
      </c>
      <c r="C8355" s="194">
        <v>0.68487268518518529</v>
      </c>
      <c r="D8355" s="174">
        <v>10</v>
      </c>
      <c r="E8355" s="166" t="s">
        <v>288</v>
      </c>
      <c r="F8355" t="s">
        <v>6946</v>
      </c>
    </row>
    <row r="8356" spans="1:6">
      <c r="A8356" s="174">
        <f t="shared" si="123"/>
        <v>8355</v>
      </c>
      <c r="B8356" s="163">
        <v>45979</v>
      </c>
      <c r="C8356" s="194">
        <v>0.57393518518518516</v>
      </c>
      <c r="D8356" s="174" t="s">
        <v>7003</v>
      </c>
      <c r="E8356" s="166" t="s">
        <v>7003</v>
      </c>
      <c r="F8356" t="s">
        <v>6946</v>
      </c>
    </row>
    <row r="8357" spans="1:6">
      <c r="A8357" s="174">
        <f t="shared" si="123"/>
        <v>8356</v>
      </c>
      <c r="B8357" s="163">
        <v>45979</v>
      </c>
      <c r="C8357" s="194">
        <v>0.5897916666666666</v>
      </c>
      <c r="D8357" s="174" t="s">
        <v>7003</v>
      </c>
      <c r="E8357" s="166" t="s">
        <v>7003</v>
      </c>
      <c r="F8357" t="s">
        <v>6946</v>
      </c>
    </row>
    <row r="8358" spans="1:6">
      <c r="A8358" s="174">
        <f t="shared" si="123"/>
        <v>8357</v>
      </c>
      <c r="B8358" s="163">
        <v>45979</v>
      </c>
      <c r="C8358" s="194">
        <v>0.58387731481481475</v>
      </c>
      <c r="D8358" s="174" t="s">
        <v>7003</v>
      </c>
      <c r="E8358" s="166" t="s">
        <v>7003</v>
      </c>
      <c r="F8358" t="s">
        <v>6946</v>
      </c>
    </row>
    <row r="8359" spans="1:6">
      <c r="A8359" s="174">
        <f t="shared" si="123"/>
        <v>8358</v>
      </c>
      <c r="B8359" s="163">
        <v>45979</v>
      </c>
      <c r="C8359" s="194">
        <v>0.57866898148148149</v>
      </c>
      <c r="D8359" s="174" t="s">
        <v>7003</v>
      </c>
      <c r="E8359" s="166" t="s">
        <v>7003</v>
      </c>
      <c r="F8359" t="s">
        <v>6946</v>
      </c>
    </row>
    <row r="8360" spans="1:6">
      <c r="A8360" s="174">
        <f t="shared" si="123"/>
        <v>8359</v>
      </c>
      <c r="B8360" s="163">
        <v>45979</v>
      </c>
      <c r="C8360" s="194">
        <v>0.58940972222222221</v>
      </c>
      <c r="D8360" s="174" t="s">
        <v>7003</v>
      </c>
      <c r="E8360" s="166" t="s">
        <v>7003</v>
      </c>
      <c r="F8360" t="s">
        <v>6946</v>
      </c>
    </row>
    <row r="8361" spans="1:6">
      <c r="A8361" s="174">
        <f t="shared" si="123"/>
        <v>8360</v>
      </c>
      <c r="B8361" s="163">
        <v>45979</v>
      </c>
      <c r="C8361" s="194">
        <v>0.57355324074074077</v>
      </c>
      <c r="D8361" s="174" t="s">
        <v>7003</v>
      </c>
      <c r="E8361" s="166" t="s">
        <v>7003</v>
      </c>
      <c r="F8361" t="s">
        <v>6946</v>
      </c>
    </row>
    <row r="8362" spans="1:6">
      <c r="A8362" s="174">
        <f t="shared" si="123"/>
        <v>8361</v>
      </c>
      <c r="B8362" s="163">
        <v>45979</v>
      </c>
      <c r="C8362" s="194">
        <v>0.55899305555555556</v>
      </c>
      <c r="D8362" s="174" t="s">
        <v>7003</v>
      </c>
      <c r="E8362" s="166" t="s">
        <v>7003</v>
      </c>
      <c r="F8362" t="s">
        <v>6946</v>
      </c>
    </row>
    <row r="8363" spans="1:6">
      <c r="A8363" s="174">
        <f t="shared" si="123"/>
        <v>8362</v>
      </c>
      <c r="B8363" s="163">
        <v>45979</v>
      </c>
      <c r="C8363" s="194">
        <v>0.57101851851851848</v>
      </c>
      <c r="D8363" s="174" t="s">
        <v>7003</v>
      </c>
      <c r="E8363" s="166" t="s">
        <v>7003</v>
      </c>
      <c r="F8363" t="s">
        <v>6946</v>
      </c>
    </row>
    <row r="8364" spans="1:6">
      <c r="A8364" s="174">
        <f t="shared" si="123"/>
        <v>8363</v>
      </c>
      <c r="B8364" s="163">
        <v>45973</v>
      </c>
      <c r="C8364" s="194">
        <v>0.68715277777777783</v>
      </c>
      <c r="D8364" s="174">
        <v>10</v>
      </c>
      <c r="E8364" s="166" t="s">
        <v>6929</v>
      </c>
      <c r="F8364" t="s">
        <v>6946</v>
      </c>
    </row>
    <row r="8365" spans="1:6">
      <c r="A8365" s="174">
        <f t="shared" si="123"/>
        <v>8364</v>
      </c>
      <c r="B8365" s="163">
        <v>45973</v>
      </c>
      <c r="C8365" s="194">
        <v>0.67038194444444443</v>
      </c>
      <c r="D8365" s="174">
        <v>10</v>
      </c>
      <c r="E8365" s="166" t="s">
        <v>6642</v>
      </c>
      <c r="F8365" t="s">
        <v>6946</v>
      </c>
    </row>
    <row r="8366" spans="1:6">
      <c r="A8366" s="174">
        <f t="shared" si="123"/>
        <v>8365</v>
      </c>
      <c r="B8366" s="163">
        <v>45979</v>
      </c>
      <c r="C8366" s="194">
        <v>0.51234953703703701</v>
      </c>
      <c r="D8366" s="174" t="s">
        <v>7003</v>
      </c>
      <c r="E8366" s="166" t="s">
        <v>7003</v>
      </c>
      <c r="F8366" t="s">
        <v>6946</v>
      </c>
    </row>
    <row r="8367" spans="1:6">
      <c r="A8367" s="174">
        <f t="shared" si="123"/>
        <v>8366</v>
      </c>
      <c r="B8367" s="163">
        <v>45979</v>
      </c>
      <c r="C8367" s="194">
        <v>0.50824074074074077</v>
      </c>
      <c r="D8367" s="174" t="s">
        <v>7003</v>
      </c>
      <c r="E8367" s="166" t="s">
        <v>7003</v>
      </c>
      <c r="F8367" t="s">
        <v>6946</v>
      </c>
    </row>
    <row r="8368" spans="1:6">
      <c r="A8368" s="174">
        <f t="shared" si="123"/>
        <v>8367</v>
      </c>
      <c r="B8368" s="163">
        <v>45979</v>
      </c>
      <c r="C8368" s="194">
        <v>0.50103009259259257</v>
      </c>
      <c r="D8368" s="174" t="s">
        <v>7003</v>
      </c>
      <c r="E8368" s="166" t="s">
        <v>7003</v>
      </c>
      <c r="F8368" t="s">
        <v>6946</v>
      </c>
    </row>
    <row r="8369" spans="1:6">
      <c r="A8369" s="174">
        <f t="shared" si="123"/>
        <v>8368</v>
      </c>
      <c r="B8369" s="163">
        <v>45979</v>
      </c>
      <c r="C8369" s="194">
        <v>0.48859953703703707</v>
      </c>
      <c r="D8369" s="174" t="s">
        <v>7003</v>
      </c>
      <c r="E8369" s="166" t="s">
        <v>7003</v>
      </c>
      <c r="F8369" t="s">
        <v>6946</v>
      </c>
    </row>
    <row r="8370" spans="1:6">
      <c r="A8370" s="174">
        <f t="shared" si="123"/>
        <v>8369</v>
      </c>
      <c r="B8370" s="163">
        <v>45973</v>
      </c>
      <c r="C8370" s="194">
        <v>0.6700462962962962</v>
      </c>
      <c r="D8370" s="174">
        <v>10</v>
      </c>
      <c r="E8370" s="166" t="s">
        <v>6641</v>
      </c>
      <c r="F8370" t="s">
        <v>6946</v>
      </c>
    </row>
    <row r="8371" spans="1:6">
      <c r="A8371" s="174">
        <f t="shared" si="123"/>
        <v>8370</v>
      </c>
      <c r="B8371" s="163">
        <v>45973</v>
      </c>
      <c r="C8371" s="194">
        <v>0.65319444444444441</v>
      </c>
      <c r="D8371" s="174">
        <v>10</v>
      </c>
      <c r="E8371" s="166" t="s">
        <v>6640</v>
      </c>
      <c r="F8371" t="s">
        <v>6946</v>
      </c>
    </row>
    <row r="8372" spans="1:6">
      <c r="A8372" s="174">
        <f t="shared" si="123"/>
        <v>8371</v>
      </c>
      <c r="B8372" s="163">
        <v>45979</v>
      </c>
      <c r="C8372" s="194">
        <v>0.45628472222222222</v>
      </c>
      <c r="D8372" s="174" t="s">
        <v>7003</v>
      </c>
      <c r="E8372" s="166" t="s">
        <v>7003</v>
      </c>
      <c r="F8372" t="s">
        <v>6946</v>
      </c>
    </row>
    <row r="8373" spans="1:6">
      <c r="A8373" s="174">
        <f t="shared" si="123"/>
        <v>8372</v>
      </c>
      <c r="B8373" s="163">
        <v>45979</v>
      </c>
      <c r="C8373" s="194">
        <v>0.46078703703703705</v>
      </c>
      <c r="D8373" s="174" t="s">
        <v>7003</v>
      </c>
      <c r="E8373" s="166" t="s">
        <v>7003</v>
      </c>
      <c r="F8373" t="s">
        <v>6946</v>
      </c>
    </row>
    <row r="8374" spans="1:6">
      <c r="A8374" s="174">
        <f t="shared" si="123"/>
        <v>8373</v>
      </c>
      <c r="B8374" s="163">
        <v>45979</v>
      </c>
      <c r="C8374" s="194">
        <v>0.45642361111111113</v>
      </c>
      <c r="D8374" s="174" t="s">
        <v>7003</v>
      </c>
      <c r="E8374" s="166" t="s">
        <v>7003</v>
      </c>
      <c r="F8374" t="s">
        <v>6946</v>
      </c>
    </row>
    <row r="8375" spans="1:6">
      <c r="A8375" s="174">
        <f t="shared" si="123"/>
        <v>8374</v>
      </c>
      <c r="B8375" s="163">
        <v>45973</v>
      </c>
      <c r="C8375" s="194">
        <v>0.64518518518518519</v>
      </c>
      <c r="D8375" s="174">
        <v>10</v>
      </c>
      <c r="E8375" s="166" t="s">
        <v>6930</v>
      </c>
      <c r="F8375" t="s">
        <v>6946</v>
      </c>
    </row>
    <row r="8376" spans="1:6">
      <c r="A8376" s="174">
        <f t="shared" si="123"/>
        <v>8375</v>
      </c>
      <c r="B8376" s="163">
        <v>45979</v>
      </c>
      <c r="C8376" s="194">
        <v>0.46001157407407406</v>
      </c>
      <c r="D8376" s="174" t="s">
        <v>7003</v>
      </c>
      <c r="E8376" s="166" t="s">
        <v>7003</v>
      </c>
      <c r="F8376" t="s">
        <v>6946</v>
      </c>
    </row>
    <row r="8377" spans="1:6">
      <c r="A8377" s="174">
        <f t="shared" si="123"/>
        <v>8376</v>
      </c>
      <c r="B8377" s="163">
        <v>45979</v>
      </c>
      <c r="C8377" s="194">
        <v>0.45344907407407403</v>
      </c>
      <c r="D8377" s="174" t="s">
        <v>7003</v>
      </c>
      <c r="E8377" s="166" t="s">
        <v>7003</v>
      </c>
      <c r="F8377" t="s">
        <v>6946</v>
      </c>
    </row>
    <row r="8378" spans="1:6">
      <c r="A8378" s="174">
        <f t="shared" si="123"/>
        <v>8377</v>
      </c>
      <c r="B8378" s="163">
        <v>45973</v>
      </c>
      <c r="C8378" s="194">
        <v>0.63098379629629631</v>
      </c>
      <c r="D8378" s="174">
        <v>10</v>
      </c>
      <c r="E8378" s="166" t="s">
        <v>6639</v>
      </c>
      <c r="F8378" t="s">
        <v>6946</v>
      </c>
    </row>
    <row r="8379" spans="1:6">
      <c r="A8379" s="174">
        <f t="shared" si="123"/>
        <v>8378</v>
      </c>
      <c r="B8379" s="163">
        <v>45979</v>
      </c>
      <c r="C8379" s="194">
        <v>0.45569444444444446</v>
      </c>
      <c r="D8379" s="174" t="s">
        <v>7003</v>
      </c>
      <c r="E8379" s="166" t="s">
        <v>7003</v>
      </c>
      <c r="F8379" t="s">
        <v>6946</v>
      </c>
    </row>
    <row r="8380" spans="1:6">
      <c r="A8380" s="174">
        <f t="shared" si="123"/>
        <v>8379</v>
      </c>
      <c r="B8380" s="163">
        <v>45979</v>
      </c>
      <c r="C8380" s="194">
        <v>0.77431712962962962</v>
      </c>
      <c r="D8380" s="174" t="s">
        <v>7003</v>
      </c>
      <c r="E8380" s="166" t="s">
        <v>7003</v>
      </c>
      <c r="F8380" t="s">
        <v>6946</v>
      </c>
    </row>
    <row r="8381" spans="1:6">
      <c r="A8381" s="174">
        <f t="shared" si="123"/>
        <v>8380</v>
      </c>
      <c r="B8381" s="163">
        <v>45973</v>
      </c>
      <c r="C8381" s="194">
        <v>0.62494212962962969</v>
      </c>
      <c r="D8381" s="174">
        <v>10</v>
      </c>
      <c r="E8381" s="166" t="s">
        <v>6638</v>
      </c>
      <c r="F8381" t="s">
        <v>6946</v>
      </c>
    </row>
    <row r="8382" spans="1:6">
      <c r="A8382" s="174">
        <f t="shared" si="123"/>
        <v>8381</v>
      </c>
      <c r="B8382" s="163">
        <v>45979</v>
      </c>
      <c r="C8382" s="194">
        <v>0.45685185185185184</v>
      </c>
      <c r="D8382" s="174" t="s">
        <v>7003</v>
      </c>
      <c r="E8382" s="166" t="s">
        <v>7003</v>
      </c>
      <c r="F8382" t="s">
        <v>6946</v>
      </c>
    </row>
    <row r="8383" spans="1:6">
      <c r="A8383" s="174">
        <f t="shared" si="123"/>
        <v>8382</v>
      </c>
      <c r="B8383" s="163">
        <v>45979</v>
      </c>
      <c r="C8383" s="194">
        <v>0.42976851851851849</v>
      </c>
      <c r="D8383" s="174" t="s">
        <v>7003</v>
      </c>
      <c r="E8383" s="166" t="s">
        <v>7003</v>
      </c>
      <c r="F8383" t="s">
        <v>6946</v>
      </c>
    </row>
    <row r="8384" spans="1:6">
      <c r="A8384" s="174">
        <f t="shared" si="123"/>
        <v>8383</v>
      </c>
      <c r="B8384" s="163">
        <v>45979</v>
      </c>
      <c r="C8384" s="194">
        <v>0.43333333333333335</v>
      </c>
      <c r="D8384" s="174" t="s">
        <v>7003</v>
      </c>
      <c r="E8384" s="166" t="s">
        <v>7003</v>
      </c>
      <c r="F8384" t="s">
        <v>6946</v>
      </c>
    </row>
    <row r="8385" spans="1:6">
      <c r="A8385" s="174">
        <f t="shared" si="123"/>
        <v>8384</v>
      </c>
      <c r="B8385" s="163">
        <v>45979</v>
      </c>
      <c r="C8385" s="194">
        <v>0.4334027777777778</v>
      </c>
      <c r="D8385" s="174" t="s">
        <v>7003</v>
      </c>
      <c r="E8385" s="166" t="s">
        <v>7003</v>
      </c>
      <c r="F8385" t="s">
        <v>6946</v>
      </c>
    </row>
    <row r="8386" spans="1:6">
      <c r="A8386" s="174">
        <f t="shared" si="123"/>
        <v>8385</v>
      </c>
      <c r="B8386" s="163">
        <v>45979</v>
      </c>
      <c r="C8386" s="194">
        <v>0.43821759259259263</v>
      </c>
      <c r="D8386" s="174" t="s">
        <v>7003</v>
      </c>
      <c r="E8386" s="166" t="s">
        <v>7003</v>
      </c>
      <c r="F8386" t="s">
        <v>6946</v>
      </c>
    </row>
    <row r="8387" spans="1:6">
      <c r="A8387" s="174">
        <f t="shared" si="123"/>
        <v>8386</v>
      </c>
      <c r="B8387" s="163">
        <v>45979</v>
      </c>
      <c r="C8387" s="194">
        <v>0.42987268518518523</v>
      </c>
      <c r="D8387" s="174" t="s">
        <v>7003</v>
      </c>
      <c r="E8387" s="166" t="s">
        <v>7003</v>
      </c>
      <c r="F8387" t="s">
        <v>6946</v>
      </c>
    </row>
    <row r="8388" spans="1:6">
      <c r="A8388" s="174">
        <f t="shared" si="123"/>
        <v>8387</v>
      </c>
      <c r="B8388" s="163">
        <v>45979</v>
      </c>
      <c r="C8388" s="194">
        <v>0.42895833333333333</v>
      </c>
      <c r="D8388" s="174" t="s">
        <v>7003</v>
      </c>
      <c r="E8388" s="166" t="s">
        <v>7003</v>
      </c>
      <c r="F8388" t="s">
        <v>6946</v>
      </c>
    </row>
    <row r="8389" spans="1:6">
      <c r="A8389" s="174">
        <f t="shared" si="123"/>
        <v>8388</v>
      </c>
      <c r="B8389" s="163">
        <v>45973</v>
      </c>
      <c r="C8389" s="194">
        <v>0.61935185185185182</v>
      </c>
      <c r="D8389" s="174">
        <v>10</v>
      </c>
      <c r="E8389" s="166" t="s">
        <v>6637</v>
      </c>
      <c r="F8389" t="s">
        <v>6946</v>
      </c>
    </row>
    <row r="8390" spans="1:6">
      <c r="A8390" s="174">
        <f t="shared" si="123"/>
        <v>8389</v>
      </c>
      <c r="B8390" s="163">
        <v>45979</v>
      </c>
      <c r="C8390" s="194">
        <v>0.41668981481481482</v>
      </c>
      <c r="D8390" s="174" t="s">
        <v>7003</v>
      </c>
      <c r="E8390" s="166" t="s">
        <v>7003</v>
      </c>
      <c r="F8390" t="s">
        <v>6946</v>
      </c>
    </row>
    <row r="8391" spans="1:6">
      <c r="A8391" s="174">
        <f t="shared" si="123"/>
        <v>8390</v>
      </c>
      <c r="B8391" s="163">
        <v>45979</v>
      </c>
      <c r="C8391" s="194">
        <v>0.42070601851851852</v>
      </c>
      <c r="D8391" s="174" t="s">
        <v>7003</v>
      </c>
      <c r="E8391" s="166" t="s">
        <v>7003</v>
      </c>
      <c r="F8391" t="s">
        <v>6946</v>
      </c>
    </row>
    <row r="8392" spans="1:6">
      <c r="A8392" s="174">
        <f t="shared" si="123"/>
        <v>8391</v>
      </c>
      <c r="B8392" s="163">
        <v>45979</v>
      </c>
      <c r="C8392" s="194">
        <v>0.40012731481481478</v>
      </c>
      <c r="D8392" s="193" t="s">
        <v>7003</v>
      </c>
      <c r="E8392" s="166" t="s">
        <v>7003</v>
      </c>
      <c r="F8392" t="s">
        <v>6946</v>
      </c>
    </row>
    <row r="8393" spans="1:6">
      <c r="A8393" s="174">
        <f t="shared" si="123"/>
        <v>8392</v>
      </c>
      <c r="B8393" s="163">
        <v>45979</v>
      </c>
      <c r="C8393" s="194">
        <v>0.39793981481481483</v>
      </c>
      <c r="D8393" s="193" t="s">
        <v>7003</v>
      </c>
      <c r="E8393" s="166" t="s">
        <v>7003</v>
      </c>
      <c r="F8393" t="s">
        <v>6946</v>
      </c>
    </row>
    <row r="8394" spans="1:6">
      <c r="A8394" s="174">
        <f t="shared" si="123"/>
        <v>8393</v>
      </c>
      <c r="B8394" s="163">
        <v>45979</v>
      </c>
      <c r="C8394" s="194">
        <v>0.39815972222222223</v>
      </c>
      <c r="D8394" s="193" t="s">
        <v>7003</v>
      </c>
      <c r="E8394" s="166" t="s">
        <v>7003</v>
      </c>
      <c r="F8394" t="s">
        <v>6946</v>
      </c>
    </row>
    <row r="8395" spans="1:6">
      <c r="A8395" s="174">
        <f t="shared" si="123"/>
        <v>8394</v>
      </c>
      <c r="B8395" s="163">
        <v>45978</v>
      </c>
      <c r="C8395" s="194">
        <v>0.91993055555555558</v>
      </c>
      <c r="D8395" s="193" t="s">
        <v>7003</v>
      </c>
      <c r="E8395" s="166" t="s">
        <v>7003</v>
      </c>
      <c r="F8395" t="s">
        <v>6946</v>
      </c>
    </row>
    <row r="8396" spans="1:6">
      <c r="A8396" s="174">
        <f t="shared" si="123"/>
        <v>8395</v>
      </c>
      <c r="B8396" s="163">
        <v>45978</v>
      </c>
      <c r="C8396" s="194">
        <v>0.89790509259259255</v>
      </c>
      <c r="D8396" s="193" t="s">
        <v>7003</v>
      </c>
      <c r="E8396" s="166" t="s">
        <v>7003</v>
      </c>
      <c r="F8396" t="s">
        <v>6946</v>
      </c>
    </row>
    <row r="8397" spans="1:6">
      <c r="A8397" s="174">
        <f t="shared" si="123"/>
        <v>8396</v>
      </c>
      <c r="B8397" s="163">
        <v>45978</v>
      </c>
      <c r="C8397" s="194">
        <v>0.87701388888888887</v>
      </c>
      <c r="D8397" s="193" t="s">
        <v>7003</v>
      </c>
      <c r="E8397" s="166" t="s">
        <v>7003</v>
      </c>
      <c r="F8397" t="s">
        <v>6946</v>
      </c>
    </row>
    <row r="8398" spans="1:6">
      <c r="A8398" s="174">
        <f t="shared" si="123"/>
        <v>8397</v>
      </c>
      <c r="B8398" s="163">
        <v>45978</v>
      </c>
      <c r="C8398" s="194">
        <v>0.8771296296296297</v>
      </c>
      <c r="D8398" s="193" t="s">
        <v>7003</v>
      </c>
      <c r="E8398" s="166" t="s">
        <v>7003</v>
      </c>
      <c r="F8398" t="s">
        <v>6946</v>
      </c>
    </row>
    <row r="8399" spans="1:6">
      <c r="A8399" s="174">
        <f t="shared" si="123"/>
        <v>8398</v>
      </c>
      <c r="B8399" s="163">
        <v>45973</v>
      </c>
      <c r="C8399" s="194">
        <v>0.58974537037037034</v>
      </c>
      <c r="D8399" s="174">
        <v>10</v>
      </c>
      <c r="E8399" s="166" t="s">
        <v>288</v>
      </c>
      <c r="F8399" t="s">
        <v>6946</v>
      </c>
    </row>
    <row r="8400" spans="1:6">
      <c r="A8400" s="174">
        <f t="shared" si="123"/>
        <v>8399</v>
      </c>
      <c r="B8400" s="163">
        <v>45978</v>
      </c>
      <c r="C8400" s="194">
        <v>0.85777777777777775</v>
      </c>
      <c r="D8400" s="193" t="s">
        <v>7003</v>
      </c>
      <c r="E8400" s="166" t="s">
        <v>7003</v>
      </c>
      <c r="F8400" t="s">
        <v>6946</v>
      </c>
    </row>
    <row r="8401" spans="1:6">
      <c r="A8401" s="174">
        <f t="shared" si="123"/>
        <v>8400</v>
      </c>
      <c r="B8401" s="163">
        <v>45978</v>
      </c>
      <c r="C8401" s="194">
        <v>0.87099537037037045</v>
      </c>
      <c r="D8401" s="193" t="s">
        <v>7003</v>
      </c>
      <c r="E8401" s="166" t="s">
        <v>7003</v>
      </c>
      <c r="F8401" t="s">
        <v>6946</v>
      </c>
    </row>
    <row r="8402" spans="1:6">
      <c r="A8402" s="174">
        <f t="shared" si="123"/>
        <v>8401</v>
      </c>
      <c r="B8402" s="163">
        <v>45978</v>
      </c>
      <c r="C8402" s="194">
        <v>0.84446759259259263</v>
      </c>
      <c r="D8402" s="193" t="s">
        <v>7003</v>
      </c>
      <c r="E8402" s="166" t="s">
        <v>7003</v>
      </c>
      <c r="F8402" t="s">
        <v>6946</v>
      </c>
    </row>
    <row r="8403" spans="1:6">
      <c r="A8403" s="174">
        <f t="shared" si="123"/>
        <v>8402</v>
      </c>
      <c r="B8403" s="163">
        <v>45973</v>
      </c>
      <c r="C8403" s="194">
        <v>0.57804398148148151</v>
      </c>
      <c r="D8403" s="174">
        <v>10</v>
      </c>
      <c r="E8403" s="166" t="s">
        <v>6636</v>
      </c>
      <c r="F8403" t="s">
        <v>6946</v>
      </c>
    </row>
    <row r="8404" spans="1:6">
      <c r="A8404" s="174">
        <f t="shared" si="123"/>
        <v>8403</v>
      </c>
      <c r="B8404" s="163">
        <v>45978</v>
      </c>
      <c r="C8404" s="194">
        <v>0.81704861111111116</v>
      </c>
      <c r="D8404" s="193" t="s">
        <v>7003</v>
      </c>
      <c r="E8404" s="166" t="s">
        <v>7003</v>
      </c>
      <c r="F8404" t="s">
        <v>6946</v>
      </c>
    </row>
    <row r="8405" spans="1:6">
      <c r="A8405" s="174">
        <f t="shared" si="123"/>
        <v>8404</v>
      </c>
      <c r="B8405" s="163">
        <v>45978</v>
      </c>
      <c r="C8405" s="194">
        <v>0.79321759259259261</v>
      </c>
      <c r="D8405" s="193" t="s">
        <v>7003</v>
      </c>
      <c r="E8405" s="166" t="s">
        <v>7003</v>
      </c>
      <c r="F8405" t="s">
        <v>6946</v>
      </c>
    </row>
    <row r="8406" spans="1:6">
      <c r="A8406" s="174">
        <f t="shared" si="123"/>
        <v>8405</v>
      </c>
      <c r="B8406" s="163">
        <v>45973</v>
      </c>
      <c r="C8406" s="194">
        <v>0.5841319444444445</v>
      </c>
      <c r="D8406" s="174">
        <v>10</v>
      </c>
      <c r="E8406" s="166" t="s">
        <v>6635</v>
      </c>
      <c r="F8406" t="s">
        <v>6946</v>
      </c>
    </row>
    <row r="8407" spans="1:6">
      <c r="A8407" s="174">
        <f t="shared" si="123"/>
        <v>8406</v>
      </c>
      <c r="B8407" s="163">
        <v>45973</v>
      </c>
      <c r="C8407" s="194">
        <v>0.56260416666666668</v>
      </c>
      <c r="D8407" s="174">
        <v>10</v>
      </c>
      <c r="E8407" s="166" t="s">
        <v>6634</v>
      </c>
      <c r="F8407" t="s">
        <v>6946</v>
      </c>
    </row>
    <row r="8408" spans="1:6">
      <c r="A8408" s="174">
        <f t="shared" si="123"/>
        <v>8407</v>
      </c>
      <c r="B8408" s="163">
        <v>45978</v>
      </c>
      <c r="C8408" s="194">
        <v>0.81607638888888889</v>
      </c>
      <c r="D8408" s="193" t="s">
        <v>7003</v>
      </c>
      <c r="E8408" s="166" t="s">
        <v>7003</v>
      </c>
      <c r="F8408" t="s">
        <v>6946</v>
      </c>
    </row>
    <row r="8409" spans="1:6">
      <c r="A8409" s="174">
        <f t="shared" si="123"/>
        <v>8408</v>
      </c>
      <c r="B8409" s="163">
        <v>45978</v>
      </c>
      <c r="C8409" s="194">
        <v>0.75896990740740744</v>
      </c>
      <c r="D8409" s="193" t="s">
        <v>7003</v>
      </c>
      <c r="E8409" s="166" t="s">
        <v>7003</v>
      </c>
      <c r="F8409" t="s">
        <v>6946</v>
      </c>
    </row>
    <row r="8410" spans="1:6">
      <c r="A8410" s="174">
        <f t="shared" si="123"/>
        <v>8409</v>
      </c>
      <c r="B8410" s="163">
        <v>45978</v>
      </c>
      <c r="C8410" s="194">
        <v>0.75875000000000004</v>
      </c>
      <c r="D8410" s="193" t="s">
        <v>7003</v>
      </c>
      <c r="E8410" s="166" t="s">
        <v>7003</v>
      </c>
      <c r="F8410" t="s">
        <v>6946</v>
      </c>
    </row>
    <row r="8411" spans="1:6">
      <c r="A8411" s="174">
        <f t="shared" si="123"/>
        <v>8410</v>
      </c>
      <c r="B8411" s="163">
        <v>45978</v>
      </c>
      <c r="C8411" s="194">
        <v>0.75078703703703698</v>
      </c>
      <c r="D8411" s="193" t="s">
        <v>7003</v>
      </c>
      <c r="E8411" s="166" t="s">
        <v>7003</v>
      </c>
      <c r="F8411" t="s">
        <v>6946</v>
      </c>
    </row>
    <row r="8412" spans="1:6">
      <c r="A8412" s="174">
        <f t="shared" si="123"/>
        <v>8411</v>
      </c>
      <c r="B8412" s="163">
        <v>45978</v>
      </c>
      <c r="C8412" s="194">
        <v>0.75521990740740741</v>
      </c>
      <c r="D8412" s="193" t="s">
        <v>7003</v>
      </c>
      <c r="E8412" s="166" t="s">
        <v>7003</v>
      </c>
      <c r="F8412" t="s">
        <v>6946</v>
      </c>
    </row>
    <row r="8413" spans="1:6">
      <c r="A8413" s="174">
        <f t="shared" si="123"/>
        <v>8412</v>
      </c>
      <c r="B8413" s="163">
        <v>45978</v>
      </c>
      <c r="C8413" s="194">
        <v>0.75487268518518524</v>
      </c>
      <c r="D8413" s="193" t="s">
        <v>7003</v>
      </c>
      <c r="E8413" s="166" t="s">
        <v>7003</v>
      </c>
      <c r="F8413" t="s">
        <v>6946</v>
      </c>
    </row>
    <row r="8414" spans="1:6">
      <c r="A8414" s="174">
        <f t="shared" si="123"/>
        <v>8413</v>
      </c>
      <c r="B8414" s="163">
        <v>45978</v>
      </c>
      <c r="C8414" s="194">
        <v>0.75302083333333336</v>
      </c>
      <c r="D8414" s="193" t="s">
        <v>7003</v>
      </c>
      <c r="E8414" s="166" t="s">
        <v>7003</v>
      </c>
      <c r="F8414" t="s">
        <v>6946</v>
      </c>
    </row>
    <row r="8415" spans="1:6">
      <c r="A8415" s="174">
        <f t="shared" si="123"/>
        <v>8414</v>
      </c>
      <c r="B8415" s="163">
        <v>45978</v>
      </c>
      <c r="C8415" s="194">
        <v>0.74571759259259263</v>
      </c>
      <c r="D8415" s="193" t="s">
        <v>7003</v>
      </c>
      <c r="E8415" s="166" t="s">
        <v>7003</v>
      </c>
      <c r="F8415" t="s">
        <v>6946</v>
      </c>
    </row>
    <row r="8416" spans="1:6">
      <c r="A8416" s="174">
        <f t="shared" si="123"/>
        <v>8415</v>
      </c>
      <c r="B8416" s="163">
        <v>45978</v>
      </c>
      <c r="C8416" s="194">
        <v>0.74957175925925934</v>
      </c>
      <c r="D8416" s="193" t="s">
        <v>7003</v>
      </c>
      <c r="E8416" s="166" t="s">
        <v>7003</v>
      </c>
      <c r="F8416" t="s">
        <v>6946</v>
      </c>
    </row>
    <row r="8417" spans="1:6">
      <c r="A8417" s="174">
        <f t="shared" ref="A8417:A8480" si="124">ROW()-1</f>
        <v>8416</v>
      </c>
      <c r="B8417" s="163">
        <v>45978</v>
      </c>
      <c r="C8417" s="194">
        <v>0.75937500000000002</v>
      </c>
      <c r="D8417" s="193" t="s">
        <v>7003</v>
      </c>
      <c r="E8417" s="166" t="s">
        <v>7003</v>
      </c>
      <c r="F8417" t="s">
        <v>6946</v>
      </c>
    </row>
    <row r="8418" spans="1:6">
      <c r="A8418" s="174">
        <f t="shared" si="124"/>
        <v>8417</v>
      </c>
      <c r="B8418" s="163">
        <v>45973</v>
      </c>
      <c r="C8418" s="194">
        <v>0.56193287037037043</v>
      </c>
      <c r="D8418" s="174">
        <v>10</v>
      </c>
      <c r="E8418" s="166" t="s">
        <v>448</v>
      </c>
      <c r="F8418" t="s">
        <v>6946</v>
      </c>
    </row>
    <row r="8419" spans="1:6">
      <c r="A8419" s="174">
        <f t="shared" si="124"/>
        <v>8418</v>
      </c>
      <c r="B8419" s="163">
        <v>45978</v>
      </c>
      <c r="C8419" s="194">
        <v>0.74962962962962953</v>
      </c>
      <c r="D8419" s="174" t="s">
        <v>7003</v>
      </c>
      <c r="E8419" s="166" t="s">
        <v>7003</v>
      </c>
      <c r="F8419" t="s">
        <v>6946</v>
      </c>
    </row>
    <row r="8420" spans="1:6">
      <c r="A8420" s="174">
        <f t="shared" si="124"/>
        <v>8419</v>
      </c>
      <c r="B8420" s="163">
        <v>45978</v>
      </c>
      <c r="C8420" s="194">
        <v>0.74869212962962972</v>
      </c>
      <c r="D8420" s="174" t="s">
        <v>7003</v>
      </c>
      <c r="E8420" s="166" t="s">
        <v>7003</v>
      </c>
      <c r="F8420" t="s">
        <v>6946</v>
      </c>
    </row>
    <row r="8421" spans="1:6">
      <c r="A8421" s="174">
        <f t="shared" si="124"/>
        <v>8420</v>
      </c>
      <c r="B8421" s="163">
        <v>45973</v>
      </c>
      <c r="C8421" s="194">
        <v>0.51920138888888889</v>
      </c>
      <c r="D8421" s="174">
        <v>10</v>
      </c>
      <c r="E8421" s="166" t="s">
        <v>6633</v>
      </c>
      <c r="F8421" t="s">
        <v>6946</v>
      </c>
    </row>
    <row r="8422" spans="1:6">
      <c r="A8422" s="174">
        <f t="shared" si="124"/>
        <v>8421</v>
      </c>
      <c r="B8422" s="163">
        <v>45978</v>
      </c>
      <c r="C8422" s="194">
        <v>0.75037037037037047</v>
      </c>
      <c r="D8422" s="174" t="s">
        <v>7003</v>
      </c>
      <c r="E8422" s="166" t="s">
        <v>7003</v>
      </c>
      <c r="F8422" t="s">
        <v>6946</v>
      </c>
    </row>
    <row r="8423" spans="1:6">
      <c r="A8423" s="174">
        <f t="shared" si="124"/>
        <v>8422</v>
      </c>
      <c r="B8423" s="163">
        <v>45978</v>
      </c>
      <c r="C8423" s="194">
        <v>0.74910879629629623</v>
      </c>
      <c r="D8423" s="174" t="s">
        <v>7003</v>
      </c>
      <c r="E8423" s="166" t="s">
        <v>7003</v>
      </c>
      <c r="F8423" t="s">
        <v>6946</v>
      </c>
    </row>
    <row r="8424" spans="1:6">
      <c r="A8424" s="174">
        <f t="shared" si="124"/>
        <v>8423</v>
      </c>
      <c r="B8424" s="163">
        <v>45978</v>
      </c>
      <c r="C8424" s="194">
        <v>0.73695601851851855</v>
      </c>
      <c r="D8424" s="174" t="s">
        <v>7003</v>
      </c>
      <c r="E8424" s="166" t="s">
        <v>7003</v>
      </c>
      <c r="F8424" t="s">
        <v>6946</v>
      </c>
    </row>
    <row r="8425" spans="1:6">
      <c r="A8425" s="174">
        <f t="shared" si="124"/>
        <v>8424</v>
      </c>
      <c r="B8425" s="163">
        <v>45978</v>
      </c>
      <c r="C8425" s="194">
        <v>0.73738425925925932</v>
      </c>
      <c r="D8425" s="174" t="s">
        <v>7003</v>
      </c>
      <c r="E8425" s="166" t="s">
        <v>7003</v>
      </c>
      <c r="F8425" t="s">
        <v>6946</v>
      </c>
    </row>
    <row r="8426" spans="1:6">
      <c r="A8426" s="174">
        <f t="shared" si="124"/>
        <v>8425</v>
      </c>
      <c r="B8426" s="163">
        <v>45978</v>
      </c>
      <c r="C8426" s="194">
        <v>0.73115740740740742</v>
      </c>
      <c r="D8426" s="174" t="s">
        <v>7003</v>
      </c>
      <c r="E8426" s="166" t="s">
        <v>7003</v>
      </c>
      <c r="F8426" t="s">
        <v>6946</v>
      </c>
    </row>
    <row r="8427" spans="1:6">
      <c r="A8427" s="174">
        <f t="shared" si="124"/>
        <v>8426</v>
      </c>
      <c r="B8427" s="163">
        <v>45978</v>
      </c>
      <c r="C8427" s="194">
        <v>0.7286689814814814</v>
      </c>
      <c r="D8427" s="174" t="s">
        <v>7003</v>
      </c>
      <c r="E8427" s="166" t="s">
        <v>7003</v>
      </c>
      <c r="F8427" t="s">
        <v>6946</v>
      </c>
    </row>
    <row r="8428" spans="1:6">
      <c r="A8428" s="174">
        <f t="shared" si="124"/>
        <v>8427</v>
      </c>
      <c r="B8428" s="163">
        <v>45973</v>
      </c>
      <c r="C8428" s="194">
        <v>0.51113425925925926</v>
      </c>
      <c r="D8428" s="174">
        <v>10</v>
      </c>
      <c r="E8428" s="166" t="s">
        <v>6632</v>
      </c>
      <c r="F8428" t="s">
        <v>6946</v>
      </c>
    </row>
    <row r="8429" spans="1:6">
      <c r="A8429" s="174">
        <f t="shared" si="124"/>
        <v>8428</v>
      </c>
      <c r="B8429" s="163">
        <v>45978</v>
      </c>
      <c r="C8429" s="194">
        <v>0.72930555555555554</v>
      </c>
      <c r="D8429" s="174" t="s">
        <v>7003</v>
      </c>
      <c r="E8429" s="166" t="s">
        <v>7003</v>
      </c>
      <c r="F8429" t="s">
        <v>6946</v>
      </c>
    </row>
    <row r="8430" spans="1:6">
      <c r="A8430" s="174">
        <f t="shared" si="124"/>
        <v>8429</v>
      </c>
      <c r="B8430" s="163">
        <v>45978</v>
      </c>
      <c r="C8430" s="194">
        <v>0.72936342592592596</v>
      </c>
      <c r="D8430" s="174" t="s">
        <v>7003</v>
      </c>
      <c r="E8430" s="166" t="s">
        <v>7003</v>
      </c>
      <c r="F8430" t="s">
        <v>6946</v>
      </c>
    </row>
    <row r="8431" spans="1:6">
      <c r="A8431" s="174">
        <f t="shared" si="124"/>
        <v>8430</v>
      </c>
      <c r="B8431" s="163">
        <v>45978</v>
      </c>
      <c r="C8431" s="194">
        <v>0.72266203703703702</v>
      </c>
      <c r="D8431" s="174" t="s">
        <v>7003</v>
      </c>
      <c r="E8431" s="166" t="s">
        <v>7003</v>
      </c>
      <c r="F8431" t="s">
        <v>6946</v>
      </c>
    </row>
    <row r="8432" spans="1:6">
      <c r="A8432" s="174">
        <f t="shared" si="124"/>
        <v>8431</v>
      </c>
      <c r="B8432" s="163">
        <v>45978</v>
      </c>
      <c r="C8432" s="194">
        <v>0.71332175925925922</v>
      </c>
      <c r="D8432" s="174" t="s">
        <v>7003</v>
      </c>
      <c r="E8432" s="166" t="s">
        <v>7003</v>
      </c>
      <c r="F8432" t="s">
        <v>6946</v>
      </c>
    </row>
    <row r="8433" spans="1:6">
      <c r="A8433" s="174">
        <f t="shared" si="124"/>
        <v>8432</v>
      </c>
      <c r="B8433" s="163">
        <v>45978</v>
      </c>
      <c r="C8433" s="194">
        <v>0.7063194444444445</v>
      </c>
      <c r="D8433" s="174" t="s">
        <v>7003</v>
      </c>
      <c r="E8433" s="166" t="s">
        <v>7003</v>
      </c>
      <c r="F8433" t="s">
        <v>6946</v>
      </c>
    </row>
    <row r="8434" spans="1:6">
      <c r="A8434" s="174">
        <f t="shared" si="124"/>
        <v>8433</v>
      </c>
      <c r="B8434" s="163">
        <v>45973</v>
      </c>
      <c r="C8434" s="194">
        <v>0.5003009259259259</v>
      </c>
      <c r="D8434" s="174">
        <v>10</v>
      </c>
      <c r="E8434" s="166" t="s">
        <v>6631</v>
      </c>
      <c r="F8434" t="s">
        <v>6946</v>
      </c>
    </row>
    <row r="8435" spans="1:6">
      <c r="A8435" s="174">
        <f t="shared" si="124"/>
        <v>8434</v>
      </c>
      <c r="B8435" s="163">
        <v>45973</v>
      </c>
      <c r="C8435" s="194">
        <v>0.50024305555555559</v>
      </c>
      <c r="D8435" s="174">
        <v>10</v>
      </c>
      <c r="E8435" s="166" t="s">
        <v>198</v>
      </c>
      <c r="F8435" t="s">
        <v>6946</v>
      </c>
    </row>
    <row r="8436" spans="1:6">
      <c r="A8436" s="174">
        <f t="shared" si="124"/>
        <v>8435</v>
      </c>
      <c r="B8436" s="163">
        <v>45978</v>
      </c>
      <c r="C8436" s="194">
        <v>0.72204861111111107</v>
      </c>
      <c r="D8436" s="174" t="s">
        <v>7003</v>
      </c>
      <c r="E8436" s="166" t="s">
        <v>7003</v>
      </c>
      <c r="F8436" t="s">
        <v>6946</v>
      </c>
    </row>
    <row r="8437" spans="1:6">
      <c r="A8437" s="174">
        <f t="shared" si="124"/>
        <v>8436</v>
      </c>
      <c r="B8437" s="163">
        <v>45973</v>
      </c>
      <c r="C8437" s="194">
        <v>0.49548611111111113</v>
      </c>
      <c r="D8437" s="174">
        <v>10</v>
      </c>
      <c r="E8437" s="166" t="s">
        <v>6630</v>
      </c>
      <c r="F8437" t="s">
        <v>6946</v>
      </c>
    </row>
    <row r="8438" spans="1:6">
      <c r="A8438" s="174">
        <f t="shared" si="124"/>
        <v>8437</v>
      </c>
      <c r="B8438" s="163">
        <v>45978</v>
      </c>
      <c r="C8438" s="194">
        <v>0.71343749999999995</v>
      </c>
      <c r="D8438" s="174" t="s">
        <v>7003</v>
      </c>
      <c r="E8438" s="166" t="s">
        <v>7003</v>
      </c>
      <c r="F8438" t="s">
        <v>6946</v>
      </c>
    </row>
    <row r="8439" spans="1:6">
      <c r="A8439" s="174">
        <f t="shared" si="124"/>
        <v>8438</v>
      </c>
      <c r="B8439" s="163">
        <v>45973</v>
      </c>
      <c r="C8439" s="194">
        <v>0.48760416666666667</v>
      </c>
      <c r="D8439" s="174">
        <v>10</v>
      </c>
      <c r="E8439" s="166" t="s">
        <v>6629</v>
      </c>
      <c r="F8439" t="s">
        <v>6946</v>
      </c>
    </row>
    <row r="8440" spans="1:6">
      <c r="A8440" s="174">
        <f t="shared" si="124"/>
        <v>8439</v>
      </c>
      <c r="B8440" s="163">
        <v>45973</v>
      </c>
      <c r="C8440" s="194">
        <v>0.48508101851851854</v>
      </c>
      <c r="D8440" s="174">
        <v>10</v>
      </c>
      <c r="E8440" s="166" t="s">
        <v>6628</v>
      </c>
      <c r="F8440" t="s">
        <v>6946</v>
      </c>
    </row>
    <row r="8441" spans="1:6">
      <c r="A8441" s="174">
        <f t="shared" si="124"/>
        <v>8440</v>
      </c>
      <c r="B8441" s="163">
        <v>45973</v>
      </c>
      <c r="C8441" s="194">
        <v>0.48969907407407409</v>
      </c>
      <c r="D8441" s="174">
        <v>10</v>
      </c>
      <c r="E8441" s="166" t="s">
        <v>6626</v>
      </c>
      <c r="F8441" t="s">
        <v>6946</v>
      </c>
    </row>
    <row r="8442" spans="1:6">
      <c r="A8442" s="174">
        <f t="shared" si="124"/>
        <v>8441</v>
      </c>
      <c r="B8442" s="163">
        <v>45973</v>
      </c>
      <c r="C8442" s="194">
        <v>0.47237268518518521</v>
      </c>
      <c r="D8442" s="174">
        <v>10</v>
      </c>
      <c r="E8442" s="166" t="s">
        <v>6931</v>
      </c>
      <c r="F8442" t="s">
        <v>6946</v>
      </c>
    </row>
    <row r="8443" spans="1:6">
      <c r="A8443" s="174">
        <f t="shared" si="124"/>
        <v>8442</v>
      </c>
      <c r="B8443" s="163">
        <v>45978</v>
      </c>
      <c r="C8443" s="194">
        <v>0.7068402777777778</v>
      </c>
      <c r="D8443" s="174" t="s">
        <v>7003</v>
      </c>
      <c r="E8443" s="166" t="s">
        <v>7003</v>
      </c>
      <c r="F8443" t="s">
        <v>6946</v>
      </c>
    </row>
    <row r="8444" spans="1:6">
      <c r="A8444" s="174">
        <f t="shared" si="124"/>
        <v>8443</v>
      </c>
      <c r="B8444" s="163">
        <v>45973</v>
      </c>
      <c r="C8444" s="194">
        <v>0.48771990740740739</v>
      </c>
      <c r="D8444" s="174">
        <v>10</v>
      </c>
      <c r="E8444" s="166" t="s">
        <v>6625</v>
      </c>
      <c r="F8444" t="s">
        <v>6946</v>
      </c>
    </row>
    <row r="8445" spans="1:6">
      <c r="A8445" s="174">
        <f t="shared" si="124"/>
        <v>8444</v>
      </c>
      <c r="B8445" s="163">
        <v>45978</v>
      </c>
      <c r="C8445" s="194">
        <v>0.70018518518518524</v>
      </c>
      <c r="D8445" s="174" t="s">
        <v>7003</v>
      </c>
      <c r="E8445" s="166" t="s">
        <v>7003</v>
      </c>
      <c r="F8445" t="s">
        <v>6946</v>
      </c>
    </row>
    <row r="8446" spans="1:6">
      <c r="A8446" s="174">
        <f t="shared" si="124"/>
        <v>8445</v>
      </c>
      <c r="B8446" s="163">
        <v>45978</v>
      </c>
      <c r="C8446" s="194">
        <v>0.71320601851851861</v>
      </c>
      <c r="D8446" s="174" t="s">
        <v>7003</v>
      </c>
      <c r="E8446" s="166" t="s">
        <v>7003</v>
      </c>
      <c r="F8446" t="s">
        <v>6946</v>
      </c>
    </row>
    <row r="8447" spans="1:6">
      <c r="A8447" s="174">
        <f t="shared" si="124"/>
        <v>8446</v>
      </c>
      <c r="B8447" s="163">
        <v>45973</v>
      </c>
      <c r="C8447" s="194">
        <v>0.3996527777777778</v>
      </c>
      <c r="D8447" s="174">
        <v>10</v>
      </c>
      <c r="E8447" s="166" t="s">
        <v>6624</v>
      </c>
      <c r="F8447" t="s">
        <v>6946</v>
      </c>
    </row>
    <row r="8448" spans="1:6">
      <c r="A8448" s="174">
        <f t="shared" si="124"/>
        <v>8447</v>
      </c>
      <c r="B8448" s="163">
        <v>45978</v>
      </c>
      <c r="C8448" s="194">
        <v>0.70140046296296299</v>
      </c>
      <c r="D8448" s="174" t="s">
        <v>7003</v>
      </c>
      <c r="E8448" s="166" t="s">
        <v>7003</v>
      </c>
      <c r="F8448" t="s">
        <v>6946</v>
      </c>
    </row>
    <row r="8449" spans="1:6">
      <c r="A8449" s="174">
        <f t="shared" si="124"/>
        <v>8448</v>
      </c>
      <c r="B8449" s="163">
        <v>45978</v>
      </c>
      <c r="C8449" s="194">
        <v>0.67488425925925932</v>
      </c>
      <c r="D8449" s="174" t="s">
        <v>7003</v>
      </c>
      <c r="E8449" s="166" t="s">
        <v>7003</v>
      </c>
      <c r="F8449" t="s">
        <v>6946</v>
      </c>
    </row>
    <row r="8450" spans="1:6">
      <c r="A8450" s="174">
        <f t="shared" si="124"/>
        <v>8449</v>
      </c>
      <c r="B8450" s="163">
        <v>45978</v>
      </c>
      <c r="C8450" s="194">
        <v>0.67296296296296287</v>
      </c>
      <c r="D8450" s="174" t="s">
        <v>7003</v>
      </c>
      <c r="E8450" s="166" t="s">
        <v>7003</v>
      </c>
      <c r="F8450" t="s">
        <v>6946</v>
      </c>
    </row>
    <row r="8451" spans="1:6">
      <c r="A8451" s="174">
        <f t="shared" si="124"/>
        <v>8450</v>
      </c>
      <c r="B8451" s="163">
        <v>45973</v>
      </c>
      <c r="C8451" s="194">
        <v>0.42546296296296293</v>
      </c>
      <c r="D8451" s="174">
        <v>10</v>
      </c>
      <c r="E8451" s="166" t="s">
        <v>6623</v>
      </c>
      <c r="F8451" t="s">
        <v>6946</v>
      </c>
    </row>
    <row r="8452" spans="1:6">
      <c r="A8452" s="174">
        <f t="shared" si="124"/>
        <v>8451</v>
      </c>
      <c r="B8452" s="163">
        <v>45974</v>
      </c>
      <c r="C8452" s="194">
        <v>0.8777314814814815</v>
      </c>
      <c r="D8452" s="174">
        <v>10</v>
      </c>
      <c r="E8452" s="166" t="s">
        <v>6681</v>
      </c>
      <c r="F8452" t="s">
        <v>6946</v>
      </c>
    </row>
    <row r="8453" spans="1:6">
      <c r="A8453" s="174">
        <f t="shared" si="124"/>
        <v>8452</v>
      </c>
      <c r="B8453" s="163">
        <v>45978</v>
      </c>
      <c r="C8453" s="194">
        <v>0.64856481481481476</v>
      </c>
      <c r="D8453" s="174" t="s">
        <v>7003</v>
      </c>
      <c r="E8453" s="166" t="s">
        <v>7003</v>
      </c>
      <c r="F8453" t="s">
        <v>6946</v>
      </c>
    </row>
    <row r="8454" spans="1:6">
      <c r="A8454" s="174">
        <f t="shared" si="124"/>
        <v>8453</v>
      </c>
      <c r="B8454" s="163">
        <v>45978</v>
      </c>
      <c r="C8454" s="194">
        <v>0.65280092592592587</v>
      </c>
      <c r="D8454" s="174" t="s">
        <v>7003</v>
      </c>
      <c r="E8454" s="166" t="s">
        <v>7003</v>
      </c>
      <c r="F8454" t="s">
        <v>6946</v>
      </c>
    </row>
    <row r="8455" spans="1:6">
      <c r="A8455" s="174">
        <f t="shared" si="124"/>
        <v>8454</v>
      </c>
      <c r="B8455" s="163">
        <v>45978</v>
      </c>
      <c r="C8455" s="194">
        <v>0.64922453703703698</v>
      </c>
      <c r="D8455" s="174" t="s">
        <v>7003</v>
      </c>
      <c r="E8455" s="166" t="s">
        <v>7003</v>
      </c>
      <c r="F8455" t="s">
        <v>6946</v>
      </c>
    </row>
    <row r="8456" spans="1:6">
      <c r="A8456" s="174">
        <f t="shared" si="124"/>
        <v>8455</v>
      </c>
      <c r="B8456" s="163">
        <v>45978</v>
      </c>
      <c r="C8456" s="194">
        <v>0.65966435185185179</v>
      </c>
      <c r="D8456" s="174" t="s">
        <v>7003</v>
      </c>
      <c r="E8456" s="166" t="s">
        <v>7003</v>
      </c>
      <c r="F8456" t="s">
        <v>6946</v>
      </c>
    </row>
    <row r="8457" spans="1:6">
      <c r="A8457" s="174">
        <f t="shared" si="124"/>
        <v>8456</v>
      </c>
      <c r="B8457" s="163">
        <v>45974</v>
      </c>
      <c r="C8457" s="194">
        <v>0.85148148148148151</v>
      </c>
      <c r="D8457" s="174">
        <v>10</v>
      </c>
      <c r="E8457" s="166" t="s">
        <v>6680</v>
      </c>
      <c r="F8457" t="s">
        <v>6946</v>
      </c>
    </row>
    <row r="8458" spans="1:6">
      <c r="A8458" s="174">
        <f t="shared" si="124"/>
        <v>8457</v>
      </c>
      <c r="B8458" s="163">
        <v>45974</v>
      </c>
      <c r="C8458" s="194">
        <v>0.77120370370370372</v>
      </c>
      <c r="D8458" s="174">
        <v>10</v>
      </c>
      <c r="E8458" s="166" t="s">
        <v>6679</v>
      </c>
      <c r="F8458" t="s">
        <v>6946</v>
      </c>
    </row>
    <row r="8459" spans="1:6">
      <c r="A8459" s="174">
        <f t="shared" si="124"/>
        <v>8458</v>
      </c>
      <c r="B8459" s="163">
        <v>45978</v>
      </c>
      <c r="C8459" s="194">
        <v>0.65009259259259256</v>
      </c>
      <c r="D8459" s="174" t="s">
        <v>7003</v>
      </c>
      <c r="E8459" s="166" t="s">
        <v>7003</v>
      </c>
      <c r="F8459" t="s">
        <v>6946</v>
      </c>
    </row>
    <row r="8460" spans="1:6">
      <c r="A8460" s="174">
        <f t="shared" si="124"/>
        <v>8459</v>
      </c>
      <c r="B8460" s="163">
        <v>45978</v>
      </c>
      <c r="C8460" s="194">
        <v>0.65502314814814822</v>
      </c>
      <c r="D8460" s="174" t="s">
        <v>7003</v>
      </c>
      <c r="E8460" s="166" t="s">
        <v>7003</v>
      </c>
      <c r="F8460" t="s">
        <v>6946</v>
      </c>
    </row>
    <row r="8461" spans="1:6">
      <c r="A8461" s="174">
        <f t="shared" si="124"/>
        <v>8460</v>
      </c>
      <c r="B8461" s="163">
        <v>45978</v>
      </c>
      <c r="C8461" s="194">
        <v>0.64866898148148155</v>
      </c>
      <c r="D8461" s="174" t="s">
        <v>7003</v>
      </c>
      <c r="E8461" s="166" t="s">
        <v>7003</v>
      </c>
      <c r="F8461" t="s">
        <v>6946</v>
      </c>
    </row>
    <row r="8462" spans="1:6">
      <c r="A8462" s="174">
        <f t="shared" si="124"/>
        <v>8461</v>
      </c>
      <c r="B8462" s="163">
        <v>45978</v>
      </c>
      <c r="C8462" s="194">
        <v>0.62795138888888891</v>
      </c>
      <c r="D8462" s="174" t="s">
        <v>7003</v>
      </c>
      <c r="E8462" s="166" t="s">
        <v>7003</v>
      </c>
      <c r="F8462" t="s">
        <v>6946</v>
      </c>
    </row>
    <row r="8463" spans="1:6">
      <c r="A8463" s="174">
        <f t="shared" si="124"/>
        <v>8462</v>
      </c>
      <c r="B8463" s="163">
        <v>45978</v>
      </c>
      <c r="C8463" s="194">
        <v>0.63531250000000006</v>
      </c>
      <c r="D8463" s="174" t="s">
        <v>7003</v>
      </c>
      <c r="E8463" s="166" t="s">
        <v>7003</v>
      </c>
      <c r="F8463" t="s">
        <v>6946</v>
      </c>
    </row>
    <row r="8464" spans="1:6">
      <c r="A8464" s="174">
        <f t="shared" si="124"/>
        <v>8463</v>
      </c>
      <c r="B8464" s="163">
        <v>45978</v>
      </c>
      <c r="C8464" s="194">
        <v>0.63725694444444447</v>
      </c>
      <c r="D8464" s="174" t="s">
        <v>7003</v>
      </c>
      <c r="E8464" s="166" t="s">
        <v>7003</v>
      </c>
      <c r="F8464" t="s">
        <v>6946</v>
      </c>
    </row>
    <row r="8465" spans="1:6">
      <c r="A8465" s="174">
        <f t="shared" si="124"/>
        <v>8464</v>
      </c>
      <c r="B8465" s="163">
        <v>45978</v>
      </c>
      <c r="C8465" s="194">
        <v>0.61976851851851855</v>
      </c>
      <c r="D8465" s="174" t="s">
        <v>7003</v>
      </c>
      <c r="E8465" s="166" t="s">
        <v>7003</v>
      </c>
      <c r="F8465" t="s">
        <v>6946</v>
      </c>
    </row>
    <row r="8466" spans="1:6">
      <c r="A8466" s="174">
        <f t="shared" si="124"/>
        <v>8465</v>
      </c>
      <c r="B8466" s="163">
        <v>45978</v>
      </c>
      <c r="C8466" s="194">
        <v>0.61983796296296301</v>
      </c>
      <c r="D8466" s="174" t="s">
        <v>7003</v>
      </c>
      <c r="E8466" s="166" t="s">
        <v>7003</v>
      </c>
      <c r="F8466" t="s">
        <v>6946</v>
      </c>
    </row>
    <row r="8467" spans="1:6">
      <c r="A8467" s="174">
        <f t="shared" si="124"/>
        <v>8466</v>
      </c>
      <c r="B8467" s="163">
        <v>45978</v>
      </c>
      <c r="C8467" s="194">
        <v>0.61185185185185187</v>
      </c>
      <c r="D8467" s="174" t="s">
        <v>7003</v>
      </c>
      <c r="E8467" s="166" t="s">
        <v>7003</v>
      </c>
      <c r="F8467" t="s">
        <v>6946</v>
      </c>
    </row>
    <row r="8468" spans="1:6">
      <c r="A8468" s="174">
        <f t="shared" si="124"/>
        <v>8467</v>
      </c>
      <c r="B8468" s="163">
        <v>45978</v>
      </c>
      <c r="C8468" s="194">
        <v>0.61318287037037034</v>
      </c>
      <c r="D8468" s="174" t="s">
        <v>7003</v>
      </c>
      <c r="E8468" s="166" t="s">
        <v>7003</v>
      </c>
      <c r="F8468" t="s">
        <v>6946</v>
      </c>
    </row>
    <row r="8469" spans="1:6">
      <c r="A8469" s="174">
        <f t="shared" si="124"/>
        <v>8468</v>
      </c>
      <c r="B8469" s="163">
        <v>45978</v>
      </c>
      <c r="C8469" s="194">
        <v>0.60146990740740736</v>
      </c>
      <c r="D8469" s="174" t="s">
        <v>7003</v>
      </c>
      <c r="E8469" s="166" t="s">
        <v>7003</v>
      </c>
      <c r="F8469" t="s">
        <v>6946</v>
      </c>
    </row>
    <row r="8470" spans="1:6">
      <c r="A8470" s="174">
        <f t="shared" si="124"/>
        <v>8469</v>
      </c>
      <c r="B8470" s="163">
        <v>45978</v>
      </c>
      <c r="C8470" s="194">
        <v>0.60055555555555562</v>
      </c>
      <c r="D8470" s="174" t="s">
        <v>7003</v>
      </c>
      <c r="E8470" s="166" t="s">
        <v>7003</v>
      </c>
      <c r="F8470" t="s">
        <v>6946</v>
      </c>
    </row>
    <row r="8471" spans="1:6">
      <c r="A8471" s="174">
        <f t="shared" si="124"/>
        <v>8470</v>
      </c>
      <c r="B8471" s="163">
        <v>45978</v>
      </c>
      <c r="C8471" s="194">
        <v>0.5883680555555556</v>
      </c>
      <c r="D8471" s="174" t="s">
        <v>7003</v>
      </c>
      <c r="E8471" s="166" t="s">
        <v>7003</v>
      </c>
      <c r="F8471" t="s">
        <v>6946</v>
      </c>
    </row>
    <row r="8472" spans="1:6">
      <c r="A8472" s="174">
        <f t="shared" si="124"/>
        <v>8471</v>
      </c>
      <c r="B8472" s="163">
        <v>45978</v>
      </c>
      <c r="C8472" s="194">
        <v>0.65973379629629625</v>
      </c>
      <c r="D8472" s="174" t="s">
        <v>7003</v>
      </c>
      <c r="E8472" s="166" t="s">
        <v>7003</v>
      </c>
      <c r="F8472" t="s">
        <v>6946</v>
      </c>
    </row>
    <row r="8473" spans="1:6">
      <c r="A8473" s="174">
        <f t="shared" si="124"/>
        <v>8472</v>
      </c>
      <c r="B8473" s="163">
        <v>45978</v>
      </c>
      <c r="C8473" s="194">
        <v>0.5978472222222222</v>
      </c>
      <c r="D8473" s="174" t="s">
        <v>7003</v>
      </c>
      <c r="E8473" s="166" t="s">
        <v>7003</v>
      </c>
      <c r="F8473" t="s">
        <v>6946</v>
      </c>
    </row>
    <row r="8474" spans="1:6">
      <c r="A8474" s="174">
        <f t="shared" si="124"/>
        <v>8473</v>
      </c>
      <c r="B8474" s="163">
        <v>45978</v>
      </c>
      <c r="C8474" s="194">
        <v>0.59829861111111116</v>
      </c>
      <c r="D8474" s="174" t="s">
        <v>7003</v>
      </c>
      <c r="E8474" s="166" t="s">
        <v>7003</v>
      </c>
      <c r="F8474" t="s">
        <v>6946</v>
      </c>
    </row>
    <row r="8475" spans="1:6">
      <c r="A8475" s="174">
        <f t="shared" si="124"/>
        <v>8474</v>
      </c>
      <c r="B8475" s="163">
        <v>45978</v>
      </c>
      <c r="C8475" s="194">
        <v>0.60865740740740748</v>
      </c>
      <c r="D8475" s="174" t="s">
        <v>7003</v>
      </c>
      <c r="E8475" s="166" t="s">
        <v>7003</v>
      </c>
      <c r="F8475" t="s">
        <v>6946</v>
      </c>
    </row>
    <row r="8476" spans="1:6">
      <c r="A8476" s="174">
        <f t="shared" si="124"/>
        <v>8475</v>
      </c>
      <c r="B8476" s="163">
        <v>45978</v>
      </c>
      <c r="C8476" s="194">
        <v>0.58851851851851855</v>
      </c>
      <c r="D8476" s="174" t="s">
        <v>7003</v>
      </c>
      <c r="E8476" s="166" t="s">
        <v>7003</v>
      </c>
      <c r="F8476" t="s">
        <v>6946</v>
      </c>
    </row>
    <row r="8477" spans="1:6">
      <c r="A8477" s="174">
        <f t="shared" si="124"/>
        <v>8476</v>
      </c>
      <c r="B8477" s="163">
        <v>45978</v>
      </c>
      <c r="C8477" s="194">
        <v>0.56776620370370368</v>
      </c>
      <c r="D8477" s="174" t="s">
        <v>7003</v>
      </c>
      <c r="E8477" s="166" t="s">
        <v>7003</v>
      </c>
      <c r="F8477" t="s">
        <v>6946</v>
      </c>
    </row>
    <row r="8478" spans="1:6">
      <c r="A8478" s="174">
        <f t="shared" si="124"/>
        <v>8477</v>
      </c>
      <c r="B8478" s="163">
        <v>45978</v>
      </c>
      <c r="C8478" s="194">
        <v>0.57016203703703705</v>
      </c>
      <c r="D8478" s="174" t="s">
        <v>7003</v>
      </c>
      <c r="E8478" s="166" t="s">
        <v>7003</v>
      </c>
      <c r="F8478" t="s">
        <v>6946</v>
      </c>
    </row>
    <row r="8479" spans="1:6">
      <c r="A8479" s="174">
        <f t="shared" si="124"/>
        <v>8478</v>
      </c>
      <c r="B8479" s="163">
        <v>45974</v>
      </c>
      <c r="C8479" s="194">
        <v>0.7645601851851852</v>
      </c>
      <c r="D8479" s="174">
        <v>10</v>
      </c>
      <c r="E8479" s="166" t="s">
        <v>6678</v>
      </c>
      <c r="F8479" t="s">
        <v>6946</v>
      </c>
    </row>
    <row r="8480" spans="1:6">
      <c r="A8480" s="174">
        <f t="shared" si="124"/>
        <v>8479</v>
      </c>
      <c r="B8480" s="163">
        <v>45974</v>
      </c>
      <c r="C8480" s="194">
        <v>0.75164351851851852</v>
      </c>
      <c r="D8480" s="174">
        <v>10</v>
      </c>
      <c r="E8480" s="166" t="s">
        <v>6926</v>
      </c>
      <c r="F8480" t="s">
        <v>6946</v>
      </c>
    </row>
    <row r="8481" spans="1:6">
      <c r="A8481" s="174">
        <f t="shared" ref="A8481:A8496" si="125">ROW()-1</f>
        <v>8480</v>
      </c>
      <c r="B8481" s="163">
        <v>45974</v>
      </c>
      <c r="C8481" s="194">
        <v>0.73991898148148139</v>
      </c>
      <c r="D8481" s="174">
        <v>10</v>
      </c>
      <c r="E8481" s="166" t="s">
        <v>6677</v>
      </c>
      <c r="F8481" t="s">
        <v>6946</v>
      </c>
    </row>
    <row r="8482" spans="1:6">
      <c r="A8482" s="174">
        <f t="shared" si="125"/>
        <v>8481</v>
      </c>
      <c r="B8482" s="163">
        <v>45974</v>
      </c>
      <c r="C8482" s="194">
        <v>0.73866898148148152</v>
      </c>
      <c r="D8482" s="174">
        <v>10</v>
      </c>
      <c r="E8482" s="166" t="s">
        <v>6676</v>
      </c>
      <c r="F8482" t="s">
        <v>6946</v>
      </c>
    </row>
    <row r="8483" spans="1:6">
      <c r="A8483" s="174">
        <f t="shared" si="125"/>
        <v>8482</v>
      </c>
      <c r="B8483" s="163">
        <v>45978</v>
      </c>
      <c r="C8483" s="194">
        <v>0.55390046296296302</v>
      </c>
      <c r="D8483" s="174" t="s">
        <v>7003</v>
      </c>
      <c r="E8483" s="166" t="s">
        <v>7003</v>
      </c>
      <c r="F8483" t="s">
        <v>6946</v>
      </c>
    </row>
    <row r="8484" spans="1:6">
      <c r="A8484" s="174">
        <f t="shared" si="125"/>
        <v>8483</v>
      </c>
      <c r="B8484" s="163">
        <v>45978</v>
      </c>
      <c r="C8484" s="194">
        <v>0.54637731481481489</v>
      </c>
      <c r="D8484" s="174" t="s">
        <v>7003</v>
      </c>
      <c r="E8484" s="166" t="s">
        <v>7003</v>
      </c>
      <c r="F8484" t="s">
        <v>6946</v>
      </c>
    </row>
    <row r="8485" spans="1:6">
      <c r="A8485" s="174">
        <f t="shared" si="125"/>
        <v>8484</v>
      </c>
      <c r="B8485" s="163">
        <v>45974</v>
      </c>
      <c r="C8485" s="194">
        <v>0.7241319444444444</v>
      </c>
      <c r="D8485" s="174">
        <v>10</v>
      </c>
      <c r="E8485" s="166" t="s">
        <v>3508</v>
      </c>
      <c r="F8485" t="s">
        <v>6946</v>
      </c>
    </row>
    <row r="8486" spans="1:6">
      <c r="A8486" s="174">
        <f t="shared" si="125"/>
        <v>8485</v>
      </c>
      <c r="B8486" s="163">
        <v>45978</v>
      </c>
      <c r="C8486" s="194">
        <v>0.54702546296296295</v>
      </c>
      <c r="D8486" s="174" t="s">
        <v>7003</v>
      </c>
      <c r="E8486" s="166" t="s">
        <v>7003</v>
      </c>
      <c r="F8486" t="s">
        <v>6946</v>
      </c>
    </row>
    <row r="8487" spans="1:6">
      <c r="A8487" s="174">
        <f t="shared" si="125"/>
        <v>8486</v>
      </c>
      <c r="B8487" s="163">
        <v>45978</v>
      </c>
      <c r="C8487" s="194">
        <v>0.52667824074074077</v>
      </c>
      <c r="D8487" s="174" t="s">
        <v>7003</v>
      </c>
      <c r="E8487" s="166" t="s">
        <v>7003</v>
      </c>
      <c r="F8487" t="s">
        <v>6946</v>
      </c>
    </row>
    <row r="8488" spans="1:6">
      <c r="A8488" s="174">
        <f t="shared" si="125"/>
        <v>8487</v>
      </c>
      <c r="B8488" s="163">
        <v>45978</v>
      </c>
      <c r="C8488" s="194">
        <v>0.54166666666666663</v>
      </c>
      <c r="D8488" s="174" t="s">
        <v>7003</v>
      </c>
      <c r="E8488" s="166" t="s">
        <v>7003</v>
      </c>
      <c r="F8488" t="s">
        <v>6946</v>
      </c>
    </row>
    <row r="8489" spans="1:6">
      <c r="A8489" s="174">
        <f t="shared" si="125"/>
        <v>8488</v>
      </c>
      <c r="B8489" s="163">
        <v>45978</v>
      </c>
      <c r="C8489" s="194">
        <v>0.51537037037037037</v>
      </c>
      <c r="D8489" s="174" t="s">
        <v>7003</v>
      </c>
      <c r="E8489" s="166" t="s">
        <v>7003</v>
      </c>
      <c r="F8489" t="s">
        <v>6946</v>
      </c>
    </row>
    <row r="8490" spans="1:6">
      <c r="A8490" s="174">
        <f t="shared" si="125"/>
        <v>8489</v>
      </c>
      <c r="B8490" s="163">
        <v>45978</v>
      </c>
      <c r="C8490" s="194">
        <v>0.54749999999999999</v>
      </c>
      <c r="D8490" s="174" t="s">
        <v>7003</v>
      </c>
      <c r="E8490" s="166" t="s">
        <v>7003</v>
      </c>
      <c r="F8490" t="s">
        <v>6946</v>
      </c>
    </row>
    <row r="8491" spans="1:6">
      <c r="A8491" s="174">
        <f t="shared" si="125"/>
        <v>8490</v>
      </c>
      <c r="B8491" s="163">
        <v>45978</v>
      </c>
      <c r="C8491" s="194">
        <v>0.49180555555555555</v>
      </c>
      <c r="D8491" s="174" t="s">
        <v>7003</v>
      </c>
      <c r="E8491" s="166" t="s">
        <v>7003</v>
      </c>
      <c r="F8491" t="s">
        <v>6946</v>
      </c>
    </row>
    <row r="8492" spans="1:6">
      <c r="A8492" s="174">
        <f t="shared" si="125"/>
        <v>8491</v>
      </c>
      <c r="B8492" s="163">
        <v>45978</v>
      </c>
      <c r="C8492" s="194">
        <v>0.49249999999999999</v>
      </c>
      <c r="D8492" s="174" t="s">
        <v>7003</v>
      </c>
      <c r="E8492" s="166" t="s">
        <v>7003</v>
      </c>
      <c r="F8492" t="s">
        <v>6946</v>
      </c>
    </row>
    <row r="8493" spans="1:6">
      <c r="A8493" s="174">
        <f t="shared" si="125"/>
        <v>8492</v>
      </c>
      <c r="B8493" s="163">
        <v>45974</v>
      </c>
      <c r="C8493" s="194">
        <v>0.74503472222222233</v>
      </c>
      <c r="D8493" s="174">
        <v>10</v>
      </c>
      <c r="E8493" s="166" t="s">
        <v>6675</v>
      </c>
      <c r="F8493" t="s">
        <v>6946</v>
      </c>
    </row>
    <row r="8494" spans="1:6">
      <c r="A8494" s="174">
        <f t="shared" si="125"/>
        <v>8493</v>
      </c>
      <c r="B8494" s="163">
        <v>45978</v>
      </c>
      <c r="C8494" s="194">
        <v>0.46098379629629632</v>
      </c>
      <c r="D8494" s="174" t="s">
        <v>7003</v>
      </c>
      <c r="E8494" s="166" t="s">
        <v>7003</v>
      </c>
      <c r="F8494" t="s">
        <v>6946</v>
      </c>
    </row>
    <row r="8495" spans="1:6">
      <c r="A8495" s="174">
        <f t="shared" si="125"/>
        <v>8494</v>
      </c>
      <c r="B8495" s="163">
        <v>45978</v>
      </c>
      <c r="C8495" s="194">
        <v>0.47267361111111111</v>
      </c>
      <c r="D8495" s="174" t="s">
        <v>7003</v>
      </c>
      <c r="E8495" s="166" t="s">
        <v>7003</v>
      </c>
      <c r="F8495" t="s">
        <v>6946</v>
      </c>
    </row>
    <row r="8496" spans="1:6">
      <c r="A8496" s="174">
        <f t="shared" si="125"/>
        <v>8495</v>
      </c>
      <c r="B8496" s="163">
        <v>45978</v>
      </c>
      <c r="C8496" s="194">
        <v>0.45619212962962963</v>
      </c>
      <c r="D8496" s="174" t="s">
        <v>7003</v>
      </c>
      <c r="E8496" s="166" t="s">
        <v>7003</v>
      </c>
      <c r="F8496" t="s">
        <v>6946</v>
      </c>
    </row>
    <row r="8497" spans="1:6">
      <c r="B8497" s="163">
        <v>45978</v>
      </c>
      <c r="C8497" s="194">
        <v>0.79333333333333333</v>
      </c>
      <c r="D8497" s="174" t="s">
        <v>7003</v>
      </c>
      <c r="E8497" s="166" t="s">
        <v>7003</v>
      </c>
      <c r="F8497" t="s">
        <v>6946</v>
      </c>
    </row>
    <row r="8498" spans="1:6">
      <c r="B8498" s="163">
        <v>45978</v>
      </c>
      <c r="C8498" s="194">
        <v>0.46114583333333337</v>
      </c>
      <c r="D8498" s="174" t="s">
        <v>7003</v>
      </c>
      <c r="E8498" s="166" t="s">
        <v>7003</v>
      </c>
      <c r="F8498" t="s">
        <v>6946</v>
      </c>
    </row>
    <row r="8499" spans="1:6">
      <c r="B8499" s="163">
        <v>45978</v>
      </c>
      <c r="C8499" s="194">
        <v>0.46055555555555555</v>
      </c>
      <c r="D8499" s="174" t="s">
        <v>7003</v>
      </c>
      <c r="E8499" s="166" t="s">
        <v>7003</v>
      </c>
      <c r="F8499" t="s">
        <v>6946</v>
      </c>
    </row>
    <row r="8500" spans="1:6">
      <c r="B8500" s="163">
        <v>45978</v>
      </c>
      <c r="C8500" s="194">
        <v>0.46574074074074073</v>
      </c>
      <c r="D8500" s="174" t="s">
        <v>7003</v>
      </c>
      <c r="E8500" s="166" t="s">
        <v>7003</v>
      </c>
      <c r="F8500" t="s">
        <v>6946</v>
      </c>
    </row>
    <row r="8501" spans="1:6">
      <c r="B8501" s="163">
        <v>45978</v>
      </c>
      <c r="C8501" s="194">
        <v>0.45993055555555556</v>
      </c>
      <c r="D8501" s="174" t="s">
        <v>7003</v>
      </c>
      <c r="E8501" s="166" t="s">
        <v>7003</v>
      </c>
      <c r="F8501" t="s">
        <v>6946</v>
      </c>
    </row>
    <row r="8502" spans="1:6">
      <c r="B8502" s="163">
        <v>45978</v>
      </c>
      <c r="C8502" s="194">
        <v>0.4519097222222222</v>
      </c>
      <c r="D8502" s="174" t="s">
        <v>7003</v>
      </c>
      <c r="E8502" s="166" t="s">
        <v>7003</v>
      </c>
      <c r="F8502" t="s">
        <v>6946</v>
      </c>
    </row>
    <row r="8503" spans="1:6">
      <c r="B8503" s="163">
        <v>45978</v>
      </c>
      <c r="C8503" s="194">
        <v>0.46355324074074072</v>
      </c>
      <c r="D8503" s="174" t="s">
        <v>7003</v>
      </c>
      <c r="E8503" s="166" t="s">
        <v>7003</v>
      </c>
      <c r="F8503" t="s">
        <v>6946</v>
      </c>
    </row>
    <row r="8504" spans="1:6">
      <c r="A8504" s="159">
        <f>ROW()-1</f>
        <v>8503</v>
      </c>
      <c r="B8504" s="163">
        <v>45974</v>
      </c>
      <c r="C8504" s="194">
        <v>0.74167824074074085</v>
      </c>
      <c r="D8504" s="174">
        <v>10</v>
      </c>
      <c r="E8504" s="166" t="s">
        <v>2771</v>
      </c>
      <c r="F8504" t="s">
        <v>6946</v>
      </c>
    </row>
    <row r="8505" spans="1:6">
      <c r="B8505" s="163">
        <v>45978</v>
      </c>
      <c r="C8505" s="194">
        <v>0.45824074074074073</v>
      </c>
      <c r="D8505" s="174" t="s">
        <v>7003</v>
      </c>
      <c r="E8505" s="166" t="s">
        <v>7003</v>
      </c>
      <c r="F8505" t="s">
        <v>6946</v>
      </c>
    </row>
    <row r="8506" spans="1:6">
      <c r="B8506" s="163">
        <v>45978</v>
      </c>
      <c r="C8506" s="194">
        <v>0.45909722222222221</v>
      </c>
      <c r="D8506" s="174" t="s">
        <v>7003</v>
      </c>
      <c r="E8506" s="166" t="s">
        <v>7003</v>
      </c>
      <c r="F8506" t="s">
        <v>6946</v>
      </c>
    </row>
    <row r="8507" spans="1:6">
      <c r="A8507" s="159">
        <f>ROW()-1</f>
        <v>8506</v>
      </c>
      <c r="B8507" s="163">
        <v>45974</v>
      </c>
      <c r="C8507" s="194">
        <v>0.7418865740740741</v>
      </c>
      <c r="D8507" s="174">
        <v>10</v>
      </c>
      <c r="E8507" s="166" t="s">
        <v>6674</v>
      </c>
      <c r="F8507" t="s">
        <v>6946</v>
      </c>
    </row>
    <row r="8508" spans="1:6">
      <c r="B8508" s="163">
        <v>45978</v>
      </c>
      <c r="C8508" s="194">
        <v>0.45491898148148152</v>
      </c>
      <c r="D8508" s="174" t="s">
        <v>7003</v>
      </c>
      <c r="E8508" s="166" t="s">
        <v>7003</v>
      </c>
      <c r="F8508" t="s">
        <v>6946</v>
      </c>
    </row>
    <row r="8509" spans="1:6">
      <c r="B8509" s="163">
        <v>45978</v>
      </c>
      <c r="C8509" s="194">
        <v>0.45939814814814817</v>
      </c>
      <c r="D8509" s="174" t="s">
        <v>7003</v>
      </c>
      <c r="E8509" s="166" t="s">
        <v>7003</v>
      </c>
      <c r="F8509" t="s">
        <v>6946</v>
      </c>
    </row>
    <row r="8510" spans="1:6">
      <c r="B8510" s="163">
        <v>45978</v>
      </c>
      <c r="C8510" s="194">
        <v>0.43609953703703702</v>
      </c>
      <c r="D8510" s="174" t="s">
        <v>7003</v>
      </c>
      <c r="E8510" s="166" t="s">
        <v>7003</v>
      </c>
      <c r="F8510" t="s">
        <v>6946</v>
      </c>
    </row>
    <row r="8511" spans="1:6">
      <c r="B8511" s="163">
        <v>45978</v>
      </c>
      <c r="C8511" s="194">
        <v>0.45734953703703707</v>
      </c>
      <c r="D8511" s="174" t="s">
        <v>7003</v>
      </c>
      <c r="E8511" s="166" t="s">
        <v>7003</v>
      </c>
      <c r="F8511" t="s">
        <v>6946</v>
      </c>
    </row>
    <row r="8512" spans="1:6">
      <c r="B8512" s="163">
        <v>45978</v>
      </c>
      <c r="C8512" s="194">
        <v>0.44481481481481483</v>
      </c>
      <c r="D8512" s="174" t="s">
        <v>7003</v>
      </c>
      <c r="E8512" s="166" t="s">
        <v>7003</v>
      </c>
      <c r="F8512" t="s">
        <v>6946</v>
      </c>
    </row>
    <row r="8513" spans="1:6">
      <c r="B8513" s="163">
        <v>45978</v>
      </c>
      <c r="C8513" s="194">
        <v>0.45396990740740745</v>
      </c>
      <c r="D8513" s="174" t="s">
        <v>7003</v>
      </c>
      <c r="E8513" s="166" t="s">
        <v>7003</v>
      </c>
      <c r="F8513" t="s">
        <v>6946</v>
      </c>
    </row>
    <row r="8514" spans="1:6">
      <c r="B8514" s="163">
        <v>45978</v>
      </c>
      <c r="C8514" s="194">
        <v>0.4544212962962963</v>
      </c>
      <c r="D8514" s="174" t="s">
        <v>7003</v>
      </c>
      <c r="E8514" s="166" t="s">
        <v>7003</v>
      </c>
      <c r="F8514" t="s">
        <v>6946</v>
      </c>
    </row>
    <row r="8515" spans="1:6">
      <c r="A8515" s="159">
        <f>ROW()-1</f>
        <v>8514</v>
      </c>
      <c r="B8515" s="163">
        <v>45974</v>
      </c>
      <c r="C8515" s="194">
        <v>0.71621527777777771</v>
      </c>
      <c r="D8515" s="174">
        <v>10</v>
      </c>
      <c r="E8515" s="166" t="s">
        <v>6673</v>
      </c>
      <c r="F8515" t="s">
        <v>6946</v>
      </c>
    </row>
    <row r="8516" spans="1:6">
      <c r="B8516" s="163">
        <v>45978</v>
      </c>
      <c r="C8516" s="194">
        <v>0.42527777777777781</v>
      </c>
      <c r="D8516" s="174" t="s">
        <v>7003</v>
      </c>
      <c r="E8516" s="166" t="s">
        <v>7003</v>
      </c>
      <c r="F8516" t="s">
        <v>6946</v>
      </c>
    </row>
    <row r="8517" spans="1:6">
      <c r="B8517" s="163">
        <v>45978</v>
      </c>
      <c r="C8517" s="194">
        <v>0.45568287037037036</v>
      </c>
      <c r="D8517" s="174" t="s">
        <v>7003</v>
      </c>
      <c r="E8517" s="166" t="s">
        <v>7003</v>
      </c>
      <c r="F8517" t="s">
        <v>6946</v>
      </c>
    </row>
    <row r="8518" spans="1:6">
      <c r="B8518" s="163">
        <v>45978</v>
      </c>
      <c r="C8518" s="194">
        <v>0.42136574074074074</v>
      </c>
      <c r="D8518" s="174" t="s">
        <v>7003</v>
      </c>
      <c r="E8518" s="166" t="s">
        <v>7003</v>
      </c>
      <c r="F8518" t="s">
        <v>6946</v>
      </c>
    </row>
    <row r="8519" spans="1:6">
      <c r="B8519" s="163">
        <v>45978</v>
      </c>
      <c r="C8519" s="194">
        <v>0.42894675925925929</v>
      </c>
      <c r="D8519" s="174" t="s">
        <v>7003</v>
      </c>
      <c r="E8519" s="166" t="s">
        <v>7003</v>
      </c>
      <c r="F8519" t="s">
        <v>6946</v>
      </c>
    </row>
    <row r="8520" spans="1:6">
      <c r="A8520" s="159">
        <f>ROW()-1</f>
        <v>8519</v>
      </c>
      <c r="B8520" s="163">
        <v>45974</v>
      </c>
      <c r="C8520" s="194">
        <v>0.71089120370370373</v>
      </c>
      <c r="D8520" s="174">
        <v>10</v>
      </c>
      <c r="E8520" s="166" t="s">
        <v>1434</v>
      </c>
      <c r="F8520" t="s">
        <v>6946</v>
      </c>
    </row>
    <row r="8521" spans="1:6">
      <c r="B8521" s="163">
        <v>45978</v>
      </c>
      <c r="C8521" s="194">
        <v>0.41211805555555553</v>
      </c>
      <c r="D8521" s="174" t="s">
        <v>7003</v>
      </c>
      <c r="E8521" s="166" t="s">
        <v>7003</v>
      </c>
      <c r="F8521" t="s">
        <v>6946</v>
      </c>
    </row>
    <row r="8522" spans="1:6">
      <c r="B8522" s="163">
        <v>45978</v>
      </c>
      <c r="C8522" s="194">
        <v>0.40309027777777778</v>
      </c>
      <c r="D8522" s="174" t="s">
        <v>7003</v>
      </c>
      <c r="E8522" s="166" t="s">
        <v>7003</v>
      </c>
      <c r="F8522" t="s">
        <v>6946</v>
      </c>
    </row>
    <row r="8523" spans="1:6" ht="27">
      <c r="A8523" s="159">
        <f>ROW()-1</f>
        <v>8522</v>
      </c>
      <c r="B8523" s="163">
        <v>45974</v>
      </c>
      <c r="C8523" s="194">
        <v>0.69314814814814818</v>
      </c>
      <c r="D8523" s="174">
        <v>10</v>
      </c>
      <c r="E8523" s="166" t="s">
        <v>6672</v>
      </c>
      <c r="F8523" t="s">
        <v>6946</v>
      </c>
    </row>
    <row r="8524" spans="1:6">
      <c r="A8524" s="159">
        <f>ROW()-1</f>
        <v>8523</v>
      </c>
      <c r="B8524" s="163">
        <v>45974</v>
      </c>
      <c r="C8524" s="194">
        <v>0.70545138888888881</v>
      </c>
      <c r="D8524" s="174">
        <v>10</v>
      </c>
      <c r="E8524" s="166" t="s">
        <v>6671</v>
      </c>
      <c r="F8524" t="s">
        <v>6946</v>
      </c>
    </row>
    <row r="8525" spans="1:6">
      <c r="B8525" s="163">
        <v>45978</v>
      </c>
      <c r="C8525" s="194">
        <v>0.39937500000000004</v>
      </c>
      <c r="D8525" s="174" t="s">
        <v>7003</v>
      </c>
      <c r="E8525" s="166" t="s">
        <v>7003</v>
      </c>
      <c r="F8525" t="s">
        <v>6946</v>
      </c>
    </row>
    <row r="8526" spans="1:6">
      <c r="B8526" s="163">
        <v>45978</v>
      </c>
      <c r="C8526" s="194">
        <v>0.40324074074074073</v>
      </c>
      <c r="D8526" s="174" t="s">
        <v>7003</v>
      </c>
      <c r="E8526" s="166" t="s">
        <v>7003</v>
      </c>
      <c r="F8526" t="s">
        <v>6946</v>
      </c>
    </row>
    <row r="8527" spans="1:6">
      <c r="B8527" s="163">
        <v>45978</v>
      </c>
      <c r="C8527" s="194">
        <v>0.3986689814814815</v>
      </c>
      <c r="D8527" s="174" t="s">
        <v>7003</v>
      </c>
      <c r="E8527" s="166" t="s">
        <v>7003</v>
      </c>
      <c r="F8527" t="s">
        <v>6946</v>
      </c>
    </row>
    <row r="8528" spans="1:6">
      <c r="B8528" s="163">
        <v>45978</v>
      </c>
      <c r="C8528" s="194">
        <v>0.39604166666666668</v>
      </c>
      <c r="D8528" s="174" t="s">
        <v>7003</v>
      </c>
      <c r="E8528" s="166" t="s">
        <v>7003</v>
      </c>
      <c r="F8528" t="s">
        <v>6946</v>
      </c>
    </row>
    <row r="8529" spans="1:6">
      <c r="B8529" s="163">
        <v>45978</v>
      </c>
      <c r="C8529" s="194">
        <v>0.41600694444444447</v>
      </c>
      <c r="D8529" s="174" t="s">
        <v>7003</v>
      </c>
      <c r="E8529" s="166" t="s">
        <v>7003</v>
      </c>
      <c r="F8529" t="s">
        <v>6946</v>
      </c>
    </row>
    <row r="8530" spans="1:6">
      <c r="B8530" s="163">
        <v>45978</v>
      </c>
      <c r="C8530" s="194">
        <v>0.39539351851851851</v>
      </c>
      <c r="D8530" s="174" t="s">
        <v>7003</v>
      </c>
      <c r="E8530" s="166" t="s">
        <v>7003</v>
      </c>
      <c r="F8530" t="s">
        <v>6946</v>
      </c>
    </row>
    <row r="8531" spans="1:6">
      <c r="A8531" s="159">
        <f>ROW()-1</f>
        <v>8530</v>
      </c>
      <c r="B8531" s="163">
        <v>45974</v>
      </c>
      <c r="C8531" s="194">
        <v>0.66770833333333324</v>
      </c>
      <c r="D8531" s="174">
        <v>10</v>
      </c>
      <c r="E8531" s="166" t="s">
        <v>6927</v>
      </c>
      <c r="F8531" t="s">
        <v>6946</v>
      </c>
    </row>
    <row r="8532" spans="1:6">
      <c r="B8532" s="163">
        <v>45978</v>
      </c>
      <c r="C8532" s="194">
        <v>0.38671296296296293</v>
      </c>
      <c r="D8532" s="174" t="s">
        <v>7003</v>
      </c>
      <c r="E8532" s="166" t="s">
        <v>7003</v>
      </c>
      <c r="F8532" t="s">
        <v>6946</v>
      </c>
    </row>
    <row r="8533" spans="1:6">
      <c r="B8533" s="163">
        <v>45976</v>
      </c>
      <c r="C8533" s="194">
        <v>0.75189814814814815</v>
      </c>
      <c r="D8533" s="174" t="s">
        <v>7003</v>
      </c>
      <c r="E8533" s="166" t="s">
        <v>7003</v>
      </c>
      <c r="F8533" t="s">
        <v>6946</v>
      </c>
    </row>
    <row r="8534" spans="1:6">
      <c r="B8534" s="163">
        <v>45976</v>
      </c>
      <c r="C8534" s="194">
        <v>0.69598379629629636</v>
      </c>
      <c r="D8534" s="174" t="s">
        <v>7003</v>
      </c>
      <c r="E8534" s="166" t="s">
        <v>7003</v>
      </c>
      <c r="F8534" t="s">
        <v>6946</v>
      </c>
    </row>
    <row r="8535" spans="1:6">
      <c r="B8535" s="163">
        <v>45976</v>
      </c>
      <c r="C8535" s="194">
        <v>0.72687500000000005</v>
      </c>
      <c r="D8535" s="174" t="s">
        <v>7003</v>
      </c>
      <c r="E8535" s="166" t="s">
        <v>7003</v>
      </c>
      <c r="F8535" t="s">
        <v>6946</v>
      </c>
    </row>
    <row r="8536" spans="1:6">
      <c r="B8536" s="163">
        <v>45976</v>
      </c>
      <c r="C8536" s="194">
        <v>0.66289351851851852</v>
      </c>
      <c r="D8536" s="174" t="s">
        <v>7003</v>
      </c>
      <c r="E8536" s="166" t="s">
        <v>7003</v>
      </c>
      <c r="F8536" t="s">
        <v>6946</v>
      </c>
    </row>
    <row r="8537" spans="1:6">
      <c r="A8537" s="159">
        <f>ROW()-1</f>
        <v>8536</v>
      </c>
      <c r="B8537" s="163">
        <v>45974</v>
      </c>
      <c r="C8537" s="194">
        <v>0.66100694444444441</v>
      </c>
      <c r="D8537" s="174">
        <v>10</v>
      </c>
      <c r="E8537" s="166" t="s">
        <v>132</v>
      </c>
      <c r="F8537" t="s">
        <v>6946</v>
      </c>
    </row>
    <row r="8538" spans="1:6">
      <c r="B8538" s="163">
        <v>45976</v>
      </c>
      <c r="C8538" s="194">
        <v>0.66576388888888893</v>
      </c>
      <c r="D8538" s="174" t="s">
        <v>7003</v>
      </c>
      <c r="E8538" s="166" t="s">
        <v>7003</v>
      </c>
      <c r="F8538" t="s">
        <v>6946</v>
      </c>
    </row>
    <row r="8539" spans="1:6">
      <c r="A8539" s="159">
        <f>ROW()-1</f>
        <v>8538</v>
      </c>
      <c r="B8539" s="163">
        <v>45974</v>
      </c>
      <c r="C8539" s="194">
        <v>0.64309027777777772</v>
      </c>
      <c r="D8539" s="174">
        <v>10</v>
      </c>
      <c r="E8539" s="166" t="s">
        <v>5432</v>
      </c>
      <c r="F8539" t="s">
        <v>6946</v>
      </c>
    </row>
    <row r="8540" spans="1:6">
      <c r="B8540" s="163">
        <v>45976</v>
      </c>
      <c r="C8540" s="194">
        <v>0.61857638888888888</v>
      </c>
      <c r="D8540" s="174" t="s">
        <v>7003</v>
      </c>
      <c r="E8540" s="166" t="s">
        <v>7003</v>
      </c>
      <c r="F8540" t="s">
        <v>6946</v>
      </c>
    </row>
    <row r="8541" spans="1:6">
      <c r="A8541" s="159">
        <f>ROW()-1</f>
        <v>8540</v>
      </c>
      <c r="B8541" s="163">
        <v>45974</v>
      </c>
      <c r="C8541" s="194">
        <v>0.64648148148148155</v>
      </c>
      <c r="D8541" s="174">
        <v>10</v>
      </c>
      <c r="E8541" s="166" t="s">
        <v>6670</v>
      </c>
      <c r="F8541" t="s">
        <v>6946</v>
      </c>
    </row>
    <row r="8542" spans="1:6">
      <c r="B8542" s="163">
        <v>45976</v>
      </c>
      <c r="C8542" s="194">
        <v>0.58847222222222217</v>
      </c>
      <c r="D8542" s="174" t="s">
        <v>7003</v>
      </c>
      <c r="E8542" s="166" t="s">
        <v>7003</v>
      </c>
      <c r="F8542" t="s">
        <v>6946</v>
      </c>
    </row>
    <row r="8543" spans="1:6">
      <c r="B8543" s="163">
        <v>45976</v>
      </c>
      <c r="C8543" s="194">
        <v>0.586400462962963</v>
      </c>
      <c r="D8543" s="174" t="s">
        <v>7003</v>
      </c>
      <c r="E8543" s="166" t="s">
        <v>7003</v>
      </c>
      <c r="F8543" t="s">
        <v>6946</v>
      </c>
    </row>
    <row r="8544" spans="1:6">
      <c r="B8544" s="163">
        <v>45976</v>
      </c>
      <c r="C8544" s="194">
        <v>0.57091435185185191</v>
      </c>
      <c r="D8544" s="174" t="s">
        <v>7003</v>
      </c>
      <c r="E8544" s="166" t="s">
        <v>7003</v>
      </c>
      <c r="F8544" t="s">
        <v>6946</v>
      </c>
    </row>
    <row r="8545" spans="1:6">
      <c r="A8545" s="159">
        <f>ROW()-1</f>
        <v>8544</v>
      </c>
      <c r="B8545" s="163">
        <v>45974</v>
      </c>
      <c r="C8545" s="194">
        <v>0.61283564814814817</v>
      </c>
      <c r="D8545" s="174">
        <v>10</v>
      </c>
      <c r="E8545" s="166" t="s">
        <v>1114</v>
      </c>
      <c r="F8545" t="s">
        <v>6946</v>
      </c>
    </row>
    <row r="8546" spans="1:6">
      <c r="B8546" s="163">
        <v>45976</v>
      </c>
      <c r="C8546" s="194">
        <v>0.55906250000000002</v>
      </c>
      <c r="D8546" s="174" t="s">
        <v>7003</v>
      </c>
      <c r="E8546" s="166" t="s">
        <v>7003</v>
      </c>
      <c r="F8546" t="s">
        <v>6946</v>
      </c>
    </row>
    <row r="8547" spans="1:6">
      <c r="A8547" s="159">
        <f>ROW()-1</f>
        <v>8546</v>
      </c>
      <c r="B8547" s="163">
        <v>45974</v>
      </c>
      <c r="C8547" s="194">
        <v>0.61921296296296291</v>
      </c>
      <c r="D8547" s="174">
        <v>10</v>
      </c>
      <c r="E8547" s="166" t="s">
        <v>6669</v>
      </c>
      <c r="F8547" t="s">
        <v>6946</v>
      </c>
    </row>
    <row r="8548" spans="1:6">
      <c r="B8548" s="163">
        <v>45976</v>
      </c>
      <c r="C8548" s="194">
        <v>0.54871527777777784</v>
      </c>
      <c r="D8548" s="174" t="s">
        <v>7003</v>
      </c>
      <c r="E8548" s="166" t="s">
        <v>7003</v>
      </c>
      <c r="F8548" t="s">
        <v>6946</v>
      </c>
    </row>
    <row r="8549" spans="1:6">
      <c r="B8549" s="163">
        <v>45976</v>
      </c>
      <c r="C8549" s="194">
        <v>0.54626157407407405</v>
      </c>
      <c r="D8549" s="174" t="s">
        <v>7003</v>
      </c>
      <c r="E8549" s="166" t="s">
        <v>7003</v>
      </c>
      <c r="F8549" t="s">
        <v>6946</v>
      </c>
    </row>
    <row r="8550" spans="1:6">
      <c r="B8550" s="163">
        <v>45976</v>
      </c>
      <c r="C8550" s="194">
        <v>0.50892361111111117</v>
      </c>
      <c r="D8550" s="174" t="s">
        <v>7003</v>
      </c>
      <c r="E8550" s="166" t="s">
        <v>7003</v>
      </c>
      <c r="F8550" t="s">
        <v>6946</v>
      </c>
    </row>
    <row r="8551" spans="1:6">
      <c r="B8551" s="163">
        <v>45976</v>
      </c>
      <c r="C8551" s="194">
        <v>0.51157407407407407</v>
      </c>
      <c r="D8551" s="174" t="s">
        <v>7003</v>
      </c>
      <c r="E8551" s="166" t="s">
        <v>7003</v>
      </c>
      <c r="F8551" t="s">
        <v>6946</v>
      </c>
    </row>
    <row r="8552" spans="1:6">
      <c r="B8552" s="163">
        <v>45976</v>
      </c>
      <c r="C8552" s="194">
        <v>0.50638888888888889</v>
      </c>
      <c r="D8552" s="174" t="s">
        <v>7003</v>
      </c>
      <c r="E8552" s="166" t="s">
        <v>7003</v>
      </c>
      <c r="F8552" t="s">
        <v>6946</v>
      </c>
    </row>
    <row r="8553" spans="1:6">
      <c r="B8553" s="163">
        <v>45976</v>
      </c>
      <c r="C8553" s="194">
        <v>0.51121527777777775</v>
      </c>
      <c r="D8553" s="174" t="s">
        <v>7003</v>
      </c>
      <c r="E8553" s="166" t="s">
        <v>7003</v>
      </c>
      <c r="F8553" t="s">
        <v>6946</v>
      </c>
    </row>
    <row r="8554" spans="1:6">
      <c r="B8554" s="163">
        <v>45976</v>
      </c>
      <c r="C8554" s="194">
        <v>0.51439814814814822</v>
      </c>
      <c r="D8554" s="174" t="s">
        <v>7003</v>
      </c>
      <c r="E8554" s="166" t="s">
        <v>7003</v>
      </c>
      <c r="F8554" t="s">
        <v>6946</v>
      </c>
    </row>
    <row r="8555" spans="1:6">
      <c r="B8555" s="163">
        <v>45976</v>
      </c>
      <c r="C8555" s="194">
        <v>0.49886574074074069</v>
      </c>
      <c r="D8555" s="174" t="s">
        <v>7003</v>
      </c>
      <c r="E8555" s="166" t="s">
        <v>7003</v>
      </c>
      <c r="F8555" t="s">
        <v>6946</v>
      </c>
    </row>
    <row r="8556" spans="1:6">
      <c r="B8556" s="163">
        <v>45976</v>
      </c>
      <c r="C8556" s="194">
        <v>0.4941550925925926</v>
      </c>
      <c r="D8556" s="174" t="s">
        <v>7003</v>
      </c>
      <c r="E8556" s="166" t="s">
        <v>7003</v>
      </c>
      <c r="F8556" t="s">
        <v>6946</v>
      </c>
    </row>
    <row r="8557" spans="1:6">
      <c r="B8557" s="163">
        <v>45976</v>
      </c>
      <c r="C8557" s="194">
        <v>0.48371527777777779</v>
      </c>
      <c r="D8557" s="174" t="s">
        <v>7003</v>
      </c>
      <c r="E8557" s="166" t="s">
        <v>7003</v>
      </c>
      <c r="F8557" t="s">
        <v>6946</v>
      </c>
    </row>
    <row r="8558" spans="1:6">
      <c r="B8558" s="163">
        <v>45976</v>
      </c>
      <c r="C8558" s="194">
        <v>0.48670138888888892</v>
      </c>
      <c r="D8558" s="174" t="s">
        <v>7003</v>
      </c>
      <c r="E8558" s="166" t="s">
        <v>7003</v>
      </c>
      <c r="F8558" t="s">
        <v>6946</v>
      </c>
    </row>
    <row r="8559" spans="1:6">
      <c r="B8559" s="163">
        <v>45976</v>
      </c>
      <c r="C8559" s="194">
        <v>0.48319444444444443</v>
      </c>
      <c r="D8559" s="174" t="s">
        <v>7003</v>
      </c>
      <c r="E8559" s="166" t="s">
        <v>7003</v>
      </c>
      <c r="F8559" t="s">
        <v>6946</v>
      </c>
    </row>
    <row r="8560" spans="1:6">
      <c r="A8560" s="159">
        <f>ROW()-1</f>
        <v>8559</v>
      </c>
      <c r="B8560" s="163">
        <v>45974</v>
      </c>
      <c r="C8560" s="194">
        <v>0.61171296296296296</v>
      </c>
      <c r="D8560" s="174">
        <v>10</v>
      </c>
      <c r="E8560" s="166" t="s">
        <v>6668</v>
      </c>
      <c r="F8560" t="s">
        <v>6946</v>
      </c>
    </row>
    <row r="8561" spans="1:6">
      <c r="B8561" s="163">
        <v>45976</v>
      </c>
      <c r="C8561" s="194">
        <v>0.48462962962962958</v>
      </c>
      <c r="D8561" s="174" t="s">
        <v>7003</v>
      </c>
      <c r="E8561" s="166" t="s">
        <v>7003</v>
      </c>
      <c r="F8561" t="s">
        <v>6946</v>
      </c>
    </row>
    <row r="8562" spans="1:6">
      <c r="B8562" s="163">
        <v>45976</v>
      </c>
      <c r="C8562" s="194">
        <v>0.50347222222222221</v>
      </c>
      <c r="D8562" s="174" t="s">
        <v>7003</v>
      </c>
      <c r="E8562" s="166" t="s">
        <v>7003</v>
      </c>
      <c r="F8562" t="s">
        <v>6946</v>
      </c>
    </row>
    <row r="8563" spans="1:6">
      <c r="A8563" s="159">
        <f>ROW()-1</f>
        <v>8562</v>
      </c>
      <c r="B8563" s="163">
        <v>45974</v>
      </c>
      <c r="C8563" s="194">
        <v>0.53793981481481479</v>
      </c>
      <c r="D8563" s="174">
        <v>10</v>
      </c>
      <c r="E8563" s="166" t="s">
        <v>406</v>
      </c>
      <c r="F8563" t="s">
        <v>6946</v>
      </c>
    </row>
    <row r="8564" spans="1:6">
      <c r="A8564" s="159">
        <f>ROW()-1</f>
        <v>8563</v>
      </c>
      <c r="B8564" s="163">
        <v>45974</v>
      </c>
      <c r="C8564" s="194">
        <v>0.53740740740740744</v>
      </c>
      <c r="D8564" s="174">
        <v>10</v>
      </c>
      <c r="E8564" s="166" t="s">
        <v>6667</v>
      </c>
      <c r="F8564" t="s">
        <v>6946</v>
      </c>
    </row>
    <row r="8565" spans="1:6">
      <c r="B8565" s="163">
        <v>45976</v>
      </c>
      <c r="C8565" s="194">
        <v>0.44267361111111114</v>
      </c>
      <c r="D8565" s="174" t="s">
        <v>7003</v>
      </c>
      <c r="E8565" s="166" t="s">
        <v>7003</v>
      </c>
      <c r="F8565" t="s">
        <v>6946</v>
      </c>
    </row>
    <row r="8566" spans="1:6">
      <c r="B8566" s="163">
        <v>45976</v>
      </c>
      <c r="C8566" s="194">
        <v>0.42805555555555558</v>
      </c>
      <c r="D8566" s="174" t="s">
        <v>7003</v>
      </c>
      <c r="E8566" s="166" t="s">
        <v>7003</v>
      </c>
      <c r="F8566" t="s">
        <v>6946</v>
      </c>
    </row>
    <row r="8567" spans="1:6">
      <c r="A8567" s="159">
        <f>ROW()-1</f>
        <v>8566</v>
      </c>
      <c r="B8567" s="163">
        <v>45974</v>
      </c>
      <c r="C8567" s="194">
        <v>0.53015046296296298</v>
      </c>
      <c r="D8567" s="174">
        <v>10</v>
      </c>
      <c r="E8567" s="166" t="s">
        <v>132</v>
      </c>
      <c r="F8567" t="s">
        <v>6946</v>
      </c>
    </row>
    <row r="8568" spans="1:6">
      <c r="B8568" s="163">
        <v>45976</v>
      </c>
      <c r="C8568" s="194">
        <v>0.41206018518518522</v>
      </c>
      <c r="D8568" s="174" t="s">
        <v>7003</v>
      </c>
      <c r="E8568" s="166" t="s">
        <v>7003</v>
      </c>
      <c r="F8568" t="s">
        <v>6946</v>
      </c>
    </row>
    <row r="8569" spans="1:6">
      <c r="A8569" s="159">
        <f t="shared" ref="A8569:A8600" si="126">ROW()-1</f>
        <v>8568</v>
      </c>
      <c r="B8569" s="163">
        <v>45974</v>
      </c>
      <c r="C8569" s="194">
        <v>0.52973379629629636</v>
      </c>
      <c r="D8569" s="174">
        <v>10</v>
      </c>
      <c r="E8569" s="166" t="s">
        <v>132</v>
      </c>
      <c r="F8569" t="s">
        <v>6946</v>
      </c>
    </row>
    <row r="8570" spans="1:6">
      <c r="A8570" s="174">
        <f t="shared" si="126"/>
        <v>8569</v>
      </c>
      <c r="B8570" s="163">
        <v>45974</v>
      </c>
      <c r="C8570" s="194">
        <v>0.51523148148148146</v>
      </c>
      <c r="D8570" s="174">
        <v>10</v>
      </c>
      <c r="E8570" s="166" t="s">
        <v>6666</v>
      </c>
      <c r="F8570" t="s">
        <v>6946</v>
      </c>
    </row>
    <row r="8571" spans="1:6">
      <c r="A8571" s="174">
        <f t="shared" si="126"/>
        <v>8570</v>
      </c>
      <c r="B8571" s="163">
        <v>45974</v>
      </c>
      <c r="C8571" s="194">
        <v>0.49861111111111112</v>
      </c>
      <c r="D8571" s="174">
        <v>10</v>
      </c>
      <c r="E8571" s="166" t="s">
        <v>6665</v>
      </c>
      <c r="F8571" t="s">
        <v>6946</v>
      </c>
    </row>
    <row r="8572" spans="1:6">
      <c r="A8572" s="174">
        <f t="shared" si="126"/>
        <v>8571</v>
      </c>
      <c r="B8572" s="163">
        <v>45974</v>
      </c>
      <c r="C8572" s="194">
        <v>0.50778935185185181</v>
      </c>
      <c r="D8572" s="174">
        <v>10</v>
      </c>
      <c r="E8572" s="166" t="s">
        <v>6664</v>
      </c>
      <c r="F8572" t="s">
        <v>6946</v>
      </c>
    </row>
    <row r="8573" spans="1:6" ht="27">
      <c r="A8573" s="174">
        <f t="shared" si="126"/>
        <v>8572</v>
      </c>
      <c r="B8573" s="163">
        <v>45974</v>
      </c>
      <c r="C8573" s="194">
        <v>0.48409722222222223</v>
      </c>
      <c r="D8573" s="174">
        <v>10</v>
      </c>
      <c r="E8573" s="166" t="s">
        <v>6928</v>
      </c>
      <c r="F8573" t="s">
        <v>6946</v>
      </c>
    </row>
    <row r="8574" spans="1:6">
      <c r="A8574" s="174">
        <f t="shared" si="126"/>
        <v>8573</v>
      </c>
      <c r="B8574" s="163">
        <v>45974</v>
      </c>
      <c r="C8574" s="194">
        <v>0.47262731481481479</v>
      </c>
      <c r="D8574" s="174">
        <v>10</v>
      </c>
      <c r="E8574" s="166" t="s">
        <v>132</v>
      </c>
      <c r="F8574" t="s">
        <v>6946</v>
      </c>
    </row>
    <row r="8575" spans="1:6">
      <c r="A8575" s="174">
        <f t="shared" si="126"/>
        <v>8574</v>
      </c>
      <c r="B8575" s="163">
        <v>45974</v>
      </c>
      <c r="C8575" s="194">
        <v>0.47510416666666666</v>
      </c>
      <c r="D8575" s="174">
        <v>10</v>
      </c>
      <c r="E8575" s="166" t="s">
        <v>6663</v>
      </c>
      <c r="F8575" t="s">
        <v>6946</v>
      </c>
    </row>
    <row r="8576" spans="1:6">
      <c r="A8576" s="174">
        <f t="shared" si="126"/>
        <v>8575</v>
      </c>
      <c r="B8576" s="163">
        <v>45974</v>
      </c>
      <c r="C8576" s="194">
        <v>0.46532407407407406</v>
      </c>
      <c r="D8576" s="174">
        <v>10</v>
      </c>
      <c r="E8576" s="166" t="s">
        <v>6662</v>
      </c>
      <c r="F8576" t="s">
        <v>6946</v>
      </c>
    </row>
    <row r="8577" spans="1:6">
      <c r="A8577" s="174">
        <f t="shared" si="126"/>
        <v>8576</v>
      </c>
      <c r="B8577" s="163">
        <v>45974</v>
      </c>
      <c r="C8577" s="194">
        <v>0.47016203703703702</v>
      </c>
      <c r="D8577" s="174">
        <v>10</v>
      </c>
      <c r="E8577" s="166" t="s">
        <v>6661</v>
      </c>
      <c r="F8577" t="s">
        <v>6946</v>
      </c>
    </row>
    <row r="8578" spans="1:6">
      <c r="A8578" s="174">
        <f t="shared" si="126"/>
        <v>8577</v>
      </c>
      <c r="B8578" s="163">
        <v>45974</v>
      </c>
      <c r="C8578" s="194">
        <v>0.4378009259259259</v>
      </c>
      <c r="D8578" s="174">
        <v>10</v>
      </c>
      <c r="E8578" s="166" t="s">
        <v>6660</v>
      </c>
      <c r="F8578" t="s">
        <v>6946</v>
      </c>
    </row>
    <row r="8579" spans="1:6">
      <c r="A8579" s="174">
        <f t="shared" si="126"/>
        <v>8578</v>
      </c>
      <c r="B8579" s="163">
        <v>45974</v>
      </c>
      <c r="C8579" s="194">
        <v>0.41087962962962959</v>
      </c>
      <c r="D8579" s="174">
        <v>10</v>
      </c>
      <c r="E8579" s="166" t="s">
        <v>132</v>
      </c>
      <c r="F8579" t="s">
        <v>6946</v>
      </c>
    </row>
    <row r="8580" spans="1:6">
      <c r="A8580" s="174">
        <f t="shared" si="126"/>
        <v>8579</v>
      </c>
      <c r="B8580" s="163">
        <v>45974</v>
      </c>
      <c r="C8580" s="194">
        <v>0.41092592592592592</v>
      </c>
      <c r="D8580" s="174">
        <v>10</v>
      </c>
      <c r="E8580" s="166" t="s">
        <v>6659</v>
      </c>
      <c r="F8580" t="s">
        <v>6946</v>
      </c>
    </row>
    <row r="8581" spans="1:6" ht="27">
      <c r="A8581" s="174">
        <f t="shared" si="126"/>
        <v>8580</v>
      </c>
      <c r="B8581" s="163">
        <v>45974</v>
      </c>
      <c r="C8581" s="194">
        <v>0.44651620370370365</v>
      </c>
      <c r="D8581" s="174">
        <v>10</v>
      </c>
      <c r="E8581" s="166" t="s">
        <v>6658</v>
      </c>
      <c r="F8581" t="s">
        <v>6946</v>
      </c>
    </row>
    <row r="8582" spans="1:6">
      <c r="A8582" s="174">
        <f t="shared" si="126"/>
        <v>8581</v>
      </c>
      <c r="B8582" s="163">
        <v>45974</v>
      </c>
      <c r="C8582" s="194">
        <v>0.39704861111111112</v>
      </c>
      <c r="D8582" s="174">
        <v>10</v>
      </c>
      <c r="E8582" s="166" t="s">
        <v>6657</v>
      </c>
      <c r="F8582" t="s">
        <v>6946</v>
      </c>
    </row>
    <row r="8583" spans="1:6">
      <c r="A8583" s="174">
        <f t="shared" si="126"/>
        <v>8582</v>
      </c>
      <c r="B8583" s="163">
        <v>45975</v>
      </c>
      <c r="C8583" s="194">
        <v>0.86894675925925924</v>
      </c>
      <c r="D8583" s="174">
        <v>10</v>
      </c>
      <c r="E8583" s="166" t="s">
        <v>5943</v>
      </c>
      <c r="F8583" t="s">
        <v>6946</v>
      </c>
    </row>
    <row r="8584" spans="1:6">
      <c r="A8584" s="174">
        <f t="shared" si="126"/>
        <v>8583</v>
      </c>
      <c r="B8584" s="163">
        <v>45975</v>
      </c>
      <c r="C8584" s="194">
        <v>0.86773148148148149</v>
      </c>
      <c r="D8584" s="174">
        <v>10</v>
      </c>
      <c r="E8584" s="166" t="s">
        <v>6706</v>
      </c>
      <c r="F8584" t="s">
        <v>6946</v>
      </c>
    </row>
    <row r="8585" spans="1:6">
      <c r="A8585" s="174">
        <f t="shared" si="126"/>
        <v>8584</v>
      </c>
      <c r="B8585" s="163">
        <v>45975</v>
      </c>
      <c r="C8585" s="194">
        <v>0.86322916666666671</v>
      </c>
      <c r="D8585" s="174">
        <v>10</v>
      </c>
      <c r="E8585" s="166" t="s">
        <v>6705</v>
      </c>
      <c r="F8585" t="s">
        <v>6946</v>
      </c>
    </row>
    <row r="8586" spans="1:6">
      <c r="A8586" s="174">
        <f t="shared" si="126"/>
        <v>8585</v>
      </c>
      <c r="B8586" s="163">
        <v>45975</v>
      </c>
      <c r="C8586" s="194">
        <v>0.84260416666666671</v>
      </c>
      <c r="D8586" s="174">
        <v>10</v>
      </c>
      <c r="E8586" s="166" t="s">
        <v>313</v>
      </c>
      <c r="F8586" t="s">
        <v>6946</v>
      </c>
    </row>
    <row r="8587" spans="1:6">
      <c r="A8587" s="174">
        <f t="shared" si="126"/>
        <v>8586</v>
      </c>
      <c r="B8587" s="163">
        <v>45975</v>
      </c>
      <c r="C8587" s="194">
        <v>0.80931712962962965</v>
      </c>
      <c r="D8587" s="174">
        <v>10</v>
      </c>
      <c r="E8587" s="166" t="s">
        <v>6704</v>
      </c>
      <c r="F8587" t="s">
        <v>6946</v>
      </c>
    </row>
    <row r="8588" spans="1:6">
      <c r="A8588" s="174">
        <f t="shared" si="126"/>
        <v>8587</v>
      </c>
      <c r="B8588" s="163">
        <v>45975</v>
      </c>
      <c r="C8588" s="194">
        <v>0.79957175925925927</v>
      </c>
      <c r="D8588" s="174">
        <v>10</v>
      </c>
      <c r="E8588" s="166" t="s">
        <v>6703</v>
      </c>
      <c r="F8588" t="s">
        <v>6946</v>
      </c>
    </row>
    <row r="8589" spans="1:6">
      <c r="A8589" s="174">
        <f t="shared" si="126"/>
        <v>8588</v>
      </c>
      <c r="B8589" s="163">
        <v>45975</v>
      </c>
      <c r="C8589" s="194">
        <v>0.7848032407407407</v>
      </c>
      <c r="D8589" s="174">
        <v>10</v>
      </c>
      <c r="E8589" s="166" t="s">
        <v>6702</v>
      </c>
      <c r="F8589" t="s">
        <v>6946</v>
      </c>
    </row>
    <row r="8590" spans="1:6">
      <c r="A8590" s="174">
        <f t="shared" si="126"/>
        <v>8589</v>
      </c>
      <c r="B8590" s="163">
        <v>45975</v>
      </c>
      <c r="C8590" s="194">
        <v>0.74546296296296299</v>
      </c>
      <c r="D8590" s="174">
        <v>10</v>
      </c>
      <c r="E8590" s="166" t="s">
        <v>6701</v>
      </c>
      <c r="F8590" t="s">
        <v>6946</v>
      </c>
    </row>
    <row r="8591" spans="1:6">
      <c r="A8591" s="174">
        <f t="shared" si="126"/>
        <v>8590</v>
      </c>
      <c r="B8591" s="163">
        <v>45975</v>
      </c>
      <c r="C8591" s="194">
        <v>0.74228009259259264</v>
      </c>
      <c r="D8591" s="174">
        <v>10</v>
      </c>
      <c r="E8591" s="166" t="s">
        <v>6700</v>
      </c>
      <c r="F8591" t="s">
        <v>6946</v>
      </c>
    </row>
    <row r="8592" spans="1:6">
      <c r="A8592" s="174">
        <f t="shared" si="126"/>
        <v>8591</v>
      </c>
      <c r="B8592" s="163">
        <v>45975</v>
      </c>
      <c r="C8592" s="194">
        <v>0.71442129629629625</v>
      </c>
      <c r="D8592" s="174">
        <v>10</v>
      </c>
      <c r="E8592" s="166" t="s">
        <v>6699</v>
      </c>
      <c r="F8592" t="s">
        <v>6946</v>
      </c>
    </row>
    <row r="8593" spans="1:6">
      <c r="A8593" s="174">
        <f t="shared" si="126"/>
        <v>8592</v>
      </c>
      <c r="B8593" s="163">
        <v>45975</v>
      </c>
      <c r="C8593" s="194">
        <v>0.74101851851851863</v>
      </c>
      <c r="D8593" s="174">
        <v>10</v>
      </c>
      <c r="E8593" s="166" t="s">
        <v>6698</v>
      </c>
      <c r="F8593" t="s">
        <v>6946</v>
      </c>
    </row>
    <row r="8594" spans="1:6">
      <c r="A8594" s="174">
        <f t="shared" si="126"/>
        <v>8593</v>
      </c>
      <c r="B8594" s="163">
        <v>45975</v>
      </c>
      <c r="C8594" s="194">
        <v>0.70452546296296292</v>
      </c>
      <c r="D8594" s="174">
        <v>10</v>
      </c>
      <c r="E8594" s="166" t="s">
        <v>132</v>
      </c>
      <c r="F8594" t="s">
        <v>6946</v>
      </c>
    </row>
    <row r="8595" spans="1:6">
      <c r="A8595" s="174">
        <f t="shared" si="126"/>
        <v>8594</v>
      </c>
      <c r="B8595" s="163">
        <v>45975</v>
      </c>
      <c r="C8595" s="194">
        <v>0.68982638888888881</v>
      </c>
      <c r="D8595" s="174">
        <v>10</v>
      </c>
      <c r="E8595" s="166" t="s">
        <v>6697</v>
      </c>
      <c r="F8595" t="s">
        <v>6946</v>
      </c>
    </row>
    <row r="8596" spans="1:6">
      <c r="A8596" s="174">
        <f t="shared" si="126"/>
        <v>8595</v>
      </c>
      <c r="B8596" s="163">
        <v>45975</v>
      </c>
      <c r="C8596" s="194">
        <v>0.69327546296296294</v>
      </c>
      <c r="D8596" s="174">
        <v>10</v>
      </c>
      <c r="E8596" s="166" t="s">
        <v>6696</v>
      </c>
      <c r="F8596" t="s">
        <v>6946</v>
      </c>
    </row>
    <row r="8597" spans="1:6">
      <c r="A8597" s="174">
        <f t="shared" si="126"/>
        <v>8596</v>
      </c>
      <c r="B8597" s="163">
        <v>45975</v>
      </c>
      <c r="C8597" s="194">
        <v>0.64854166666666668</v>
      </c>
      <c r="D8597" s="174">
        <v>10</v>
      </c>
      <c r="E8597" s="166" t="s">
        <v>6923</v>
      </c>
      <c r="F8597" t="s">
        <v>6946</v>
      </c>
    </row>
    <row r="8598" spans="1:6">
      <c r="A8598" s="174">
        <f t="shared" si="126"/>
        <v>8597</v>
      </c>
      <c r="B8598" s="163">
        <v>45975</v>
      </c>
      <c r="C8598" s="194">
        <v>0.65324074074074068</v>
      </c>
      <c r="D8598" s="174">
        <v>10</v>
      </c>
      <c r="E8598" s="166" t="s">
        <v>6695</v>
      </c>
      <c r="F8598" t="s">
        <v>6946</v>
      </c>
    </row>
    <row r="8599" spans="1:6">
      <c r="A8599" s="174">
        <f t="shared" si="126"/>
        <v>8598</v>
      </c>
      <c r="B8599" s="163">
        <v>45975</v>
      </c>
      <c r="C8599" s="194">
        <v>0.63747685185185188</v>
      </c>
      <c r="D8599" s="174">
        <v>10</v>
      </c>
      <c r="E8599" s="166" t="s">
        <v>443</v>
      </c>
      <c r="F8599" t="s">
        <v>6946</v>
      </c>
    </row>
    <row r="8600" spans="1:6">
      <c r="A8600" s="174">
        <f t="shared" si="126"/>
        <v>8599</v>
      </c>
      <c r="B8600" s="163">
        <v>45975</v>
      </c>
      <c r="C8600" s="194">
        <v>0.63596064814814812</v>
      </c>
      <c r="D8600" s="174">
        <v>10</v>
      </c>
      <c r="E8600" s="166" t="s">
        <v>6694</v>
      </c>
      <c r="F8600" t="s">
        <v>6946</v>
      </c>
    </row>
    <row r="8601" spans="1:6">
      <c r="A8601" s="174">
        <f t="shared" ref="A8601:A8617" si="127">ROW()-1</f>
        <v>8600</v>
      </c>
      <c r="B8601" s="163">
        <v>45975</v>
      </c>
      <c r="C8601" s="194">
        <v>0.62210648148148151</v>
      </c>
      <c r="D8601" s="174">
        <v>10</v>
      </c>
      <c r="E8601" s="166" t="s">
        <v>406</v>
      </c>
      <c r="F8601" t="s">
        <v>6946</v>
      </c>
    </row>
    <row r="8602" spans="1:6">
      <c r="A8602" s="174">
        <f t="shared" si="127"/>
        <v>8601</v>
      </c>
      <c r="B8602" s="163">
        <v>45975</v>
      </c>
      <c r="C8602" s="194">
        <v>0.66166666666666674</v>
      </c>
      <c r="D8602" s="174">
        <v>9</v>
      </c>
      <c r="E8602" s="166" t="s">
        <v>6924</v>
      </c>
      <c r="F8602" t="s">
        <v>6946</v>
      </c>
    </row>
    <row r="8603" spans="1:6">
      <c r="A8603" s="174">
        <f t="shared" si="127"/>
        <v>8602</v>
      </c>
      <c r="B8603" s="163">
        <v>45975</v>
      </c>
      <c r="C8603" s="194">
        <v>0.62733796296296296</v>
      </c>
      <c r="D8603" s="174">
        <v>10</v>
      </c>
      <c r="E8603" s="166" t="s">
        <v>6693</v>
      </c>
      <c r="F8603" t="s">
        <v>6946</v>
      </c>
    </row>
    <row r="8604" spans="1:6">
      <c r="A8604" s="174">
        <f t="shared" si="127"/>
        <v>8603</v>
      </c>
      <c r="B8604" s="163">
        <v>45975</v>
      </c>
      <c r="C8604" s="194">
        <v>0.61006944444444444</v>
      </c>
      <c r="D8604" s="174">
        <v>10</v>
      </c>
      <c r="E8604" s="166" t="s">
        <v>6692</v>
      </c>
      <c r="F8604" t="s">
        <v>6946</v>
      </c>
    </row>
    <row r="8605" spans="1:6">
      <c r="A8605" s="174">
        <f t="shared" si="127"/>
        <v>8604</v>
      </c>
      <c r="B8605" s="163">
        <v>45975</v>
      </c>
      <c r="C8605" s="194">
        <v>0.57395833333333335</v>
      </c>
      <c r="D8605" s="174">
        <v>10</v>
      </c>
      <c r="E8605" s="166" t="s">
        <v>6691</v>
      </c>
      <c r="F8605" t="s">
        <v>6946</v>
      </c>
    </row>
    <row r="8606" spans="1:6">
      <c r="A8606" s="174">
        <f t="shared" si="127"/>
        <v>8605</v>
      </c>
      <c r="B8606" s="163">
        <v>45975</v>
      </c>
      <c r="C8606" s="194">
        <v>0.58972222222222215</v>
      </c>
      <c r="D8606" s="174">
        <v>10</v>
      </c>
      <c r="E8606" s="166" t="s">
        <v>6925</v>
      </c>
      <c r="F8606" t="s">
        <v>6946</v>
      </c>
    </row>
    <row r="8607" spans="1:6">
      <c r="A8607" s="174">
        <f t="shared" si="127"/>
        <v>8606</v>
      </c>
      <c r="B8607" s="163">
        <v>45975</v>
      </c>
      <c r="C8607" s="194">
        <v>0.5718981481481481</v>
      </c>
      <c r="D8607" s="174">
        <v>10</v>
      </c>
      <c r="E8607" s="166" t="s">
        <v>6690</v>
      </c>
      <c r="F8607" t="s">
        <v>6946</v>
      </c>
    </row>
    <row r="8608" spans="1:6">
      <c r="A8608" s="174">
        <f t="shared" si="127"/>
        <v>8607</v>
      </c>
      <c r="B8608" s="163">
        <v>45975</v>
      </c>
      <c r="C8608" s="194">
        <v>0.52229166666666671</v>
      </c>
      <c r="D8608" s="174">
        <v>10</v>
      </c>
      <c r="E8608" s="166" t="s">
        <v>6689</v>
      </c>
      <c r="F8608" t="s">
        <v>6946</v>
      </c>
    </row>
    <row r="8609" spans="1:6">
      <c r="A8609" s="174">
        <f t="shared" si="127"/>
        <v>8608</v>
      </c>
      <c r="B8609" s="163">
        <v>45975</v>
      </c>
      <c r="C8609" s="194">
        <v>0.4944675925925926</v>
      </c>
      <c r="D8609" s="174">
        <v>10</v>
      </c>
      <c r="E8609" s="166" t="s">
        <v>6688</v>
      </c>
      <c r="F8609" t="s">
        <v>6946</v>
      </c>
    </row>
    <row r="8610" spans="1:6">
      <c r="A8610" s="174">
        <f t="shared" si="127"/>
        <v>8609</v>
      </c>
      <c r="B8610" s="163">
        <v>45975</v>
      </c>
      <c r="C8610" s="194">
        <v>0.47310185185185188</v>
      </c>
      <c r="D8610" s="174">
        <v>10</v>
      </c>
      <c r="E8610" s="166" t="s">
        <v>6687</v>
      </c>
      <c r="F8610" t="s">
        <v>6946</v>
      </c>
    </row>
    <row r="8611" spans="1:6">
      <c r="A8611" s="174">
        <f t="shared" si="127"/>
        <v>8610</v>
      </c>
      <c r="B8611" s="163">
        <v>45975</v>
      </c>
      <c r="C8611" s="194">
        <v>0.46424768518518517</v>
      </c>
      <c r="D8611" s="174">
        <v>10</v>
      </c>
      <c r="E8611" s="166" t="s">
        <v>6686</v>
      </c>
      <c r="F8611" t="s">
        <v>6946</v>
      </c>
    </row>
    <row r="8612" spans="1:6">
      <c r="A8612" s="174">
        <f t="shared" si="127"/>
        <v>8611</v>
      </c>
      <c r="B8612" s="163">
        <v>45975</v>
      </c>
      <c r="C8612" s="194">
        <v>0.46621527777777777</v>
      </c>
      <c r="D8612" s="174">
        <v>10</v>
      </c>
      <c r="E8612" s="166" t="s">
        <v>6685</v>
      </c>
      <c r="F8612" t="s">
        <v>6946</v>
      </c>
    </row>
    <row r="8613" spans="1:6">
      <c r="A8613" s="174">
        <f t="shared" si="127"/>
        <v>8612</v>
      </c>
      <c r="B8613" s="163">
        <v>45975</v>
      </c>
      <c r="C8613" s="194">
        <v>0.47249999999999998</v>
      </c>
      <c r="D8613" s="174">
        <v>10</v>
      </c>
      <c r="E8613" s="166">
        <v>0</v>
      </c>
      <c r="F8613" t="s">
        <v>6946</v>
      </c>
    </row>
    <row r="8614" spans="1:6">
      <c r="A8614" s="174">
        <f t="shared" si="127"/>
        <v>8613</v>
      </c>
      <c r="B8614" s="163">
        <v>45975</v>
      </c>
      <c r="C8614" s="194">
        <v>0.43651620370370375</v>
      </c>
      <c r="D8614" s="174">
        <v>10</v>
      </c>
      <c r="E8614" s="166" t="s">
        <v>6684</v>
      </c>
      <c r="F8614" t="s">
        <v>6946</v>
      </c>
    </row>
    <row r="8615" spans="1:6">
      <c r="A8615" s="174">
        <f t="shared" si="127"/>
        <v>8614</v>
      </c>
      <c r="B8615" s="163">
        <v>45975</v>
      </c>
      <c r="C8615" s="194">
        <v>0.41146990740740735</v>
      </c>
      <c r="D8615" s="174">
        <v>10</v>
      </c>
      <c r="E8615" s="166" t="s">
        <v>6683</v>
      </c>
      <c r="F8615" t="s">
        <v>6946</v>
      </c>
    </row>
    <row r="8616" spans="1:6">
      <c r="A8616" s="174">
        <f t="shared" si="127"/>
        <v>8615</v>
      </c>
      <c r="B8616" s="163">
        <v>45975</v>
      </c>
      <c r="C8616" s="194">
        <v>0.39349537037037036</v>
      </c>
      <c r="D8616" s="174">
        <v>10</v>
      </c>
      <c r="E8616" s="166" t="s">
        <v>6682</v>
      </c>
      <c r="F8616" t="s">
        <v>6946</v>
      </c>
    </row>
    <row r="8617" spans="1:6">
      <c r="A8617" s="174">
        <f t="shared" si="127"/>
        <v>8616</v>
      </c>
      <c r="B8617" s="163">
        <v>45975</v>
      </c>
      <c r="C8617" s="194">
        <v>0.39513888888888887</v>
      </c>
      <c r="D8617" s="174">
        <v>10</v>
      </c>
      <c r="E8617" s="166">
        <v>0</v>
      </c>
      <c r="F8617" t="s">
        <v>6946</v>
      </c>
    </row>
    <row r="8618" spans="1:6">
      <c r="A8618" s="174"/>
      <c r="B8618" s="163">
        <v>45976</v>
      </c>
      <c r="C8618" s="194">
        <v>0.66530092592592593</v>
      </c>
      <c r="D8618" s="174">
        <v>10</v>
      </c>
      <c r="E8618" s="166" t="s">
        <v>6716</v>
      </c>
      <c r="F8618" t="s">
        <v>6946</v>
      </c>
    </row>
    <row r="8619" spans="1:6">
      <c r="A8619" s="174"/>
      <c r="B8619" s="163">
        <v>45976</v>
      </c>
      <c r="C8619" s="194">
        <v>0.61920138888888887</v>
      </c>
      <c r="D8619" s="174">
        <v>10</v>
      </c>
      <c r="E8619" s="166" t="s">
        <v>6715</v>
      </c>
      <c r="F8619" t="s">
        <v>6946</v>
      </c>
    </row>
    <row r="8620" spans="1:6">
      <c r="A8620" s="174"/>
      <c r="B8620" s="163">
        <v>45976</v>
      </c>
      <c r="C8620" s="194">
        <v>0.61777777777777776</v>
      </c>
      <c r="D8620" s="174">
        <v>10</v>
      </c>
      <c r="E8620" s="166" t="s">
        <v>313</v>
      </c>
      <c r="F8620" t="s">
        <v>6946</v>
      </c>
    </row>
    <row r="8621" spans="1:6">
      <c r="A8621" s="174"/>
      <c r="B8621" s="163">
        <v>45976</v>
      </c>
      <c r="C8621" s="194">
        <v>0.57297453703703705</v>
      </c>
      <c r="D8621" s="174">
        <v>10</v>
      </c>
      <c r="E8621" s="166" t="s">
        <v>6714</v>
      </c>
      <c r="F8621" t="s">
        <v>6946</v>
      </c>
    </row>
    <row r="8622" spans="1:6">
      <c r="A8622" s="174"/>
      <c r="B8622" s="163">
        <v>45976</v>
      </c>
      <c r="C8622" s="194">
        <v>0.55922453703703701</v>
      </c>
      <c r="D8622" s="174">
        <v>10</v>
      </c>
      <c r="E8622" s="166" t="s">
        <v>6713</v>
      </c>
      <c r="F8622" t="s">
        <v>6946</v>
      </c>
    </row>
    <row r="8623" spans="1:6">
      <c r="A8623" s="174"/>
      <c r="B8623" s="163">
        <v>45976</v>
      </c>
      <c r="C8623" s="194">
        <v>0.47538194444444448</v>
      </c>
      <c r="D8623" s="174">
        <v>10</v>
      </c>
      <c r="E8623" s="166" t="s">
        <v>6712</v>
      </c>
      <c r="F8623" t="s">
        <v>6946</v>
      </c>
    </row>
    <row r="8624" spans="1:6">
      <c r="A8624" s="174"/>
      <c r="B8624" s="163">
        <v>45976</v>
      </c>
      <c r="C8624" s="194">
        <v>0.44724537037037032</v>
      </c>
      <c r="D8624" s="174">
        <v>10</v>
      </c>
      <c r="E8624" s="166" t="s">
        <v>6711</v>
      </c>
      <c r="F8624" t="s">
        <v>6946</v>
      </c>
    </row>
    <row r="8625" spans="1:6">
      <c r="A8625" s="174"/>
      <c r="B8625" s="163">
        <v>45976</v>
      </c>
      <c r="C8625" s="194">
        <v>0.48084490740740743</v>
      </c>
      <c r="D8625" s="174">
        <v>10</v>
      </c>
      <c r="E8625" s="166" t="s">
        <v>6710</v>
      </c>
      <c r="F8625" t="s">
        <v>6946</v>
      </c>
    </row>
    <row r="8626" spans="1:6">
      <c r="A8626" s="174"/>
      <c r="B8626" s="163">
        <v>45976</v>
      </c>
      <c r="C8626" s="194">
        <v>0.44103009259259257</v>
      </c>
      <c r="D8626" s="174">
        <v>10</v>
      </c>
      <c r="E8626" s="166" t="s">
        <v>6709</v>
      </c>
      <c r="F8626" t="s">
        <v>6946</v>
      </c>
    </row>
    <row r="8627" spans="1:6">
      <c r="A8627" s="174"/>
      <c r="B8627" s="163">
        <v>45976</v>
      </c>
      <c r="C8627" s="194">
        <v>0.40854166666666664</v>
      </c>
      <c r="D8627" s="174">
        <v>10</v>
      </c>
      <c r="E8627" s="166" t="s">
        <v>6708</v>
      </c>
      <c r="F8627" t="s">
        <v>6946</v>
      </c>
    </row>
    <row r="8628" spans="1:6">
      <c r="A8628" s="174">
        <f t="shared" ref="A8628:A8654" si="128">ROW()-1</f>
        <v>8627</v>
      </c>
      <c r="B8628" s="163">
        <v>45976</v>
      </c>
      <c r="C8628" s="194">
        <v>0.41321759259259255</v>
      </c>
      <c r="D8628" s="174">
        <v>10</v>
      </c>
      <c r="E8628" s="166" t="s">
        <v>6707</v>
      </c>
      <c r="F8628" t="s">
        <v>6946</v>
      </c>
    </row>
    <row r="8629" spans="1:6">
      <c r="A8629" s="174">
        <f t="shared" si="128"/>
        <v>8628</v>
      </c>
      <c r="B8629" s="163">
        <v>45978</v>
      </c>
      <c r="C8629" s="194">
        <v>0.86185185185185187</v>
      </c>
      <c r="D8629" s="193">
        <v>10</v>
      </c>
      <c r="E8629" s="166" t="s">
        <v>6740</v>
      </c>
      <c r="F8629" t="s">
        <v>6946</v>
      </c>
    </row>
    <row r="8630" spans="1:6">
      <c r="A8630" s="174">
        <f t="shared" si="128"/>
        <v>8629</v>
      </c>
      <c r="B8630" s="163">
        <v>45978</v>
      </c>
      <c r="C8630" s="194">
        <v>0.82065972222222217</v>
      </c>
      <c r="D8630" s="193">
        <v>10</v>
      </c>
      <c r="E8630" s="166" t="s">
        <v>6739</v>
      </c>
      <c r="F8630" t="s">
        <v>6946</v>
      </c>
    </row>
    <row r="8631" spans="1:6">
      <c r="A8631" s="174">
        <f t="shared" si="128"/>
        <v>8630</v>
      </c>
      <c r="B8631" s="163">
        <v>45978</v>
      </c>
      <c r="C8631" s="194">
        <v>0.78943287037037047</v>
      </c>
      <c r="D8631" s="193">
        <v>10</v>
      </c>
      <c r="E8631" s="166" t="s">
        <v>2233</v>
      </c>
      <c r="F8631" t="s">
        <v>6946</v>
      </c>
    </row>
    <row r="8632" spans="1:6">
      <c r="A8632" s="174">
        <f t="shared" si="128"/>
        <v>8631</v>
      </c>
      <c r="B8632" s="163">
        <v>45978</v>
      </c>
      <c r="C8632" s="194">
        <v>0.77444444444444438</v>
      </c>
      <c r="D8632" s="193">
        <v>10</v>
      </c>
      <c r="E8632" s="166" t="s">
        <v>6738</v>
      </c>
      <c r="F8632" t="s">
        <v>6946</v>
      </c>
    </row>
    <row r="8633" spans="1:6">
      <c r="A8633" s="174">
        <f t="shared" si="128"/>
        <v>8632</v>
      </c>
      <c r="B8633" s="163">
        <v>45978</v>
      </c>
      <c r="C8633" s="194">
        <v>0.75351851851851848</v>
      </c>
      <c r="D8633" s="174">
        <v>10</v>
      </c>
      <c r="E8633" s="166" t="s">
        <v>6921</v>
      </c>
      <c r="F8633" t="s">
        <v>6946</v>
      </c>
    </row>
    <row r="8634" spans="1:6">
      <c r="A8634" s="174">
        <f t="shared" si="128"/>
        <v>8633</v>
      </c>
      <c r="B8634" s="163">
        <v>45978</v>
      </c>
      <c r="C8634" s="194">
        <v>0.74053240740740733</v>
      </c>
      <c r="D8634" s="174">
        <v>10</v>
      </c>
      <c r="E8634" s="166" t="s">
        <v>6737</v>
      </c>
      <c r="F8634" t="s">
        <v>6946</v>
      </c>
    </row>
    <row r="8635" spans="1:6">
      <c r="A8635" s="174">
        <f t="shared" si="128"/>
        <v>8634</v>
      </c>
      <c r="B8635" s="163">
        <v>45978</v>
      </c>
      <c r="C8635" s="194">
        <v>0.72913194444444451</v>
      </c>
      <c r="D8635" s="174">
        <v>10</v>
      </c>
      <c r="E8635" s="166" t="s">
        <v>244</v>
      </c>
      <c r="F8635" t="s">
        <v>6946</v>
      </c>
    </row>
    <row r="8636" spans="1:6">
      <c r="A8636" s="174">
        <f t="shared" si="128"/>
        <v>8635</v>
      </c>
      <c r="B8636" s="163">
        <v>45978</v>
      </c>
      <c r="C8636" s="194">
        <v>0.71423611111111107</v>
      </c>
      <c r="D8636" s="174">
        <v>10</v>
      </c>
      <c r="E8636" s="166" t="s">
        <v>6736</v>
      </c>
      <c r="F8636" t="s">
        <v>6946</v>
      </c>
    </row>
    <row r="8637" spans="1:6">
      <c r="A8637" s="174">
        <f t="shared" si="128"/>
        <v>8636</v>
      </c>
      <c r="B8637" s="163">
        <v>45978</v>
      </c>
      <c r="C8637" s="194">
        <v>0.71004629629629623</v>
      </c>
      <c r="D8637" s="174">
        <v>10</v>
      </c>
      <c r="E8637" s="166" t="s">
        <v>6922</v>
      </c>
      <c r="F8637" t="s">
        <v>6946</v>
      </c>
    </row>
    <row r="8638" spans="1:6">
      <c r="A8638" s="174">
        <f t="shared" si="128"/>
        <v>8637</v>
      </c>
      <c r="B8638" s="163">
        <v>45978</v>
      </c>
      <c r="C8638" s="194">
        <v>0.71462962962962961</v>
      </c>
      <c r="D8638" s="174">
        <v>10</v>
      </c>
      <c r="E8638" s="166" t="s">
        <v>132</v>
      </c>
      <c r="F8638" t="s">
        <v>6946</v>
      </c>
    </row>
    <row r="8639" spans="1:6">
      <c r="A8639" s="174">
        <f t="shared" si="128"/>
        <v>8638</v>
      </c>
      <c r="B8639" s="163">
        <v>45978</v>
      </c>
      <c r="C8639" s="194">
        <v>0.69854166666666673</v>
      </c>
      <c r="D8639" s="174">
        <v>10</v>
      </c>
      <c r="E8639" s="166" t="s">
        <v>6735</v>
      </c>
      <c r="F8639" t="s">
        <v>6946</v>
      </c>
    </row>
    <row r="8640" spans="1:6">
      <c r="A8640" s="174">
        <f t="shared" si="128"/>
        <v>8639</v>
      </c>
      <c r="B8640" s="163">
        <v>45978</v>
      </c>
      <c r="C8640" s="194">
        <v>0.69609953703703698</v>
      </c>
      <c r="D8640" s="174">
        <v>10</v>
      </c>
      <c r="E8640" s="166" t="s">
        <v>6734</v>
      </c>
      <c r="F8640" t="s">
        <v>6946</v>
      </c>
    </row>
    <row r="8641" spans="1:6">
      <c r="A8641" s="174">
        <f t="shared" si="128"/>
        <v>8640</v>
      </c>
      <c r="B8641" s="163">
        <v>45978</v>
      </c>
      <c r="C8641" s="194">
        <v>0.69616898148148154</v>
      </c>
      <c r="D8641" s="174">
        <v>10</v>
      </c>
      <c r="E8641" s="166" t="s">
        <v>6733</v>
      </c>
      <c r="F8641" t="s">
        <v>6946</v>
      </c>
    </row>
    <row r="8642" spans="1:6">
      <c r="A8642" s="174">
        <f t="shared" si="128"/>
        <v>8641</v>
      </c>
      <c r="B8642" s="163">
        <v>45978</v>
      </c>
      <c r="C8642" s="194">
        <v>0.75436342592592587</v>
      </c>
      <c r="D8642" s="174">
        <v>10</v>
      </c>
      <c r="E8642" s="166" t="s">
        <v>561</v>
      </c>
      <c r="F8642" t="s">
        <v>6946</v>
      </c>
    </row>
    <row r="8643" spans="1:6">
      <c r="A8643" s="174">
        <f t="shared" si="128"/>
        <v>8642</v>
      </c>
      <c r="B8643" s="163">
        <v>45978</v>
      </c>
      <c r="C8643" s="194">
        <v>0.71377314814814818</v>
      </c>
      <c r="D8643" s="174">
        <v>10</v>
      </c>
      <c r="E8643" s="166" t="s">
        <v>6732</v>
      </c>
      <c r="F8643" t="s">
        <v>6946</v>
      </c>
    </row>
    <row r="8644" spans="1:6">
      <c r="A8644" s="174">
        <f t="shared" si="128"/>
        <v>8643</v>
      </c>
      <c r="B8644" s="163">
        <v>45978</v>
      </c>
      <c r="C8644" s="194">
        <v>0.68223379629629621</v>
      </c>
      <c r="D8644" s="174">
        <v>10</v>
      </c>
      <c r="E8644" s="166" t="s">
        <v>6731</v>
      </c>
      <c r="F8644" t="s">
        <v>6946</v>
      </c>
    </row>
    <row r="8645" spans="1:6">
      <c r="A8645" s="174">
        <f t="shared" si="128"/>
        <v>8644</v>
      </c>
      <c r="B8645" s="163">
        <v>45978</v>
      </c>
      <c r="C8645" s="194">
        <v>0.67113425925925929</v>
      </c>
      <c r="D8645" s="174">
        <v>10</v>
      </c>
      <c r="E8645" s="166" t="s">
        <v>6730</v>
      </c>
      <c r="F8645" t="s">
        <v>6946</v>
      </c>
    </row>
    <row r="8646" spans="1:6">
      <c r="A8646" s="174">
        <f t="shared" si="128"/>
        <v>8645</v>
      </c>
      <c r="B8646" s="163">
        <v>45978</v>
      </c>
      <c r="C8646" s="194">
        <v>0.66298611111111116</v>
      </c>
      <c r="D8646" s="174">
        <v>10</v>
      </c>
      <c r="E8646" s="166" t="s">
        <v>6729</v>
      </c>
      <c r="F8646" t="s">
        <v>6946</v>
      </c>
    </row>
    <row r="8647" spans="1:6">
      <c r="A8647" s="174">
        <f t="shared" si="128"/>
        <v>8646</v>
      </c>
      <c r="B8647" s="163">
        <v>45978</v>
      </c>
      <c r="C8647" s="194">
        <v>0.65109953703703705</v>
      </c>
      <c r="D8647" s="174">
        <v>10</v>
      </c>
      <c r="E8647" s="166" t="s">
        <v>6728</v>
      </c>
      <c r="F8647" t="s">
        <v>6946</v>
      </c>
    </row>
    <row r="8648" spans="1:6">
      <c r="A8648" s="174">
        <f t="shared" si="128"/>
        <v>8647</v>
      </c>
      <c r="B8648" s="163">
        <v>45978</v>
      </c>
      <c r="C8648" s="194">
        <v>0.64612268518518523</v>
      </c>
      <c r="D8648" s="174">
        <v>10</v>
      </c>
      <c r="E8648" s="166" t="s">
        <v>6727</v>
      </c>
      <c r="F8648" t="s">
        <v>6946</v>
      </c>
    </row>
    <row r="8649" spans="1:6">
      <c r="A8649" s="174">
        <f t="shared" si="128"/>
        <v>8648</v>
      </c>
      <c r="B8649" s="163">
        <v>45978</v>
      </c>
      <c r="C8649" s="194">
        <v>0.57484953703703701</v>
      </c>
      <c r="D8649" s="174">
        <v>10</v>
      </c>
      <c r="E8649" s="166" t="s">
        <v>6726</v>
      </c>
      <c r="F8649" t="s">
        <v>6946</v>
      </c>
    </row>
    <row r="8650" spans="1:6">
      <c r="A8650" s="174">
        <f t="shared" si="128"/>
        <v>8649</v>
      </c>
      <c r="B8650" s="163">
        <v>45978</v>
      </c>
      <c r="C8650" s="194">
        <v>0.5744097222222222</v>
      </c>
      <c r="D8650" s="174">
        <v>10</v>
      </c>
      <c r="E8650" s="166" t="s">
        <v>6725</v>
      </c>
      <c r="F8650" t="s">
        <v>6946</v>
      </c>
    </row>
    <row r="8651" spans="1:6">
      <c r="A8651" s="174">
        <f t="shared" si="128"/>
        <v>8650</v>
      </c>
      <c r="B8651" s="163">
        <v>45978</v>
      </c>
      <c r="C8651" s="194">
        <v>0.56175925925925929</v>
      </c>
      <c r="D8651" s="174">
        <v>10</v>
      </c>
      <c r="E8651" s="166" t="s">
        <v>6724</v>
      </c>
      <c r="F8651" t="s">
        <v>6946</v>
      </c>
    </row>
    <row r="8652" spans="1:6">
      <c r="A8652" s="174">
        <f t="shared" si="128"/>
        <v>8651</v>
      </c>
      <c r="B8652" s="163">
        <v>45978</v>
      </c>
      <c r="C8652" s="194">
        <v>0.56487268518518519</v>
      </c>
      <c r="D8652" s="174">
        <v>10</v>
      </c>
      <c r="E8652" s="166" t="s">
        <v>6723</v>
      </c>
      <c r="F8652" t="s">
        <v>6946</v>
      </c>
    </row>
    <row r="8653" spans="1:6">
      <c r="A8653" s="174">
        <f t="shared" si="128"/>
        <v>8652</v>
      </c>
      <c r="B8653" s="163">
        <v>45978</v>
      </c>
      <c r="C8653" s="194">
        <v>0.54050925925925919</v>
      </c>
      <c r="D8653" s="174">
        <v>10</v>
      </c>
      <c r="E8653" s="166" t="s">
        <v>6722</v>
      </c>
      <c r="F8653" t="s">
        <v>6946</v>
      </c>
    </row>
    <row r="8654" spans="1:6">
      <c r="A8654" s="174">
        <f t="shared" si="128"/>
        <v>8653</v>
      </c>
      <c r="B8654" s="163">
        <v>45978</v>
      </c>
      <c r="C8654" s="194">
        <v>0.46876157407407404</v>
      </c>
      <c r="D8654" s="174">
        <v>10</v>
      </c>
      <c r="E8654" s="166" t="s">
        <v>6721</v>
      </c>
      <c r="F8654" t="s">
        <v>6946</v>
      </c>
    </row>
    <row r="8655" spans="1:6">
      <c r="A8655" s="174"/>
      <c r="B8655" s="163">
        <v>45978</v>
      </c>
      <c r="C8655" s="194">
        <v>0.45929398148148143</v>
      </c>
      <c r="D8655" s="174">
        <v>10</v>
      </c>
      <c r="E8655" s="166">
        <v>0</v>
      </c>
      <c r="F8655" t="s">
        <v>6946</v>
      </c>
    </row>
    <row r="8656" spans="1:6">
      <c r="A8656" s="174"/>
      <c r="B8656" s="163">
        <v>45978</v>
      </c>
      <c r="C8656" s="194">
        <v>0.44333333333333336</v>
      </c>
      <c r="D8656" s="174">
        <v>10</v>
      </c>
      <c r="E8656" s="166" t="s">
        <v>418</v>
      </c>
      <c r="F8656" t="s">
        <v>6946</v>
      </c>
    </row>
    <row r="8657" spans="1:6">
      <c r="A8657" s="174"/>
      <c r="B8657" s="163">
        <v>45978</v>
      </c>
      <c r="C8657" s="194">
        <v>0.43589120370370371</v>
      </c>
      <c r="D8657" s="174">
        <v>10</v>
      </c>
      <c r="E8657" s="166" t="s">
        <v>2068</v>
      </c>
      <c r="F8657" t="s">
        <v>6946</v>
      </c>
    </row>
    <row r="8658" spans="1:6" ht="40.5">
      <c r="A8658" s="174"/>
      <c r="B8658" s="163">
        <v>45978</v>
      </c>
      <c r="C8658" s="194">
        <v>0.42638888888888887</v>
      </c>
      <c r="D8658" s="174">
        <v>10</v>
      </c>
      <c r="E8658" s="166" t="s">
        <v>6720</v>
      </c>
      <c r="F8658" t="s">
        <v>6946</v>
      </c>
    </row>
    <row r="8659" spans="1:6">
      <c r="A8659" s="174"/>
      <c r="B8659" s="163">
        <v>45978</v>
      </c>
      <c r="C8659" s="194">
        <v>0.41821759259259261</v>
      </c>
      <c r="D8659" s="174">
        <v>10</v>
      </c>
      <c r="E8659" s="166" t="s">
        <v>6719</v>
      </c>
      <c r="F8659" t="s">
        <v>6946</v>
      </c>
    </row>
    <row r="8660" spans="1:6">
      <c r="A8660" s="174"/>
      <c r="B8660" s="163">
        <v>45978</v>
      </c>
      <c r="C8660" s="194">
        <v>0.40809027777777779</v>
      </c>
      <c r="D8660" s="174">
        <v>10</v>
      </c>
      <c r="E8660" s="166" t="s">
        <v>6718</v>
      </c>
      <c r="F8660" t="s">
        <v>6946</v>
      </c>
    </row>
    <row r="8661" spans="1:6">
      <c r="A8661" s="174"/>
      <c r="B8661" s="163">
        <v>45978</v>
      </c>
      <c r="C8661" s="194">
        <v>0.40447916666666667</v>
      </c>
      <c r="D8661" s="174">
        <v>10</v>
      </c>
      <c r="E8661" s="166" t="s">
        <v>6717</v>
      </c>
      <c r="F8661" t="s">
        <v>6946</v>
      </c>
    </row>
    <row r="8662" spans="1:6">
      <c r="A8662" s="174">
        <f t="shared" ref="A8662:A8725" si="129">ROW()-1</f>
        <v>8661</v>
      </c>
      <c r="B8662" s="163">
        <v>45979</v>
      </c>
      <c r="C8662" s="194">
        <v>0.82572916666666663</v>
      </c>
      <c r="D8662" s="174">
        <v>10</v>
      </c>
      <c r="E8662" s="166" t="s">
        <v>6752</v>
      </c>
      <c r="F8662" t="s">
        <v>6946</v>
      </c>
    </row>
    <row r="8663" spans="1:6">
      <c r="A8663" s="174">
        <f t="shared" si="129"/>
        <v>8662</v>
      </c>
      <c r="B8663" s="163">
        <v>45979</v>
      </c>
      <c r="C8663" s="194">
        <v>0.77781250000000002</v>
      </c>
      <c r="D8663" s="174">
        <v>10</v>
      </c>
      <c r="E8663" s="166" t="s">
        <v>6916</v>
      </c>
      <c r="F8663" t="s">
        <v>6946</v>
      </c>
    </row>
    <row r="8664" spans="1:6">
      <c r="A8664" s="174">
        <f t="shared" si="129"/>
        <v>8663</v>
      </c>
      <c r="B8664" s="163">
        <v>45979</v>
      </c>
      <c r="C8664" s="194">
        <v>0.78684027777777776</v>
      </c>
      <c r="D8664" s="174">
        <v>10</v>
      </c>
      <c r="E8664" s="166" t="s">
        <v>6751</v>
      </c>
      <c r="F8664" t="s">
        <v>6946</v>
      </c>
    </row>
    <row r="8665" spans="1:6">
      <c r="A8665" s="174">
        <f t="shared" si="129"/>
        <v>8664</v>
      </c>
      <c r="B8665" s="163">
        <v>45979</v>
      </c>
      <c r="C8665" s="194">
        <v>0.74883101851851863</v>
      </c>
      <c r="D8665" s="174">
        <v>10</v>
      </c>
      <c r="E8665" s="166" t="s">
        <v>6750</v>
      </c>
      <c r="F8665" t="s">
        <v>6946</v>
      </c>
    </row>
    <row r="8666" spans="1:6">
      <c r="A8666" s="174">
        <f t="shared" si="129"/>
        <v>8665</v>
      </c>
      <c r="B8666" s="163">
        <v>45979</v>
      </c>
      <c r="C8666" s="194">
        <v>0.74630787037037039</v>
      </c>
      <c r="D8666" s="174">
        <v>10</v>
      </c>
      <c r="E8666" s="166" t="s">
        <v>6917</v>
      </c>
      <c r="F8666" t="s">
        <v>6946</v>
      </c>
    </row>
    <row r="8667" spans="1:6">
      <c r="A8667" s="174">
        <f t="shared" si="129"/>
        <v>8666</v>
      </c>
      <c r="B8667" s="163">
        <v>45979</v>
      </c>
      <c r="C8667" s="194">
        <v>0.72016203703703707</v>
      </c>
      <c r="D8667" s="174">
        <v>10</v>
      </c>
      <c r="E8667" s="166" t="s">
        <v>1487</v>
      </c>
      <c r="F8667" t="s">
        <v>6946</v>
      </c>
    </row>
    <row r="8668" spans="1:6">
      <c r="A8668" s="174">
        <f t="shared" si="129"/>
        <v>8667</v>
      </c>
      <c r="B8668" s="163">
        <v>45979</v>
      </c>
      <c r="C8668" s="194">
        <v>0.73931712962962959</v>
      </c>
      <c r="D8668" s="174">
        <v>10</v>
      </c>
      <c r="E8668" s="166" t="s">
        <v>4144</v>
      </c>
      <c r="F8668" t="s">
        <v>6946</v>
      </c>
    </row>
    <row r="8669" spans="1:6">
      <c r="A8669" s="174">
        <f t="shared" si="129"/>
        <v>8668</v>
      </c>
      <c r="B8669" s="163">
        <v>45979</v>
      </c>
      <c r="C8669" s="194">
        <v>0.67424768518518519</v>
      </c>
      <c r="D8669" s="174">
        <v>10</v>
      </c>
      <c r="E8669" s="166" t="s">
        <v>6749</v>
      </c>
      <c r="F8669" t="s">
        <v>6946</v>
      </c>
    </row>
    <row r="8670" spans="1:6">
      <c r="A8670" s="174">
        <f t="shared" si="129"/>
        <v>8669</v>
      </c>
      <c r="B8670" s="163">
        <v>45979</v>
      </c>
      <c r="C8670" s="194">
        <v>0.67178240740740736</v>
      </c>
      <c r="D8670" s="174">
        <v>10</v>
      </c>
      <c r="E8670" s="166" t="s">
        <v>273</v>
      </c>
      <c r="F8670" t="s">
        <v>6946</v>
      </c>
    </row>
    <row r="8671" spans="1:6">
      <c r="A8671" s="174">
        <f t="shared" si="129"/>
        <v>8670</v>
      </c>
      <c r="B8671" s="163">
        <v>45979</v>
      </c>
      <c r="C8671" s="194">
        <v>0.66328703703703706</v>
      </c>
      <c r="D8671" s="193">
        <v>10</v>
      </c>
      <c r="E8671" s="166" t="s">
        <v>6918</v>
      </c>
      <c r="F8671" t="s">
        <v>6946</v>
      </c>
    </row>
    <row r="8672" spans="1:6">
      <c r="A8672" s="174">
        <f t="shared" si="129"/>
        <v>8671</v>
      </c>
      <c r="B8672" s="163">
        <v>45979</v>
      </c>
      <c r="C8672" s="194">
        <v>0.62296296296296294</v>
      </c>
      <c r="D8672" s="174">
        <v>10</v>
      </c>
      <c r="E8672" s="166" t="s">
        <v>246</v>
      </c>
      <c r="F8672" t="s">
        <v>6946</v>
      </c>
    </row>
    <row r="8673" spans="1:6">
      <c r="A8673" s="174">
        <f t="shared" si="129"/>
        <v>8672</v>
      </c>
      <c r="B8673" s="163">
        <v>45979</v>
      </c>
      <c r="C8673" s="194">
        <v>0.61553240740740744</v>
      </c>
      <c r="D8673" s="174">
        <v>10</v>
      </c>
      <c r="E8673" s="166" t="s">
        <v>6748</v>
      </c>
      <c r="F8673" t="s">
        <v>6946</v>
      </c>
    </row>
    <row r="8674" spans="1:6">
      <c r="A8674" s="174">
        <f t="shared" si="129"/>
        <v>8673</v>
      </c>
      <c r="B8674" s="163">
        <v>45979</v>
      </c>
      <c r="C8674" s="194">
        <v>0.62103009259259256</v>
      </c>
      <c r="D8674" s="174">
        <v>10</v>
      </c>
      <c r="E8674" s="166" t="s">
        <v>6747</v>
      </c>
      <c r="F8674" t="s">
        <v>6946</v>
      </c>
    </row>
    <row r="8675" spans="1:6">
      <c r="A8675" s="174">
        <f t="shared" si="129"/>
        <v>8674</v>
      </c>
      <c r="B8675" s="163">
        <v>45979</v>
      </c>
      <c r="C8675" s="194">
        <v>0.58210648148148147</v>
      </c>
      <c r="D8675" s="174">
        <v>10</v>
      </c>
      <c r="E8675" s="166" t="s">
        <v>6746</v>
      </c>
      <c r="F8675" t="s">
        <v>6946</v>
      </c>
    </row>
    <row r="8676" spans="1:6">
      <c r="A8676" s="174">
        <f t="shared" si="129"/>
        <v>8675</v>
      </c>
      <c r="B8676" s="163">
        <v>45979</v>
      </c>
      <c r="C8676" s="194">
        <v>0.53802083333333328</v>
      </c>
      <c r="D8676" s="174">
        <v>10</v>
      </c>
      <c r="E8676" s="166" t="s">
        <v>6745</v>
      </c>
      <c r="F8676" t="s">
        <v>6946</v>
      </c>
    </row>
    <row r="8677" spans="1:6">
      <c r="A8677" s="174">
        <f t="shared" si="129"/>
        <v>8676</v>
      </c>
      <c r="B8677" s="163">
        <v>45979</v>
      </c>
      <c r="C8677" s="194">
        <v>0.51076388888888891</v>
      </c>
      <c r="D8677" s="174">
        <v>10</v>
      </c>
      <c r="E8677" s="166" t="s">
        <v>6744</v>
      </c>
      <c r="F8677" t="s">
        <v>6946</v>
      </c>
    </row>
    <row r="8678" spans="1:6">
      <c r="A8678" s="174">
        <f t="shared" si="129"/>
        <v>8677</v>
      </c>
      <c r="B8678" s="163">
        <v>45979</v>
      </c>
      <c r="C8678" s="194">
        <v>0.48298611111111112</v>
      </c>
      <c r="D8678" s="174">
        <v>10</v>
      </c>
      <c r="E8678" s="166" t="s">
        <v>6743</v>
      </c>
      <c r="F8678" t="s">
        <v>6946</v>
      </c>
    </row>
    <row r="8679" spans="1:6">
      <c r="A8679" s="174">
        <f t="shared" si="129"/>
        <v>8678</v>
      </c>
      <c r="B8679" s="163">
        <v>45979</v>
      </c>
      <c r="C8679" s="194">
        <v>0.48491898148148144</v>
      </c>
      <c r="D8679" s="174">
        <v>10</v>
      </c>
      <c r="E8679" s="166" t="s">
        <v>194</v>
      </c>
      <c r="F8679" t="s">
        <v>6946</v>
      </c>
    </row>
    <row r="8680" spans="1:6">
      <c r="A8680" s="174">
        <f t="shared" si="129"/>
        <v>8679</v>
      </c>
      <c r="B8680" s="163">
        <v>45979</v>
      </c>
      <c r="C8680" s="194">
        <v>0.45681712962962967</v>
      </c>
      <c r="D8680" s="174">
        <v>7</v>
      </c>
      <c r="E8680" s="166" t="s">
        <v>6919</v>
      </c>
      <c r="F8680" t="s">
        <v>6946</v>
      </c>
    </row>
    <row r="8681" spans="1:6">
      <c r="A8681" s="174">
        <f t="shared" si="129"/>
        <v>8680</v>
      </c>
      <c r="B8681" s="163">
        <v>45979</v>
      </c>
      <c r="C8681" s="194">
        <v>0.45247685185185182</v>
      </c>
      <c r="D8681" s="174">
        <v>10</v>
      </c>
      <c r="E8681" s="166" t="s">
        <v>6742</v>
      </c>
      <c r="F8681" t="s">
        <v>6946</v>
      </c>
    </row>
    <row r="8682" spans="1:6">
      <c r="A8682" s="174">
        <f t="shared" si="129"/>
        <v>8681</v>
      </c>
      <c r="B8682" s="163">
        <v>45979</v>
      </c>
      <c r="C8682" s="194">
        <v>0.44649305555555557</v>
      </c>
      <c r="D8682" s="174">
        <v>10</v>
      </c>
      <c r="E8682" s="166" t="s">
        <v>6741</v>
      </c>
      <c r="F8682" t="s">
        <v>6946</v>
      </c>
    </row>
    <row r="8683" spans="1:6">
      <c r="A8683" s="174">
        <f t="shared" si="129"/>
        <v>8682</v>
      </c>
      <c r="B8683" s="163">
        <v>45979</v>
      </c>
      <c r="C8683" s="194">
        <v>0.42215277777777777</v>
      </c>
      <c r="D8683" s="174">
        <v>10</v>
      </c>
      <c r="E8683" s="166" t="s">
        <v>6920</v>
      </c>
      <c r="F8683" t="s">
        <v>6946</v>
      </c>
    </row>
    <row r="8684" spans="1:6">
      <c r="A8684" s="174">
        <f t="shared" si="129"/>
        <v>8683</v>
      </c>
      <c r="B8684" s="163">
        <v>45980</v>
      </c>
      <c r="C8684" s="194">
        <v>0.91487268518518527</v>
      </c>
      <c r="D8684" s="174">
        <v>10</v>
      </c>
      <c r="E8684" s="166" t="s">
        <v>6913</v>
      </c>
      <c r="F8684" t="s">
        <v>6946</v>
      </c>
    </row>
    <row r="8685" spans="1:6">
      <c r="A8685" s="174">
        <f t="shared" si="129"/>
        <v>8684</v>
      </c>
      <c r="B8685" s="163">
        <v>45980</v>
      </c>
      <c r="C8685" s="194">
        <v>0.90506944444444448</v>
      </c>
      <c r="D8685" s="174">
        <v>10</v>
      </c>
      <c r="E8685" s="166" t="s">
        <v>179</v>
      </c>
      <c r="F8685" t="s">
        <v>6946</v>
      </c>
    </row>
    <row r="8686" spans="1:6">
      <c r="A8686" s="174">
        <f t="shared" si="129"/>
        <v>8685</v>
      </c>
      <c r="B8686" s="163">
        <v>45980</v>
      </c>
      <c r="C8686" s="194">
        <v>0.8630902777777778</v>
      </c>
      <c r="D8686" s="174">
        <v>10</v>
      </c>
      <c r="E8686" s="166" t="s">
        <v>6773</v>
      </c>
      <c r="F8686" t="s">
        <v>6946</v>
      </c>
    </row>
    <row r="8687" spans="1:6">
      <c r="A8687" s="174">
        <f t="shared" si="129"/>
        <v>8686</v>
      </c>
      <c r="B8687" s="163">
        <v>45980</v>
      </c>
      <c r="C8687" s="194">
        <v>0.82032407407407415</v>
      </c>
      <c r="D8687" s="174">
        <v>10</v>
      </c>
      <c r="E8687" s="166" t="s">
        <v>6772</v>
      </c>
      <c r="F8687" t="s">
        <v>6946</v>
      </c>
    </row>
    <row r="8688" spans="1:6">
      <c r="A8688" s="174">
        <f t="shared" si="129"/>
        <v>8687</v>
      </c>
      <c r="B8688" s="163">
        <v>45980</v>
      </c>
      <c r="C8688" s="194">
        <v>0.79792824074074076</v>
      </c>
      <c r="D8688" s="174">
        <v>10</v>
      </c>
      <c r="E8688" s="166" t="s">
        <v>6771</v>
      </c>
      <c r="F8688" t="s">
        <v>6946</v>
      </c>
    </row>
    <row r="8689" spans="1:6">
      <c r="A8689" s="174">
        <f t="shared" si="129"/>
        <v>8688</v>
      </c>
      <c r="B8689" s="163">
        <v>45980</v>
      </c>
      <c r="C8689" s="194">
        <v>0.7452199074074074</v>
      </c>
      <c r="D8689" s="174">
        <v>10</v>
      </c>
      <c r="E8689" s="166" t="s">
        <v>6770</v>
      </c>
      <c r="F8689" t="s">
        <v>6946</v>
      </c>
    </row>
    <row r="8690" spans="1:6">
      <c r="A8690" s="174">
        <f t="shared" si="129"/>
        <v>8689</v>
      </c>
      <c r="B8690" s="163">
        <v>45980</v>
      </c>
      <c r="C8690" s="194">
        <v>0.74914351851851846</v>
      </c>
      <c r="D8690" s="174">
        <v>10</v>
      </c>
      <c r="E8690" s="166" t="s">
        <v>1564</v>
      </c>
      <c r="F8690" t="s">
        <v>6946</v>
      </c>
    </row>
    <row r="8691" spans="1:6">
      <c r="A8691" s="174">
        <f t="shared" si="129"/>
        <v>8690</v>
      </c>
      <c r="B8691" s="163">
        <v>45980</v>
      </c>
      <c r="C8691" s="194">
        <v>0.73957175925925922</v>
      </c>
      <c r="D8691" s="174">
        <v>10</v>
      </c>
      <c r="E8691" s="166" t="s">
        <v>6769</v>
      </c>
      <c r="F8691" t="s">
        <v>6946</v>
      </c>
    </row>
    <row r="8692" spans="1:6">
      <c r="A8692" s="174">
        <f t="shared" si="129"/>
        <v>8691</v>
      </c>
      <c r="B8692" s="163">
        <v>45980</v>
      </c>
      <c r="C8692" s="194">
        <v>0.73840277777777785</v>
      </c>
      <c r="D8692" s="174">
        <v>10</v>
      </c>
      <c r="E8692" s="166" t="s">
        <v>6768</v>
      </c>
      <c r="F8692" t="s">
        <v>6946</v>
      </c>
    </row>
    <row r="8693" spans="1:6">
      <c r="A8693" s="174">
        <f t="shared" si="129"/>
        <v>8692</v>
      </c>
      <c r="B8693" s="163">
        <v>45980</v>
      </c>
      <c r="C8693" s="194">
        <v>0.70450231481481485</v>
      </c>
      <c r="D8693" s="174">
        <v>10</v>
      </c>
      <c r="E8693" s="166" t="s">
        <v>6767</v>
      </c>
      <c r="F8693" t="s">
        <v>6946</v>
      </c>
    </row>
    <row r="8694" spans="1:6">
      <c r="A8694" s="174">
        <f t="shared" si="129"/>
        <v>8693</v>
      </c>
      <c r="B8694" s="163">
        <v>45980</v>
      </c>
      <c r="C8694" s="194">
        <v>0.69137731481481479</v>
      </c>
      <c r="D8694" s="174">
        <v>10</v>
      </c>
      <c r="E8694" s="166" t="s">
        <v>6766</v>
      </c>
      <c r="F8694" t="s">
        <v>6946</v>
      </c>
    </row>
    <row r="8695" spans="1:6">
      <c r="A8695" s="174">
        <f t="shared" si="129"/>
        <v>8694</v>
      </c>
      <c r="B8695" s="163">
        <v>45980</v>
      </c>
      <c r="C8695" s="194">
        <v>0.67700231481481488</v>
      </c>
      <c r="D8695" s="174">
        <v>10</v>
      </c>
      <c r="E8695" s="166" t="s">
        <v>6765</v>
      </c>
      <c r="F8695" t="s">
        <v>6946</v>
      </c>
    </row>
    <row r="8696" spans="1:6">
      <c r="A8696" s="174">
        <f t="shared" si="129"/>
        <v>8695</v>
      </c>
      <c r="B8696" s="163">
        <v>45980</v>
      </c>
      <c r="C8696" s="194">
        <v>0.66903935185185182</v>
      </c>
      <c r="D8696" s="174">
        <v>10</v>
      </c>
      <c r="E8696" s="166" t="s">
        <v>6764</v>
      </c>
      <c r="F8696" t="s">
        <v>6946</v>
      </c>
    </row>
    <row r="8697" spans="1:6">
      <c r="A8697" s="174">
        <f t="shared" si="129"/>
        <v>8696</v>
      </c>
      <c r="B8697" s="163">
        <v>45980</v>
      </c>
      <c r="C8697" s="194">
        <v>0.65995370370370365</v>
      </c>
      <c r="D8697" s="174">
        <v>10</v>
      </c>
      <c r="E8697" s="166" t="s">
        <v>2790</v>
      </c>
      <c r="F8697" t="s">
        <v>6946</v>
      </c>
    </row>
    <row r="8698" spans="1:6">
      <c r="A8698" s="174">
        <f t="shared" si="129"/>
        <v>8697</v>
      </c>
      <c r="B8698" s="163">
        <v>45980</v>
      </c>
      <c r="C8698" s="194">
        <v>0.64718750000000003</v>
      </c>
      <c r="D8698" s="174">
        <v>10</v>
      </c>
      <c r="E8698" s="166" t="s">
        <v>6763</v>
      </c>
      <c r="F8698" t="s">
        <v>6946</v>
      </c>
    </row>
    <row r="8699" spans="1:6">
      <c r="A8699" s="174">
        <f t="shared" si="129"/>
        <v>8698</v>
      </c>
      <c r="B8699" s="163">
        <v>45980</v>
      </c>
      <c r="C8699" s="194">
        <v>0.64296296296296296</v>
      </c>
      <c r="D8699" s="174">
        <v>10</v>
      </c>
      <c r="E8699" s="166" t="s">
        <v>5040</v>
      </c>
      <c r="F8699" t="s">
        <v>6946</v>
      </c>
    </row>
    <row r="8700" spans="1:6">
      <c r="A8700" s="174">
        <f t="shared" si="129"/>
        <v>8699</v>
      </c>
      <c r="B8700" s="163">
        <v>45980</v>
      </c>
      <c r="C8700" s="194">
        <v>0.63287037037037031</v>
      </c>
      <c r="D8700" s="174">
        <v>10</v>
      </c>
      <c r="E8700" s="166" t="s">
        <v>244</v>
      </c>
      <c r="F8700" t="s">
        <v>6946</v>
      </c>
    </row>
    <row r="8701" spans="1:6">
      <c r="A8701" s="174">
        <f t="shared" si="129"/>
        <v>8700</v>
      </c>
      <c r="B8701" s="163">
        <v>45980</v>
      </c>
      <c r="C8701" s="194">
        <v>0.55388888888888888</v>
      </c>
      <c r="D8701" s="174">
        <v>10</v>
      </c>
      <c r="E8701" s="166" t="s">
        <v>6762</v>
      </c>
      <c r="F8701" t="s">
        <v>6946</v>
      </c>
    </row>
    <row r="8702" spans="1:6">
      <c r="A8702" s="174">
        <f t="shared" si="129"/>
        <v>8701</v>
      </c>
      <c r="B8702" s="163">
        <v>45980</v>
      </c>
      <c r="C8702" s="194">
        <v>0.54281250000000003</v>
      </c>
      <c r="D8702" s="174">
        <v>10</v>
      </c>
      <c r="E8702" s="166" t="s">
        <v>6914</v>
      </c>
      <c r="F8702" t="s">
        <v>6946</v>
      </c>
    </row>
    <row r="8703" spans="1:6">
      <c r="A8703" s="174">
        <f t="shared" si="129"/>
        <v>8702</v>
      </c>
      <c r="B8703" s="163">
        <v>45980</v>
      </c>
      <c r="C8703" s="194">
        <v>0.52149305555555558</v>
      </c>
      <c r="D8703" s="174">
        <v>10</v>
      </c>
      <c r="E8703" s="166" t="s">
        <v>6761</v>
      </c>
      <c r="F8703" t="s">
        <v>6946</v>
      </c>
    </row>
    <row r="8704" spans="1:6">
      <c r="A8704" s="174">
        <f t="shared" si="129"/>
        <v>8703</v>
      </c>
      <c r="B8704" s="163">
        <v>45980</v>
      </c>
      <c r="C8704" s="194">
        <v>0.50563657407407414</v>
      </c>
      <c r="D8704" s="174">
        <v>10</v>
      </c>
      <c r="E8704" s="166" t="s">
        <v>6760</v>
      </c>
      <c r="F8704" t="s">
        <v>6946</v>
      </c>
    </row>
    <row r="8705" spans="1:6" ht="54">
      <c r="A8705" s="174">
        <f t="shared" si="129"/>
        <v>8704</v>
      </c>
      <c r="B8705" s="163">
        <v>45980</v>
      </c>
      <c r="C8705" s="194">
        <v>0.48675925925925928</v>
      </c>
      <c r="D8705" s="174">
        <v>1</v>
      </c>
      <c r="E8705" s="166" t="s">
        <v>6759</v>
      </c>
      <c r="F8705" t="s">
        <v>6946</v>
      </c>
    </row>
    <row r="8706" spans="1:6">
      <c r="A8706" s="174">
        <f t="shared" si="129"/>
        <v>8705</v>
      </c>
      <c r="B8706" s="163">
        <v>45980</v>
      </c>
      <c r="C8706" s="194">
        <v>0.48758101851851854</v>
      </c>
      <c r="D8706" s="174">
        <v>10</v>
      </c>
      <c r="E8706" s="166" t="s">
        <v>6758</v>
      </c>
      <c r="F8706" t="s">
        <v>6946</v>
      </c>
    </row>
    <row r="8707" spans="1:6">
      <c r="A8707" s="174">
        <f t="shared" si="129"/>
        <v>8706</v>
      </c>
      <c r="B8707" s="163">
        <v>45980</v>
      </c>
      <c r="C8707" s="194">
        <v>0.48170138888888886</v>
      </c>
      <c r="D8707" s="174">
        <v>10</v>
      </c>
      <c r="E8707" s="166" t="s">
        <v>6757</v>
      </c>
      <c r="F8707" t="s">
        <v>6946</v>
      </c>
    </row>
    <row r="8708" spans="1:6">
      <c r="A8708" s="174">
        <f t="shared" si="129"/>
        <v>8707</v>
      </c>
      <c r="B8708" s="163">
        <v>45980</v>
      </c>
      <c r="C8708" s="194">
        <v>0.46893518518518523</v>
      </c>
      <c r="D8708" s="174">
        <v>10</v>
      </c>
      <c r="E8708" s="166" t="s">
        <v>273</v>
      </c>
      <c r="F8708" t="s">
        <v>6946</v>
      </c>
    </row>
    <row r="8709" spans="1:6">
      <c r="A8709" s="174">
        <f t="shared" si="129"/>
        <v>8708</v>
      </c>
      <c r="B8709" s="163">
        <v>45980</v>
      </c>
      <c r="C8709" s="194">
        <v>0.4597222222222222</v>
      </c>
      <c r="D8709" s="174">
        <v>10</v>
      </c>
      <c r="E8709" s="166" t="s">
        <v>6756</v>
      </c>
      <c r="F8709" t="s">
        <v>6946</v>
      </c>
    </row>
    <row r="8710" spans="1:6" ht="40.5">
      <c r="A8710" s="174">
        <f t="shared" si="129"/>
        <v>8709</v>
      </c>
      <c r="B8710" s="163">
        <v>45980</v>
      </c>
      <c r="C8710" s="194">
        <v>0.44313657407407409</v>
      </c>
      <c r="D8710" s="174">
        <v>10</v>
      </c>
      <c r="E8710" s="166" t="s">
        <v>6915</v>
      </c>
      <c r="F8710" t="s">
        <v>6946</v>
      </c>
    </row>
    <row r="8711" spans="1:6">
      <c r="A8711" s="174">
        <f t="shared" si="129"/>
        <v>8710</v>
      </c>
      <c r="B8711" s="163">
        <v>45980</v>
      </c>
      <c r="C8711" s="194">
        <v>0.43244212962962963</v>
      </c>
      <c r="D8711" s="174">
        <v>10</v>
      </c>
      <c r="E8711" s="166" t="s">
        <v>6755</v>
      </c>
      <c r="F8711" t="s">
        <v>6946</v>
      </c>
    </row>
    <row r="8712" spans="1:6">
      <c r="A8712" s="174">
        <f t="shared" si="129"/>
        <v>8711</v>
      </c>
      <c r="B8712" s="163">
        <v>45980</v>
      </c>
      <c r="C8712" s="194">
        <v>0.43695601851851856</v>
      </c>
      <c r="D8712" s="174">
        <v>10</v>
      </c>
      <c r="E8712" s="166" t="s">
        <v>6754</v>
      </c>
      <c r="F8712" t="s">
        <v>6946</v>
      </c>
    </row>
    <row r="8713" spans="1:6">
      <c r="A8713" s="174">
        <f t="shared" si="129"/>
        <v>8712</v>
      </c>
      <c r="B8713" s="163">
        <v>45980</v>
      </c>
      <c r="C8713" s="194">
        <v>0.39105324074074077</v>
      </c>
      <c r="D8713" s="193">
        <v>10</v>
      </c>
      <c r="E8713" s="166" t="s">
        <v>6753</v>
      </c>
      <c r="F8713" t="s">
        <v>6946</v>
      </c>
    </row>
    <row r="8714" spans="1:6">
      <c r="A8714" s="174">
        <f t="shared" si="129"/>
        <v>8713</v>
      </c>
      <c r="B8714" s="163">
        <v>45981</v>
      </c>
      <c r="C8714" s="194">
        <v>0.80599537037037028</v>
      </c>
      <c r="D8714" s="174">
        <v>10</v>
      </c>
      <c r="E8714" s="166" t="s">
        <v>6800</v>
      </c>
      <c r="F8714" t="s">
        <v>6946</v>
      </c>
    </row>
    <row r="8715" spans="1:6">
      <c r="A8715" s="174">
        <f t="shared" si="129"/>
        <v>8714</v>
      </c>
      <c r="B8715" s="163">
        <v>45981</v>
      </c>
      <c r="C8715" s="194">
        <v>0.75050925925925915</v>
      </c>
      <c r="D8715" s="174">
        <v>10</v>
      </c>
      <c r="E8715" s="166" t="s">
        <v>6799</v>
      </c>
      <c r="F8715" t="s">
        <v>6946</v>
      </c>
    </row>
    <row r="8716" spans="1:6">
      <c r="A8716" s="174">
        <f t="shared" si="129"/>
        <v>8715</v>
      </c>
      <c r="B8716" s="163">
        <v>45981</v>
      </c>
      <c r="C8716" s="194">
        <v>0.73729166666666668</v>
      </c>
      <c r="D8716" s="174">
        <v>10</v>
      </c>
      <c r="E8716" s="166" t="s">
        <v>6798</v>
      </c>
      <c r="F8716" t="s">
        <v>6946</v>
      </c>
    </row>
    <row r="8717" spans="1:6">
      <c r="A8717" s="174">
        <f t="shared" si="129"/>
        <v>8716</v>
      </c>
      <c r="B8717" s="163">
        <v>45981</v>
      </c>
      <c r="C8717" s="194">
        <v>0.71590277777777789</v>
      </c>
      <c r="D8717" s="174">
        <v>10</v>
      </c>
      <c r="E8717" s="166" t="s">
        <v>6797</v>
      </c>
      <c r="F8717" t="s">
        <v>6946</v>
      </c>
    </row>
    <row r="8718" spans="1:6">
      <c r="A8718" s="174">
        <f t="shared" si="129"/>
        <v>8717</v>
      </c>
      <c r="B8718" s="163">
        <v>45981</v>
      </c>
      <c r="C8718" s="194">
        <v>0.71434027777777775</v>
      </c>
      <c r="D8718" s="174">
        <v>10</v>
      </c>
      <c r="E8718" s="166" t="s">
        <v>6796</v>
      </c>
      <c r="F8718" t="s">
        <v>6946</v>
      </c>
    </row>
    <row r="8719" spans="1:6">
      <c r="A8719" s="174">
        <f t="shared" si="129"/>
        <v>8718</v>
      </c>
      <c r="B8719" s="163">
        <v>45981</v>
      </c>
      <c r="C8719" s="194">
        <v>0.7087268518518518</v>
      </c>
      <c r="D8719" s="174">
        <v>10</v>
      </c>
      <c r="E8719" s="166" t="s">
        <v>6795</v>
      </c>
      <c r="F8719" t="s">
        <v>6946</v>
      </c>
    </row>
    <row r="8720" spans="1:6">
      <c r="A8720" s="174">
        <f t="shared" si="129"/>
        <v>8719</v>
      </c>
      <c r="B8720" s="163">
        <v>45981</v>
      </c>
      <c r="C8720" s="194">
        <v>0.6850694444444444</v>
      </c>
      <c r="D8720" s="174">
        <v>10</v>
      </c>
      <c r="E8720" s="166" t="s">
        <v>6794</v>
      </c>
      <c r="F8720" t="s">
        <v>6946</v>
      </c>
    </row>
    <row r="8721" spans="1:6">
      <c r="A8721" s="174">
        <f t="shared" si="129"/>
        <v>8720</v>
      </c>
      <c r="B8721" s="163">
        <v>45981</v>
      </c>
      <c r="C8721" s="194">
        <v>0.66192129629629626</v>
      </c>
      <c r="D8721" s="174">
        <v>8</v>
      </c>
      <c r="E8721" s="166" t="s">
        <v>6793</v>
      </c>
      <c r="F8721" t="s">
        <v>6946</v>
      </c>
    </row>
    <row r="8722" spans="1:6">
      <c r="A8722" s="174">
        <f t="shared" si="129"/>
        <v>8721</v>
      </c>
      <c r="B8722" s="163">
        <v>45981</v>
      </c>
      <c r="C8722" s="194">
        <v>0.68998842592592602</v>
      </c>
      <c r="D8722" s="174">
        <v>10</v>
      </c>
      <c r="E8722" s="166" t="s">
        <v>6792</v>
      </c>
      <c r="F8722" t="s">
        <v>6946</v>
      </c>
    </row>
    <row r="8723" spans="1:6">
      <c r="A8723" s="174">
        <f t="shared" si="129"/>
        <v>8722</v>
      </c>
      <c r="B8723" s="163">
        <v>45981</v>
      </c>
      <c r="C8723" s="194">
        <v>0.64923611111111112</v>
      </c>
      <c r="D8723" s="174">
        <v>10</v>
      </c>
      <c r="E8723" s="166" t="s">
        <v>6791</v>
      </c>
      <c r="F8723" t="s">
        <v>6946</v>
      </c>
    </row>
    <row r="8724" spans="1:6">
      <c r="A8724" s="174">
        <f t="shared" si="129"/>
        <v>8723</v>
      </c>
      <c r="B8724" s="163">
        <v>45981</v>
      </c>
      <c r="C8724" s="194">
        <v>0.66929398148148145</v>
      </c>
      <c r="D8724" s="174">
        <v>10</v>
      </c>
      <c r="E8724" s="166" t="s">
        <v>6910</v>
      </c>
      <c r="F8724" t="s">
        <v>6946</v>
      </c>
    </row>
    <row r="8725" spans="1:6">
      <c r="A8725" s="174">
        <f t="shared" si="129"/>
        <v>8724</v>
      </c>
      <c r="B8725" s="163">
        <v>45981</v>
      </c>
      <c r="C8725" s="194">
        <v>0.61732638888888891</v>
      </c>
      <c r="D8725" s="174">
        <v>10</v>
      </c>
      <c r="E8725" s="166" t="s">
        <v>6790</v>
      </c>
      <c r="F8725" t="s">
        <v>6946</v>
      </c>
    </row>
    <row r="8726" spans="1:6">
      <c r="A8726" s="174">
        <f t="shared" ref="A8726:A8789" si="130">ROW()-1</f>
        <v>8725</v>
      </c>
      <c r="B8726" s="163">
        <v>45981</v>
      </c>
      <c r="C8726" s="194">
        <v>0.61447916666666669</v>
      </c>
      <c r="D8726" s="174">
        <v>10</v>
      </c>
      <c r="E8726" s="166" t="s">
        <v>6789</v>
      </c>
      <c r="F8726" t="s">
        <v>6946</v>
      </c>
    </row>
    <row r="8727" spans="1:6">
      <c r="A8727" s="174">
        <f t="shared" si="130"/>
        <v>8726</v>
      </c>
      <c r="B8727" s="163">
        <v>45981</v>
      </c>
      <c r="C8727" s="194">
        <v>0.57476851851851851</v>
      </c>
      <c r="D8727" s="174">
        <v>10</v>
      </c>
      <c r="E8727" s="166" t="s">
        <v>6788</v>
      </c>
      <c r="F8727" t="s">
        <v>6946</v>
      </c>
    </row>
    <row r="8728" spans="1:6">
      <c r="A8728" s="174">
        <f t="shared" si="130"/>
        <v>8727</v>
      </c>
      <c r="B8728" s="163">
        <v>45981</v>
      </c>
      <c r="C8728" s="194">
        <v>0.56910879629629629</v>
      </c>
      <c r="D8728" s="174">
        <v>10</v>
      </c>
      <c r="E8728" s="166" t="s">
        <v>6787</v>
      </c>
      <c r="F8728" t="s">
        <v>6946</v>
      </c>
    </row>
    <row r="8729" spans="1:6">
      <c r="A8729" s="174">
        <f t="shared" si="130"/>
        <v>8728</v>
      </c>
      <c r="B8729" s="163">
        <v>45981</v>
      </c>
      <c r="C8729" s="194">
        <v>0.56922453703703701</v>
      </c>
      <c r="D8729" s="174">
        <v>10</v>
      </c>
      <c r="E8729" s="166" t="s">
        <v>6786</v>
      </c>
      <c r="F8729" t="s">
        <v>6946</v>
      </c>
    </row>
    <row r="8730" spans="1:6">
      <c r="A8730" s="174">
        <f t="shared" si="130"/>
        <v>8729</v>
      </c>
      <c r="B8730" s="163">
        <v>45981</v>
      </c>
      <c r="C8730" s="194">
        <v>0.56212962962962965</v>
      </c>
      <c r="D8730" s="174">
        <v>10</v>
      </c>
      <c r="E8730" s="166" t="s">
        <v>2395</v>
      </c>
      <c r="F8730" t="s">
        <v>6946</v>
      </c>
    </row>
    <row r="8731" spans="1:6">
      <c r="A8731" s="174">
        <f t="shared" si="130"/>
        <v>8730</v>
      </c>
      <c r="B8731" s="163">
        <v>45981</v>
      </c>
      <c r="C8731" s="194">
        <v>0.55432870370370368</v>
      </c>
      <c r="D8731" s="174">
        <v>10</v>
      </c>
      <c r="E8731" s="166" t="s">
        <v>6785</v>
      </c>
      <c r="F8731" t="s">
        <v>6946</v>
      </c>
    </row>
    <row r="8732" spans="1:6">
      <c r="A8732" s="174">
        <f t="shared" si="130"/>
        <v>8731</v>
      </c>
      <c r="B8732" s="163">
        <v>45981</v>
      </c>
      <c r="C8732" s="194">
        <v>0.53461805555555553</v>
      </c>
      <c r="D8732" s="174">
        <v>10</v>
      </c>
      <c r="E8732" s="166" t="s">
        <v>6784</v>
      </c>
      <c r="F8732" t="s">
        <v>6946</v>
      </c>
    </row>
    <row r="8733" spans="1:6">
      <c r="A8733" s="174">
        <f t="shared" si="130"/>
        <v>8732</v>
      </c>
      <c r="B8733" s="163">
        <v>45981</v>
      </c>
      <c r="C8733" s="194">
        <v>0.53309027777777784</v>
      </c>
      <c r="D8733" s="174">
        <v>10</v>
      </c>
      <c r="E8733" s="166" t="s">
        <v>6783</v>
      </c>
      <c r="F8733" t="s">
        <v>6946</v>
      </c>
    </row>
    <row r="8734" spans="1:6">
      <c r="A8734" s="174">
        <f t="shared" si="130"/>
        <v>8733</v>
      </c>
      <c r="B8734" s="163">
        <v>45981</v>
      </c>
      <c r="C8734" s="194">
        <v>0.50971064814814815</v>
      </c>
      <c r="D8734" s="174">
        <v>10</v>
      </c>
      <c r="E8734" s="166" t="s">
        <v>6782</v>
      </c>
      <c r="F8734" t="s">
        <v>6946</v>
      </c>
    </row>
    <row r="8735" spans="1:6">
      <c r="A8735" s="174">
        <f t="shared" si="130"/>
        <v>8734</v>
      </c>
      <c r="B8735" s="163">
        <v>45981</v>
      </c>
      <c r="C8735" s="194">
        <v>0.51739583333333339</v>
      </c>
      <c r="D8735" s="174">
        <v>10</v>
      </c>
      <c r="E8735" s="166" t="s">
        <v>6781</v>
      </c>
      <c r="F8735" t="s">
        <v>6946</v>
      </c>
    </row>
    <row r="8736" spans="1:6">
      <c r="A8736" s="174">
        <f t="shared" si="130"/>
        <v>8735</v>
      </c>
      <c r="B8736" s="163">
        <v>45981</v>
      </c>
      <c r="C8736" s="194">
        <v>0.47174768518518517</v>
      </c>
      <c r="D8736" s="174">
        <v>10</v>
      </c>
      <c r="E8736" s="166" t="s">
        <v>6780</v>
      </c>
      <c r="F8736" t="s">
        <v>6946</v>
      </c>
    </row>
    <row r="8737" spans="1:6">
      <c r="A8737" s="174">
        <f t="shared" si="130"/>
        <v>8736</v>
      </c>
      <c r="B8737" s="163">
        <v>45981</v>
      </c>
      <c r="C8737" s="194">
        <v>0.45018518518518519</v>
      </c>
      <c r="D8737" s="174">
        <v>10</v>
      </c>
      <c r="E8737" s="166" t="s">
        <v>6779</v>
      </c>
      <c r="F8737" t="s">
        <v>6946</v>
      </c>
    </row>
    <row r="8738" spans="1:6">
      <c r="A8738" s="174">
        <f t="shared" si="130"/>
        <v>8737</v>
      </c>
      <c r="B8738" s="163">
        <v>45981</v>
      </c>
      <c r="C8738" s="194">
        <v>0.44762731481481483</v>
      </c>
      <c r="D8738" s="174">
        <v>10</v>
      </c>
      <c r="E8738" s="166" t="s">
        <v>6911</v>
      </c>
      <c r="F8738" t="s">
        <v>6946</v>
      </c>
    </row>
    <row r="8739" spans="1:6">
      <c r="A8739" s="174">
        <f t="shared" si="130"/>
        <v>8738</v>
      </c>
      <c r="B8739" s="163">
        <v>45981</v>
      </c>
      <c r="C8739" s="194">
        <v>0.44025462962962963</v>
      </c>
      <c r="D8739" s="174">
        <v>10</v>
      </c>
      <c r="E8739" s="166" t="s">
        <v>6778</v>
      </c>
      <c r="F8739" t="s">
        <v>6946</v>
      </c>
    </row>
    <row r="8740" spans="1:6">
      <c r="A8740" s="174">
        <f t="shared" si="130"/>
        <v>8739</v>
      </c>
      <c r="B8740" s="163">
        <v>45981</v>
      </c>
      <c r="C8740" s="194">
        <v>0.43407407407407406</v>
      </c>
      <c r="D8740" s="174">
        <v>10</v>
      </c>
      <c r="E8740" s="166" t="s">
        <v>6777</v>
      </c>
      <c r="F8740" t="s">
        <v>6946</v>
      </c>
    </row>
    <row r="8741" spans="1:6">
      <c r="A8741" s="174">
        <f t="shared" si="130"/>
        <v>8740</v>
      </c>
      <c r="B8741" s="163">
        <v>45981</v>
      </c>
      <c r="C8741" s="194">
        <v>0.4488078703703704</v>
      </c>
      <c r="D8741" s="174">
        <v>10</v>
      </c>
      <c r="E8741" s="166" t="s">
        <v>6776</v>
      </c>
      <c r="F8741" t="s">
        <v>6946</v>
      </c>
    </row>
    <row r="8742" spans="1:6">
      <c r="A8742" s="174">
        <f t="shared" si="130"/>
        <v>8741</v>
      </c>
      <c r="B8742" s="163">
        <v>45981</v>
      </c>
      <c r="C8742" s="194">
        <v>0.42964120370370368</v>
      </c>
      <c r="D8742" s="174">
        <v>10</v>
      </c>
      <c r="E8742" s="166" t="s">
        <v>6775</v>
      </c>
      <c r="F8742" t="s">
        <v>6946</v>
      </c>
    </row>
    <row r="8743" spans="1:6">
      <c r="A8743" s="174">
        <f t="shared" si="130"/>
        <v>8742</v>
      </c>
      <c r="B8743" s="163">
        <v>45981</v>
      </c>
      <c r="C8743" s="194">
        <v>0.41344907407407411</v>
      </c>
      <c r="D8743" s="174">
        <v>10</v>
      </c>
      <c r="E8743" s="166" t="s">
        <v>6774</v>
      </c>
      <c r="F8743" t="s">
        <v>6946</v>
      </c>
    </row>
    <row r="8744" spans="1:6">
      <c r="A8744" s="174">
        <f t="shared" si="130"/>
        <v>8743</v>
      </c>
      <c r="B8744" s="163">
        <v>45981</v>
      </c>
      <c r="C8744" s="194">
        <v>0.41045138888888894</v>
      </c>
      <c r="D8744" s="174">
        <v>10</v>
      </c>
      <c r="E8744" s="166" t="s">
        <v>6912</v>
      </c>
      <c r="F8744" t="s">
        <v>6946</v>
      </c>
    </row>
    <row r="8745" spans="1:6">
      <c r="A8745" s="174">
        <f t="shared" si="130"/>
        <v>8744</v>
      </c>
      <c r="B8745" s="163">
        <v>45981</v>
      </c>
      <c r="C8745" s="194">
        <v>0.40274305555555556</v>
      </c>
      <c r="D8745" s="174">
        <v>10</v>
      </c>
      <c r="E8745" s="166" t="s">
        <v>288</v>
      </c>
      <c r="F8745" t="s">
        <v>6946</v>
      </c>
    </row>
    <row r="8746" spans="1:6">
      <c r="A8746" s="174">
        <f t="shared" si="130"/>
        <v>8745</v>
      </c>
      <c r="B8746" s="163">
        <v>45981</v>
      </c>
      <c r="C8746" s="194">
        <v>0.39826388888888892</v>
      </c>
      <c r="D8746" s="174">
        <v>10</v>
      </c>
      <c r="E8746" s="166" t="s">
        <v>406</v>
      </c>
      <c r="F8746" t="s">
        <v>6946</v>
      </c>
    </row>
    <row r="8747" spans="1:6">
      <c r="A8747" s="174">
        <f t="shared" si="130"/>
        <v>8746</v>
      </c>
      <c r="B8747" s="163">
        <v>45982</v>
      </c>
      <c r="C8747" s="194">
        <v>0.86063657407407401</v>
      </c>
      <c r="D8747" s="174">
        <v>10</v>
      </c>
      <c r="E8747" s="166" t="s">
        <v>6884</v>
      </c>
      <c r="F8747" t="s">
        <v>6946</v>
      </c>
    </row>
    <row r="8748" spans="1:6">
      <c r="A8748" s="174">
        <f t="shared" si="130"/>
        <v>8747</v>
      </c>
      <c r="B8748" s="163">
        <v>45982</v>
      </c>
      <c r="C8748" s="194">
        <v>0.85196759259259258</v>
      </c>
      <c r="D8748" s="174">
        <v>10</v>
      </c>
      <c r="E8748" s="166" t="s">
        <v>6885</v>
      </c>
      <c r="F8748" t="s">
        <v>6946</v>
      </c>
    </row>
    <row r="8749" spans="1:6">
      <c r="A8749" s="174">
        <f t="shared" si="130"/>
        <v>8748</v>
      </c>
      <c r="B8749" s="163">
        <v>45982</v>
      </c>
      <c r="C8749" s="194">
        <v>0.76826388888888886</v>
      </c>
      <c r="D8749" s="174">
        <v>10</v>
      </c>
      <c r="E8749" s="166" t="s">
        <v>6886</v>
      </c>
      <c r="F8749" t="s">
        <v>6946</v>
      </c>
    </row>
    <row r="8750" spans="1:6">
      <c r="A8750" s="174">
        <f t="shared" si="130"/>
        <v>8749</v>
      </c>
      <c r="B8750" s="163">
        <v>45982</v>
      </c>
      <c r="C8750" s="194">
        <v>0.75363425925925931</v>
      </c>
      <c r="D8750" s="174">
        <v>10</v>
      </c>
      <c r="E8750" s="166" t="s">
        <v>6887</v>
      </c>
      <c r="F8750" t="s">
        <v>6946</v>
      </c>
    </row>
    <row r="8751" spans="1:6">
      <c r="A8751" s="174">
        <f t="shared" si="130"/>
        <v>8750</v>
      </c>
      <c r="B8751" s="163">
        <v>45982</v>
      </c>
      <c r="C8751" s="194">
        <v>0.74997685185185192</v>
      </c>
      <c r="D8751" s="174">
        <v>10</v>
      </c>
      <c r="E8751" s="166" t="s">
        <v>6888</v>
      </c>
      <c r="F8751" t="s">
        <v>6946</v>
      </c>
    </row>
    <row r="8752" spans="1:6">
      <c r="A8752" s="174">
        <f t="shared" si="130"/>
        <v>8751</v>
      </c>
      <c r="B8752" s="163">
        <v>45982</v>
      </c>
      <c r="C8752" s="194">
        <v>0.74747685185185186</v>
      </c>
      <c r="D8752" s="174">
        <v>10</v>
      </c>
      <c r="E8752" s="166" t="s">
        <v>6889</v>
      </c>
      <c r="F8752" t="s">
        <v>6946</v>
      </c>
    </row>
    <row r="8753" spans="1:6">
      <c r="A8753" s="174">
        <f t="shared" si="130"/>
        <v>8752</v>
      </c>
      <c r="B8753" s="163">
        <v>45982</v>
      </c>
      <c r="C8753" s="194">
        <v>0.74763888888888896</v>
      </c>
      <c r="D8753" s="174">
        <v>10</v>
      </c>
      <c r="E8753" s="166" t="s">
        <v>6890</v>
      </c>
      <c r="F8753" t="s">
        <v>6946</v>
      </c>
    </row>
    <row r="8754" spans="1:6">
      <c r="A8754" s="174">
        <f t="shared" si="130"/>
        <v>8753</v>
      </c>
      <c r="B8754" s="163">
        <v>45982</v>
      </c>
      <c r="C8754" s="194">
        <v>0.7361805555555555</v>
      </c>
      <c r="D8754" s="174">
        <v>10</v>
      </c>
      <c r="E8754" s="166" t="s">
        <v>6891</v>
      </c>
      <c r="F8754" t="s">
        <v>6946</v>
      </c>
    </row>
    <row r="8755" spans="1:6">
      <c r="A8755" s="174">
        <f t="shared" si="130"/>
        <v>8754</v>
      </c>
      <c r="B8755" s="163">
        <v>45982</v>
      </c>
      <c r="C8755" s="194">
        <v>0.72984953703703714</v>
      </c>
      <c r="D8755" s="174">
        <v>10</v>
      </c>
      <c r="E8755" s="166" t="s">
        <v>6892</v>
      </c>
      <c r="F8755" t="s">
        <v>6946</v>
      </c>
    </row>
    <row r="8756" spans="1:6">
      <c r="A8756" s="174">
        <f t="shared" si="130"/>
        <v>8755</v>
      </c>
      <c r="B8756" s="163">
        <v>45982</v>
      </c>
      <c r="C8756" s="194">
        <v>0.69815972222222233</v>
      </c>
      <c r="D8756" s="174">
        <v>10</v>
      </c>
      <c r="E8756" s="166">
        <v>1</v>
      </c>
      <c r="F8756" t="s">
        <v>6946</v>
      </c>
    </row>
    <row r="8757" spans="1:6">
      <c r="A8757" s="174">
        <f t="shared" si="130"/>
        <v>8756</v>
      </c>
      <c r="B8757" s="163">
        <v>45982</v>
      </c>
      <c r="C8757" s="194">
        <v>0.67663194444444441</v>
      </c>
      <c r="D8757" s="174">
        <v>10</v>
      </c>
      <c r="E8757" s="166" t="s">
        <v>6893</v>
      </c>
      <c r="F8757" t="s">
        <v>6946</v>
      </c>
    </row>
    <row r="8758" spans="1:6">
      <c r="A8758" s="174">
        <f t="shared" si="130"/>
        <v>8757</v>
      </c>
      <c r="B8758" s="163">
        <v>45982</v>
      </c>
      <c r="C8758" s="194">
        <v>0.67439814814814814</v>
      </c>
      <c r="D8758" s="174">
        <v>10</v>
      </c>
      <c r="E8758" s="166" t="s">
        <v>244</v>
      </c>
      <c r="F8758" t="s">
        <v>6946</v>
      </c>
    </row>
    <row r="8759" spans="1:6">
      <c r="A8759" s="174">
        <f t="shared" si="130"/>
        <v>8758</v>
      </c>
      <c r="B8759" s="163">
        <v>45982</v>
      </c>
      <c r="C8759" s="194">
        <v>0.66460648148148149</v>
      </c>
      <c r="D8759" s="174">
        <v>10</v>
      </c>
      <c r="E8759" s="166" t="s">
        <v>6894</v>
      </c>
      <c r="F8759" t="s">
        <v>6946</v>
      </c>
    </row>
    <row r="8760" spans="1:6">
      <c r="A8760" s="174">
        <f t="shared" si="130"/>
        <v>8759</v>
      </c>
      <c r="B8760" s="163">
        <v>45982</v>
      </c>
      <c r="C8760" s="194">
        <v>0.63796296296296295</v>
      </c>
      <c r="D8760" s="174">
        <v>10</v>
      </c>
      <c r="E8760" s="166" t="s">
        <v>6895</v>
      </c>
      <c r="F8760" t="s">
        <v>6946</v>
      </c>
    </row>
    <row r="8761" spans="1:6" ht="67.5">
      <c r="A8761" s="174">
        <f t="shared" si="130"/>
        <v>8760</v>
      </c>
      <c r="B8761" s="163">
        <v>45982</v>
      </c>
      <c r="C8761" s="194">
        <v>0.64228009259259256</v>
      </c>
      <c r="D8761" s="174">
        <v>10</v>
      </c>
      <c r="E8761" s="166" t="s">
        <v>6896</v>
      </c>
      <c r="F8761" t="s">
        <v>6946</v>
      </c>
    </row>
    <row r="8762" spans="1:6">
      <c r="A8762" s="174">
        <f t="shared" si="130"/>
        <v>8761</v>
      </c>
      <c r="B8762" s="163">
        <v>45982</v>
      </c>
      <c r="C8762" s="194">
        <v>0.63328703703703704</v>
      </c>
      <c r="D8762" s="174">
        <v>10</v>
      </c>
      <c r="E8762" s="166" t="s">
        <v>6897</v>
      </c>
      <c r="F8762" t="s">
        <v>6946</v>
      </c>
    </row>
    <row r="8763" spans="1:6">
      <c r="A8763" s="174">
        <f t="shared" si="130"/>
        <v>8762</v>
      </c>
      <c r="B8763" s="163">
        <v>45982</v>
      </c>
      <c r="C8763" s="194">
        <v>0.63552083333333331</v>
      </c>
      <c r="D8763" s="174">
        <v>10</v>
      </c>
      <c r="E8763" s="166" t="s">
        <v>6898</v>
      </c>
      <c r="F8763" t="s">
        <v>6946</v>
      </c>
    </row>
    <row r="8764" spans="1:6">
      <c r="A8764" s="174">
        <f t="shared" si="130"/>
        <v>8763</v>
      </c>
      <c r="B8764" s="163">
        <v>45982</v>
      </c>
      <c r="C8764" s="194">
        <v>0.61950231481481477</v>
      </c>
      <c r="D8764" s="174">
        <v>10</v>
      </c>
      <c r="E8764" s="166" t="s">
        <v>6899</v>
      </c>
      <c r="F8764" t="s">
        <v>6946</v>
      </c>
    </row>
    <row r="8765" spans="1:6">
      <c r="A8765" s="174">
        <f t="shared" si="130"/>
        <v>8764</v>
      </c>
      <c r="B8765" s="163">
        <v>45982</v>
      </c>
      <c r="C8765" s="194">
        <v>0.60871527777777779</v>
      </c>
      <c r="D8765" s="174">
        <v>10</v>
      </c>
      <c r="E8765" s="166" t="s">
        <v>6900</v>
      </c>
      <c r="F8765" t="s">
        <v>6946</v>
      </c>
    </row>
    <row r="8766" spans="1:6">
      <c r="A8766" s="174">
        <f t="shared" si="130"/>
        <v>8765</v>
      </c>
      <c r="B8766" s="163">
        <v>45982</v>
      </c>
      <c r="C8766" s="194">
        <v>0.60005787037037039</v>
      </c>
      <c r="D8766" s="174">
        <v>10</v>
      </c>
      <c r="E8766" s="166" t="s">
        <v>6901</v>
      </c>
      <c r="F8766" t="s">
        <v>6946</v>
      </c>
    </row>
    <row r="8767" spans="1:6">
      <c r="A8767" s="174">
        <f t="shared" si="130"/>
        <v>8766</v>
      </c>
      <c r="B8767" s="163">
        <v>45982</v>
      </c>
      <c r="C8767" s="194">
        <v>0.58255787037037032</v>
      </c>
      <c r="D8767" s="174">
        <v>10</v>
      </c>
      <c r="E8767" s="166" t="s">
        <v>6902</v>
      </c>
      <c r="F8767" t="s">
        <v>6946</v>
      </c>
    </row>
    <row r="8768" spans="1:6">
      <c r="A8768" s="174">
        <f t="shared" si="130"/>
        <v>8767</v>
      </c>
      <c r="B8768" s="163">
        <v>45982</v>
      </c>
      <c r="C8768" s="194">
        <v>0.58347222222222228</v>
      </c>
      <c r="D8768" s="174">
        <v>10</v>
      </c>
      <c r="E8768" s="166" t="s">
        <v>6903</v>
      </c>
      <c r="F8768" t="s">
        <v>6946</v>
      </c>
    </row>
    <row r="8769" spans="1:6">
      <c r="A8769" s="174">
        <f t="shared" si="130"/>
        <v>8768</v>
      </c>
      <c r="B8769" s="163">
        <v>45982</v>
      </c>
      <c r="C8769" s="194">
        <v>0.59429398148148149</v>
      </c>
      <c r="D8769" s="174">
        <v>10</v>
      </c>
      <c r="E8769" s="166" t="s">
        <v>6904</v>
      </c>
      <c r="F8769" t="s">
        <v>6946</v>
      </c>
    </row>
    <row r="8770" spans="1:6">
      <c r="A8770" s="174">
        <f t="shared" si="130"/>
        <v>8769</v>
      </c>
      <c r="B8770" s="163">
        <v>45982</v>
      </c>
      <c r="C8770" s="194">
        <v>0.56799768518518523</v>
      </c>
      <c r="D8770" s="174">
        <v>10</v>
      </c>
      <c r="E8770" s="166" t="s">
        <v>6905</v>
      </c>
      <c r="F8770" t="s">
        <v>6946</v>
      </c>
    </row>
    <row r="8771" spans="1:6">
      <c r="A8771" s="174">
        <f t="shared" si="130"/>
        <v>8770</v>
      </c>
      <c r="B8771" s="163">
        <v>45982</v>
      </c>
      <c r="C8771" s="194">
        <v>0.56027777777777776</v>
      </c>
      <c r="D8771" s="174">
        <v>10</v>
      </c>
      <c r="E8771" s="166" t="s">
        <v>6098</v>
      </c>
      <c r="F8771" t="s">
        <v>6946</v>
      </c>
    </row>
    <row r="8772" spans="1:6">
      <c r="A8772" s="174">
        <f t="shared" si="130"/>
        <v>8771</v>
      </c>
      <c r="B8772" s="163">
        <v>45982</v>
      </c>
      <c r="C8772" s="194">
        <v>0.55914351851851851</v>
      </c>
      <c r="D8772" s="174">
        <v>10</v>
      </c>
      <c r="E8772" s="166" t="s">
        <v>2139</v>
      </c>
      <c r="F8772" t="s">
        <v>6946</v>
      </c>
    </row>
    <row r="8773" spans="1:6">
      <c r="A8773" s="174">
        <f t="shared" si="130"/>
        <v>8772</v>
      </c>
      <c r="B8773" s="163">
        <v>45982</v>
      </c>
      <c r="C8773" s="194">
        <v>0.56021990740740735</v>
      </c>
      <c r="D8773" s="174">
        <v>10</v>
      </c>
      <c r="E8773" s="166" t="s">
        <v>6891</v>
      </c>
      <c r="F8773" t="s">
        <v>6946</v>
      </c>
    </row>
    <row r="8774" spans="1:6">
      <c r="A8774" s="174">
        <f t="shared" si="130"/>
        <v>8773</v>
      </c>
      <c r="B8774" s="163">
        <v>45982</v>
      </c>
      <c r="C8774" s="194">
        <v>0.54152777777777772</v>
      </c>
      <c r="D8774" s="174">
        <v>10</v>
      </c>
      <c r="E8774" s="166" t="s">
        <v>6906</v>
      </c>
      <c r="F8774" t="s">
        <v>6946</v>
      </c>
    </row>
    <row r="8775" spans="1:6">
      <c r="A8775" s="174">
        <f t="shared" si="130"/>
        <v>8774</v>
      </c>
      <c r="B8775" s="163">
        <v>45982</v>
      </c>
      <c r="C8775" s="194">
        <v>0.49763888888888891</v>
      </c>
      <c r="D8775" s="174">
        <v>10</v>
      </c>
      <c r="E8775" s="166" t="s">
        <v>6907</v>
      </c>
      <c r="F8775" t="s">
        <v>6946</v>
      </c>
    </row>
    <row r="8776" spans="1:6">
      <c r="A8776" s="174">
        <f t="shared" si="130"/>
        <v>8775</v>
      </c>
      <c r="B8776" s="163">
        <v>45982</v>
      </c>
      <c r="C8776" s="194">
        <v>0.4836805555555555</v>
      </c>
      <c r="D8776" s="174">
        <v>10</v>
      </c>
      <c r="E8776" s="166" t="s">
        <v>6908</v>
      </c>
      <c r="F8776" t="s">
        <v>6946</v>
      </c>
    </row>
    <row r="8777" spans="1:6">
      <c r="A8777" s="174">
        <f t="shared" si="130"/>
        <v>8776</v>
      </c>
      <c r="B8777" s="163">
        <v>45982</v>
      </c>
      <c r="C8777" s="194">
        <v>0.49229166666666663</v>
      </c>
      <c r="D8777" s="174">
        <v>10</v>
      </c>
      <c r="E8777" s="166" t="s">
        <v>6909</v>
      </c>
      <c r="F8777" t="s">
        <v>6946</v>
      </c>
    </row>
    <row r="8778" spans="1:6">
      <c r="A8778" s="174">
        <f t="shared" si="130"/>
        <v>8777</v>
      </c>
      <c r="B8778" s="163">
        <v>45982</v>
      </c>
      <c r="C8778" s="194">
        <v>0.47193287037037041</v>
      </c>
      <c r="D8778" s="174">
        <v>10</v>
      </c>
      <c r="E8778" s="166" t="s">
        <v>6808</v>
      </c>
      <c r="F8778" t="s">
        <v>6946</v>
      </c>
    </row>
    <row r="8779" spans="1:6">
      <c r="A8779" s="174">
        <f t="shared" si="130"/>
        <v>8778</v>
      </c>
      <c r="B8779" s="163">
        <v>45982</v>
      </c>
      <c r="C8779" s="194">
        <v>0.46649305555555554</v>
      </c>
      <c r="D8779" s="174">
        <v>10</v>
      </c>
      <c r="E8779" s="166" t="s">
        <v>6807</v>
      </c>
      <c r="F8779" t="s">
        <v>6946</v>
      </c>
    </row>
    <row r="8780" spans="1:6">
      <c r="A8780" s="174">
        <f t="shared" si="130"/>
        <v>8779</v>
      </c>
      <c r="B8780" s="163">
        <v>45982</v>
      </c>
      <c r="C8780" s="194">
        <v>0.47027777777777779</v>
      </c>
      <c r="D8780" s="174">
        <v>10</v>
      </c>
      <c r="E8780" s="166" t="s">
        <v>6806</v>
      </c>
      <c r="F8780" t="s">
        <v>6946</v>
      </c>
    </row>
    <row r="8781" spans="1:6">
      <c r="A8781" s="174">
        <f t="shared" si="130"/>
        <v>8780</v>
      </c>
      <c r="B8781" s="163">
        <v>45982</v>
      </c>
      <c r="C8781" s="194">
        <v>0.44063657407407408</v>
      </c>
      <c r="D8781" s="174">
        <v>10</v>
      </c>
      <c r="E8781" s="166" t="s">
        <v>6805</v>
      </c>
      <c r="F8781" t="s">
        <v>6946</v>
      </c>
    </row>
    <row r="8782" spans="1:6">
      <c r="A8782" s="174">
        <f t="shared" si="130"/>
        <v>8781</v>
      </c>
      <c r="B8782" s="163">
        <v>45982</v>
      </c>
      <c r="C8782" s="194">
        <v>0.43297453703703703</v>
      </c>
      <c r="D8782" s="174">
        <v>10</v>
      </c>
      <c r="E8782" s="166" t="s">
        <v>6804</v>
      </c>
      <c r="F8782" t="s">
        <v>6946</v>
      </c>
    </row>
    <row r="8783" spans="1:6">
      <c r="A8783" s="174">
        <f t="shared" si="130"/>
        <v>8782</v>
      </c>
      <c r="B8783" s="163">
        <v>45982</v>
      </c>
      <c r="C8783" s="194">
        <v>0.40866898148148145</v>
      </c>
      <c r="D8783" s="174">
        <v>10</v>
      </c>
      <c r="E8783" s="166" t="s">
        <v>6803</v>
      </c>
      <c r="F8783" t="s">
        <v>6946</v>
      </c>
    </row>
    <row r="8784" spans="1:6">
      <c r="A8784" s="174">
        <f t="shared" si="130"/>
        <v>8783</v>
      </c>
      <c r="B8784" s="163">
        <v>45982</v>
      </c>
      <c r="C8784" s="194">
        <v>0.40030092592592598</v>
      </c>
      <c r="D8784" s="174">
        <v>10</v>
      </c>
      <c r="E8784" s="166" t="s">
        <v>6802</v>
      </c>
      <c r="F8784" t="s">
        <v>6946</v>
      </c>
    </row>
    <row r="8785" spans="1:6">
      <c r="A8785" s="174">
        <f t="shared" si="130"/>
        <v>8784</v>
      </c>
      <c r="B8785" s="163">
        <v>45982</v>
      </c>
      <c r="C8785" s="194">
        <v>0.39164351851851853</v>
      </c>
      <c r="D8785" s="174">
        <v>10</v>
      </c>
      <c r="E8785" s="166" t="s">
        <v>6801</v>
      </c>
      <c r="F8785" t="s">
        <v>6946</v>
      </c>
    </row>
    <row r="8786" spans="1:6">
      <c r="A8786" s="174">
        <f t="shared" si="130"/>
        <v>8785</v>
      </c>
      <c r="B8786" s="163">
        <v>45983</v>
      </c>
      <c r="C8786" s="194">
        <v>0.65744212962962967</v>
      </c>
      <c r="D8786" s="174">
        <v>10</v>
      </c>
      <c r="E8786" s="166" t="s">
        <v>6882</v>
      </c>
      <c r="F8786" t="s">
        <v>6946</v>
      </c>
    </row>
    <row r="8787" spans="1:6">
      <c r="A8787" s="174">
        <f t="shared" si="130"/>
        <v>8786</v>
      </c>
      <c r="B8787" s="163">
        <v>45983</v>
      </c>
      <c r="C8787" s="194">
        <v>0.54245370370370372</v>
      </c>
      <c r="D8787" s="174">
        <v>10</v>
      </c>
      <c r="E8787" s="166" t="s">
        <v>179</v>
      </c>
      <c r="F8787" t="s">
        <v>6946</v>
      </c>
    </row>
    <row r="8788" spans="1:6">
      <c r="A8788" s="174">
        <f t="shared" si="130"/>
        <v>8787</v>
      </c>
      <c r="B8788" s="163">
        <v>45983</v>
      </c>
      <c r="C8788" s="194">
        <v>0.4588888888888889</v>
      </c>
      <c r="D8788" s="174">
        <v>10</v>
      </c>
      <c r="E8788" s="166" t="s">
        <v>6883</v>
      </c>
      <c r="F8788" t="s">
        <v>6946</v>
      </c>
    </row>
    <row r="8789" spans="1:6">
      <c r="A8789" s="174">
        <f t="shared" si="130"/>
        <v>8788</v>
      </c>
      <c r="B8789" s="163">
        <v>45983</v>
      </c>
      <c r="C8789" s="194">
        <v>0.42381944444444447</v>
      </c>
      <c r="D8789" s="174">
        <v>10</v>
      </c>
      <c r="E8789" s="166" t="s">
        <v>3031</v>
      </c>
      <c r="F8789" t="s">
        <v>6946</v>
      </c>
    </row>
    <row r="8790" spans="1:6">
      <c r="A8790" s="174">
        <f t="shared" ref="A8790:A8853" si="131">ROW()-1</f>
        <v>8789</v>
      </c>
      <c r="B8790" s="163">
        <v>45985</v>
      </c>
      <c r="C8790" s="194">
        <v>0.86350694444444442</v>
      </c>
      <c r="D8790" s="174">
        <v>10</v>
      </c>
      <c r="E8790" s="166" t="s">
        <v>6850</v>
      </c>
      <c r="F8790" t="s">
        <v>6946</v>
      </c>
    </row>
    <row r="8791" spans="1:6">
      <c r="A8791" s="174">
        <f t="shared" si="131"/>
        <v>8790</v>
      </c>
      <c r="B8791" s="163">
        <v>45985</v>
      </c>
      <c r="C8791" s="194">
        <v>0.82753472222222213</v>
      </c>
      <c r="D8791" s="174">
        <v>10</v>
      </c>
      <c r="E8791" s="166" t="s">
        <v>374</v>
      </c>
      <c r="F8791" t="s">
        <v>6946</v>
      </c>
    </row>
    <row r="8792" spans="1:6">
      <c r="A8792" s="174">
        <f t="shared" si="131"/>
        <v>8791</v>
      </c>
      <c r="B8792" s="163">
        <v>45985</v>
      </c>
      <c r="C8792" s="194">
        <v>0.80076388888888894</v>
      </c>
      <c r="D8792" s="174">
        <v>10</v>
      </c>
      <c r="E8792" s="166" t="s">
        <v>6851</v>
      </c>
      <c r="F8792" t="s">
        <v>6946</v>
      </c>
    </row>
    <row r="8793" spans="1:6">
      <c r="A8793" s="174">
        <f t="shared" si="131"/>
        <v>8792</v>
      </c>
      <c r="B8793" s="163">
        <v>45985</v>
      </c>
      <c r="C8793" s="194">
        <v>0.79072916666666659</v>
      </c>
      <c r="D8793" s="174">
        <v>10</v>
      </c>
      <c r="E8793" s="166" t="s">
        <v>6852</v>
      </c>
      <c r="F8793" t="s">
        <v>6946</v>
      </c>
    </row>
    <row r="8794" spans="1:6">
      <c r="A8794" s="174">
        <f t="shared" si="131"/>
        <v>8793</v>
      </c>
      <c r="B8794" s="163">
        <v>45985</v>
      </c>
      <c r="C8794" s="194">
        <v>0.7909722222222223</v>
      </c>
      <c r="D8794" s="174">
        <v>10</v>
      </c>
      <c r="E8794" s="166" t="s">
        <v>244</v>
      </c>
      <c r="F8794" t="s">
        <v>6946</v>
      </c>
    </row>
    <row r="8795" spans="1:6">
      <c r="A8795" s="174">
        <f t="shared" si="131"/>
        <v>8794</v>
      </c>
      <c r="B8795" s="163">
        <v>45985</v>
      </c>
      <c r="C8795" s="194">
        <v>0.75928240740740749</v>
      </c>
      <c r="D8795" s="174">
        <v>10</v>
      </c>
      <c r="E8795" s="166" t="s">
        <v>6853</v>
      </c>
      <c r="F8795" t="s">
        <v>6946</v>
      </c>
    </row>
    <row r="8796" spans="1:6">
      <c r="A8796" s="174">
        <f t="shared" si="131"/>
        <v>8795</v>
      </c>
      <c r="B8796" s="163">
        <v>45985</v>
      </c>
      <c r="C8796" s="194">
        <v>0.73956018518518529</v>
      </c>
      <c r="D8796" s="174">
        <v>10</v>
      </c>
      <c r="E8796" s="166" t="s">
        <v>6854</v>
      </c>
      <c r="F8796" t="s">
        <v>6946</v>
      </c>
    </row>
    <row r="8797" spans="1:6">
      <c r="A8797" s="174">
        <f t="shared" si="131"/>
        <v>8796</v>
      </c>
      <c r="B8797" s="163">
        <v>45985</v>
      </c>
      <c r="C8797" s="194">
        <v>0.73964120370370379</v>
      </c>
      <c r="D8797" s="174">
        <v>10</v>
      </c>
      <c r="E8797" s="166" t="s">
        <v>6855</v>
      </c>
      <c r="F8797" t="s">
        <v>6946</v>
      </c>
    </row>
    <row r="8798" spans="1:6">
      <c r="A8798" s="174">
        <f t="shared" si="131"/>
        <v>8797</v>
      </c>
      <c r="B8798" s="163">
        <v>45985</v>
      </c>
      <c r="C8798" s="194">
        <v>0.71960648148148154</v>
      </c>
      <c r="D8798" s="174">
        <v>10</v>
      </c>
      <c r="E8798" s="166" t="s">
        <v>6856</v>
      </c>
      <c r="F8798" t="s">
        <v>6946</v>
      </c>
    </row>
    <row r="8799" spans="1:6">
      <c r="A8799" s="174">
        <f t="shared" si="131"/>
        <v>8798</v>
      </c>
      <c r="B8799" s="163">
        <v>45985</v>
      </c>
      <c r="C8799" s="194">
        <v>0.75217592592592597</v>
      </c>
      <c r="D8799" s="174">
        <v>10</v>
      </c>
      <c r="E8799" s="166" t="s">
        <v>6857</v>
      </c>
      <c r="F8799" t="s">
        <v>6946</v>
      </c>
    </row>
    <row r="8800" spans="1:6">
      <c r="A8800" s="174">
        <f t="shared" si="131"/>
        <v>8799</v>
      </c>
      <c r="B8800" s="163">
        <v>45985</v>
      </c>
      <c r="C8800" s="194">
        <v>0.68901620370370376</v>
      </c>
      <c r="D8800" s="174">
        <v>10</v>
      </c>
      <c r="E8800" s="166" t="s">
        <v>6858</v>
      </c>
      <c r="F8800" t="s">
        <v>6946</v>
      </c>
    </row>
    <row r="8801" spans="1:6">
      <c r="A8801" s="174">
        <f t="shared" si="131"/>
        <v>8800</v>
      </c>
      <c r="B8801" s="163">
        <v>45985</v>
      </c>
      <c r="C8801" s="194">
        <v>0.70885416666666667</v>
      </c>
      <c r="D8801" s="174">
        <v>10</v>
      </c>
      <c r="E8801" s="166" t="s">
        <v>6859</v>
      </c>
      <c r="F8801" t="s">
        <v>6946</v>
      </c>
    </row>
    <row r="8802" spans="1:6" ht="27">
      <c r="A8802" s="174">
        <f t="shared" si="131"/>
        <v>8801</v>
      </c>
      <c r="B8802" s="163">
        <v>45985</v>
      </c>
      <c r="C8802" s="194">
        <v>0.68445601851851856</v>
      </c>
      <c r="D8802" s="174">
        <v>10</v>
      </c>
      <c r="E8802" s="166" t="s">
        <v>6860</v>
      </c>
      <c r="F8802" t="s">
        <v>6946</v>
      </c>
    </row>
    <row r="8803" spans="1:6" ht="27">
      <c r="A8803" s="174">
        <f t="shared" si="131"/>
        <v>8802</v>
      </c>
      <c r="B8803" s="163">
        <v>45985</v>
      </c>
      <c r="C8803" s="194">
        <v>0.67905092592592586</v>
      </c>
      <c r="D8803" s="174">
        <v>10</v>
      </c>
      <c r="E8803" s="166" t="s">
        <v>6861</v>
      </c>
      <c r="F8803" t="s">
        <v>6946</v>
      </c>
    </row>
    <row r="8804" spans="1:6">
      <c r="A8804" s="174">
        <f t="shared" si="131"/>
        <v>8803</v>
      </c>
      <c r="B8804" s="163">
        <v>45985</v>
      </c>
      <c r="C8804" s="194">
        <v>0.68849537037037034</v>
      </c>
      <c r="D8804" s="174">
        <v>10</v>
      </c>
      <c r="E8804" s="166" t="s">
        <v>6862</v>
      </c>
      <c r="F8804" t="s">
        <v>6946</v>
      </c>
    </row>
    <row r="8805" spans="1:6">
      <c r="A8805" s="174">
        <f t="shared" si="131"/>
        <v>8804</v>
      </c>
      <c r="B8805" s="163">
        <v>45985</v>
      </c>
      <c r="C8805" s="194">
        <v>0.67693287037037031</v>
      </c>
      <c r="D8805" s="174">
        <v>10</v>
      </c>
      <c r="E8805" s="166" t="s">
        <v>448</v>
      </c>
      <c r="F8805" t="s">
        <v>6946</v>
      </c>
    </row>
    <row r="8806" spans="1:6">
      <c r="A8806" s="174">
        <f t="shared" si="131"/>
        <v>8805</v>
      </c>
      <c r="B8806" s="163">
        <v>45985</v>
      </c>
      <c r="C8806" s="194">
        <v>0.6723958333333333</v>
      </c>
      <c r="D8806" s="174">
        <v>10</v>
      </c>
      <c r="E8806" s="166" t="s">
        <v>1579</v>
      </c>
      <c r="F8806" t="s">
        <v>6946</v>
      </c>
    </row>
    <row r="8807" spans="1:6">
      <c r="A8807" s="174">
        <f t="shared" si="131"/>
        <v>8806</v>
      </c>
      <c r="B8807" s="163">
        <v>45985</v>
      </c>
      <c r="C8807" s="194">
        <v>0.66135416666666669</v>
      </c>
      <c r="D8807" s="174">
        <v>10</v>
      </c>
      <c r="E8807" s="166" t="s">
        <v>6863</v>
      </c>
      <c r="F8807" t="s">
        <v>6946</v>
      </c>
    </row>
    <row r="8808" spans="1:6">
      <c r="A8808" s="174">
        <f t="shared" si="131"/>
        <v>8807</v>
      </c>
      <c r="B8808" s="163">
        <v>45985</v>
      </c>
      <c r="C8808" s="194">
        <v>0.65929398148148144</v>
      </c>
      <c r="D8808" s="174">
        <v>10</v>
      </c>
      <c r="E8808" s="166" t="s">
        <v>6864</v>
      </c>
      <c r="F8808" t="s">
        <v>6946</v>
      </c>
    </row>
    <row r="8809" spans="1:6">
      <c r="A8809" s="174">
        <f t="shared" si="131"/>
        <v>8808</v>
      </c>
      <c r="B8809" s="163">
        <v>45985</v>
      </c>
      <c r="C8809" s="194">
        <v>0.65484953703703697</v>
      </c>
      <c r="D8809" s="174">
        <v>10</v>
      </c>
      <c r="E8809" s="166" t="s">
        <v>6865</v>
      </c>
      <c r="F8809" t="s">
        <v>6946</v>
      </c>
    </row>
    <row r="8810" spans="1:6">
      <c r="A8810" s="174">
        <f t="shared" si="131"/>
        <v>8809</v>
      </c>
      <c r="B8810" s="163">
        <v>45985</v>
      </c>
      <c r="C8810" s="194">
        <v>0.64648148148148155</v>
      </c>
      <c r="D8810" s="174">
        <v>10</v>
      </c>
      <c r="E8810" s="166" t="s">
        <v>6866</v>
      </c>
      <c r="F8810" t="s">
        <v>6946</v>
      </c>
    </row>
    <row r="8811" spans="1:6">
      <c r="A8811" s="174">
        <f t="shared" si="131"/>
        <v>8810</v>
      </c>
      <c r="B8811" s="163">
        <v>45985</v>
      </c>
      <c r="C8811" s="194">
        <v>0.62843749999999998</v>
      </c>
      <c r="D8811" s="174">
        <v>10</v>
      </c>
      <c r="E8811" s="166" t="s">
        <v>6867</v>
      </c>
      <c r="F8811" t="s">
        <v>6946</v>
      </c>
    </row>
    <row r="8812" spans="1:6">
      <c r="A8812" s="174">
        <f t="shared" si="131"/>
        <v>8811</v>
      </c>
      <c r="B8812" s="163">
        <v>45985</v>
      </c>
      <c r="C8812" s="194">
        <v>0.6231944444444445</v>
      </c>
      <c r="D8812" s="174">
        <v>10</v>
      </c>
      <c r="E8812" s="166" t="s">
        <v>6868</v>
      </c>
      <c r="F8812" t="s">
        <v>6946</v>
      </c>
    </row>
    <row r="8813" spans="1:6">
      <c r="A8813" s="174">
        <f t="shared" si="131"/>
        <v>8812</v>
      </c>
      <c r="B8813" s="163">
        <v>45985</v>
      </c>
      <c r="C8813" s="194">
        <v>0.61927083333333333</v>
      </c>
      <c r="D8813" s="174">
        <v>10</v>
      </c>
      <c r="E8813" s="166" t="s">
        <v>6869</v>
      </c>
      <c r="F8813" t="s">
        <v>6946</v>
      </c>
    </row>
    <row r="8814" spans="1:6">
      <c r="A8814" s="174">
        <f t="shared" si="131"/>
        <v>8813</v>
      </c>
      <c r="B8814" s="163">
        <v>45985</v>
      </c>
      <c r="C8814" s="194">
        <v>0.61439814814814808</v>
      </c>
      <c r="D8814" s="174">
        <v>10</v>
      </c>
      <c r="E8814" s="166" t="s">
        <v>6870</v>
      </c>
      <c r="F8814" t="s">
        <v>6946</v>
      </c>
    </row>
    <row r="8815" spans="1:6" ht="40.5">
      <c r="A8815" s="174">
        <f t="shared" si="131"/>
        <v>8814</v>
      </c>
      <c r="B8815" s="163">
        <v>45985</v>
      </c>
      <c r="C8815" s="194">
        <v>0.60393518518518519</v>
      </c>
      <c r="D8815" s="174">
        <v>1</v>
      </c>
      <c r="E8815" s="166" t="s">
        <v>6871</v>
      </c>
      <c r="F8815" t="s">
        <v>6946</v>
      </c>
    </row>
    <row r="8816" spans="1:6">
      <c r="A8816" s="174">
        <f t="shared" si="131"/>
        <v>8815</v>
      </c>
      <c r="B8816" s="163">
        <v>45985</v>
      </c>
      <c r="C8816" s="194">
        <v>0.60217592592592595</v>
      </c>
      <c r="D8816" s="174">
        <v>10</v>
      </c>
      <c r="E8816" s="166" t="s">
        <v>6872</v>
      </c>
      <c r="F8816" t="s">
        <v>6946</v>
      </c>
    </row>
    <row r="8817" spans="1:6">
      <c r="A8817" s="174">
        <f t="shared" si="131"/>
        <v>8816</v>
      </c>
      <c r="B8817" s="163">
        <v>45985</v>
      </c>
      <c r="C8817" s="194">
        <v>0.54905092592592586</v>
      </c>
      <c r="D8817" s="174">
        <v>10</v>
      </c>
      <c r="E8817" s="166" t="s">
        <v>346</v>
      </c>
      <c r="F8817" t="s">
        <v>6946</v>
      </c>
    </row>
    <row r="8818" spans="1:6">
      <c r="A8818" s="174">
        <f t="shared" si="131"/>
        <v>8817</v>
      </c>
      <c r="B8818" s="163">
        <v>45985</v>
      </c>
      <c r="C8818" s="194">
        <v>0.50085648148148143</v>
      </c>
      <c r="D8818" s="174">
        <v>10</v>
      </c>
      <c r="E8818" s="166" t="s">
        <v>6873</v>
      </c>
      <c r="F8818" t="s">
        <v>6946</v>
      </c>
    </row>
    <row r="8819" spans="1:6">
      <c r="A8819" s="174">
        <f t="shared" si="131"/>
        <v>8818</v>
      </c>
      <c r="B8819" s="163">
        <v>45985</v>
      </c>
      <c r="C8819" s="194">
        <v>0.50056712962962957</v>
      </c>
      <c r="D8819" s="174">
        <v>10</v>
      </c>
      <c r="E8819" s="166" t="s">
        <v>6874</v>
      </c>
      <c r="F8819" t="s">
        <v>6946</v>
      </c>
    </row>
    <row r="8820" spans="1:6" ht="27">
      <c r="A8820" s="174">
        <f t="shared" si="131"/>
        <v>8819</v>
      </c>
      <c r="B8820" s="163">
        <v>45985</v>
      </c>
      <c r="C8820" s="194">
        <v>0.49457175925925928</v>
      </c>
      <c r="D8820" s="174">
        <v>10</v>
      </c>
      <c r="E8820" s="166" t="s">
        <v>6875</v>
      </c>
      <c r="F8820" t="s">
        <v>6946</v>
      </c>
    </row>
    <row r="8821" spans="1:6">
      <c r="A8821" s="174">
        <f t="shared" si="131"/>
        <v>8820</v>
      </c>
      <c r="B8821" s="163">
        <v>45985</v>
      </c>
      <c r="C8821" s="194">
        <v>0.50494212962962959</v>
      </c>
      <c r="D8821" s="174">
        <v>10</v>
      </c>
      <c r="E8821" s="166" t="s">
        <v>6876</v>
      </c>
      <c r="F8821" t="s">
        <v>6946</v>
      </c>
    </row>
    <row r="8822" spans="1:6">
      <c r="A8822" s="174">
        <f t="shared" si="131"/>
        <v>8821</v>
      </c>
      <c r="B8822" s="163">
        <v>45985</v>
      </c>
      <c r="C8822" s="194">
        <v>0.4884722222222222</v>
      </c>
      <c r="D8822" s="174">
        <v>10</v>
      </c>
      <c r="E8822" s="166" t="s">
        <v>6877</v>
      </c>
      <c r="F8822" t="s">
        <v>6946</v>
      </c>
    </row>
    <row r="8823" spans="1:6">
      <c r="A8823" s="174">
        <f t="shared" si="131"/>
        <v>8822</v>
      </c>
      <c r="B8823" s="163">
        <v>45985</v>
      </c>
      <c r="C8823" s="194">
        <v>0.48576388888888888</v>
      </c>
      <c r="D8823" s="174">
        <v>10</v>
      </c>
      <c r="E8823" s="166" t="s">
        <v>6878</v>
      </c>
      <c r="F8823" t="s">
        <v>6946</v>
      </c>
    </row>
    <row r="8824" spans="1:6">
      <c r="A8824" s="174">
        <f t="shared" si="131"/>
        <v>8823</v>
      </c>
      <c r="B8824" s="163">
        <v>45985</v>
      </c>
      <c r="C8824" s="194">
        <v>0.44872685185185185</v>
      </c>
      <c r="D8824" s="174">
        <v>10</v>
      </c>
      <c r="E8824" s="166" t="s">
        <v>1579</v>
      </c>
      <c r="F8824" t="s">
        <v>6946</v>
      </c>
    </row>
    <row r="8825" spans="1:6">
      <c r="A8825" s="174">
        <f t="shared" si="131"/>
        <v>8824</v>
      </c>
      <c r="B8825" s="163">
        <v>45985</v>
      </c>
      <c r="C8825" s="194">
        <v>0.44474537037037037</v>
      </c>
      <c r="D8825" s="174">
        <v>10</v>
      </c>
      <c r="E8825" s="166" t="s">
        <v>6879</v>
      </c>
      <c r="F8825" t="s">
        <v>6946</v>
      </c>
    </row>
    <row r="8826" spans="1:6">
      <c r="A8826" s="174">
        <f t="shared" si="131"/>
        <v>8825</v>
      </c>
      <c r="B8826" s="163">
        <v>45985</v>
      </c>
      <c r="C8826" s="194">
        <v>0.42471064814814818</v>
      </c>
      <c r="D8826" s="174">
        <v>10</v>
      </c>
      <c r="E8826" s="166" t="s">
        <v>6880</v>
      </c>
      <c r="F8826" t="s">
        <v>6946</v>
      </c>
    </row>
    <row r="8827" spans="1:6">
      <c r="A8827" s="174">
        <f t="shared" si="131"/>
        <v>8826</v>
      </c>
      <c r="B8827" s="163">
        <v>45985</v>
      </c>
      <c r="C8827" s="194">
        <v>0.40167824074074071</v>
      </c>
      <c r="D8827" s="174">
        <v>10</v>
      </c>
      <c r="E8827" s="166" t="s">
        <v>6881</v>
      </c>
      <c r="F8827" t="s">
        <v>6946</v>
      </c>
    </row>
    <row r="8828" spans="1:6">
      <c r="A8828" s="174">
        <f t="shared" si="131"/>
        <v>8827</v>
      </c>
      <c r="B8828" s="163">
        <v>45985</v>
      </c>
      <c r="C8828" s="194">
        <v>0.58657407407407403</v>
      </c>
      <c r="D8828" s="174">
        <v>10</v>
      </c>
      <c r="E8828" s="166" t="s">
        <v>6627</v>
      </c>
      <c r="F8828" t="s">
        <v>6946</v>
      </c>
    </row>
    <row r="8829" spans="1:6">
      <c r="A8829" s="174">
        <f t="shared" si="131"/>
        <v>8828</v>
      </c>
      <c r="B8829" s="163">
        <v>45986</v>
      </c>
      <c r="C8829" s="194">
        <v>0.8185069444444445</v>
      </c>
      <c r="D8829" s="174">
        <v>10</v>
      </c>
      <c r="E8829" s="166" t="s">
        <v>6825</v>
      </c>
      <c r="F8829" t="s">
        <v>6946</v>
      </c>
    </row>
    <row r="8830" spans="1:6">
      <c r="A8830" s="174">
        <f t="shared" si="131"/>
        <v>8829</v>
      </c>
      <c r="B8830" s="163">
        <v>45986</v>
      </c>
      <c r="C8830" s="194">
        <v>0.75686342592592604</v>
      </c>
      <c r="D8830" s="174">
        <v>10</v>
      </c>
      <c r="E8830" s="166" t="s">
        <v>2385</v>
      </c>
      <c r="F8830" t="s">
        <v>6946</v>
      </c>
    </row>
    <row r="8831" spans="1:6">
      <c r="A8831" s="174">
        <f t="shared" si="131"/>
        <v>8830</v>
      </c>
      <c r="B8831" s="163">
        <v>45986</v>
      </c>
      <c r="C8831" s="194">
        <v>0.75313657407407408</v>
      </c>
      <c r="D8831" s="174">
        <v>10</v>
      </c>
      <c r="E8831" s="166" t="s">
        <v>6826</v>
      </c>
      <c r="F8831" t="s">
        <v>6946</v>
      </c>
    </row>
    <row r="8832" spans="1:6">
      <c r="A8832" s="174">
        <f t="shared" si="131"/>
        <v>8831</v>
      </c>
      <c r="B8832" s="163">
        <v>45986</v>
      </c>
      <c r="C8832" s="194">
        <v>0.74861111111111101</v>
      </c>
      <c r="D8832" s="174">
        <v>10</v>
      </c>
      <c r="E8832" s="166" t="s">
        <v>6827</v>
      </c>
      <c r="F8832" t="s">
        <v>6946</v>
      </c>
    </row>
    <row r="8833" spans="1:6" ht="67.5">
      <c r="A8833" s="174">
        <f t="shared" si="131"/>
        <v>8832</v>
      </c>
      <c r="B8833" s="163">
        <v>45986</v>
      </c>
      <c r="C8833" s="194">
        <v>0.73372685185185194</v>
      </c>
      <c r="D8833" s="174">
        <v>10</v>
      </c>
      <c r="E8833" s="166" t="s">
        <v>6828</v>
      </c>
      <c r="F8833" t="s">
        <v>6946</v>
      </c>
    </row>
    <row r="8834" spans="1:6">
      <c r="A8834" s="174">
        <f t="shared" si="131"/>
        <v>8833</v>
      </c>
      <c r="B8834" s="163">
        <v>45986</v>
      </c>
      <c r="C8834" s="194">
        <v>0.70677083333333324</v>
      </c>
      <c r="D8834" s="174">
        <v>10</v>
      </c>
      <c r="E8834" s="166" t="s">
        <v>6829</v>
      </c>
      <c r="F8834" t="s">
        <v>6946</v>
      </c>
    </row>
    <row r="8835" spans="1:6">
      <c r="A8835" s="174">
        <f t="shared" si="131"/>
        <v>8834</v>
      </c>
      <c r="B8835" s="163">
        <v>45986</v>
      </c>
      <c r="C8835" s="194">
        <v>0.69627314814814811</v>
      </c>
      <c r="D8835" s="174">
        <v>10</v>
      </c>
      <c r="E8835" s="166" t="s">
        <v>6830</v>
      </c>
      <c r="F8835" t="s">
        <v>6946</v>
      </c>
    </row>
    <row r="8836" spans="1:6">
      <c r="A8836" s="174">
        <f t="shared" si="131"/>
        <v>8835</v>
      </c>
      <c r="B8836" s="163">
        <v>45986</v>
      </c>
      <c r="C8836" s="194">
        <v>0.69319444444444445</v>
      </c>
      <c r="D8836" s="174">
        <v>10</v>
      </c>
      <c r="E8836" s="166" t="s">
        <v>6831</v>
      </c>
      <c r="F8836" t="s">
        <v>6946</v>
      </c>
    </row>
    <row r="8837" spans="1:6">
      <c r="A8837" s="174">
        <f t="shared" si="131"/>
        <v>8836</v>
      </c>
      <c r="B8837" s="163">
        <v>45986</v>
      </c>
      <c r="C8837" s="194">
        <v>0.69866898148148149</v>
      </c>
      <c r="D8837" s="174">
        <v>10</v>
      </c>
      <c r="E8837" s="166" t="s">
        <v>6832</v>
      </c>
      <c r="F8837" t="s">
        <v>6946</v>
      </c>
    </row>
    <row r="8838" spans="1:6">
      <c r="A8838" s="174">
        <f t="shared" si="131"/>
        <v>8837</v>
      </c>
      <c r="B8838" s="163">
        <v>45986</v>
      </c>
      <c r="C8838" s="194">
        <v>0.69964120370370375</v>
      </c>
      <c r="D8838" s="174">
        <v>10</v>
      </c>
      <c r="E8838" s="166" t="s">
        <v>273</v>
      </c>
      <c r="F8838" t="s">
        <v>6946</v>
      </c>
    </row>
    <row r="8839" spans="1:6">
      <c r="A8839" s="174">
        <f t="shared" si="131"/>
        <v>8838</v>
      </c>
      <c r="B8839" s="163">
        <v>45986</v>
      </c>
      <c r="C8839" s="194">
        <v>0.69563657407407409</v>
      </c>
      <c r="D8839" s="174">
        <v>10</v>
      </c>
      <c r="E8839" s="166" t="s">
        <v>6833</v>
      </c>
      <c r="F8839" t="s">
        <v>6946</v>
      </c>
    </row>
    <row r="8840" spans="1:6">
      <c r="A8840" s="174">
        <f t="shared" si="131"/>
        <v>8839</v>
      </c>
      <c r="B8840" s="163">
        <v>45986</v>
      </c>
      <c r="C8840" s="194">
        <v>0.687962962962963</v>
      </c>
      <c r="D8840" s="174">
        <v>10</v>
      </c>
      <c r="E8840" s="166" t="s">
        <v>6834</v>
      </c>
      <c r="F8840" t="s">
        <v>6946</v>
      </c>
    </row>
    <row r="8841" spans="1:6">
      <c r="A8841" s="174">
        <f t="shared" si="131"/>
        <v>8840</v>
      </c>
      <c r="B8841" s="163">
        <v>45986</v>
      </c>
      <c r="C8841" s="194">
        <v>0.65832175925925929</v>
      </c>
      <c r="D8841" s="174">
        <v>10</v>
      </c>
      <c r="E8841" s="166" t="s">
        <v>6835</v>
      </c>
      <c r="F8841" t="s">
        <v>6946</v>
      </c>
    </row>
    <row r="8842" spans="1:6">
      <c r="A8842" s="174">
        <f t="shared" si="131"/>
        <v>8841</v>
      </c>
      <c r="B8842" s="163">
        <v>45986</v>
      </c>
      <c r="C8842" s="194">
        <v>0.64998842592592598</v>
      </c>
      <c r="D8842" s="174">
        <v>10</v>
      </c>
      <c r="E8842" s="166" t="s">
        <v>244</v>
      </c>
      <c r="F8842" t="s">
        <v>6946</v>
      </c>
    </row>
    <row r="8843" spans="1:6">
      <c r="A8843" s="174">
        <f t="shared" si="131"/>
        <v>8842</v>
      </c>
      <c r="B8843" s="163">
        <v>45986</v>
      </c>
      <c r="C8843" s="194">
        <v>0.64358796296296295</v>
      </c>
      <c r="D8843" s="174">
        <v>10</v>
      </c>
      <c r="E8843" s="166" t="s">
        <v>6836</v>
      </c>
      <c r="F8843" t="s">
        <v>6946</v>
      </c>
    </row>
    <row r="8844" spans="1:6">
      <c r="A8844" s="174">
        <f t="shared" si="131"/>
        <v>8843</v>
      </c>
      <c r="B8844" s="163">
        <v>45986</v>
      </c>
      <c r="C8844" s="194">
        <v>0.60267361111111117</v>
      </c>
      <c r="D8844" s="174">
        <v>10</v>
      </c>
      <c r="E8844" s="166" t="s">
        <v>6837</v>
      </c>
      <c r="F8844" t="s">
        <v>6946</v>
      </c>
    </row>
    <row r="8845" spans="1:6">
      <c r="A8845" s="174">
        <f t="shared" si="131"/>
        <v>8844</v>
      </c>
      <c r="B8845" s="163">
        <v>45986</v>
      </c>
      <c r="C8845" s="194">
        <v>0.59666666666666668</v>
      </c>
      <c r="D8845" s="174">
        <v>10</v>
      </c>
      <c r="E8845" s="166" t="s">
        <v>6838</v>
      </c>
      <c r="F8845" t="s">
        <v>6946</v>
      </c>
    </row>
    <row r="8846" spans="1:6">
      <c r="A8846" s="174">
        <f t="shared" si="131"/>
        <v>8845</v>
      </c>
      <c r="B8846" s="163">
        <v>45986</v>
      </c>
      <c r="C8846" s="194">
        <v>0.58285879629629633</v>
      </c>
      <c r="D8846" s="174">
        <v>10</v>
      </c>
      <c r="E8846" s="166" t="s">
        <v>6839</v>
      </c>
      <c r="F8846" t="s">
        <v>6946</v>
      </c>
    </row>
    <row r="8847" spans="1:6">
      <c r="A8847" s="174">
        <f t="shared" si="131"/>
        <v>8846</v>
      </c>
      <c r="B8847" s="163">
        <v>45986</v>
      </c>
      <c r="C8847" s="194">
        <v>0.58023148148148151</v>
      </c>
      <c r="D8847" s="174">
        <v>10</v>
      </c>
      <c r="E8847" s="166" t="s">
        <v>6840</v>
      </c>
      <c r="F8847" t="s">
        <v>6946</v>
      </c>
    </row>
    <row r="8848" spans="1:6">
      <c r="A8848" s="174">
        <f t="shared" si="131"/>
        <v>8847</v>
      </c>
      <c r="B8848" s="163">
        <v>45986</v>
      </c>
      <c r="C8848" s="194">
        <v>0.56447916666666664</v>
      </c>
      <c r="D8848" s="174">
        <v>10</v>
      </c>
      <c r="E8848" s="166" t="s">
        <v>6841</v>
      </c>
      <c r="F8848" t="s">
        <v>6946</v>
      </c>
    </row>
    <row r="8849" spans="1:6">
      <c r="A8849" s="174">
        <f t="shared" si="131"/>
        <v>8848</v>
      </c>
      <c r="B8849" s="163">
        <v>45986</v>
      </c>
      <c r="C8849" s="194">
        <v>0.51366898148148155</v>
      </c>
      <c r="D8849" s="174">
        <v>10</v>
      </c>
      <c r="E8849" s="166" t="s">
        <v>6842</v>
      </c>
      <c r="F8849" t="s">
        <v>6946</v>
      </c>
    </row>
    <row r="8850" spans="1:6">
      <c r="A8850" s="174">
        <f t="shared" si="131"/>
        <v>8849</v>
      </c>
      <c r="B8850" s="163">
        <v>45986</v>
      </c>
      <c r="C8850" s="194">
        <v>0.49996527777777783</v>
      </c>
      <c r="D8850" s="174">
        <v>10</v>
      </c>
      <c r="E8850" s="166" t="s">
        <v>3316</v>
      </c>
      <c r="F8850" t="s">
        <v>6946</v>
      </c>
    </row>
    <row r="8851" spans="1:6" ht="27">
      <c r="A8851" s="174">
        <f t="shared" si="131"/>
        <v>8850</v>
      </c>
      <c r="B8851" s="163">
        <v>45986</v>
      </c>
      <c r="C8851" s="194">
        <v>0.47954861111111113</v>
      </c>
      <c r="D8851" s="174">
        <v>10</v>
      </c>
      <c r="E8851" s="166" t="s">
        <v>6843</v>
      </c>
      <c r="F8851" t="s">
        <v>6946</v>
      </c>
    </row>
    <row r="8852" spans="1:6">
      <c r="A8852" s="174">
        <f t="shared" si="131"/>
        <v>8851</v>
      </c>
      <c r="B8852" s="163">
        <v>45986</v>
      </c>
      <c r="C8852" s="194">
        <v>0.47972222222222222</v>
      </c>
      <c r="D8852" s="174">
        <v>10</v>
      </c>
      <c r="E8852" s="166" t="s">
        <v>6844</v>
      </c>
      <c r="F8852" t="s">
        <v>6946</v>
      </c>
    </row>
    <row r="8853" spans="1:6">
      <c r="A8853" s="174">
        <f t="shared" si="131"/>
        <v>8852</v>
      </c>
      <c r="B8853" s="163">
        <v>45986</v>
      </c>
      <c r="C8853" s="194">
        <v>0.47967592592592595</v>
      </c>
      <c r="D8853" s="174">
        <v>10</v>
      </c>
      <c r="E8853" s="166" t="s">
        <v>6845</v>
      </c>
      <c r="F8853" t="s">
        <v>6946</v>
      </c>
    </row>
    <row r="8854" spans="1:6">
      <c r="A8854" s="174">
        <f t="shared" ref="A8854:A8917" si="132">ROW()-1</f>
        <v>8853</v>
      </c>
      <c r="B8854" s="163">
        <v>45986</v>
      </c>
      <c r="C8854" s="194">
        <v>0.47978009259259258</v>
      </c>
      <c r="D8854" s="174">
        <v>10</v>
      </c>
      <c r="E8854" s="166" t="s">
        <v>6846</v>
      </c>
      <c r="F8854" t="s">
        <v>6946</v>
      </c>
    </row>
    <row r="8855" spans="1:6">
      <c r="A8855" s="174">
        <f t="shared" si="132"/>
        <v>8854</v>
      </c>
      <c r="B8855" s="163">
        <v>45986</v>
      </c>
      <c r="C8855" s="194">
        <v>0.48973379629629626</v>
      </c>
      <c r="D8855" s="174">
        <v>10</v>
      </c>
      <c r="E8855" s="166" t="s">
        <v>1042</v>
      </c>
      <c r="F8855" t="s">
        <v>6946</v>
      </c>
    </row>
    <row r="8856" spans="1:6">
      <c r="A8856" s="174">
        <f t="shared" si="132"/>
        <v>8855</v>
      </c>
      <c r="B8856" s="163">
        <v>45986</v>
      </c>
      <c r="C8856" s="194">
        <v>0.4569212962962963</v>
      </c>
      <c r="D8856" s="174">
        <v>10</v>
      </c>
      <c r="E8856" s="166" t="s">
        <v>6847</v>
      </c>
      <c r="F8856" t="s">
        <v>6946</v>
      </c>
    </row>
    <row r="8857" spans="1:6">
      <c r="A8857" s="174">
        <f t="shared" si="132"/>
        <v>8856</v>
      </c>
      <c r="B8857" s="163">
        <v>45986</v>
      </c>
      <c r="C8857" s="194">
        <v>0.43520833333333336</v>
      </c>
      <c r="D8857" s="174">
        <v>10</v>
      </c>
      <c r="E8857" s="166" t="s">
        <v>6329</v>
      </c>
      <c r="F8857" t="s">
        <v>6946</v>
      </c>
    </row>
    <row r="8858" spans="1:6">
      <c r="A8858" s="174">
        <f t="shared" si="132"/>
        <v>8857</v>
      </c>
      <c r="B8858" s="163">
        <v>45986</v>
      </c>
      <c r="C8858" s="194">
        <v>0.42464120370370373</v>
      </c>
      <c r="D8858" s="174">
        <v>10</v>
      </c>
      <c r="E8858" s="166" t="s">
        <v>6848</v>
      </c>
      <c r="F8858" t="s">
        <v>6946</v>
      </c>
    </row>
    <row r="8859" spans="1:6">
      <c r="A8859" s="174">
        <f t="shared" si="132"/>
        <v>8858</v>
      </c>
      <c r="B8859" s="163">
        <v>45986</v>
      </c>
      <c r="C8859" s="194">
        <v>0.41605324074074074</v>
      </c>
      <c r="D8859" s="174">
        <v>10</v>
      </c>
      <c r="E8859" s="166" t="s">
        <v>6849</v>
      </c>
      <c r="F8859" t="s">
        <v>6946</v>
      </c>
    </row>
    <row r="8860" spans="1:6">
      <c r="A8860" s="174">
        <f t="shared" si="132"/>
        <v>8859</v>
      </c>
      <c r="B8860" s="163">
        <v>45987</v>
      </c>
      <c r="C8860" s="194">
        <v>0.91408564814814808</v>
      </c>
      <c r="D8860" s="174">
        <v>10</v>
      </c>
      <c r="E8860" s="166" t="s">
        <v>6945</v>
      </c>
      <c r="F8860" t="s">
        <v>6946</v>
      </c>
    </row>
    <row r="8861" spans="1:6">
      <c r="A8861" s="174">
        <f t="shared" si="132"/>
        <v>8860</v>
      </c>
      <c r="B8861" s="163">
        <v>45987</v>
      </c>
      <c r="C8861" s="194">
        <v>0.88973379629629623</v>
      </c>
      <c r="D8861" s="174">
        <v>10</v>
      </c>
      <c r="E8861" s="166" t="s">
        <v>6947</v>
      </c>
      <c r="F8861" t="s">
        <v>6946</v>
      </c>
    </row>
    <row r="8862" spans="1:6">
      <c r="A8862" s="174">
        <f t="shared" si="132"/>
        <v>8861</v>
      </c>
      <c r="B8862" s="163">
        <v>45987</v>
      </c>
      <c r="C8862" s="194">
        <v>0.87921296296296303</v>
      </c>
      <c r="D8862" s="174">
        <v>10</v>
      </c>
      <c r="E8862" s="166" t="s">
        <v>749</v>
      </c>
      <c r="F8862" t="s">
        <v>6946</v>
      </c>
    </row>
    <row r="8863" spans="1:6">
      <c r="A8863" s="174">
        <f t="shared" si="132"/>
        <v>8862</v>
      </c>
      <c r="B8863" s="163">
        <v>45987</v>
      </c>
      <c r="C8863" s="194">
        <v>0.85883101851851851</v>
      </c>
      <c r="D8863" s="174">
        <v>10</v>
      </c>
      <c r="E8863" s="166" t="s">
        <v>6948</v>
      </c>
      <c r="F8863" t="s">
        <v>6946</v>
      </c>
    </row>
    <row r="8864" spans="1:6">
      <c r="A8864" s="174">
        <f t="shared" si="132"/>
        <v>8863</v>
      </c>
      <c r="B8864" s="163">
        <v>45987</v>
      </c>
      <c r="C8864" s="194">
        <v>0.85743055555555558</v>
      </c>
      <c r="D8864" s="174">
        <v>10</v>
      </c>
      <c r="E8864" s="166" t="s">
        <v>6975</v>
      </c>
      <c r="F8864" t="s">
        <v>6946</v>
      </c>
    </row>
    <row r="8865" spans="1:6">
      <c r="A8865" s="174">
        <f t="shared" si="132"/>
        <v>8864</v>
      </c>
      <c r="B8865" s="163">
        <v>45987</v>
      </c>
      <c r="C8865" s="194">
        <v>0.78797453703703713</v>
      </c>
      <c r="D8865" s="174">
        <v>10</v>
      </c>
      <c r="E8865" s="166" t="s">
        <v>6949</v>
      </c>
      <c r="F8865" t="s">
        <v>6946</v>
      </c>
    </row>
    <row r="8866" spans="1:6">
      <c r="A8866" s="174">
        <f t="shared" si="132"/>
        <v>8865</v>
      </c>
      <c r="B8866" s="163">
        <v>45987</v>
      </c>
      <c r="C8866" s="194">
        <v>0.75557870370370372</v>
      </c>
      <c r="D8866" s="174">
        <v>10</v>
      </c>
      <c r="E8866" s="166" t="s">
        <v>6950</v>
      </c>
      <c r="F8866" t="s">
        <v>6946</v>
      </c>
    </row>
    <row r="8867" spans="1:6">
      <c r="A8867" s="174">
        <f t="shared" si="132"/>
        <v>8866</v>
      </c>
      <c r="B8867" s="163">
        <v>45987</v>
      </c>
      <c r="C8867" s="194">
        <v>0.75326388888888884</v>
      </c>
      <c r="D8867" s="174">
        <v>10</v>
      </c>
      <c r="E8867" s="166" t="s">
        <v>6951</v>
      </c>
      <c r="F8867" t="s">
        <v>6946</v>
      </c>
    </row>
    <row r="8868" spans="1:6">
      <c r="A8868" s="174">
        <f t="shared" si="132"/>
        <v>8867</v>
      </c>
      <c r="B8868" s="163">
        <v>45987</v>
      </c>
      <c r="C8868" s="194">
        <v>0.73841435185185189</v>
      </c>
      <c r="D8868" s="174">
        <v>10</v>
      </c>
      <c r="E8868" s="166" t="s">
        <v>4156</v>
      </c>
      <c r="F8868" t="s">
        <v>6946</v>
      </c>
    </row>
    <row r="8869" spans="1:6">
      <c r="A8869" s="174">
        <f t="shared" si="132"/>
        <v>8868</v>
      </c>
      <c r="B8869" s="163">
        <v>45987</v>
      </c>
      <c r="C8869" s="194">
        <v>0.73078703703703696</v>
      </c>
      <c r="D8869" s="174">
        <v>10</v>
      </c>
      <c r="E8869" s="166" t="s">
        <v>6952</v>
      </c>
      <c r="F8869" t="s">
        <v>6946</v>
      </c>
    </row>
    <row r="8870" spans="1:6">
      <c r="A8870" s="174">
        <f t="shared" si="132"/>
        <v>8869</v>
      </c>
      <c r="B8870" s="163">
        <v>45987</v>
      </c>
      <c r="C8870" s="194">
        <v>0.73030092592592588</v>
      </c>
      <c r="D8870" s="174">
        <v>10</v>
      </c>
      <c r="E8870" s="166" t="s">
        <v>3508</v>
      </c>
      <c r="F8870" t="s">
        <v>6946</v>
      </c>
    </row>
    <row r="8871" spans="1:6">
      <c r="A8871" s="174">
        <f t="shared" si="132"/>
        <v>8870</v>
      </c>
      <c r="B8871" s="163">
        <v>45987</v>
      </c>
      <c r="C8871" s="194">
        <v>0.73460648148148155</v>
      </c>
      <c r="D8871" s="174">
        <v>10</v>
      </c>
      <c r="E8871" s="166" t="s">
        <v>6953</v>
      </c>
      <c r="F8871" t="s">
        <v>6946</v>
      </c>
    </row>
    <row r="8872" spans="1:6">
      <c r="A8872" s="174">
        <f t="shared" si="132"/>
        <v>8871</v>
      </c>
      <c r="B8872" s="163">
        <v>45987</v>
      </c>
      <c r="C8872" s="194">
        <v>0.72821759259259267</v>
      </c>
      <c r="D8872" s="174">
        <v>10</v>
      </c>
      <c r="E8872" s="166" t="s">
        <v>132</v>
      </c>
      <c r="F8872" t="s">
        <v>6946</v>
      </c>
    </row>
    <row r="8873" spans="1:6">
      <c r="A8873" s="174">
        <f t="shared" si="132"/>
        <v>8872</v>
      </c>
      <c r="B8873" s="163">
        <v>45987</v>
      </c>
      <c r="C8873" s="194">
        <v>0.72078703703703706</v>
      </c>
      <c r="D8873" s="174">
        <v>10</v>
      </c>
      <c r="E8873" s="166" t="s">
        <v>6954</v>
      </c>
      <c r="F8873" t="s">
        <v>6946</v>
      </c>
    </row>
    <row r="8874" spans="1:6">
      <c r="A8874" s="174">
        <f t="shared" si="132"/>
        <v>8873</v>
      </c>
      <c r="B8874" s="163">
        <v>45987</v>
      </c>
      <c r="C8874" s="194">
        <v>0.66753472222222221</v>
      </c>
      <c r="D8874" s="174">
        <v>10</v>
      </c>
      <c r="E8874" s="166" t="s">
        <v>6955</v>
      </c>
      <c r="F8874" t="s">
        <v>6946</v>
      </c>
    </row>
    <row r="8875" spans="1:6">
      <c r="A8875" s="174">
        <f t="shared" si="132"/>
        <v>8874</v>
      </c>
      <c r="B8875" s="163">
        <v>45987</v>
      </c>
      <c r="C8875" s="194">
        <v>0.6696643518518518</v>
      </c>
      <c r="D8875" s="174">
        <v>10</v>
      </c>
      <c r="E8875" s="166" t="s">
        <v>6956</v>
      </c>
      <c r="F8875" t="s">
        <v>6946</v>
      </c>
    </row>
    <row r="8876" spans="1:6">
      <c r="A8876" s="174">
        <f t="shared" si="132"/>
        <v>8875</v>
      </c>
      <c r="B8876" s="163">
        <v>45987</v>
      </c>
      <c r="C8876" s="194">
        <v>0.65468749999999998</v>
      </c>
      <c r="D8876" s="174">
        <v>10</v>
      </c>
      <c r="E8876" s="166" t="s">
        <v>6957</v>
      </c>
      <c r="F8876" t="s">
        <v>6946</v>
      </c>
    </row>
    <row r="8877" spans="1:6">
      <c r="A8877" s="174">
        <f t="shared" si="132"/>
        <v>8876</v>
      </c>
      <c r="B8877" s="163">
        <v>45987</v>
      </c>
      <c r="C8877" s="194">
        <v>0.63982638888888888</v>
      </c>
      <c r="D8877" s="174">
        <v>10</v>
      </c>
      <c r="E8877" s="166" t="s">
        <v>6958</v>
      </c>
      <c r="F8877" t="s">
        <v>6946</v>
      </c>
    </row>
    <row r="8878" spans="1:6">
      <c r="A8878" s="174">
        <f t="shared" si="132"/>
        <v>8877</v>
      </c>
      <c r="B8878" s="163">
        <v>45987</v>
      </c>
      <c r="C8878" s="194">
        <v>0.68629629629629629</v>
      </c>
      <c r="D8878" s="174">
        <v>10</v>
      </c>
      <c r="E8878" s="166" t="s">
        <v>6976</v>
      </c>
      <c r="F8878" t="s">
        <v>6946</v>
      </c>
    </row>
    <row r="8879" spans="1:6">
      <c r="A8879" s="174">
        <f t="shared" si="132"/>
        <v>8878</v>
      </c>
      <c r="B8879" s="163">
        <v>45987</v>
      </c>
      <c r="C8879" s="194">
        <v>0.61917824074074079</v>
      </c>
      <c r="D8879" s="174">
        <v>10</v>
      </c>
      <c r="E8879" s="166" t="s">
        <v>6959</v>
      </c>
      <c r="F8879" t="s">
        <v>6946</v>
      </c>
    </row>
    <row r="8880" spans="1:6">
      <c r="A8880" s="174">
        <f t="shared" si="132"/>
        <v>8879</v>
      </c>
      <c r="B8880" s="163">
        <v>45987</v>
      </c>
      <c r="C8880" s="194">
        <v>0.5782870370370371</v>
      </c>
      <c r="D8880" s="174">
        <v>10</v>
      </c>
      <c r="E8880" s="166" t="s">
        <v>6960</v>
      </c>
      <c r="F8880" t="s">
        <v>6946</v>
      </c>
    </row>
    <row r="8881" spans="1:6">
      <c r="A8881" s="174">
        <f t="shared" si="132"/>
        <v>8880</v>
      </c>
      <c r="B8881" s="163">
        <v>45987</v>
      </c>
      <c r="C8881" s="194">
        <v>0.56899305555555557</v>
      </c>
      <c r="D8881" s="174">
        <v>10</v>
      </c>
      <c r="E8881" s="166" t="s">
        <v>6961</v>
      </c>
      <c r="F8881" t="s">
        <v>6946</v>
      </c>
    </row>
    <row r="8882" spans="1:6">
      <c r="A8882" s="174">
        <f t="shared" si="132"/>
        <v>8881</v>
      </c>
      <c r="B8882" s="163">
        <v>45987</v>
      </c>
      <c r="C8882" s="194">
        <v>0.55652777777777784</v>
      </c>
      <c r="D8882" s="174">
        <v>10</v>
      </c>
      <c r="E8882" s="166" t="s">
        <v>6962</v>
      </c>
      <c r="F8882" t="s">
        <v>6946</v>
      </c>
    </row>
    <row r="8883" spans="1:6">
      <c r="A8883" s="174">
        <f t="shared" si="132"/>
        <v>8882</v>
      </c>
      <c r="B8883" s="163">
        <v>45987</v>
      </c>
      <c r="C8883" s="194">
        <v>0.53285879629629629</v>
      </c>
      <c r="D8883" s="174">
        <v>10</v>
      </c>
      <c r="E8883" s="166" t="s">
        <v>2500</v>
      </c>
      <c r="F8883" t="s">
        <v>6946</v>
      </c>
    </row>
    <row r="8884" spans="1:6">
      <c r="A8884" s="174">
        <f t="shared" si="132"/>
        <v>8883</v>
      </c>
      <c r="B8884" s="163">
        <v>45987</v>
      </c>
      <c r="C8884" s="194">
        <v>0.52038194444444441</v>
      </c>
      <c r="D8884" s="174">
        <v>10</v>
      </c>
      <c r="E8884" s="166" t="s">
        <v>6963</v>
      </c>
      <c r="F8884" t="s">
        <v>6946</v>
      </c>
    </row>
    <row r="8885" spans="1:6">
      <c r="A8885" s="174">
        <f t="shared" si="132"/>
        <v>8884</v>
      </c>
      <c r="B8885" s="163">
        <v>45987</v>
      </c>
      <c r="C8885" s="194">
        <v>0.91408564814814808</v>
      </c>
      <c r="D8885" s="174">
        <v>10</v>
      </c>
      <c r="E8885" s="166" t="s">
        <v>6945</v>
      </c>
      <c r="F8885" t="s">
        <v>6946</v>
      </c>
    </row>
    <row r="8886" spans="1:6">
      <c r="A8886" s="174">
        <f t="shared" si="132"/>
        <v>8885</v>
      </c>
      <c r="B8886" s="163">
        <v>45987</v>
      </c>
      <c r="C8886" s="194">
        <v>0.88973379629629623</v>
      </c>
      <c r="D8886" s="174">
        <v>10</v>
      </c>
      <c r="E8886" s="166" t="s">
        <v>6947</v>
      </c>
      <c r="F8886" t="s">
        <v>6946</v>
      </c>
    </row>
    <row r="8887" spans="1:6">
      <c r="A8887" s="174">
        <f t="shared" si="132"/>
        <v>8886</v>
      </c>
      <c r="B8887" s="163">
        <v>45987</v>
      </c>
      <c r="C8887" s="194">
        <v>0.87921296296296303</v>
      </c>
      <c r="D8887" s="174">
        <v>10</v>
      </c>
      <c r="E8887" s="166" t="s">
        <v>749</v>
      </c>
      <c r="F8887" t="s">
        <v>6946</v>
      </c>
    </row>
    <row r="8888" spans="1:6">
      <c r="A8888" s="174">
        <f t="shared" si="132"/>
        <v>8887</v>
      </c>
      <c r="B8888" s="163">
        <v>45987</v>
      </c>
      <c r="C8888" s="194">
        <v>0.85883101851851851</v>
      </c>
      <c r="D8888" s="174">
        <v>10</v>
      </c>
      <c r="E8888" s="166" t="s">
        <v>6948</v>
      </c>
      <c r="F8888" t="s">
        <v>6946</v>
      </c>
    </row>
    <row r="8889" spans="1:6">
      <c r="A8889" s="174">
        <f t="shared" si="132"/>
        <v>8888</v>
      </c>
      <c r="B8889" s="163">
        <v>45987</v>
      </c>
      <c r="C8889" s="194">
        <v>0.85743055555555558</v>
      </c>
      <c r="D8889" s="174">
        <v>10</v>
      </c>
      <c r="E8889" s="166" t="s">
        <v>7001</v>
      </c>
      <c r="F8889" t="s">
        <v>6946</v>
      </c>
    </row>
    <row r="8890" spans="1:6">
      <c r="A8890" s="174">
        <f t="shared" si="132"/>
        <v>8889</v>
      </c>
      <c r="B8890" s="163">
        <v>45987</v>
      </c>
      <c r="C8890" s="194">
        <v>0.78797453703703713</v>
      </c>
      <c r="D8890" s="174">
        <v>10</v>
      </c>
      <c r="E8890" s="166" t="s">
        <v>6949</v>
      </c>
      <c r="F8890" t="s">
        <v>6946</v>
      </c>
    </row>
    <row r="8891" spans="1:6">
      <c r="A8891" s="174">
        <f t="shared" si="132"/>
        <v>8890</v>
      </c>
      <c r="B8891" s="163">
        <v>45987</v>
      </c>
      <c r="C8891" s="194">
        <v>0.75557870370370372</v>
      </c>
      <c r="D8891" s="174">
        <v>10</v>
      </c>
      <c r="E8891" s="166" t="s">
        <v>6950</v>
      </c>
      <c r="F8891" t="s">
        <v>6946</v>
      </c>
    </row>
    <row r="8892" spans="1:6">
      <c r="A8892" s="174">
        <f t="shared" si="132"/>
        <v>8891</v>
      </c>
      <c r="B8892" s="163">
        <v>45987</v>
      </c>
      <c r="C8892" s="194">
        <v>0.75326388888888884</v>
      </c>
      <c r="D8892" s="174">
        <v>10</v>
      </c>
      <c r="E8892" s="166" t="s">
        <v>6951</v>
      </c>
      <c r="F8892" t="s">
        <v>6946</v>
      </c>
    </row>
    <row r="8893" spans="1:6">
      <c r="A8893" s="174">
        <f t="shared" si="132"/>
        <v>8892</v>
      </c>
      <c r="B8893" s="163">
        <v>45987</v>
      </c>
      <c r="C8893" s="194">
        <v>0.73841435185185189</v>
      </c>
      <c r="D8893" s="174">
        <v>10</v>
      </c>
      <c r="E8893" s="166" t="s">
        <v>4156</v>
      </c>
      <c r="F8893" t="s">
        <v>6946</v>
      </c>
    </row>
    <row r="8894" spans="1:6">
      <c r="A8894" s="174">
        <f t="shared" si="132"/>
        <v>8893</v>
      </c>
      <c r="B8894" s="163">
        <v>45987</v>
      </c>
      <c r="C8894" s="194">
        <v>0.73078703703703696</v>
      </c>
      <c r="D8894" s="174">
        <v>10</v>
      </c>
      <c r="E8894" s="166" t="s">
        <v>6952</v>
      </c>
      <c r="F8894" t="s">
        <v>6946</v>
      </c>
    </row>
    <row r="8895" spans="1:6">
      <c r="A8895" s="174">
        <f t="shared" si="132"/>
        <v>8894</v>
      </c>
      <c r="B8895" s="163">
        <v>45987</v>
      </c>
      <c r="C8895" s="194">
        <v>0.73030092592592588</v>
      </c>
      <c r="D8895" s="174">
        <v>10</v>
      </c>
      <c r="E8895" s="166" t="s">
        <v>3508</v>
      </c>
      <c r="F8895" t="s">
        <v>6946</v>
      </c>
    </row>
    <row r="8896" spans="1:6">
      <c r="A8896" s="174">
        <f t="shared" si="132"/>
        <v>8895</v>
      </c>
      <c r="B8896" s="163">
        <v>45987</v>
      </c>
      <c r="C8896" s="194">
        <v>0.73460648148148155</v>
      </c>
      <c r="D8896" s="174">
        <v>10</v>
      </c>
      <c r="E8896" s="166" t="s">
        <v>6953</v>
      </c>
      <c r="F8896" t="s">
        <v>6946</v>
      </c>
    </row>
    <row r="8897" spans="1:6">
      <c r="A8897" s="174">
        <f t="shared" si="132"/>
        <v>8896</v>
      </c>
      <c r="B8897" s="163">
        <v>45987</v>
      </c>
      <c r="C8897" s="194">
        <v>0.72821759259259267</v>
      </c>
      <c r="D8897" s="174">
        <v>10</v>
      </c>
      <c r="E8897" s="166" t="s">
        <v>132</v>
      </c>
      <c r="F8897" t="s">
        <v>6946</v>
      </c>
    </row>
    <row r="8898" spans="1:6">
      <c r="A8898" s="174">
        <f t="shared" si="132"/>
        <v>8897</v>
      </c>
      <c r="B8898" s="163">
        <v>45987</v>
      </c>
      <c r="C8898" s="194">
        <v>0.72078703703703706</v>
      </c>
      <c r="D8898" s="174">
        <v>10</v>
      </c>
      <c r="E8898" s="166" t="s">
        <v>6954</v>
      </c>
      <c r="F8898" t="s">
        <v>6946</v>
      </c>
    </row>
    <row r="8899" spans="1:6">
      <c r="A8899" s="174">
        <f t="shared" si="132"/>
        <v>8898</v>
      </c>
      <c r="B8899" s="163">
        <v>45987</v>
      </c>
      <c r="C8899" s="194">
        <v>0.66753472222222221</v>
      </c>
      <c r="D8899" s="174">
        <v>10</v>
      </c>
      <c r="E8899" s="166" t="s">
        <v>6955</v>
      </c>
      <c r="F8899" t="s">
        <v>6946</v>
      </c>
    </row>
    <row r="8900" spans="1:6">
      <c r="A8900" s="174">
        <f t="shared" si="132"/>
        <v>8899</v>
      </c>
      <c r="B8900" s="163">
        <v>45987</v>
      </c>
      <c r="C8900" s="194">
        <v>0.6696643518518518</v>
      </c>
      <c r="D8900" s="174">
        <v>10</v>
      </c>
      <c r="E8900" s="166" t="s">
        <v>6956</v>
      </c>
      <c r="F8900" t="s">
        <v>6946</v>
      </c>
    </row>
    <row r="8901" spans="1:6">
      <c r="A8901" s="174">
        <f t="shared" si="132"/>
        <v>8900</v>
      </c>
      <c r="B8901" s="163">
        <v>45987</v>
      </c>
      <c r="C8901" s="194">
        <v>0.65468749999999998</v>
      </c>
      <c r="D8901" s="174">
        <v>10</v>
      </c>
      <c r="E8901" s="166" t="s">
        <v>6957</v>
      </c>
      <c r="F8901" t="s">
        <v>6946</v>
      </c>
    </row>
    <row r="8902" spans="1:6">
      <c r="A8902" s="174">
        <f t="shared" si="132"/>
        <v>8901</v>
      </c>
      <c r="B8902" s="163">
        <v>45987</v>
      </c>
      <c r="C8902" s="194">
        <v>0.63982638888888888</v>
      </c>
      <c r="D8902" s="174">
        <v>10</v>
      </c>
      <c r="E8902" s="166" t="s">
        <v>6958</v>
      </c>
      <c r="F8902" t="s">
        <v>6946</v>
      </c>
    </row>
    <row r="8903" spans="1:6">
      <c r="A8903" s="174">
        <f t="shared" si="132"/>
        <v>8902</v>
      </c>
      <c r="B8903" s="163">
        <v>45987</v>
      </c>
      <c r="C8903" s="194">
        <v>0.68629629629629629</v>
      </c>
      <c r="D8903" s="174">
        <v>10</v>
      </c>
      <c r="E8903" s="166" t="s">
        <v>7002</v>
      </c>
      <c r="F8903" t="s">
        <v>6946</v>
      </c>
    </row>
    <row r="8904" spans="1:6">
      <c r="A8904" s="174">
        <f t="shared" si="132"/>
        <v>8903</v>
      </c>
      <c r="B8904" s="163">
        <v>45987</v>
      </c>
      <c r="C8904" s="194">
        <v>0.61917824074074079</v>
      </c>
      <c r="D8904" s="174">
        <v>10</v>
      </c>
      <c r="E8904" s="166" t="s">
        <v>6959</v>
      </c>
      <c r="F8904" t="s">
        <v>6946</v>
      </c>
    </row>
    <row r="8905" spans="1:6">
      <c r="A8905" s="174">
        <f t="shared" si="132"/>
        <v>8904</v>
      </c>
      <c r="B8905" s="163">
        <v>45987</v>
      </c>
      <c r="C8905" s="194">
        <v>0.5782870370370371</v>
      </c>
      <c r="D8905" s="174">
        <v>10</v>
      </c>
      <c r="E8905" s="166" t="s">
        <v>6960</v>
      </c>
      <c r="F8905" t="s">
        <v>6946</v>
      </c>
    </row>
    <row r="8906" spans="1:6">
      <c r="A8906" s="174">
        <f t="shared" si="132"/>
        <v>8905</v>
      </c>
      <c r="B8906" s="163">
        <v>45987</v>
      </c>
      <c r="C8906" s="194">
        <v>0.56899305555555557</v>
      </c>
      <c r="D8906" s="174">
        <v>10</v>
      </c>
      <c r="E8906" s="166" t="s">
        <v>6961</v>
      </c>
      <c r="F8906" t="s">
        <v>6946</v>
      </c>
    </row>
    <row r="8907" spans="1:6">
      <c r="A8907" s="174">
        <f t="shared" si="132"/>
        <v>8906</v>
      </c>
      <c r="B8907" s="163">
        <v>45987</v>
      </c>
      <c r="C8907" s="194">
        <v>0.55652777777777784</v>
      </c>
      <c r="D8907" s="174">
        <v>10</v>
      </c>
      <c r="E8907" s="166" t="s">
        <v>6962</v>
      </c>
      <c r="F8907" t="s">
        <v>6946</v>
      </c>
    </row>
    <row r="8908" spans="1:6">
      <c r="A8908" s="174">
        <f t="shared" si="132"/>
        <v>8907</v>
      </c>
      <c r="B8908" s="163">
        <v>45987</v>
      </c>
      <c r="C8908" s="194">
        <v>0.53285879629629629</v>
      </c>
      <c r="D8908" s="174">
        <v>10</v>
      </c>
      <c r="E8908" s="166" t="s">
        <v>2500</v>
      </c>
      <c r="F8908" t="s">
        <v>6946</v>
      </c>
    </row>
    <row r="8909" spans="1:6">
      <c r="A8909" s="174">
        <f t="shared" si="132"/>
        <v>8908</v>
      </c>
      <c r="B8909" s="163">
        <v>45987</v>
      </c>
      <c r="C8909" s="194">
        <v>0.52038194444444441</v>
      </c>
      <c r="D8909" s="174">
        <v>10</v>
      </c>
      <c r="E8909" s="166" t="s">
        <v>6963</v>
      </c>
      <c r="F8909" t="s">
        <v>6946</v>
      </c>
    </row>
    <row r="8910" spans="1:6">
      <c r="A8910" s="174">
        <f t="shared" si="132"/>
        <v>8909</v>
      </c>
      <c r="B8910" s="163">
        <v>45987</v>
      </c>
      <c r="C8910" s="194">
        <v>0.50438657407407406</v>
      </c>
      <c r="D8910" s="174">
        <v>10</v>
      </c>
      <c r="E8910" s="166" t="s">
        <v>6964</v>
      </c>
      <c r="F8910" t="s">
        <v>6946</v>
      </c>
    </row>
    <row r="8911" spans="1:6">
      <c r="A8911" s="174">
        <f t="shared" si="132"/>
        <v>8910</v>
      </c>
      <c r="B8911" s="163">
        <v>45987</v>
      </c>
      <c r="C8911" s="194">
        <v>0.47140046296296295</v>
      </c>
      <c r="D8911" s="174">
        <v>10</v>
      </c>
      <c r="E8911" s="166" t="s">
        <v>6965</v>
      </c>
      <c r="F8911" t="s">
        <v>6946</v>
      </c>
    </row>
    <row r="8912" spans="1:6">
      <c r="A8912" s="174">
        <f t="shared" si="132"/>
        <v>8911</v>
      </c>
      <c r="B8912" s="163">
        <v>45987</v>
      </c>
      <c r="C8912" s="194">
        <v>0.46843750000000001</v>
      </c>
      <c r="D8912" s="174">
        <v>10</v>
      </c>
      <c r="E8912" s="166" t="s">
        <v>6966</v>
      </c>
      <c r="F8912" t="s">
        <v>6946</v>
      </c>
    </row>
    <row r="8913" spans="1:6">
      <c r="A8913" s="174">
        <f t="shared" si="132"/>
        <v>8912</v>
      </c>
      <c r="B8913" s="163">
        <v>45987</v>
      </c>
      <c r="C8913" s="194">
        <v>0.46832175925925923</v>
      </c>
      <c r="D8913" s="174">
        <v>10</v>
      </c>
      <c r="E8913" s="166" t="s">
        <v>6967</v>
      </c>
      <c r="F8913" t="s">
        <v>6946</v>
      </c>
    </row>
    <row r="8914" spans="1:6">
      <c r="A8914" s="174">
        <f t="shared" si="132"/>
        <v>8913</v>
      </c>
      <c r="B8914" s="163">
        <v>45987</v>
      </c>
      <c r="C8914" s="194">
        <v>0.45958333333333329</v>
      </c>
      <c r="D8914" s="174">
        <v>10</v>
      </c>
      <c r="E8914" s="166" t="s">
        <v>6968</v>
      </c>
      <c r="F8914" t="s">
        <v>6946</v>
      </c>
    </row>
    <row r="8915" spans="1:6">
      <c r="A8915" s="174">
        <f t="shared" si="132"/>
        <v>8914</v>
      </c>
      <c r="B8915" s="163">
        <v>45987</v>
      </c>
      <c r="C8915" s="194">
        <v>0.44946759259259261</v>
      </c>
      <c r="D8915" s="174">
        <v>10</v>
      </c>
      <c r="E8915" s="166" t="s">
        <v>6969</v>
      </c>
      <c r="F8915" t="s">
        <v>6946</v>
      </c>
    </row>
    <row r="8916" spans="1:6">
      <c r="A8916" s="174">
        <f t="shared" si="132"/>
        <v>8915</v>
      </c>
      <c r="B8916" s="163">
        <v>45987</v>
      </c>
      <c r="C8916" s="194">
        <v>0.44773148148148145</v>
      </c>
      <c r="D8916" s="174">
        <v>10</v>
      </c>
      <c r="E8916" s="166" t="s">
        <v>6970</v>
      </c>
      <c r="F8916" t="s">
        <v>6946</v>
      </c>
    </row>
    <row r="8917" spans="1:6">
      <c r="A8917" s="174">
        <f t="shared" si="132"/>
        <v>8916</v>
      </c>
      <c r="B8917" s="163">
        <v>45987</v>
      </c>
      <c r="C8917" s="194">
        <v>0.44578703703703698</v>
      </c>
      <c r="D8917" s="174">
        <v>10</v>
      </c>
      <c r="E8917" s="166" t="s">
        <v>6971</v>
      </c>
      <c r="F8917" t="s">
        <v>6946</v>
      </c>
    </row>
    <row r="8918" spans="1:6">
      <c r="A8918" s="174">
        <f t="shared" ref="A8918:A8985" si="133">ROW()-1</f>
        <v>8917</v>
      </c>
      <c r="B8918" s="163">
        <v>45987</v>
      </c>
      <c r="C8918" s="194">
        <v>0.40842592592592591</v>
      </c>
      <c r="D8918" s="174">
        <v>10</v>
      </c>
      <c r="E8918" s="166" t="s">
        <v>6972</v>
      </c>
      <c r="F8918" t="s">
        <v>6946</v>
      </c>
    </row>
    <row r="8919" spans="1:6">
      <c r="A8919" s="174">
        <f t="shared" si="133"/>
        <v>8918</v>
      </c>
      <c r="B8919" s="163">
        <v>45987</v>
      </c>
      <c r="C8919" s="194">
        <v>0.41381944444444446</v>
      </c>
      <c r="D8919" s="174">
        <v>10</v>
      </c>
      <c r="E8919" s="166" t="s">
        <v>6973</v>
      </c>
      <c r="F8919" t="s">
        <v>6946</v>
      </c>
    </row>
    <row r="8920" spans="1:6">
      <c r="A8920" s="174">
        <f t="shared" si="133"/>
        <v>8919</v>
      </c>
      <c r="B8920" s="163">
        <v>45987</v>
      </c>
      <c r="C8920" s="194">
        <v>0.39951388888888889</v>
      </c>
      <c r="D8920" s="174">
        <v>10</v>
      </c>
      <c r="E8920" s="166" t="s">
        <v>732</v>
      </c>
      <c r="F8920" t="s">
        <v>6946</v>
      </c>
    </row>
    <row r="8921" spans="1:6">
      <c r="A8921" s="174">
        <f t="shared" si="133"/>
        <v>8920</v>
      </c>
      <c r="B8921" s="163">
        <v>45987</v>
      </c>
      <c r="C8921" s="194">
        <v>0.39968749999999997</v>
      </c>
      <c r="D8921" s="174">
        <v>10</v>
      </c>
      <c r="E8921" s="166" t="s">
        <v>6974</v>
      </c>
      <c r="F8921" t="s">
        <v>6946</v>
      </c>
    </row>
    <row r="8922" spans="1:6">
      <c r="A8922" s="174">
        <f t="shared" si="133"/>
        <v>8921</v>
      </c>
      <c r="B8922" s="163">
        <v>45987</v>
      </c>
      <c r="C8922" s="194">
        <v>0.40167824074074071</v>
      </c>
      <c r="D8922" s="174">
        <v>10</v>
      </c>
      <c r="E8922" s="166" t="s">
        <v>132</v>
      </c>
      <c r="F8922" t="s">
        <v>6946</v>
      </c>
    </row>
    <row r="8923" spans="1:6">
      <c r="A8923" s="174">
        <f t="shared" si="133"/>
        <v>8922</v>
      </c>
      <c r="B8923" s="163">
        <v>45988</v>
      </c>
      <c r="C8923" s="194">
        <v>0.75228009259259254</v>
      </c>
      <c r="D8923" s="174">
        <v>10</v>
      </c>
      <c r="E8923" s="166" t="s">
        <v>6977</v>
      </c>
      <c r="F8923" t="s">
        <v>6946</v>
      </c>
    </row>
    <row r="8924" spans="1:6">
      <c r="A8924" s="174">
        <f t="shared" si="133"/>
        <v>8923</v>
      </c>
      <c r="B8924" s="163">
        <v>45988</v>
      </c>
      <c r="C8924" s="194">
        <v>0.74692129629629633</v>
      </c>
      <c r="D8924" s="174">
        <v>10</v>
      </c>
      <c r="E8924" s="166" t="s">
        <v>6978</v>
      </c>
      <c r="F8924" t="s">
        <v>6946</v>
      </c>
    </row>
    <row r="8925" spans="1:6">
      <c r="A8925" s="174">
        <f t="shared" si="133"/>
        <v>8924</v>
      </c>
      <c r="B8925" s="163">
        <v>45988</v>
      </c>
      <c r="C8925" s="194">
        <v>0.72924768518518512</v>
      </c>
      <c r="D8925" s="174">
        <v>10</v>
      </c>
      <c r="E8925" s="166" t="s">
        <v>479</v>
      </c>
      <c r="F8925" t="s">
        <v>6946</v>
      </c>
    </row>
    <row r="8926" spans="1:6">
      <c r="A8926" s="174">
        <f t="shared" si="133"/>
        <v>8925</v>
      </c>
      <c r="B8926" s="163">
        <v>45988</v>
      </c>
      <c r="C8926" s="194">
        <v>0.71790509259259261</v>
      </c>
      <c r="D8926" s="174">
        <v>10</v>
      </c>
      <c r="E8926" s="166" t="s">
        <v>4323</v>
      </c>
      <c r="F8926" t="s">
        <v>6946</v>
      </c>
    </row>
    <row r="8927" spans="1:6">
      <c r="A8927" s="174">
        <f t="shared" si="133"/>
        <v>8926</v>
      </c>
      <c r="B8927" s="163">
        <v>45988</v>
      </c>
      <c r="C8927" s="194">
        <v>0.71835648148148146</v>
      </c>
      <c r="D8927" s="174">
        <v>10</v>
      </c>
      <c r="E8927" s="166" t="s">
        <v>6979</v>
      </c>
      <c r="F8927" t="s">
        <v>6946</v>
      </c>
    </row>
    <row r="8928" spans="1:6">
      <c r="A8928" s="174">
        <f t="shared" si="133"/>
        <v>8927</v>
      </c>
      <c r="B8928" s="163">
        <v>45988</v>
      </c>
      <c r="C8928" s="194">
        <v>0.71381944444444445</v>
      </c>
      <c r="D8928" s="174">
        <v>10</v>
      </c>
      <c r="E8928" s="166" t="s">
        <v>6980</v>
      </c>
      <c r="F8928" t="s">
        <v>6946</v>
      </c>
    </row>
    <row r="8929" spans="1:6">
      <c r="A8929" s="174">
        <f t="shared" si="133"/>
        <v>8928</v>
      </c>
      <c r="B8929" s="163">
        <v>45988</v>
      </c>
      <c r="C8929" s="194">
        <v>0.70109953703703709</v>
      </c>
      <c r="D8929" s="174">
        <v>10</v>
      </c>
      <c r="E8929" s="166" t="s">
        <v>6981</v>
      </c>
      <c r="F8929" t="s">
        <v>6946</v>
      </c>
    </row>
    <row r="8930" spans="1:6">
      <c r="A8930" s="174">
        <f t="shared" si="133"/>
        <v>8929</v>
      </c>
      <c r="B8930" s="163">
        <v>45988</v>
      </c>
      <c r="C8930" s="194">
        <v>0.69268518518518529</v>
      </c>
      <c r="D8930" s="174">
        <v>10</v>
      </c>
      <c r="E8930" s="166" t="s">
        <v>6982</v>
      </c>
      <c r="F8930" t="s">
        <v>6946</v>
      </c>
    </row>
    <row r="8931" spans="1:6">
      <c r="A8931" s="174">
        <f t="shared" si="133"/>
        <v>8930</v>
      </c>
      <c r="B8931" s="163">
        <v>45988</v>
      </c>
      <c r="C8931" s="194">
        <v>0.68642361111111105</v>
      </c>
      <c r="D8931" s="174">
        <v>10</v>
      </c>
      <c r="E8931" s="166" t="s">
        <v>6983</v>
      </c>
      <c r="F8931" t="s">
        <v>6946</v>
      </c>
    </row>
    <row r="8932" spans="1:6">
      <c r="A8932" s="174">
        <f t="shared" si="133"/>
        <v>8931</v>
      </c>
      <c r="B8932" s="163">
        <v>45988</v>
      </c>
      <c r="C8932" s="194">
        <v>0.68074074074074076</v>
      </c>
      <c r="D8932" s="174">
        <v>10</v>
      </c>
      <c r="E8932" s="166" t="s">
        <v>6984</v>
      </c>
      <c r="F8932" t="s">
        <v>6946</v>
      </c>
    </row>
    <row r="8933" spans="1:6">
      <c r="A8933" s="174">
        <f t="shared" si="133"/>
        <v>8932</v>
      </c>
      <c r="B8933" s="163">
        <v>45988</v>
      </c>
      <c r="C8933" s="194">
        <v>0.67327546296296292</v>
      </c>
      <c r="D8933" s="174">
        <v>10</v>
      </c>
      <c r="E8933" s="166" t="s">
        <v>6985</v>
      </c>
      <c r="F8933" t="s">
        <v>6946</v>
      </c>
    </row>
    <row r="8934" spans="1:6">
      <c r="A8934" s="174">
        <f t="shared" si="133"/>
        <v>8933</v>
      </c>
      <c r="B8934" s="163">
        <v>45988</v>
      </c>
      <c r="C8934" s="194">
        <v>0.65410879629629626</v>
      </c>
      <c r="D8934" s="174">
        <v>10</v>
      </c>
      <c r="E8934" s="166" t="s">
        <v>537</v>
      </c>
      <c r="F8934" t="s">
        <v>6946</v>
      </c>
    </row>
    <row r="8935" spans="1:6">
      <c r="A8935" s="174">
        <f t="shared" si="133"/>
        <v>8934</v>
      </c>
      <c r="B8935" s="163">
        <v>45988</v>
      </c>
      <c r="C8935" s="194">
        <v>0.61646990740740748</v>
      </c>
      <c r="D8935" s="174">
        <v>10</v>
      </c>
      <c r="E8935" s="166" t="s">
        <v>6986</v>
      </c>
      <c r="F8935" t="s">
        <v>6946</v>
      </c>
    </row>
    <row r="8936" spans="1:6">
      <c r="A8936" s="174">
        <f t="shared" si="133"/>
        <v>8935</v>
      </c>
      <c r="B8936" s="163">
        <v>45988</v>
      </c>
      <c r="C8936" s="194">
        <v>0.6076273148148148</v>
      </c>
      <c r="D8936" s="174">
        <v>10</v>
      </c>
      <c r="E8936" s="166" t="s">
        <v>6987</v>
      </c>
      <c r="F8936" t="s">
        <v>6946</v>
      </c>
    </row>
    <row r="8937" spans="1:6">
      <c r="A8937" s="174">
        <f t="shared" si="133"/>
        <v>8936</v>
      </c>
      <c r="B8937" s="163">
        <v>45988</v>
      </c>
      <c r="C8937" s="194">
        <v>0.60285879629629624</v>
      </c>
      <c r="D8937" s="174">
        <v>10</v>
      </c>
      <c r="E8937" s="166" t="s">
        <v>6988</v>
      </c>
      <c r="F8937" t="s">
        <v>6946</v>
      </c>
    </row>
    <row r="8938" spans="1:6">
      <c r="A8938" s="174">
        <f t="shared" si="133"/>
        <v>8937</v>
      </c>
      <c r="B8938" s="163">
        <v>45988</v>
      </c>
      <c r="C8938" s="194">
        <v>0.59256944444444448</v>
      </c>
      <c r="D8938" s="174">
        <v>10</v>
      </c>
      <c r="E8938" s="166" t="s">
        <v>6989</v>
      </c>
      <c r="F8938" t="s">
        <v>6946</v>
      </c>
    </row>
    <row r="8939" spans="1:6">
      <c r="A8939" s="174">
        <f t="shared" si="133"/>
        <v>8938</v>
      </c>
      <c r="B8939" s="163">
        <v>45988</v>
      </c>
      <c r="C8939" s="194">
        <v>0.5816782407407407</v>
      </c>
      <c r="D8939" s="174">
        <v>10</v>
      </c>
      <c r="E8939" s="166" t="s">
        <v>6990</v>
      </c>
      <c r="F8939" t="s">
        <v>6946</v>
      </c>
    </row>
    <row r="8940" spans="1:6">
      <c r="A8940" s="174">
        <f t="shared" si="133"/>
        <v>8939</v>
      </c>
      <c r="B8940" s="163">
        <v>45988</v>
      </c>
      <c r="C8940" s="194">
        <v>0.57230324074074079</v>
      </c>
      <c r="D8940" s="174">
        <v>10</v>
      </c>
      <c r="E8940" s="166" t="s">
        <v>6991</v>
      </c>
      <c r="F8940" t="s">
        <v>6946</v>
      </c>
    </row>
    <row r="8941" spans="1:6">
      <c r="A8941" s="174">
        <f t="shared" si="133"/>
        <v>8940</v>
      </c>
      <c r="B8941" s="163">
        <v>45988</v>
      </c>
      <c r="C8941" s="194">
        <v>0.56938657407407411</v>
      </c>
      <c r="D8941" s="174">
        <v>10</v>
      </c>
      <c r="E8941" s="166" t="s">
        <v>6992</v>
      </c>
      <c r="F8941" t="s">
        <v>6946</v>
      </c>
    </row>
    <row r="8942" spans="1:6">
      <c r="A8942" s="174">
        <f t="shared" si="133"/>
        <v>8941</v>
      </c>
      <c r="B8942" s="163">
        <v>45988</v>
      </c>
      <c r="C8942" s="194">
        <v>0.56511574074074067</v>
      </c>
      <c r="D8942" s="174">
        <v>10</v>
      </c>
      <c r="E8942" s="166" t="s">
        <v>6993</v>
      </c>
      <c r="F8942" t="s">
        <v>6946</v>
      </c>
    </row>
    <row r="8943" spans="1:6">
      <c r="A8943" s="174">
        <f t="shared" si="133"/>
        <v>8942</v>
      </c>
      <c r="B8943" s="163">
        <v>45988</v>
      </c>
      <c r="C8943" s="194">
        <v>0.50207175925925929</v>
      </c>
      <c r="D8943" s="174">
        <v>10</v>
      </c>
      <c r="E8943" s="166" t="s">
        <v>6994</v>
      </c>
      <c r="F8943" t="s">
        <v>6946</v>
      </c>
    </row>
    <row r="8944" spans="1:6">
      <c r="A8944" s="174">
        <f t="shared" si="133"/>
        <v>8943</v>
      </c>
      <c r="B8944" s="163">
        <v>45988</v>
      </c>
      <c r="C8944" s="194">
        <v>0.50424768518518526</v>
      </c>
      <c r="D8944" s="174">
        <v>10</v>
      </c>
      <c r="E8944" s="166" t="s">
        <v>6995</v>
      </c>
      <c r="F8944" t="s">
        <v>6946</v>
      </c>
    </row>
    <row r="8945" spans="1:6">
      <c r="A8945" s="174">
        <f t="shared" si="133"/>
        <v>8944</v>
      </c>
      <c r="B8945" s="163">
        <v>45988</v>
      </c>
      <c r="C8945" s="194">
        <v>0.47252314814814816</v>
      </c>
      <c r="D8945" s="174">
        <v>10</v>
      </c>
      <c r="E8945" s="166" t="s">
        <v>494</v>
      </c>
      <c r="F8945" t="s">
        <v>6946</v>
      </c>
    </row>
    <row r="8946" spans="1:6" ht="27">
      <c r="A8946" s="174">
        <f t="shared" si="133"/>
        <v>8945</v>
      </c>
      <c r="B8946" s="163">
        <v>45988</v>
      </c>
      <c r="C8946" s="194">
        <v>0.4533449074074074</v>
      </c>
      <c r="D8946" s="174">
        <v>10</v>
      </c>
      <c r="E8946" s="166" t="s">
        <v>6996</v>
      </c>
      <c r="F8946" t="s">
        <v>6946</v>
      </c>
    </row>
    <row r="8947" spans="1:6">
      <c r="A8947" s="174">
        <f t="shared" si="133"/>
        <v>8946</v>
      </c>
      <c r="B8947" s="163">
        <v>45988</v>
      </c>
      <c r="C8947" s="194">
        <v>0.41965277777777782</v>
      </c>
      <c r="D8947" s="174">
        <v>10</v>
      </c>
      <c r="E8947" s="166" t="s">
        <v>6997</v>
      </c>
      <c r="F8947" t="s">
        <v>6946</v>
      </c>
    </row>
    <row r="8948" spans="1:6">
      <c r="A8948" s="174">
        <f t="shared" si="133"/>
        <v>8947</v>
      </c>
      <c r="B8948" s="163">
        <v>45988</v>
      </c>
      <c r="C8948" s="194">
        <v>0.41917824074074073</v>
      </c>
      <c r="D8948" s="174">
        <v>10</v>
      </c>
      <c r="E8948" s="166" t="s">
        <v>6998</v>
      </c>
      <c r="F8948" t="s">
        <v>6946</v>
      </c>
    </row>
    <row r="8949" spans="1:6">
      <c r="A8949" s="174">
        <f t="shared" si="133"/>
        <v>8948</v>
      </c>
      <c r="B8949" s="163">
        <v>45988</v>
      </c>
      <c r="C8949" s="194">
        <v>0.41038194444444448</v>
      </c>
      <c r="D8949" s="174">
        <v>10</v>
      </c>
      <c r="E8949" s="166" t="s">
        <v>6999</v>
      </c>
      <c r="F8949" t="s">
        <v>6946</v>
      </c>
    </row>
    <row r="8950" spans="1:6">
      <c r="A8950" s="174">
        <f t="shared" si="133"/>
        <v>8949</v>
      </c>
      <c r="B8950" s="163">
        <v>45988</v>
      </c>
      <c r="C8950" s="194">
        <v>0.41164351851851855</v>
      </c>
      <c r="D8950" s="174">
        <v>10</v>
      </c>
      <c r="E8950" s="166" t="s">
        <v>657</v>
      </c>
      <c r="F8950" t="s">
        <v>6946</v>
      </c>
    </row>
    <row r="8951" spans="1:6">
      <c r="A8951" s="174">
        <f t="shared" si="133"/>
        <v>8950</v>
      </c>
      <c r="B8951" s="163">
        <v>45988</v>
      </c>
      <c r="C8951" s="194">
        <v>0.39592592592592596</v>
      </c>
      <c r="D8951" s="174">
        <v>10</v>
      </c>
      <c r="E8951" s="166" t="s">
        <v>7000</v>
      </c>
      <c r="F8951" t="s">
        <v>6946</v>
      </c>
    </row>
    <row r="8952" spans="1:6">
      <c r="A8952" s="174">
        <f t="shared" si="133"/>
        <v>8951</v>
      </c>
      <c r="B8952" s="163">
        <v>45989</v>
      </c>
      <c r="C8952" s="194">
        <v>0.89295138888888881</v>
      </c>
      <c r="D8952" s="174">
        <v>10</v>
      </c>
      <c r="E8952" s="166" t="s">
        <v>7004</v>
      </c>
      <c r="F8952" t="s">
        <v>6946</v>
      </c>
    </row>
    <row r="8953" spans="1:6">
      <c r="A8953" s="174">
        <f t="shared" si="133"/>
        <v>8952</v>
      </c>
      <c r="B8953" s="163">
        <v>45989</v>
      </c>
      <c r="C8953" s="194">
        <v>0.88356481481481486</v>
      </c>
      <c r="D8953" s="174">
        <v>10</v>
      </c>
      <c r="E8953" s="166" t="s">
        <v>7005</v>
      </c>
      <c r="F8953" t="s">
        <v>6946</v>
      </c>
    </row>
    <row r="8954" spans="1:6" ht="54.75" thickBot="1">
      <c r="A8954" s="174">
        <f t="shared" si="133"/>
        <v>8953</v>
      </c>
      <c r="B8954" s="163">
        <v>45989</v>
      </c>
      <c r="C8954" s="194">
        <v>0.8458796296296297</v>
      </c>
      <c r="D8954" s="174">
        <v>10</v>
      </c>
      <c r="E8954" s="166" t="s">
        <v>7006</v>
      </c>
      <c r="F8954" t="s">
        <v>6946</v>
      </c>
    </row>
    <row r="8955" spans="1:6" ht="26.25" thickBot="1">
      <c r="A8955" s="174">
        <f t="shared" si="133"/>
        <v>8954</v>
      </c>
      <c r="B8955" s="221">
        <v>46039</v>
      </c>
      <c r="C8955" s="222">
        <v>0.70936342592592594</v>
      </c>
      <c r="D8955" s="223">
        <v>1</v>
      </c>
      <c r="E8955" s="224" t="s">
        <v>7028</v>
      </c>
      <c r="F8955" s="225" t="s">
        <v>6946</v>
      </c>
    </row>
    <row r="8956" spans="1:6" ht="17.25" thickBot="1">
      <c r="A8956" s="174">
        <f t="shared" si="133"/>
        <v>8955</v>
      </c>
      <c r="B8956" s="226">
        <v>46212</v>
      </c>
      <c r="C8956" s="222">
        <v>0.65668981481481481</v>
      </c>
      <c r="D8956" s="223">
        <v>10</v>
      </c>
      <c r="E8956" s="224" t="s">
        <v>1668</v>
      </c>
      <c r="F8956" s="225" t="s">
        <v>6946</v>
      </c>
    </row>
    <row r="8957" spans="1:6" ht="17.25" thickBot="1">
      <c r="A8957" s="174">
        <f t="shared" si="133"/>
        <v>8956</v>
      </c>
      <c r="B8957" s="226">
        <v>46212</v>
      </c>
      <c r="C8957" s="227">
        <v>0.49192129629629627</v>
      </c>
      <c r="D8957" s="228">
        <v>10</v>
      </c>
      <c r="E8957" s="225" t="s">
        <v>9507</v>
      </c>
      <c r="F8957" s="225" t="s">
        <v>6946</v>
      </c>
    </row>
    <row r="8958" spans="1:6" ht="17.25" thickBot="1">
      <c r="A8958" s="174">
        <f t="shared" si="133"/>
        <v>8957</v>
      </c>
      <c r="B8958" s="226">
        <v>46212</v>
      </c>
      <c r="C8958" s="227">
        <v>0.43337962962962967</v>
      </c>
      <c r="D8958" s="228">
        <v>10</v>
      </c>
      <c r="E8958" s="225" t="s">
        <v>9508</v>
      </c>
      <c r="F8958" s="225" t="s">
        <v>6946</v>
      </c>
    </row>
    <row r="8959" spans="1:6" ht="17.25" customHeight="1" thickBot="1">
      <c r="A8959" s="174">
        <f t="shared" si="133"/>
        <v>8958</v>
      </c>
      <c r="B8959" s="226">
        <v>46212</v>
      </c>
      <c r="C8959" s="227">
        <v>0.63032407407407409</v>
      </c>
      <c r="D8959" s="228">
        <v>10</v>
      </c>
      <c r="E8959" s="225" t="s">
        <v>2233</v>
      </c>
      <c r="F8959" s="225" t="s">
        <v>6946</v>
      </c>
    </row>
    <row r="8960" spans="1:6" ht="17.25" thickBot="1">
      <c r="A8960" s="174">
        <f t="shared" si="133"/>
        <v>8959</v>
      </c>
      <c r="B8960" s="226">
        <v>46212</v>
      </c>
      <c r="C8960" s="227">
        <v>0.58707175925925925</v>
      </c>
      <c r="D8960" s="228">
        <v>10</v>
      </c>
      <c r="E8960" s="225" t="s">
        <v>9509</v>
      </c>
      <c r="F8960" s="225" t="s">
        <v>6946</v>
      </c>
    </row>
    <row r="8961" spans="1:6" ht="17.25" thickBot="1">
      <c r="A8961" s="174">
        <f t="shared" si="133"/>
        <v>8960</v>
      </c>
      <c r="B8961" s="226">
        <v>46212</v>
      </c>
      <c r="C8961" s="227">
        <v>0.40606481481481477</v>
      </c>
      <c r="D8961" s="228">
        <v>10</v>
      </c>
      <c r="E8961" s="225" t="s">
        <v>9510</v>
      </c>
      <c r="F8961" s="225" t="s">
        <v>6946</v>
      </c>
    </row>
    <row r="8962" spans="1:6" ht="17.25" thickBot="1">
      <c r="A8962" s="174">
        <f t="shared" si="133"/>
        <v>8961</v>
      </c>
      <c r="B8962" s="226">
        <v>46212</v>
      </c>
      <c r="C8962" s="227">
        <v>0.60539351851851853</v>
      </c>
      <c r="D8962" s="228">
        <v>10</v>
      </c>
      <c r="E8962" s="225" t="s">
        <v>9511</v>
      </c>
      <c r="F8962" s="225" t="s">
        <v>6946</v>
      </c>
    </row>
    <row r="8963" spans="1:6" ht="17.25" thickBot="1">
      <c r="A8963" s="174">
        <f t="shared" si="133"/>
        <v>8962</v>
      </c>
      <c r="B8963" s="226">
        <v>46212</v>
      </c>
      <c r="C8963" s="227">
        <v>0.64528935185185188</v>
      </c>
      <c r="D8963" s="228">
        <v>10</v>
      </c>
      <c r="E8963" s="225" t="s">
        <v>4654</v>
      </c>
      <c r="F8963" s="225" t="s">
        <v>6946</v>
      </c>
    </row>
    <row r="8964" spans="1:6" ht="17.25" thickBot="1">
      <c r="A8964" s="174">
        <f t="shared" si="133"/>
        <v>8963</v>
      </c>
      <c r="B8964" s="226">
        <v>46212</v>
      </c>
      <c r="C8964" s="227">
        <v>0.82895833333333335</v>
      </c>
      <c r="D8964" s="228">
        <v>10</v>
      </c>
      <c r="E8964" s="225" t="s">
        <v>9512</v>
      </c>
      <c r="F8964" s="225" t="s">
        <v>6946</v>
      </c>
    </row>
    <row r="8965" spans="1:6" ht="17.25" thickBot="1">
      <c r="A8965" s="174">
        <f t="shared" si="133"/>
        <v>8964</v>
      </c>
      <c r="B8965" s="226">
        <v>46212</v>
      </c>
      <c r="C8965" s="227">
        <v>0.68769675925925933</v>
      </c>
      <c r="D8965" s="228">
        <v>10</v>
      </c>
      <c r="E8965" s="225" t="s">
        <v>9513</v>
      </c>
      <c r="F8965" s="225" t="s">
        <v>6946</v>
      </c>
    </row>
    <row r="8966" spans="1:6" ht="17.25" thickBot="1">
      <c r="A8966" s="174">
        <f t="shared" si="133"/>
        <v>8965</v>
      </c>
      <c r="B8966" s="226">
        <v>46212</v>
      </c>
      <c r="C8966" s="227">
        <v>0.86086805555555557</v>
      </c>
      <c r="D8966" s="228">
        <v>10</v>
      </c>
      <c r="E8966" s="225" t="s">
        <v>418</v>
      </c>
      <c r="F8966" s="225" t="s">
        <v>6946</v>
      </c>
    </row>
    <row r="8967" spans="1:6" ht="17.25" thickBot="1">
      <c r="A8967" s="174">
        <f t="shared" si="133"/>
        <v>8966</v>
      </c>
      <c r="B8967" s="226">
        <v>46212</v>
      </c>
      <c r="C8967" s="227">
        <v>0.7724537037037037</v>
      </c>
      <c r="D8967" s="228">
        <v>10</v>
      </c>
      <c r="E8967" s="225" t="s">
        <v>9514</v>
      </c>
      <c r="F8967" s="225" t="s">
        <v>6946</v>
      </c>
    </row>
    <row r="8968" spans="1:6" ht="17.25" thickBot="1">
      <c r="A8968" s="174">
        <f t="shared" si="133"/>
        <v>8967</v>
      </c>
      <c r="B8968" s="226">
        <v>46212</v>
      </c>
      <c r="C8968" s="227">
        <v>0.51973379629629635</v>
      </c>
      <c r="D8968" s="228">
        <v>10</v>
      </c>
      <c r="E8968" s="225" t="s">
        <v>1488</v>
      </c>
      <c r="F8968" s="225" t="s">
        <v>6946</v>
      </c>
    </row>
    <row r="8969" spans="1:6" ht="17.25" thickBot="1">
      <c r="A8969" s="174">
        <f t="shared" si="133"/>
        <v>8968</v>
      </c>
      <c r="B8969" s="226">
        <v>46212</v>
      </c>
      <c r="C8969" s="227">
        <v>0.63124999999999998</v>
      </c>
      <c r="D8969" s="228">
        <v>10</v>
      </c>
      <c r="E8969" s="225" t="s">
        <v>9515</v>
      </c>
      <c r="F8969" s="225" t="s">
        <v>6946</v>
      </c>
    </row>
    <row r="8970" spans="1:6" ht="17.25" thickBot="1">
      <c r="A8970" s="174">
        <f t="shared" si="133"/>
        <v>8969</v>
      </c>
      <c r="B8970" s="226">
        <v>46212</v>
      </c>
      <c r="C8970" s="227">
        <v>0.67410879629629628</v>
      </c>
      <c r="D8970" s="228">
        <v>10</v>
      </c>
      <c r="E8970" s="225" t="s">
        <v>9516</v>
      </c>
      <c r="F8970" s="225" t="s">
        <v>6946</v>
      </c>
    </row>
    <row r="8971" spans="1:6" ht="17.25" thickBot="1">
      <c r="A8971" s="174">
        <f t="shared" si="133"/>
        <v>8970</v>
      </c>
      <c r="B8971" s="226">
        <v>46212</v>
      </c>
      <c r="C8971" s="227">
        <v>0.58859953703703705</v>
      </c>
      <c r="D8971" s="228">
        <v>9</v>
      </c>
      <c r="E8971" s="225" t="s">
        <v>9517</v>
      </c>
      <c r="F8971" s="225" t="s">
        <v>6946</v>
      </c>
    </row>
    <row r="8972" spans="1:6" ht="17.25" thickBot="1">
      <c r="A8972" s="174">
        <f t="shared" si="133"/>
        <v>8971</v>
      </c>
      <c r="B8972" s="226">
        <v>46212</v>
      </c>
      <c r="C8972" s="227">
        <v>0.70528935185185182</v>
      </c>
      <c r="D8972" s="228">
        <v>10</v>
      </c>
      <c r="E8972" s="225" t="s">
        <v>9518</v>
      </c>
      <c r="F8972" s="225" t="s">
        <v>6946</v>
      </c>
    </row>
    <row r="8973" spans="1:6" ht="17.25" thickBot="1">
      <c r="A8973" s="174">
        <f t="shared" si="133"/>
        <v>8972</v>
      </c>
      <c r="B8973" s="226">
        <v>46212</v>
      </c>
      <c r="C8973" s="227">
        <v>0.59979166666666661</v>
      </c>
      <c r="D8973" s="228">
        <v>10</v>
      </c>
      <c r="E8973" s="225" t="s">
        <v>9519</v>
      </c>
      <c r="F8973" s="225" t="s">
        <v>6946</v>
      </c>
    </row>
    <row r="8974" spans="1:6" ht="17.25" thickBot="1">
      <c r="A8974" s="174">
        <f t="shared" si="133"/>
        <v>8973</v>
      </c>
      <c r="B8974" s="226">
        <v>46212</v>
      </c>
      <c r="C8974" s="227">
        <v>0.67415509259259254</v>
      </c>
      <c r="D8974" s="228">
        <v>10</v>
      </c>
      <c r="E8974" s="225" t="s">
        <v>132</v>
      </c>
      <c r="F8974" s="225" t="s">
        <v>6946</v>
      </c>
    </row>
    <row r="8975" spans="1:6" ht="17.25" thickBot="1">
      <c r="A8975" s="174">
        <f t="shared" si="133"/>
        <v>8974</v>
      </c>
      <c r="B8975" s="226">
        <v>46212</v>
      </c>
      <c r="C8975" s="227">
        <v>0.74468749999999995</v>
      </c>
      <c r="D8975" s="228">
        <v>10</v>
      </c>
      <c r="E8975" s="225" t="s">
        <v>9520</v>
      </c>
      <c r="F8975" s="225" t="s">
        <v>6946</v>
      </c>
    </row>
    <row r="8976" spans="1:6" ht="17.25" thickBot="1">
      <c r="A8976" s="174">
        <f t="shared" si="133"/>
        <v>8975</v>
      </c>
      <c r="B8976" s="226">
        <v>46212</v>
      </c>
      <c r="C8976" s="227">
        <v>0.83416666666666661</v>
      </c>
      <c r="D8976" s="228">
        <v>10</v>
      </c>
      <c r="E8976" s="225" t="s">
        <v>9521</v>
      </c>
      <c r="F8976" s="225" t="s">
        <v>6946</v>
      </c>
    </row>
    <row r="8977" spans="1:6" ht="17.25" customHeight="1" thickBot="1">
      <c r="A8977" s="174">
        <f t="shared" si="133"/>
        <v>8976</v>
      </c>
      <c r="B8977" s="226">
        <v>46212</v>
      </c>
      <c r="C8977" s="227">
        <v>0.77957175925925926</v>
      </c>
      <c r="D8977" s="228">
        <v>10</v>
      </c>
      <c r="E8977" s="225" t="s">
        <v>9522</v>
      </c>
      <c r="F8977" s="225" t="s">
        <v>6946</v>
      </c>
    </row>
    <row r="8978" spans="1:6" ht="17.25" thickBot="1">
      <c r="A8978" s="174">
        <f t="shared" si="133"/>
        <v>8977</v>
      </c>
      <c r="B8978" s="226">
        <v>46212</v>
      </c>
      <c r="C8978" s="227">
        <v>0.75153935185185183</v>
      </c>
      <c r="D8978" s="228">
        <v>10</v>
      </c>
      <c r="E8978" s="225" t="s">
        <v>9523</v>
      </c>
      <c r="F8978" s="225" t="s">
        <v>6946</v>
      </c>
    </row>
    <row r="8979" spans="1:6" ht="17.25" thickBot="1">
      <c r="A8979" s="174">
        <f t="shared" si="133"/>
        <v>8978</v>
      </c>
      <c r="B8979" s="226">
        <v>46212</v>
      </c>
      <c r="C8979" s="227">
        <v>0.73021990740740739</v>
      </c>
      <c r="D8979" s="228">
        <v>10</v>
      </c>
      <c r="E8979" s="225" t="s">
        <v>9524</v>
      </c>
      <c r="F8979" s="225" t="s">
        <v>6946</v>
      </c>
    </row>
    <row r="8980" spans="1:6" ht="17.25" thickBot="1">
      <c r="A8980" s="174">
        <f t="shared" si="133"/>
        <v>8979</v>
      </c>
      <c r="B8980" s="226">
        <v>46212</v>
      </c>
      <c r="C8980" s="227">
        <v>0.61982638888888886</v>
      </c>
      <c r="D8980" s="228">
        <v>10</v>
      </c>
      <c r="E8980" s="225" t="s">
        <v>9525</v>
      </c>
      <c r="F8980" s="225" t="s">
        <v>6946</v>
      </c>
    </row>
    <row r="8981" spans="1:6" ht="17.25" thickBot="1">
      <c r="A8981" s="174">
        <f t="shared" si="133"/>
        <v>8980</v>
      </c>
      <c r="B8981" s="226">
        <v>46212</v>
      </c>
      <c r="C8981" s="227">
        <v>0.8666666666666667</v>
      </c>
      <c r="D8981" s="228">
        <v>10</v>
      </c>
      <c r="E8981" s="225" t="s">
        <v>1668</v>
      </c>
      <c r="F8981" s="225" t="s">
        <v>6946</v>
      </c>
    </row>
    <row r="8982" spans="1:6" ht="17.25" thickBot="1">
      <c r="A8982" s="174">
        <f t="shared" si="133"/>
        <v>8981</v>
      </c>
      <c r="B8982" s="226">
        <v>46212</v>
      </c>
      <c r="C8982" s="227">
        <v>0.75810185185185175</v>
      </c>
      <c r="D8982" s="228">
        <v>10</v>
      </c>
      <c r="E8982" s="225" t="s">
        <v>9526</v>
      </c>
      <c r="F8982" s="225" t="s">
        <v>6946</v>
      </c>
    </row>
    <row r="8983" spans="1:6" ht="17.25" thickBot="1">
      <c r="A8983" s="174">
        <f t="shared" si="133"/>
        <v>8982</v>
      </c>
      <c r="B8983" s="226">
        <v>46212</v>
      </c>
      <c r="C8983" s="227">
        <v>0.7305787037037037</v>
      </c>
      <c r="D8983" s="228">
        <v>10</v>
      </c>
      <c r="E8983" s="225" t="s">
        <v>9527</v>
      </c>
      <c r="F8983" s="225" t="s">
        <v>6946</v>
      </c>
    </row>
    <row r="8984" spans="1:6" ht="17.25" thickBot="1">
      <c r="A8984" s="174">
        <f t="shared" si="133"/>
        <v>8983</v>
      </c>
      <c r="B8984" s="226">
        <v>46212</v>
      </c>
      <c r="C8984" s="227">
        <v>0.61975694444444451</v>
      </c>
      <c r="D8984" s="228">
        <v>10</v>
      </c>
      <c r="E8984" s="225" t="s">
        <v>9528</v>
      </c>
      <c r="F8984" s="225" t="s">
        <v>6946</v>
      </c>
    </row>
    <row r="8985" spans="1:6" ht="17.25" thickBot="1">
      <c r="A8985" s="174">
        <f t="shared" si="133"/>
        <v>8984</v>
      </c>
      <c r="B8985" s="226">
        <v>46212</v>
      </c>
      <c r="C8985" s="227">
        <v>0.63670138888888894</v>
      </c>
      <c r="D8985" s="228">
        <v>10</v>
      </c>
      <c r="E8985" s="225" t="s">
        <v>448</v>
      </c>
      <c r="F8985" s="225" t="s">
        <v>6946</v>
      </c>
    </row>
    <row r="8986" spans="1:6" ht="17.25" thickBot="1">
      <c r="B8986" s="226">
        <v>46212</v>
      </c>
      <c r="C8986" s="227">
        <v>0.57435185185185189</v>
      </c>
      <c r="D8986" s="228">
        <v>10</v>
      </c>
      <c r="E8986" s="225" t="s">
        <v>9529</v>
      </c>
      <c r="F8986" s="225" t="s">
        <v>6946</v>
      </c>
    </row>
    <row r="8987" spans="1:6" ht="17.25" thickBot="1">
      <c r="B8987" s="226">
        <v>46212</v>
      </c>
      <c r="C8987" s="227">
        <v>0.48663194444444446</v>
      </c>
      <c r="D8987" s="228">
        <v>10</v>
      </c>
      <c r="E8987" s="225" t="s">
        <v>9530</v>
      </c>
      <c r="F8987" s="225" t="s">
        <v>6946</v>
      </c>
    </row>
    <row r="8988" spans="1:6" ht="17.25" thickBot="1">
      <c r="B8988" s="226">
        <v>46212</v>
      </c>
      <c r="C8988" s="227">
        <v>0.63923611111111112</v>
      </c>
      <c r="D8988" s="228">
        <v>10</v>
      </c>
      <c r="E8988" s="225" t="s">
        <v>9531</v>
      </c>
      <c r="F8988" s="225" t="s">
        <v>6946</v>
      </c>
    </row>
    <row r="8989" spans="1:6" ht="17.25" thickBot="1">
      <c r="B8989" s="226">
        <v>46212</v>
      </c>
      <c r="C8989" s="227">
        <v>0.42907407407407411</v>
      </c>
      <c r="D8989" s="228">
        <v>10</v>
      </c>
      <c r="E8989" s="225" t="s">
        <v>9532</v>
      </c>
      <c r="F8989" s="225" t="s">
        <v>6946</v>
      </c>
    </row>
    <row r="8990" spans="1:6" ht="17.25" thickBot="1">
      <c r="B8990" s="226">
        <v>46212</v>
      </c>
      <c r="C8990" s="227">
        <v>0.65335648148148151</v>
      </c>
      <c r="D8990" s="228">
        <v>10</v>
      </c>
      <c r="E8990" s="225" t="s">
        <v>9533</v>
      </c>
      <c r="F8990" s="225" t="s">
        <v>6946</v>
      </c>
    </row>
    <row r="8991" spans="1:6" ht="17.25" thickBot="1">
      <c r="B8991" s="226">
        <v>46212</v>
      </c>
      <c r="C8991" s="227">
        <v>0.48671296296296296</v>
      </c>
      <c r="D8991" s="228">
        <v>9</v>
      </c>
      <c r="E8991" s="225" t="s">
        <v>9534</v>
      </c>
      <c r="F8991" s="225" t="s">
        <v>6946</v>
      </c>
    </row>
    <row r="8992" spans="1:6" ht="17.25" thickBot="1">
      <c r="B8992" s="226">
        <v>46212</v>
      </c>
      <c r="C8992" s="227">
        <v>0.60472222222222227</v>
      </c>
      <c r="D8992" s="228">
        <v>10</v>
      </c>
      <c r="E8992" s="225" t="s">
        <v>244</v>
      </c>
      <c r="F8992" s="225" t="s">
        <v>6946</v>
      </c>
    </row>
    <row r="8993" spans="2:6" ht="17.25" thickBot="1">
      <c r="B8993" s="226">
        <v>46212</v>
      </c>
      <c r="C8993" s="227">
        <v>0.55383101851851857</v>
      </c>
      <c r="D8993" s="228">
        <v>10</v>
      </c>
      <c r="E8993" s="225" t="s">
        <v>5677</v>
      </c>
      <c r="F8993" s="225" t="s">
        <v>6946</v>
      </c>
    </row>
    <row r="8994" spans="2:6" ht="17.25" thickBot="1">
      <c r="B8994" s="226">
        <v>46212</v>
      </c>
      <c r="C8994" s="227">
        <v>0.40472222222222221</v>
      </c>
      <c r="D8994" s="228">
        <v>10</v>
      </c>
      <c r="E8994" s="225" t="s">
        <v>9535</v>
      </c>
      <c r="F8994" s="225" t="s">
        <v>6946</v>
      </c>
    </row>
    <row r="8995" spans="2:6" ht="17.25" thickBot="1">
      <c r="B8995" s="226">
        <v>46212</v>
      </c>
      <c r="C8995" s="227">
        <v>0.48317129629629635</v>
      </c>
      <c r="D8995" s="228">
        <v>10</v>
      </c>
      <c r="E8995" s="225" t="s">
        <v>9536</v>
      </c>
      <c r="F8995" s="225" t="s">
        <v>6946</v>
      </c>
    </row>
    <row r="8996" spans="2:6" ht="17.25" thickBot="1">
      <c r="B8996" s="226">
        <v>46212</v>
      </c>
      <c r="C8996" s="227">
        <v>0.81503472222222229</v>
      </c>
      <c r="D8996" s="228">
        <v>10</v>
      </c>
      <c r="E8996" s="225" t="s">
        <v>9537</v>
      </c>
      <c r="F8996" s="225" t="s">
        <v>6946</v>
      </c>
    </row>
    <row r="8997" spans="2:6" ht="17.25" thickBot="1">
      <c r="B8997" s="226">
        <v>46212</v>
      </c>
      <c r="C8997" s="227">
        <v>0.55799768518518522</v>
      </c>
      <c r="D8997" s="228">
        <v>10</v>
      </c>
      <c r="E8997" s="225" t="s">
        <v>8501</v>
      </c>
      <c r="F8997" s="225" t="s">
        <v>6946</v>
      </c>
    </row>
    <row r="8998" spans="2:6" ht="17.25" thickBot="1">
      <c r="B8998" s="226">
        <v>46212</v>
      </c>
      <c r="C8998" s="227">
        <v>0.63765046296296302</v>
      </c>
      <c r="D8998" s="228">
        <v>10</v>
      </c>
      <c r="E8998" s="225" t="s">
        <v>9538</v>
      </c>
      <c r="F8998" s="225" t="s">
        <v>6946</v>
      </c>
    </row>
    <row r="8999" spans="2:6" ht="17.25" thickBot="1">
      <c r="B8999" s="226">
        <v>46212</v>
      </c>
      <c r="C8999" s="227">
        <v>0.49530092592592595</v>
      </c>
      <c r="D8999" s="228">
        <v>10</v>
      </c>
      <c r="E8999" s="225" t="s">
        <v>9539</v>
      </c>
      <c r="F8999" s="225" t="s">
        <v>6946</v>
      </c>
    </row>
    <row r="9000" spans="2:6" ht="17.25" thickBot="1">
      <c r="B9000" s="226">
        <v>46212</v>
      </c>
      <c r="C9000" s="227">
        <v>0.72953703703703709</v>
      </c>
      <c r="D9000" s="228">
        <v>10</v>
      </c>
      <c r="E9000" s="225" t="s">
        <v>9540</v>
      </c>
      <c r="F9000" s="225" t="s">
        <v>6946</v>
      </c>
    </row>
    <row r="9001" spans="2:6" ht="17.25" thickBot="1">
      <c r="B9001" s="226">
        <v>46212</v>
      </c>
      <c r="C9001" s="227">
        <v>0.43797453703703698</v>
      </c>
      <c r="D9001" s="228">
        <v>10</v>
      </c>
      <c r="E9001" s="225" t="s">
        <v>9541</v>
      </c>
      <c r="F9001" s="225" t="s">
        <v>6946</v>
      </c>
    </row>
    <row r="9002" spans="2:6" ht="17.25" thickBot="1">
      <c r="B9002" s="226">
        <v>46212</v>
      </c>
      <c r="C9002" s="227">
        <v>0.41097222222222224</v>
      </c>
      <c r="D9002" s="228">
        <v>10</v>
      </c>
      <c r="E9002" s="225" t="s">
        <v>9542</v>
      </c>
      <c r="F9002" s="225" t="s">
        <v>6946</v>
      </c>
    </row>
    <row r="9003" spans="2:6" ht="17.25" thickBot="1">
      <c r="B9003" s="226">
        <v>46212</v>
      </c>
      <c r="C9003" s="227">
        <v>0.75284722222222211</v>
      </c>
      <c r="D9003" s="228">
        <v>10</v>
      </c>
      <c r="E9003" s="225" t="s">
        <v>9543</v>
      </c>
      <c r="F9003" s="225" t="s">
        <v>6946</v>
      </c>
    </row>
    <row r="9004" spans="2:6" ht="17.25" thickBot="1">
      <c r="B9004" s="226">
        <v>46212</v>
      </c>
      <c r="C9004" s="227">
        <v>0.66831018518518526</v>
      </c>
      <c r="D9004" s="228">
        <v>10</v>
      </c>
      <c r="E9004" s="225" t="s">
        <v>928</v>
      </c>
      <c r="F9004" s="225" t="s">
        <v>6946</v>
      </c>
    </row>
    <row r="9005" spans="2:6" ht="17.25" thickBot="1">
      <c r="B9005" s="226">
        <v>46212</v>
      </c>
      <c r="C9005" s="227">
        <v>0.60659722222222223</v>
      </c>
      <c r="D9005" s="228">
        <v>10</v>
      </c>
      <c r="E9005" s="225" t="s">
        <v>9544</v>
      </c>
      <c r="F9005" s="225" t="s">
        <v>6946</v>
      </c>
    </row>
    <row r="9006" spans="2:6" ht="17.25" thickBot="1">
      <c r="B9006" s="226">
        <v>46211</v>
      </c>
      <c r="C9006" s="227">
        <v>0.74746527777777771</v>
      </c>
      <c r="D9006" s="228">
        <v>10</v>
      </c>
      <c r="E9006" s="225" t="s">
        <v>1747</v>
      </c>
      <c r="F9006" s="225" t="s">
        <v>6946</v>
      </c>
    </row>
    <row r="9007" spans="2:6" ht="17.25" thickBot="1">
      <c r="B9007" s="226">
        <v>46211</v>
      </c>
      <c r="C9007" s="227">
        <v>0.6665740740740741</v>
      </c>
      <c r="D9007" s="228">
        <v>10</v>
      </c>
      <c r="E9007" s="225"/>
      <c r="F9007" s="225" t="s">
        <v>6946</v>
      </c>
    </row>
    <row r="9008" spans="2:6" ht="17.25" thickBot="1">
      <c r="B9008" s="226">
        <v>46211</v>
      </c>
      <c r="C9008" s="227">
        <v>0.80555555555555547</v>
      </c>
      <c r="D9008" s="228">
        <v>10</v>
      </c>
      <c r="E9008" s="225" t="s">
        <v>9505</v>
      </c>
      <c r="F9008" s="225" t="s">
        <v>6946</v>
      </c>
    </row>
    <row r="9009" spans="2:6" ht="17.25" thickBot="1">
      <c r="B9009" s="226">
        <v>46211</v>
      </c>
      <c r="C9009" s="227">
        <v>0.7171412037037036</v>
      </c>
      <c r="D9009" s="228">
        <v>10</v>
      </c>
      <c r="E9009" s="225" t="s">
        <v>9480</v>
      </c>
      <c r="F9009" s="225" t="s">
        <v>6946</v>
      </c>
    </row>
    <row r="9010" spans="2:6" ht="26.25" thickBot="1">
      <c r="B9010" s="226">
        <v>46211</v>
      </c>
      <c r="C9010" s="227">
        <v>0.60443287037037041</v>
      </c>
      <c r="D9010" s="228">
        <v>10</v>
      </c>
      <c r="E9010" s="225" t="s">
        <v>9495</v>
      </c>
      <c r="F9010" s="225" t="s">
        <v>6946</v>
      </c>
    </row>
    <row r="9011" spans="2:6" ht="17.25" thickBot="1">
      <c r="B9011" s="226">
        <v>46211</v>
      </c>
      <c r="C9011" s="227">
        <v>0.69208333333333327</v>
      </c>
      <c r="D9011" s="228">
        <v>10</v>
      </c>
      <c r="E9011" s="225" t="s">
        <v>9478</v>
      </c>
      <c r="F9011" s="225" t="s">
        <v>6946</v>
      </c>
    </row>
    <row r="9012" spans="2:6" ht="26.25" thickBot="1">
      <c r="B9012" s="226">
        <v>46211</v>
      </c>
      <c r="C9012" s="227">
        <v>0.46204861111111112</v>
      </c>
      <c r="D9012" s="228">
        <v>1</v>
      </c>
      <c r="E9012" s="225" t="s">
        <v>9502</v>
      </c>
      <c r="F9012" s="225" t="s">
        <v>6946</v>
      </c>
    </row>
    <row r="9013" spans="2:6" ht="17.25" thickBot="1">
      <c r="B9013" s="226">
        <v>46211</v>
      </c>
      <c r="C9013" s="227">
        <v>0.57259259259259265</v>
      </c>
      <c r="D9013" s="228">
        <v>10</v>
      </c>
      <c r="E9013" s="225" t="s">
        <v>9489</v>
      </c>
      <c r="F9013" s="225" t="s">
        <v>6946</v>
      </c>
    </row>
    <row r="9014" spans="2:6" ht="17.25" thickBot="1">
      <c r="B9014" s="226">
        <v>46211</v>
      </c>
      <c r="C9014" s="227">
        <v>0.45413194444444444</v>
      </c>
      <c r="D9014" s="228">
        <v>10</v>
      </c>
      <c r="E9014" s="225" t="s">
        <v>288</v>
      </c>
      <c r="F9014" s="225" t="s">
        <v>6946</v>
      </c>
    </row>
    <row r="9015" spans="2:6" ht="17.25" thickBot="1">
      <c r="B9015" s="226">
        <v>46211</v>
      </c>
      <c r="C9015" s="227">
        <v>0.67499999999999993</v>
      </c>
      <c r="D9015" s="228">
        <v>10</v>
      </c>
      <c r="E9015" s="225" t="s">
        <v>3264</v>
      </c>
      <c r="F9015" s="225" t="s">
        <v>6946</v>
      </c>
    </row>
    <row r="9016" spans="2:6" ht="17.25" thickBot="1">
      <c r="B9016" s="226">
        <v>46211</v>
      </c>
      <c r="C9016" s="227">
        <v>0.67792824074074076</v>
      </c>
      <c r="D9016" s="228">
        <v>10</v>
      </c>
      <c r="E9016" s="225" t="s">
        <v>9482</v>
      </c>
      <c r="F9016" s="225" t="s">
        <v>6946</v>
      </c>
    </row>
    <row r="9017" spans="2:6" ht="17.25" thickBot="1">
      <c r="B9017" s="226">
        <v>46211</v>
      </c>
      <c r="C9017" s="227">
        <v>0.84501157407407401</v>
      </c>
      <c r="D9017" s="228">
        <v>10</v>
      </c>
      <c r="E9017" s="225" t="s">
        <v>9490</v>
      </c>
      <c r="F9017" s="225" t="s">
        <v>6946</v>
      </c>
    </row>
    <row r="9018" spans="2:6" ht="17.25" thickBot="1">
      <c r="B9018" s="226">
        <v>46211</v>
      </c>
      <c r="C9018" s="227">
        <v>0.76657407407407396</v>
      </c>
      <c r="D9018" s="228">
        <v>10</v>
      </c>
      <c r="E9018" s="225" t="s">
        <v>9488</v>
      </c>
      <c r="F9018" s="225" t="s">
        <v>6946</v>
      </c>
    </row>
    <row r="9019" spans="2:6" ht="17.25" thickBot="1">
      <c r="B9019" s="226">
        <v>46211</v>
      </c>
      <c r="C9019" s="227">
        <v>0.82646990740740733</v>
      </c>
      <c r="D9019" s="228">
        <v>10</v>
      </c>
      <c r="E9019" s="225" t="s">
        <v>1407</v>
      </c>
      <c r="F9019" s="225" t="s">
        <v>6946</v>
      </c>
    </row>
    <row r="9020" spans="2:6" ht="17.25" thickBot="1">
      <c r="B9020" s="226">
        <v>46211</v>
      </c>
      <c r="C9020" s="227">
        <v>0.50108796296296299</v>
      </c>
      <c r="D9020" s="228">
        <v>10</v>
      </c>
      <c r="E9020" s="225" t="s">
        <v>9492</v>
      </c>
      <c r="F9020" s="225" t="s">
        <v>6946</v>
      </c>
    </row>
    <row r="9021" spans="2:6" ht="17.25" thickBot="1">
      <c r="B9021" s="226">
        <v>46211</v>
      </c>
      <c r="C9021" s="227">
        <v>0.48531250000000004</v>
      </c>
      <c r="D9021" s="228">
        <v>10</v>
      </c>
      <c r="E9021" s="225" t="s">
        <v>9494</v>
      </c>
      <c r="F9021" s="225" t="s">
        <v>6946</v>
      </c>
    </row>
    <row r="9022" spans="2:6" ht="17.25" thickBot="1">
      <c r="B9022" s="226">
        <v>46211</v>
      </c>
      <c r="C9022" s="227">
        <v>0.69303240740740746</v>
      </c>
      <c r="D9022" s="228">
        <v>10</v>
      </c>
      <c r="E9022" s="225" t="s">
        <v>9493</v>
      </c>
      <c r="F9022" s="225" t="s">
        <v>6946</v>
      </c>
    </row>
    <row r="9023" spans="2:6" ht="17.25" thickBot="1">
      <c r="B9023" s="226">
        <v>46211</v>
      </c>
      <c r="C9023" s="227">
        <v>0.45373842592592589</v>
      </c>
      <c r="D9023" s="228">
        <v>10</v>
      </c>
      <c r="E9023" s="225" t="s">
        <v>9496</v>
      </c>
      <c r="F9023" s="225" t="s">
        <v>6946</v>
      </c>
    </row>
    <row r="9024" spans="2:6" ht="17.25" thickBot="1">
      <c r="B9024" s="226">
        <v>46211</v>
      </c>
      <c r="C9024" s="227">
        <v>0.73281249999999998</v>
      </c>
      <c r="D9024" s="228">
        <v>10</v>
      </c>
      <c r="E9024" s="225" t="s">
        <v>9497</v>
      </c>
      <c r="F9024" s="225" t="s">
        <v>6946</v>
      </c>
    </row>
    <row r="9025" spans="2:6" ht="17.25" thickBot="1">
      <c r="B9025" s="226">
        <v>46211</v>
      </c>
      <c r="C9025" s="227">
        <v>0.71148148148148149</v>
      </c>
      <c r="D9025" s="228">
        <v>10</v>
      </c>
      <c r="E9025" s="225" t="s">
        <v>9475</v>
      </c>
      <c r="F9025" s="225" t="s">
        <v>6946</v>
      </c>
    </row>
    <row r="9026" spans="2:6" ht="17.25" thickBot="1">
      <c r="B9026" s="226">
        <v>46211</v>
      </c>
      <c r="C9026" s="227">
        <v>0.8630902777777778</v>
      </c>
      <c r="D9026" s="228">
        <v>10</v>
      </c>
      <c r="E9026" s="225" t="s">
        <v>9477</v>
      </c>
      <c r="F9026" s="225" t="s">
        <v>6946</v>
      </c>
    </row>
    <row r="9027" spans="2:6" ht="17.25" thickBot="1">
      <c r="B9027" s="226">
        <v>46211</v>
      </c>
      <c r="C9027" s="227">
        <v>0.76862268518518517</v>
      </c>
      <c r="D9027" s="228">
        <v>10</v>
      </c>
      <c r="E9027" s="225" t="s">
        <v>9479</v>
      </c>
      <c r="F9027" s="225" t="s">
        <v>6946</v>
      </c>
    </row>
    <row r="9028" spans="2:6" ht="17.25" thickBot="1">
      <c r="B9028" s="226">
        <v>46211</v>
      </c>
      <c r="C9028" s="227">
        <v>0.76322916666666663</v>
      </c>
      <c r="D9028" s="228">
        <v>10</v>
      </c>
      <c r="E9028" s="225" t="s">
        <v>9487</v>
      </c>
      <c r="F9028" s="225" t="s">
        <v>6946</v>
      </c>
    </row>
    <row r="9029" spans="2:6" ht="17.25" thickBot="1">
      <c r="B9029" s="226">
        <v>46211</v>
      </c>
      <c r="C9029" s="227">
        <v>0.65722222222222226</v>
      </c>
      <c r="D9029" s="228">
        <v>10</v>
      </c>
      <c r="E9029" s="225" t="s">
        <v>9498</v>
      </c>
      <c r="F9029" s="225" t="s">
        <v>6946</v>
      </c>
    </row>
    <row r="9030" spans="2:6" ht="17.25" thickBot="1">
      <c r="B9030" s="226">
        <v>46211</v>
      </c>
      <c r="C9030" s="227">
        <v>0.54068287037037044</v>
      </c>
      <c r="D9030" s="228">
        <v>10</v>
      </c>
      <c r="E9030" s="225" t="s">
        <v>9501</v>
      </c>
      <c r="F9030" s="225" t="s">
        <v>6946</v>
      </c>
    </row>
    <row r="9031" spans="2:6" ht="17.25" thickBot="1">
      <c r="B9031" s="226">
        <v>46211</v>
      </c>
      <c r="C9031" s="227">
        <v>0.49508101851851855</v>
      </c>
      <c r="D9031" s="228">
        <v>10</v>
      </c>
      <c r="E9031" s="225" t="s">
        <v>406</v>
      </c>
      <c r="F9031" s="225" t="s">
        <v>6946</v>
      </c>
    </row>
    <row r="9032" spans="2:6" ht="17.25" thickBot="1">
      <c r="B9032" s="226">
        <v>46211</v>
      </c>
      <c r="C9032" s="227">
        <v>0.4848263888888889</v>
      </c>
      <c r="D9032" s="228">
        <v>10</v>
      </c>
      <c r="E9032" s="225" t="s">
        <v>9491</v>
      </c>
      <c r="F9032" s="225" t="s">
        <v>6946</v>
      </c>
    </row>
    <row r="9033" spans="2:6" ht="26.25" thickBot="1">
      <c r="B9033" s="226">
        <v>46211</v>
      </c>
      <c r="C9033" s="227">
        <v>0.4105671296296296</v>
      </c>
      <c r="D9033" s="228">
        <v>10</v>
      </c>
      <c r="E9033" s="225" t="s">
        <v>9504</v>
      </c>
      <c r="F9033" s="225" t="s">
        <v>6946</v>
      </c>
    </row>
    <row r="9034" spans="2:6" ht="17.25" thickBot="1">
      <c r="B9034" s="226">
        <v>46211</v>
      </c>
      <c r="C9034" s="227">
        <v>0.58480324074074075</v>
      </c>
      <c r="D9034" s="228">
        <v>10</v>
      </c>
      <c r="E9034" s="225" t="s">
        <v>9483</v>
      </c>
      <c r="F9034" s="225" t="s">
        <v>6946</v>
      </c>
    </row>
    <row r="9035" spans="2:6" ht="17.25" thickBot="1">
      <c r="B9035" s="226">
        <v>46211</v>
      </c>
      <c r="C9035" s="227">
        <v>0.51429398148148142</v>
      </c>
      <c r="D9035" s="228">
        <v>10</v>
      </c>
      <c r="E9035" s="225" t="s">
        <v>9485</v>
      </c>
      <c r="F9035" s="225" t="s">
        <v>6946</v>
      </c>
    </row>
    <row r="9036" spans="2:6" ht="17.25" thickBot="1">
      <c r="B9036" s="226">
        <v>46211</v>
      </c>
      <c r="C9036" s="227">
        <v>0.71711805555555552</v>
      </c>
      <c r="D9036" s="228">
        <v>10</v>
      </c>
      <c r="E9036" s="225" t="s">
        <v>9409</v>
      </c>
      <c r="F9036" s="225" t="s">
        <v>6946</v>
      </c>
    </row>
    <row r="9037" spans="2:6" ht="17.25" thickBot="1">
      <c r="B9037" s="226">
        <v>46211</v>
      </c>
      <c r="C9037" s="227">
        <v>0.55298611111111107</v>
      </c>
      <c r="D9037" s="228">
        <v>10</v>
      </c>
      <c r="E9037" s="225" t="s">
        <v>9447</v>
      </c>
      <c r="F9037" s="225" t="s">
        <v>6946</v>
      </c>
    </row>
    <row r="9038" spans="2:6" ht="17.25" thickBot="1">
      <c r="B9038" s="226">
        <v>46211</v>
      </c>
      <c r="C9038" s="227">
        <v>0.75156250000000002</v>
      </c>
      <c r="D9038" s="228">
        <v>10</v>
      </c>
      <c r="E9038" s="225" t="s">
        <v>9476</v>
      </c>
      <c r="F9038" s="225" t="s">
        <v>6946</v>
      </c>
    </row>
    <row r="9039" spans="2:6" ht="17.25" thickBot="1">
      <c r="B9039" s="226">
        <v>46211</v>
      </c>
      <c r="C9039" s="227">
        <v>0.83591435185185192</v>
      </c>
      <c r="D9039" s="228">
        <v>10</v>
      </c>
      <c r="E9039" s="225" t="s">
        <v>9503</v>
      </c>
      <c r="F9039" s="225" t="s">
        <v>6946</v>
      </c>
    </row>
    <row r="9040" spans="2:6" ht="17.25" thickBot="1">
      <c r="B9040" s="226">
        <v>46211</v>
      </c>
      <c r="C9040" s="227">
        <v>0.67972222222222223</v>
      </c>
      <c r="D9040" s="228">
        <v>10</v>
      </c>
      <c r="E9040" s="225" t="s">
        <v>9500</v>
      </c>
      <c r="F9040" s="225" t="s">
        <v>6946</v>
      </c>
    </row>
    <row r="9041" spans="2:6" ht="17.25" thickBot="1">
      <c r="B9041" s="226">
        <v>46211</v>
      </c>
      <c r="C9041" s="227">
        <v>0.68659722222222219</v>
      </c>
      <c r="D9041" s="228">
        <v>10</v>
      </c>
      <c r="E9041" s="225" t="s">
        <v>9484</v>
      </c>
      <c r="F9041" s="225" t="s">
        <v>6946</v>
      </c>
    </row>
    <row r="9042" spans="2:6" ht="17.25" thickBot="1">
      <c r="B9042" s="226">
        <v>46211</v>
      </c>
      <c r="C9042" s="227">
        <v>0.62407407407407411</v>
      </c>
      <c r="D9042" s="228">
        <v>10</v>
      </c>
      <c r="E9042" s="225" t="s">
        <v>9499</v>
      </c>
      <c r="F9042" s="225" t="s">
        <v>6946</v>
      </c>
    </row>
    <row r="9043" spans="2:6" ht="17.25" thickBot="1">
      <c r="B9043" s="226">
        <v>46211</v>
      </c>
      <c r="C9043" s="227">
        <v>0.59342592592592591</v>
      </c>
      <c r="D9043" s="228">
        <v>10</v>
      </c>
      <c r="E9043" s="225" t="s">
        <v>9486</v>
      </c>
      <c r="F9043" s="225" t="s">
        <v>6946</v>
      </c>
    </row>
    <row r="9044" spans="2:6" ht="17.25" thickBot="1">
      <c r="B9044" s="226">
        <v>46211</v>
      </c>
      <c r="C9044" s="227">
        <v>0.49049768518518522</v>
      </c>
      <c r="D9044" s="228">
        <v>10</v>
      </c>
      <c r="E9044" s="225" t="s">
        <v>9481</v>
      </c>
      <c r="F9044" s="225" t="s">
        <v>6946</v>
      </c>
    </row>
    <row r="9045" spans="2:6" ht="17.25" thickBot="1">
      <c r="B9045" s="226">
        <v>46211</v>
      </c>
      <c r="C9045" s="227">
        <v>0.4378009259259259</v>
      </c>
      <c r="D9045" s="228">
        <v>10</v>
      </c>
      <c r="E9045" s="225" t="s">
        <v>448</v>
      </c>
      <c r="F9045" s="225" t="s">
        <v>6946</v>
      </c>
    </row>
    <row r="9046" spans="2:6" ht="26.25" thickBot="1">
      <c r="B9046" s="226">
        <v>46211</v>
      </c>
      <c r="C9046" s="227">
        <v>0.55312499999999998</v>
      </c>
      <c r="D9046" s="228">
        <v>10</v>
      </c>
      <c r="E9046" s="225" t="s">
        <v>9474</v>
      </c>
      <c r="F9046" s="225" t="s">
        <v>6946</v>
      </c>
    </row>
    <row r="9047" spans="2:6" ht="17.25" thickBot="1">
      <c r="B9047" s="226">
        <v>46210</v>
      </c>
      <c r="C9047" s="227">
        <v>0.66195601851851849</v>
      </c>
      <c r="D9047" s="228">
        <v>10</v>
      </c>
      <c r="E9047" s="225" t="s">
        <v>9462</v>
      </c>
      <c r="F9047" s="225" t="s">
        <v>6946</v>
      </c>
    </row>
    <row r="9048" spans="2:6" ht="17.25" thickBot="1">
      <c r="B9048" s="226">
        <v>46210</v>
      </c>
      <c r="C9048" s="227">
        <v>0.57494212962962965</v>
      </c>
      <c r="D9048" s="228">
        <v>10</v>
      </c>
      <c r="E9048" s="225" t="s">
        <v>9467</v>
      </c>
      <c r="F9048" s="225" t="s">
        <v>6946</v>
      </c>
    </row>
    <row r="9049" spans="2:6" ht="64.5" thickBot="1">
      <c r="B9049" s="226">
        <v>46210</v>
      </c>
      <c r="C9049" s="227">
        <v>0.7465046296296296</v>
      </c>
      <c r="D9049" s="228">
        <v>10</v>
      </c>
      <c r="E9049" s="225" t="s">
        <v>9453</v>
      </c>
      <c r="F9049" s="225" t="s">
        <v>6946</v>
      </c>
    </row>
    <row r="9050" spans="2:6" ht="17.25" thickBot="1">
      <c r="B9050" s="226">
        <v>46210</v>
      </c>
      <c r="C9050" s="227">
        <v>0.73210648148148139</v>
      </c>
      <c r="D9050" s="228">
        <v>10</v>
      </c>
      <c r="E9050" s="225" t="s">
        <v>9443</v>
      </c>
      <c r="F9050" s="225" t="s">
        <v>6946</v>
      </c>
    </row>
    <row r="9051" spans="2:6" ht="17.25" thickBot="1">
      <c r="B9051" s="226">
        <v>46210</v>
      </c>
      <c r="C9051" s="227">
        <v>0.73413194444444441</v>
      </c>
      <c r="D9051" s="228">
        <v>10</v>
      </c>
      <c r="E9051" s="225" t="s">
        <v>1206</v>
      </c>
      <c r="F9051" s="225" t="s">
        <v>6946</v>
      </c>
    </row>
    <row r="9052" spans="2:6" ht="17.25" thickBot="1">
      <c r="B9052" s="226">
        <v>46210</v>
      </c>
      <c r="C9052" s="227">
        <v>0.6549652777777778</v>
      </c>
      <c r="D9052" s="228">
        <v>10</v>
      </c>
      <c r="E9052" s="225" t="s">
        <v>9460</v>
      </c>
      <c r="F9052" s="225" t="s">
        <v>6946</v>
      </c>
    </row>
    <row r="9053" spans="2:6" ht="17.25" thickBot="1">
      <c r="B9053" s="226">
        <v>46210</v>
      </c>
      <c r="C9053" s="227">
        <v>0.5003819444444445</v>
      </c>
      <c r="D9053" s="228">
        <v>10</v>
      </c>
      <c r="E9053" s="225" t="s">
        <v>6653</v>
      </c>
      <c r="F9053" s="225" t="s">
        <v>6946</v>
      </c>
    </row>
    <row r="9054" spans="2:6" ht="17.25" thickBot="1">
      <c r="B9054" s="226">
        <v>46210</v>
      </c>
      <c r="C9054" s="227">
        <v>0.4848958333333333</v>
      </c>
      <c r="D9054" s="228">
        <v>10</v>
      </c>
      <c r="E9054" s="225" t="s">
        <v>9465</v>
      </c>
      <c r="F9054" s="225" t="s">
        <v>6946</v>
      </c>
    </row>
    <row r="9055" spans="2:6" ht="17.25" thickBot="1">
      <c r="B9055" s="226">
        <v>46210</v>
      </c>
      <c r="C9055" s="227">
        <v>0.44527777777777783</v>
      </c>
      <c r="D9055" s="228">
        <v>10</v>
      </c>
      <c r="E9055" s="225" t="s">
        <v>9473</v>
      </c>
      <c r="F9055" s="225" t="s">
        <v>6946</v>
      </c>
    </row>
    <row r="9056" spans="2:6" ht="17.25" thickBot="1">
      <c r="B9056" s="226">
        <v>46210</v>
      </c>
      <c r="C9056" s="227">
        <v>0.73026620370370365</v>
      </c>
      <c r="D9056" s="228">
        <v>10</v>
      </c>
      <c r="E9056" s="225" t="s">
        <v>9444</v>
      </c>
      <c r="F9056" s="225" t="s">
        <v>6946</v>
      </c>
    </row>
    <row r="9057" spans="2:6" ht="17.25" thickBot="1">
      <c r="B9057" s="226">
        <v>46210</v>
      </c>
      <c r="C9057" s="227">
        <v>0.41964120370370367</v>
      </c>
      <c r="D9057" s="228">
        <v>10</v>
      </c>
      <c r="E9057" s="225" t="s">
        <v>9472</v>
      </c>
      <c r="F9057" s="225" t="s">
        <v>6946</v>
      </c>
    </row>
    <row r="9058" spans="2:6" ht="17.25" thickBot="1">
      <c r="B9058" s="226">
        <v>46210</v>
      </c>
      <c r="C9058" s="227">
        <v>0.61387731481481478</v>
      </c>
      <c r="D9058" s="228">
        <v>10</v>
      </c>
      <c r="E9058" s="225" t="s">
        <v>9450</v>
      </c>
      <c r="F9058" s="225" t="s">
        <v>6946</v>
      </c>
    </row>
    <row r="9059" spans="2:6" ht="17.25" thickBot="1">
      <c r="B9059" s="226">
        <v>46210</v>
      </c>
      <c r="C9059" s="227">
        <v>0.83680555555555547</v>
      </c>
      <c r="D9059" s="228">
        <v>10</v>
      </c>
      <c r="E9059" s="225" t="s">
        <v>7034</v>
      </c>
      <c r="F9059" s="225" t="s">
        <v>6946</v>
      </c>
    </row>
    <row r="9060" spans="2:6" ht="17.25" thickBot="1">
      <c r="B9060" s="226">
        <v>46210</v>
      </c>
      <c r="C9060" s="227">
        <v>0.74571759259259263</v>
      </c>
      <c r="D9060" s="228">
        <v>10</v>
      </c>
      <c r="E9060" s="225" t="s">
        <v>9456</v>
      </c>
      <c r="F9060" s="225" t="s">
        <v>6946</v>
      </c>
    </row>
    <row r="9061" spans="2:6" ht="17.25" thickBot="1">
      <c r="B9061" s="226">
        <v>46210</v>
      </c>
      <c r="C9061" s="227">
        <v>0.65200231481481474</v>
      </c>
      <c r="D9061" s="228">
        <v>10</v>
      </c>
      <c r="E9061" s="225" t="s">
        <v>9466</v>
      </c>
      <c r="F9061" s="225" t="s">
        <v>6946</v>
      </c>
    </row>
    <row r="9062" spans="2:6" ht="17.25" thickBot="1">
      <c r="B9062" s="226">
        <v>46210</v>
      </c>
      <c r="C9062" s="227">
        <v>0.60391203703703711</v>
      </c>
      <c r="D9062" s="228">
        <v>10</v>
      </c>
      <c r="E9062" s="225" t="s">
        <v>132</v>
      </c>
      <c r="F9062" s="225" t="s">
        <v>6946</v>
      </c>
    </row>
    <row r="9063" spans="2:6" ht="17.25" thickBot="1">
      <c r="B9063" s="226">
        <v>46210</v>
      </c>
      <c r="C9063" s="227">
        <v>0.60712962962962969</v>
      </c>
      <c r="D9063" s="228">
        <v>10</v>
      </c>
      <c r="E9063" s="225" t="s">
        <v>1094</v>
      </c>
      <c r="F9063" s="225" t="s">
        <v>6946</v>
      </c>
    </row>
    <row r="9064" spans="2:6" ht="17.25" thickBot="1">
      <c r="B9064" s="226">
        <v>46210</v>
      </c>
      <c r="C9064" s="227">
        <v>0.59520833333333334</v>
      </c>
      <c r="D9064" s="228">
        <v>10</v>
      </c>
      <c r="E9064" s="225" t="s">
        <v>9458</v>
      </c>
      <c r="F9064" s="225" t="s">
        <v>6946</v>
      </c>
    </row>
    <row r="9065" spans="2:6" ht="17.25" thickBot="1">
      <c r="B9065" s="226">
        <v>46210</v>
      </c>
      <c r="C9065" s="227">
        <v>0.40155092592592595</v>
      </c>
      <c r="D9065" s="228">
        <v>10</v>
      </c>
      <c r="E9065" s="225" t="s">
        <v>9469</v>
      </c>
      <c r="F9065" s="225" t="s">
        <v>6946</v>
      </c>
    </row>
    <row r="9066" spans="2:6" ht="17.25" thickBot="1">
      <c r="B9066" s="226">
        <v>46210</v>
      </c>
      <c r="C9066" s="227">
        <v>0.74376157407407406</v>
      </c>
      <c r="D9066" s="228">
        <v>10</v>
      </c>
      <c r="E9066" s="225" t="s">
        <v>448</v>
      </c>
      <c r="F9066" s="225" t="s">
        <v>6946</v>
      </c>
    </row>
    <row r="9067" spans="2:6" ht="17.25" thickBot="1">
      <c r="B9067" s="226">
        <v>46210</v>
      </c>
      <c r="C9067" s="227">
        <v>0.68121527777777768</v>
      </c>
      <c r="D9067" s="228">
        <v>10</v>
      </c>
      <c r="E9067" s="225" t="s">
        <v>9463</v>
      </c>
      <c r="F9067" s="225" t="s">
        <v>6946</v>
      </c>
    </row>
    <row r="9068" spans="2:6" ht="17.25" thickBot="1">
      <c r="B9068" s="226">
        <v>46210</v>
      </c>
      <c r="C9068" s="227">
        <v>0.75812500000000005</v>
      </c>
      <c r="D9068" s="228">
        <v>10</v>
      </c>
      <c r="E9068" s="225" t="s">
        <v>9455</v>
      </c>
      <c r="F9068" s="225" t="s">
        <v>6946</v>
      </c>
    </row>
    <row r="9069" spans="2:6" ht="17.25" thickBot="1">
      <c r="B9069" s="226">
        <v>46210</v>
      </c>
      <c r="C9069" s="227">
        <v>0.41578703703703707</v>
      </c>
      <c r="D9069" s="228">
        <v>10</v>
      </c>
      <c r="E9069" s="225" t="s">
        <v>9468</v>
      </c>
      <c r="F9069" s="225" t="s">
        <v>6946</v>
      </c>
    </row>
    <row r="9070" spans="2:6" ht="17.25" thickBot="1">
      <c r="B9070" s="226">
        <v>46210</v>
      </c>
      <c r="C9070" s="227">
        <v>0.43983796296296296</v>
      </c>
      <c r="D9070" s="228">
        <v>10</v>
      </c>
      <c r="E9070" s="225" t="s">
        <v>132</v>
      </c>
      <c r="F9070" s="225" t="s">
        <v>6946</v>
      </c>
    </row>
    <row r="9071" spans="2:6" ht="17.25" thickBot="1">
      <c r="B9071" s="226">
        <v>46210</v>
      </c>
      <c r="C9071" s="227">
        <v>0.72614583333333327</v>
      </c>
      <c r="D9071" s="228">
        <v>10</v>
      </c>
      <c r="E9071" s="225" t="s">
        <v>9446</v>
      </c>
      <c r="F9071" s="225" t="s">
        <v>6946</v>
      </c>
    </row>
    <row r="9072" spans="2:6" ht="17.25" thickBot="1">
      <c r="B9072" s="226">
        <v>46210</v>
      </c>
      <c r="C9072" s="227">
        <v>0.62957175925925923</v>
      </c>
      <c r="D9072" s="228">
        <v>10</v>
      </c>
      <c r="E9072" s="225" t="s">
        <v>9452</v>
      </c>
      <c r="F9072" s="225" t="s">
        <v>6946</v>
      </c>
    </row>
    <row r="9073" spans="2:6" ht="17.25" thickBot="1">
      <c r="B9073" s="226">
        <v>46210</v>
      </c>
      <c r="C9073" s="227">
        <v>0.74747685185185186</v>
      </c>
      <c r="D9073" s="228">
        <v>10</v>
      </c>
      <c r="E9073" s="225" t="s">
        <v>9449</v>
      </c>
      <c r="F9073" s="225" t="s">
        <v>6946</v>
      </c>
    </row>
    <row r="9074" spans="2:6" ht="17.25" thickBot="1">
      <c r="B9074" s="226">
        <v>46210</v>
      </c>
      <c r="C9074" s="227">
        <v>0.66219907407407408</v>
      </c>
      <c r="D9074" s="228">
        <v>10</v>
      </c>
      <c r="E9074" s="225" t="s">
        <v>9457</v>
      </c>
      <c r="F9074" s="225" t="s">
        <v>6946</v>
      </c>
    </row>
    <row r="9075" spans="2:6" ht="17.25" thickBot="1">
      <c r="B9075" s="226">
        <v>46210</v>
      </c>
      <c r="C9075" s="227">
        <v>0.81187500000000001</v>
      </c>
      <c r="D9075" s="228">
        <v>10</v>
      </c>
      <c r="E9075" s="225" t="s">
        <v>9448</v>
      </c>
      <c r="F9075" s="225" t="s">
        <v>6946</v>
      </c>
    </row>
    <row r="9076" spans="2:6" ht="17.25" thickBot="1">
      <c r="B9076" s="226">
        <v>46210</v>
      </c>
      <c r="C9076" s="227">
        <v>0.68636574074074075</v>
      </c>
      <c r="D9076" s="228">
        <v>10</v>
      </c>
      <c r="E9076" s="225" t="s">
        <v>749</v>
      </c>
      <c r="F9076" s="225" t="s">
        <v>6946</v>
      </c>
    </row>
    <row r="9077" spans="2:6" ht="17.25" thickBot="1">
      <c r="B9077" s="226">
        <v>46210</v>
      </c>
      <c r="C9077" s="227">
        <v>0.52965277777777775</v>
      </c>
      <c r="D9077" s="228">
        <v>10</v>
      </c>
      <c r="E9077" s="225" t="s">
        <v>9461</v>
      </c>
      <c r="F9077" s="225" t="s">
        <v>6946</v>
      </c>
    </row>
    <row r="9078" spans="2:6" ht="17.25" thickBot="1">
      <c r="B9078" s="226">
        <v>46210</v>
      </c>
      <c r="C9078" s="227">
        <v>0.81215277777777783</v>
      </c>
      <c r="D9078" s="228">
        <v>10</v>
      </c>
      <c r="E9078" s="225" t="s">
        <v>9454</v>
      </c>
      <c r="F9078" s="225" t="s">
        <v>6946</v>
      </c>
    </row>
    <row r="9079" spans="2:6" ht="17.25" thickBot="1">
      <c r="B9079" s="226">
        <v>46210</v>
      </c>
      <c r="C9079" s="227">
        <v>0.74234953703703699</v>
      </c>
      <c r="D9079" s="228">
        <v>10</v>
      </c>
      <c r="E9079" s="225" t="s">
        <v>9470</v>
      </c>
      <c r="F9079" s="225" t="s">
        <v>6946</v>
      </c>
    </row>
    <row r="9080" spans="2:6" ht="17.25" thickBot="1">
      <c r="B9080" s="226">
        <v>46210</v>
      </c>
      <c r="C9080" s="227">
        <v>0.58206018518518521</v>
      </c>
      <c r="D9080" s="228">
        <v>10</v>
      </c>
      <c r="E9080" s="225" t="s">
        <v>1635</v>
      </c>
      <c r="F9080" s="225" t="s">
        <v>6946</v>
      </c>
    </row>
    <row r="9081" spans="2:6" ht="17.25" thickBot="1">
      <c r="B9081" s="226">
        <v>46210</v>
      </c>
      <c r="C9081" s="227">
        <v>0.50865740740740739</v>
      </c>
      <c r="D9081" s="228">
        <v>10</v>
      </c>
      <c r="E9081" s="225" t="s">
        <v>9445</v>
      </c>
      <c r="F9081" s="225" t="s">
        <v>6946</v>
      </c>
    </row>
    <row r="9082" spans="2:6" ht="17.25" thickBot="1">
      <c r="B9082" s="226">
        <v>46210</v>
      </c>
      <c r="C9082" s="227">
        <v>0.86392361111111116</v>
      </c>
      <c r="D9082" s="228">
        <v>10</v>
      </c>
      <c r="E9082" s="225" t="s">
        <v>9442</v>
      </c>
      <c r="F9082" s="225" t="s">
        <v>6946</v>
      </c>
    </row>
    <row r="9083" spans="2:6" ht="17.25" thickBot="1">
      <c r="B9083" s="226">
        <v>46210</v>
      </c>
      <c r="C9083" s="227">
        <v>0.71246527777777768</v>
      </c>
      <c r="D9083" s="228">
        <v>10</v>
      </c>
      <c r="E9083" s="225" t="s">
        <v>9451</v>
      </c>
      <c r="F9083" s="225" t="s">
        <v>6946</v>
      </c>
    </row>
    <row r="9084" spans="2:6" ht="17.25" thickBot="1">
      <c r="B9084" s="226">
        <v>46210</v>
      </c>
      <c r="C9084" s="227">
        <v>0.70250000000000001</v>
      </c>
      <c r="D9084" s="228">
        <v>10</v>
      </c>
      <c r="E9084" s="225" t="s">
        <v>9459</v>
      </c>
      <c r="F9084" s="225" t="s">
        <v>6946</v>
      </c>
    </row>
    <row r="9085" spans="2:6" ht="17.25" thickBot="1">
      <c r="B9085" s="226">
        <v>46210</v>
      </c>
      <c r="C9085" s="227">
        <v>0.60556712962962966</v>
      </c>
      <c r="D9085" s="228">
        <v>10</v>
      </c>
      <c r="E9085" s="225" t="s">
        <v>9464</v>
      </c>
      <c r="F9085" s="225" t="s">
        <v>6946</v>
      </c>
    </row>
    <row r="9086" spans="2:6" ht="17.25" thickBot="1">
      <c r="B9086" s="226">
        <v>46210</v>
      </c>
      <c r="C9086" s="227">
        <v>0.4291550925925926</v>
      </c>
      <c r="D9086" s="228">
        <v>10</v>
      </c>
      <c r="E9086" s="225" t="s">
        <v>9471</v>
      </c>
      <c r="F9086" s="225" t="s">
        <v>6946</v>
      </c>
    </row>
    <row r="9087" spans="2:6" ht="17.25" thickBot="1">
      <c r="B9087" s="226">
        <v>46210</v>
      </c>
      <c r="C9087" s="227">
        <v>0.39332175925925927</v>
      </c>
      <c r="D9087" s="228">
        <v>10</v>
      </c>
      <c r="E9087" s="225" t="s">
        <v>7951</v>
      </c>
      <c r="F9087" s="225" t="s">
        <v>6946</v>
      </c>
    </row>
    <row r="9088" spans="2:6" ht="17.25" thickBot="1">
      <c r="B9088" s="226">
        <v>46209</v>
      </c>
      <c r="C9088" s="227">
        <v>0.83401620370370377</v>
      </c>
      <c r="D9088" s="228">
        <v>10</v>
      </c>
      <c r="E9088" s="225" t="s">
        <v>9440</v>
      </c>
      <c r="F9088" s="225" t="s">
        <v>6946</v>
      </c>
    </row>
    <row r="9089" spans="2:6" ht="17.25" thickBot="1">
      <c r="B9089" s="226">
        <v>46209</v>
      </c>
      <c r="C9089" s="227">
        <v>0.71101851851851849</v>
      </c>
      <c r="D9089" s="228">
        <v>10</v>
      </c>
      <c r="E9089" s="225" t="s">
        <v>9404</v>
      </c>
      <c r="F9089" s="225" t="s">
        <v>6946</v>
      </c>
    </row>
    <row r="9090" spans="2:6" ht="17.25" thickBot="1">
      <c r="B9090" s="226">
        <v>46209</v>
      </c>
      <c r="C9090" s="227">
        <v>0.68893518518518526</v>
      </c>
      <c r="D9090" s="228">
        <v>10</v>
      </c>
      <c r="E9090" s="225" t="s">
        <v>9412</v>
      </c>
      <c r="F9090" s="225" t="s">
        <v>6946</v>
      </c>
    </row>
    <row r="9091" spans="2:6" ht="17.25" thickBot="1">
      <c r="B9091" s="226">
        <v>46209</v>
      </c>
      <c r="C9091" s="227">
        <v>0.74930555555555556</v>
      </c>
      <c r="D9091" s="228">
        <v>10</v>
      </c>
      <c r="E9091" s="225" t="s">
        <v>9425</v>
      </c>
      <c r="F9091" s="225" t="s">
        <v>6946</v>
      </c>
    </row>
    <row r="9092" spans="2:6" ht="17.25" thickBot="1">
      <c r="B9092" s="226">
        <v>46209</v>
      </c>
      <c r="C9092" s="227">
        <v>0.8294097222222222</v>
      </c>
      <c r="D9092" s="228">
        <v>10</v>
      </c>
      <c r="E9092" s="225" t="s">
        <v>9406</v>
      </c>
      <c r="F9092" s="225" t="s">
        <v>6946</v>
      </c>
    </row>
    <row r="9093" spans="2:6" ht="17.25" thickBot="1">
      <c r="B9093" s="226">
        <v>46209</v>
      </c>
      <c r="C9093" s="227">
        <v>0.70188657407407407</v>
      </c>
      <c r="D9093" s="228">
        <v>10</v>
      </c>
      <c r="E9093" s="225" t="s">
        <v>9410</v>
      </c>
      <c r="F9093" s="225" t="s">
        <v>6946</v>
      </c>
    </row>
    <row r="9094" spans="2:6" ht="17.25" thickBot="1">
      <c r="B9094" s="226">
        <v>46209</v>
      </c>
      <c r="C9094" s="227">
        <v>0.43967592592592591</v>
      </c>
      <c r="D9094" s="228">
        <v>10</v>
      </c>
      <c r="E9094" s="225" t="s">
        <v>9437</v>
      </c>
      <c r="F9094" s="225" t="s">
        <v>6946</v>
      </c>
    </row>
    <row r="9095" spans="2:6" ht="17.25" thickBot="1">
      <c r="B9095" s="226">
        <v>46209</v>
      </c>
      <c r="C9095" s="227">
        <v>0.42936342592592597</v>
      </c>
      <c r="D9095" s="228">
        <v>10</v>
      </c>
      <c r="E9095" s="225" t="s">
        <v>9436</v>
      </c>
      <c r="F9095" s="225" t="s">
        <v>6946</v>
      </c>
    </row>
    <row r="9096" spans="2:6" ht="17.25" thickBot="1">
      <c r="B9096" s="226">
        <v>46209</v>
      </c>
      <c r="C9096" s="227">
        <v>0.4238425925925926</v>
      </c>
      <c r="D9096" s="228">
        <v>10</v>
      </c>
      <c r="E9096" s="225" t="s">
        <v>9438</v>
      </c>
      <c r="F9096" s="225" t="s">
        <v>6946</v>
      </c>
    </row>
    <row r="9097" spans="2:6" ht="17.25" thickBot="1">
      <c r="B9097" s="226">
        <v>46209</v>
      </c>
      <c r="C9097" s="227">
        <v>0.79143518518518519</v>
      </c>
      <c r="D9097" s="228">
        <v>10</v>
      </c>
      <c r="E9097" s="225" t="s">
        <v>9405</v>
      </c>
      <c r="F9097" s="225" t="s">
        <v>6946</v>
      </c>
    </row>
    <row r="9098" spans="2:6" ht="17.25" thickBot="1">
      <c r="B9098" s="226">
        <v>46209</v>
      </c>
      <c r="C9098" s="227">
        <v>0.72371527777777767</v>
      </c>
      <c r="D9098" s="228">
        <v>10</v>
      </c>
      <c r="E9098" s="225" t="s">
        <v>9407</v>
      </c>
      <c r="F9098" s="225" t="s">
        <v>6946</v>
      </c>
    </row>
    <row r="9099" spans="2:6" ht="17.25" thickBot="1">
      <c r="B9099" s="226">
        <v>46209</v>
      </c>
      <c r="C9099" s="227">
        <v>0.51009259259259265</v>
      </c>
      <c r="D9099" s="228">
        <v>10</v>
      </c>
      <c r="E9099" s="225" t="s">
        <v>9420</v>
      </c>
      <c r="F9099" s="225" t="s">
        <v>6946</v>
      </c>
    </row>
    <row r="9100" spans="2:6" ht="17.25" thickBot="1">
      <c r="B9100" s="226">
        <v>46209</v>
      </c>
      <c r="C9100" s="227">
        <v>0.4400810185185185</v>
      </c>
      <c r="D9100" s="228">
        <v>10</v>
      </c>
      <c r="E9100" s="225" t="s">
        <v>9428</v>
      </c>
      <c r="F9100" s="225" t="s">
        <v>6946</v>
      </c>
    </row>
    <row r="9101" spans="2:6" ht="17.25" thickBot="1">
      <c r="B9101" s="226">
        <v>46209</v>
      </c>
      <c r="C9101" s="227">
        <v>0.61663194444444447</v>
      </c>
      <c r="D9101" s="228">
        <v>10</v>
      </c>
      <c r="E9101" s="225" t="s">
        <v>201</v>
      </c>
      <c r="F9101" s="225" t="s">
        <v>6946</v>
      </c>
    </row>
    <row r="9102" spans="2:6" ht="17.25" thickBot="1">
      <c r="B9102" s="226">
        <v>46209</v>
      </c>
      <c r="C9102" s="227">
        <v>0.60008101851851847</v>
      </c>
      <c r="D9102" s="228">
        <v>10</v>
      </c>
      <c r="E9102" s="225" t="s">
        <v>9417</v>
      </c>
      <c r="F9102" s="225" t="s">
        <v>6946</v>
      </c>
    </row>
    <row r="9103" spans="2:6" ht="17.25" thickBot="1">
      <c r="B9103" s="226">
        <v>46209</v>
      </c>
      <c r="C9103" s="227">
        <v>0.74905092592592604</v>
      </c>
      <c r="D9103" s="228">
        <v>10</v>
      </c>
      <c r="E9103" s="225" t="s">
        <v>9408</v>
      </c>
      <c r="F9103" s="225" t="s">
        <v>6946</v>
      </c>
    </row>
    <row r="9104" spans="2:6" ht="17.25" thickBot="1">
      <c r="B9104" s="226">
        <v>46209</v>
      </c>
      <c r="C9104" s="227">
        <v>0.75645833333333334</v>
      </c>
      <c r="D9104" s="228">
        <v>10</v>
      </c>
      <c r="E9104" s="225" t="s">
        <v>9433</v>
      </c>
      <c r="F9104" s="225" t="s">
        <v>6946</v>
      </c>
    </row>
    <row r="9105" spans="2:6" ht="17.25" thickBot="1">
      <c r="B9105" s="226">
        <v>46209</v>
      </c>
      <c r="C9105" s="227">
        <v>0.69810185185185192</v>
      </c>
      <c r="D9105" s="228">
        <v>10</v>
      </c>
      <c r="E9105" s="225" t="s">
        <v>9421</v>
      </c>
      <c r="F9105" s="225" t="s">
        <v>6946</v>
      </c>
    </row>
    <row r="9106" spans="2:6" ht="17.25" thickBot="1">
      <c r="B9106" s="226">
        <v>46209</v>
      </c>
      <c r="C9106" s="227">
        <v>0.69221064814814814</v>
      </c>
      <c r="D9106" s="228">
        <v>10</v>
      </c>
      <c r="E9106" s="225" t="s">
        <v>9413</v>
      </c>
      <c r="F9106" s="225" t="s">
        <v>6946</v>
      </c>
    </row>
    <row r="9107" spans="2:6" ht="17.25" thickBot="1">
      <c r="B9107" s="226">
        <v>46209</v>
      </c>
      <c r="C9107" s="227">
        <v>0.65704861111111112</v>
      </c>
      <c r="D9107" s="228">
        <v>10</v>
      </c>
      <c r="E9107" s="225" t="s">
        <v>9422</v>
      </c>
      <c r="F9107" s="225" t="s">
        <v>6946</v>
      </c>
    </row>
    <row r="9108" spans="2:6" ht="17.25" thickBot="1">
      <c r="B9108" s="226">
        <v>46209</v>
      </c>
      <c r="C9108" s="227">
        <v>0.55924768518518519</v>
      </c>
      <c r="D9108" s="228">
        <v>10</v>
      </c>
      <c r="E9108" s="225" t="s">
        <v>246</v>
      </c>
      <c r="F9108" s="225" t="s">
        <v>6946</v>
      </c>
    </row>
    <row r="9109" spans="2:6" ht="17.25" thickBot="1">
      <c r="B9109" s="226">
        <v>46209</v>
      </c>
      <c r="C9109" s="227">
        <v>0.74825231481481491</v>
      </c>
      <c r="D9109" s="228">
        <v>10</v>
      </c>
      <c r="E9109" s="225" t="s">
        <v>9411</v>
      </c>
      <c r="F9109" s="225" t="s">
        <v>6946</v>
      </c>
    </row>
    <row r="9110" spans="2:6" ht="17.25" thickBot="1">
      <c r="B9110" s="226">
        <v>46209</v>
      </c>
      <c r="C9110" s="227">
        <v>0.6775810185185186</v>
      </c>
      <c r="D9110" s="228">
        <v>10</v>
      </c>
      <c r="E9110" s="225" t="s">
        <v>9418</v>
      </c>
      <c r="F9110" s="225" t="s">
        <v>6946</v>
      </c>
    </row>
    <row r="9111" spans="2:6" ht="17.25" thickBot="1">
      <c r="B9111" s="226">
        <v>46209</v>
      </c>
      <c r="C9111" s="227">
        <v>0.67353009259259267</v>
      </c>
      <c r="D9111" s="228">
        <v>10</v>
      </c>
      <c r="E9111" s="225" t="s">
        <v>9414</v>
      </c>
      <c r="F9111" s="225" t="s">
        <v>6946</v>
      </c>
    </row>
    <row r="9112" spans="2:6" ht="17.25" thickBot="1">
      <c r="B9112" s="226">
        <v>46209</v>
      </c>
      <c r="C9112" s="227">
        <v>0.60884259259259255</v>
      </c>
      <c r="D9112" s="228">
        <v>10</v>
      </c>
      <c r="E9112" s="225" t="s">
        <v>9427</v>
      </c>
      <c r="F9112" s="225" t="s">
        <v>6946</v>
      </c>
    </row>
    <row r="9113" spans="2:6" ht="17.25" thickBot="1">
      <c r="B9113" s="226">
        <v>46209</v>
      </c>
      <c r="C9113" s="227">
        <v>0.49549768518518517</v>
      </c>
      <c r="D9113" s="228">
        <v>10</v>
      </c>
      <c r="E9113" s="225" t="s">
        <v>9431</v>
      </c>
      <c r="F9113" s="225" t="s">
        <v>6946</v>
      </c>
    </row>
    <row r="9114" spans="2:6" ht="17.25" thickBot="1">
      <c r="B9114" s="226">
        <v>46209</v>
      </c>
      <c r="C9114" s="227">
        <v>0.4264236111111111</v>
      </c>
      <c r="D9114" s="228">
        <v>10</v>
      </c>
      <c r="E9114" s="225" t="s">
        <v>9434</v>
      </c>
      <c r="F9114" s="225" t="s">
        <v>6946</v>
      </c>
    </row>
    <row r="9115" spans="2:6" ht="17.25" thickBot="1">
      <c r="B9115" s="226">
        <v>46209</v>
      </c>
      <c r="C9115" s="227">
        <v>0.41896990740740742</v>
      </c>
      <c r="D9115" s="228">
        <v>10</v>
      </c>
      <c r="E9115" s="225" t="s">
        <v>9435</v>
      </c>
      <c r="F9115" s="225" t="s">
        <v>6946</v>
      </c>
    </row>
    <row r="9116" spans="2:6" ht="17.25" thickBot="1">
      <c r="B9116" s="226">
        <v>46209</v>
      </c>
      <c r="C9116" s="227">
        <v>0.67874999999999996</v>
      </c>
      <c r="D9116" s="228">
        <v>10</v>
      </c>
      <c r="E9116" s="225" t="s">
        <v>9426</v>
      </c>
      <c r="F9116" s="225" t="s">
        <v>6946</v>
      </c>
    </row>
    <row r="9117" spans="2:6" ht="17.25" thickBot="1">
      <c r="B9117" s="226">
        <v>46209</v>
      </c>
      <c r="C9117" s="227">
        <v>0.89850694444444434</v>
      </c>
      <c r="D9117" s="228">
        <v>10</v>
      </c>
      <c r="E9117" s="225" t="s">
        <v>9403</v>
      </c>
      <c r="F9117" s="225" t="s">
        <v>6946</v>
      </c>
    </row>
    <row r="9118" spans="2:6" ht="17.25" thickBot="1">
      <c r="B9118" s="226">
        <v>46209</v>
      </c>
      <c r="C9118" s="227">
        <v>0.86427083333333332</v>
      </c>
      <c r="D9118" s="228">
        <v>10</v>
      </c>
      <c r="E9118" s="225" t="s">
        <v>9415</v>
      </c>
      <c r="F9118" s="225" t="s">
        <v>6946</v>
      </c>
    </row>
    <row r="9119" spans="2:6" ht="17.25" thickBot="1">
      <c r="B9119" s="226">
        <v>46209</v>
      </c>
      <c r="C9119" s="227">
        <v>0.47524305555555557</v>
      </c>
      <c r="D9119" s="228">
        <v>10</v>
      </c>
      <c r="E9119" s="225" t="s">
        <v>9439</v>
      </c>
      <c r="F9119" s="225" t="s">
        <v>6946</v>
      </c>
    </row>
    <row r="9120" spans="2:6" ht="17.25" thickBot="1">
      <c r="B9120" s="226">
        <v>46209</v>
      </c>
      <c r="C9120" s="227">
        <v>0.66128472222222223</v>
      </c>
      <c r="D9120" s="228">
        <v>1</v>
      </c>
      <c r="E9120" s="225" t="s">
        <v>9419</v>
      </c>
      <c r="F9120" s="225" t="s">
        <v>6946</v>
      </c>
    </row>
    <row r="9121" spans="2:6" ht="17.25" thickBot="1">
      <c r="B9121" s="226">
        <v>46209</v>
      </c>
      <c r="C9121" s="227">
        <v>0.63083333333333336</v>
      </c>
      <c r="D9121" s="228">
        <v>10</v>
      </c>
      <c r="E9121" s="225" t="s">
        <v>9430</v>
      </c>
      <c r="F9121" s="225" t="s">
        <v>6946</v>
      </c>
    </row>
    <row r="9122" spans="2:6" ht="17.25" thickBot="1">
      <c r="B9122" s="226">
        <v>46209</v>
      </c>
      <c r="C9122" s="227">
        <v>0.56715277777777773</v>
      </c>
      <c r="D9122" s="228">
        <v>10</v>
      </c>
      <c r="E9122" s="225" t="s">
        <v>9429</v>
      </c>
      <c r="F9122" s="225" t="s">
        <v>6946</v>
      </c>
    </row>
    <row r="9123" spans="2:6" ht="17.25" thickBot="1">
      <c r="B9123" s="226">
        <v>46209</v>
      </c>
      <c r="C9123" s="227">
        <v>0.3982060185185185</v>
      </c>
      <c r="D9123" s="228">
        <v>10</v>
      </c>
      <c r="E9123" s="225" t="s">
        <v>9441</v>
      </c>
      <c r="F9123" s="225" t="s">
        <v>6946</v>
      </c>
    </row>
    <row r="9124" spans="2:6" ht="17.25" thickBot="1">
      <c r="B9124" s="226">
        <v>46209</v>
      </c>
      <c r="C9124" s="227">
        <v>0.69511574074074067</v>
      </c>
      <c r="D9124" s="228">
        <v>10</v>
      </c>
      <c r="E9124" s="225" t="s">
        <v>1747</v>
      </c>
      <c r="F9124" s="225" t="s">
        <v>6946</v>
      </c>
    </row>
    <row r="9125" spans="2:6" ht="17.25" thickBot="1">
      <c r="B9125" s="226">
        <v>46209</v>
      </c>
      <c r="C9125" s="227">
        <v>0.62944444444444447</v>
      </c>
      <c r="D9125" s="228">
        <v>10</v>
      </c>
      <c r="E9125" s="225" t="s">
        <v>132</v>
      </c>
      <c r="F9125" s="225" t="s">
        <v>6946</v>
      </c>
    </row>
    <row r="9126" spans="2:6" ht="17.25" thickBot="1">
      <c r="B9126" s="226">
        <v>46209</v>
      </c>
      <c r="C9126" s="227">
        <v>0.63766203703703705</v>
      </c>
      <c r="D9126" s="228">
        <v>10</v>
      </c>
      <c r="E9126" s="225" t="s">
        <v>4293</v>
      </c>
      <c r="F9126" s="225" t="s">
        <v>6946</v>
      </c>
    </row>
    <row r="9127" spans="2:6" ht="17.25" thickBot="1">
      <c r="B9127" s="226">
        <v>46209</v>
      </c>
      <c r="C9127" s="227">
        <v>0.63732638888888882</v>
      </c>
      <c r="D9127" s="228">
        <v>10</v>
      </c>
      <c r="E9127" s="225" t="s">
        <v>9432</v>
      </c>
      <c r="F9127" s="225" t="s">
        <v>6946</v>
      </c>
    </row>
    <row r="9128" spans="2:6" ht="17.25" thickBot="1">
      <c r="B9128" s="226">
        <v>46209</v>
      </c>
      <c r="C9128" s="227">
        <v>0.56927083333333328</v>
      </c>
      <c r="D9128" s="228">
        <v>10</v>
      </c>
      <c r="E9128" s="225" t="s">
        <v>9416</v>
      </c>
      <c r="F9128" s="225" t="s">
        <v>6946</v>
      </c>
    </row>
    <row r="9129" spans="2:6" ht="17.25" thickBot="1">
      <c r="B9129" s="226">
        <v>46209</v>
      </c>
      <c r="C9129" s="227">
        <v>0.54223379629629631</v>
      </c>
      <c r="D9129" s="228">
        <v>10</v>
      </c>
      <c r="E9129" s="225" t="s">
        <v>9424</v>
      </c>
      <c r="F9129" s="225" t="s">
        <v>6946</v>
      </c>
    </row>
    <row r="9130" spans="2:6" ht="26.25" thickBot="1">
      <c r="B9130" s="226">
        <v>46209</v>
      </c>
      <c r="C9130" s="227">
        <v>0.50486111111111109</v>
      </c>
      <c r="D9130" s="228">
        <v>10</v>
      </c>
      <c r="E9130" s="225" t="s">
        <v>9423</v>
      </c>
      <c r="F9130" s="225" t="s">
        <v>6946</v>
      </c>
    </row>
    <row r="9131" spans="2:6" ht="17.25" thickBot="1">
      <c r="B9131" s="226">
        <v>46207</v>
      </c>
      <c r="C9131" s="227">
        <v>0.71234953703703707</v>
      </c>
      <c r="D9131" s="228">
        <v>10</v>
      </c>
      <c r="E9131" s="225" t="s">
        <v>9360</v>
      </c>
      <c r="F9131" s="225" t="s">
        <v>6946</v>
      </c>
    </row>
    <row r="9132" spans="2:6" ht="17.25" thickBot="1">
      <c r="B9132" s="226">
        <v>46207</v>
      </c>
      <c r="C9132" s="227">
        <v>0.48390046296296302</v>
      </c>
      <c r="D9132" s="228">
        <v>10</v>
      </c>
      <c r="E9132" s="225" t="s">
        <v>9356</v>
      </c>
      <c r="F9132" s="225" t="s">
        <v>6946</v>
      </c>
    </row>
    <row r="9133" spans="2:6" ht="26.25" thickBot="1">
      <c r="B9133" s="226">
        <v>46207</v>
      </c>
      <c r="C9133" s="227">
        <v>0.70923611111111118</v>
      </c>
      <c r="D9133" s="228">
        <v>1</v>
      </c>
      <c r="E9133" s="225" t="s">
        <v>9354</v>
      </c>
      <c r="F9133" s="225" t="s">
        <v>6946</v>
      </c>
    </row>
    <row r="9134" spans="2:6" ht="17.25" thickBot="1">
      <c r="B9134" s="226">
        <v>46207</v>
      </c>
      <c r="C9134" s="227">
        <v>0.6529166666666667</v>
      </c>
      <c r="D9134" s="228">
        <v>10</v>
      </c>
      <c r="E9134" s="225" t="s">
        <v>9357</v>
      </c>
      <c r="F9134" s="225" t="s">
        <v>6946</v>
      </c>
    </row>
    <row r="9135" spans="2:6" ht="17.25" thickBot="1">
      <c r="B9135" s="226">
        <v>46207</v>
      </c>
      <c r="C9135" s="227">
        <v>0.64049768518518524</v>
      </c>
      <c r="D9135" s="228">
        <v>10</v>
      </c>
      <c r="E9135" s="225" t="s">
        <v>9359</v>
      </c>
      <c r="F9135" s="225" t="s">
        <v>6946</v>
      </c>
    </row>
    <row r="9136" spans="2:6" ht="17.25" thickBot="1">
      <c r="B9136" s="226">
        <v>46207</v>
      </c>
      <c r="C9136" s="227">
        <v>0.43930555555555556</v>
      </c>
      <c r="D9136" s="228">
        <v>10</v>
      </c>
      <c r="E9136" s="225" t="s">
        <v>749</v>
      </c>
      <c r="F9136" s="225" t="s">
        <v>6946</v>
      </c>
    </row>
    <row r="9137" spans="2:6" ht="17.25" thickBot="1">
      <c r="B9137" s="226">
        <v>46207</v>
      </c>
      <c r="C9137" s="227">
        <v>0.71409722222222216</v>
      </c>
      <c r="D9137" s="228">
        <v>10</v>
      </c>
      <c r="E9137" s="225" t="s">
        <v>9362</v>
      </c>
      <c r="F9137" s="225" t="s">
        <v>6946</v>
      </c>
    </row>
    <row r="9138" spans="2:6" ht="17.25" thickBot="1">
      <c r="B9138" s="226">
        <v>46207</v>
      </c>
      <c r="C9138" s="227">
        <v>0.60644675925925928</v>
      </c>
      <c r="D9138" s="228">
        <v>10</v>
      </c>
      <c r="E9138" s="225" t="s">
        <v>9355</v>
      </c>
      <c r="F9138" s="225" t="s">
        <v>6946</v>
      </c>
    </row>
    <row r="9139" spans="2:6" ht="17.25" thickBot="1">
      <c r="B9139" s="226">
        <v>46207</v>
      </c>
      <c r="C9139" s="227">
        <v>0.47903935185185187</v>
      </c>
      <c r="D9139" s="228">
        <v>10</v>
      </c>
      <c r="E9139" s="225" t="s">
        <v>9361</v>
      </c>
      <c r="F9139" s="225" t="s">
        <v>6946</v>
      </c>
    </row>
    <row r="9140" spans="2:6" ht="17.25" thickBot="1">
      <c r="B9140" s="226">
        <v>46207</v>
      </c>
      <c r="C9140" s="227">
        <v>0.48333333333333334</v>
      </c>
      <c r="D9140" s="228">
        <v>10</v>
      </c>
      <c r="E9140" s="225" t="s">
        <v>9358</v>
      </c>
      <c r="F9140" s="225" t="s">
        <v>6946</v>
      </c>
    </row>
    <row r="9141" spans="2:6" ht="17.25" thickBot="1">
      <c r="B9141" s="226">
        <v>46206</v>
      </c>
      <c r="C9141" s="227">
        <v>0.75487268518518524</v>
      </c>
      <c r="D9141" s="228">
        <v>10</v>
      </c>
      <c r="E9141" s="225" t="s">
        <v>9368</v>
      </c>
      <c r="F9141" s="225" t="s">
        <v>6946</v>
      </c>
    </row>
    <row r="9142" spans="2:6" ht="17.25" thickBot="1">
      <c r="B9142" s="226">
        <v>46206</v>
      </c>
      <c r="C9142" s="227">
        <v>0.68366898148148147</v>
      </c>
      <c r="D9142" s="228">
        <v>9</v>
      </c>
      <c r="E9142" s="225" t="s">
        <v>1531</v>
      </c>
      <c r="F9142" s="225" t="s">
        <v>6946</v>
      </c>
    </row>
    <row r="9143" spans="2:6" ht="26.25" thickBot="1">
      <c r="B9143" s="226">
        <v>46206</v>
      </c>
      <c r="C9143" s="227">
        <v>0.61464120370370368</v>
      </c>
      <c r="D9143" s="228">
        <v>10</v>
      </c>
      <c r="E9143" s="225" t="s">
        <v>9388</v>
      </c>
      <c r="F9143" s="225" t="s">
        <v>6946</v>
      </c>
    </row>
    <row r="9144" spans="2:6" ht="17.25" thickBot="1">
      <c r="B9144" s="226">
        <v>46206</v>
      </c>
      <c r="C9144" s="227">
        <v>0.6080092592592593</v>
      </c>
      <c r="D9144" s="228">
        <v>10</v>
      </c>
      <c r="E9144" s="225" t="s">
        <v>9391</v>
      </c>
      <c r="F9144" s="225" t="s">
        <v>6946</v>
      </c>
    </row>
    <row r="9145" spans="2:6" ht="17.25" thickBot="1">
      <c r="B9145" s="226">
        <v>46206</v>
      </c>
      <c r="C9145" s="227">
        <v>0.55592592592592593</v>
      </c>
      <c r="D9145" s="228">
        <v>10</v>
      </c>
      <c r="E9145" s="225" t="s">
        <v>9385</v>
      </c>
      <c r="F9145" s="225" t="s">
        <v>6946</v>
      </c>
    </row>
    <row r="9146" spans="2:6" ht="26.25" thickBot="1">
      <c r="B9146" s="226">
        <v>46206</v>
      </c>
      <c r="C9146" s="227">
        <v>0.50318287037037035</v>
      </c>
      <c r="D9146" s="228">
        <v>10</v>
      </c>
      <c r="E9146" s="225" t="s">
        <v>9394</v>
      </c>
      <c r="F9146" s="225" t="s">
        <v>6946</v>
      </c>
    </row>
    <row r="9147" spans="2:6" ht="26.25" thickBot="1">
      <c r="B9147" s="226">
        <v>46206</v>
      </c>
      <c r="C9147" s="227">
        <v>0.46003472222222225</v>
      </c>
      <c r="D9147" s="228">
        <v>10</v>
      </c>
      <c r="E9147" s="225" t="s">
        <v>9402</v>
      </c>
      <c r="F9147" s="225" t="s">
        <v>6946</v>
      </c>
    </row>
    <row r="9148" spans="2:6" ht="17.25" thickBot="1">
      <c r="B9148" s="226">
        <v>46206</v>
      </c>
      <c r="C9148" s="227">
        <v>0.46128472222222222</v>
      </c>
      <c r="D9148" s="228">
        <v>10</v>
      </c>
      <c r="E9148" s="225" t="s">
        <v>9395</v>
      </c>
      <c r="F9148" s="225" t="s">
        <v>6946</v>
      </c>
    </row>
    <row r="9149" spans="2:6" ht="17.25" thickBot="1">
      <c r="B9149" s="226">
        <v>46206</v>
      </c>
      <c r="C9149" s="227">
        <v>0.75324074074074077</v>
      </c>
      <c r="D9149" s="228">
        <v>10</v>
      </c>
      <c r="E9149" s="225" t="s">
        <v>9365</v>
      </c>
      <c r="F9149" s="225" t="s">
        <v>6946</v>
      </c>
    </row>
    <row r="9150" spans="2:6" ht="17.25" thickBot="1">
      <c r="B9150" s="226">
        <v>46206</v>
      </c>
      <c r="C9150" s="227">
        <v>0.68726851851851845</v>
      </c>
      <c r="D9150" s="228">
        <v>10</v>
      </c>
      <c r="E9150" s="225" t="s">
        <v>9375</v>
      </c>
      <c r="F9150" s="225" t="s">
        <v>6946</v>
      </c>
    </row>
    <row r="9151" spans="2:6" ht="17.25" thickBot="1">
      <c r="B9151" s="226">
        <v>46206</v>
      </c>
      <c r="C9151" s="227">
        <v>0.65458333333333341</v>
      </c>
      <c r="D9151" s="228">
        <v>10</v>
      </c>
      <c r="E9151" s="225" t="s">
        <v>9369</v>
      </c>
      <c r="F9151" s="225" t="s">
        <v>6946</v>
      </c>
    </row>
    <row r="9152" spans="2:6" ht="17.25" thickBot="1">
      <c r="B9152" s="226">
        <v>46206</v>
      </c>
      <c r="C9152" s="227">
        <v>0.64589120370370368</v>
      </c>
      <c r="D9152" s="228">
        <v>10</v>
      </c>
      <c r="E9152" s="225" t="s">
        <v>9383</v>
      </c>
      <c r="F9152" s="225" t="s">
        <v>6946</v>
      </c>
    </row>
    <row r="9153" spans="2:6" ht="17.25" thickBot="1">
      <c r="B9153" s="226">
        <v>46206</v>
      </c>
      <c r="C9153" s="227">
        <v>0.64576388888888892</v>
      </c>
      <c r="D9153" s="228">
        <v>10</v>
      </c>
      <c r="E9153" s="225" t="s">
        <v>9372</v>
      </c>
      <c r="F9153" s="225" t="s">
        <v>6946</v>
      </c>
    </row>
    <row r="9154" spans="2:6" ht="17.25" thickBot="1">
      <c r="B9154" s="226">
        <v>46206</v>
      </c>
      <c r="C9154" s="227">
        <v>0.63674768518518521</v>
      </c>
      <c r="D9154" s="228">
        <v>10</v>
      </c>
      <c r="E9154" s="225" t="s">
        <v>9371</v>
      </c>
      <c r="F9154" s="225" t="s">
        <v>6946</v>
      </c>
    </row>
    <row r="9155" spans="2:6" ht="26.25" thickBot="1">
      <c r="B9155" s="226">
        <v>46206</v>
      </c>
      <c r="C9155" s="227">
        <v>0.62809027777777782</v>
      </c>
      <c r="D9155" s="228">
        <v>10</v>
      </c>
      <c r="E9155" s="225" t="s">
        <v>9380</v>
      </c>
      <c r="F9155" s="225" t="s">
        <v>6946</v>
      </c>
    </row>
    <row r="9156" spans="2:6" ht="17.25" thickBot="1">
      <c r="B9156" s="226">
        <v>46206</v>
      </c>
      <c r="C9156" s="227">
        <v>0.56401620370370364</v>
      </c>
      <c r="D9156" s="228">
        <v>10</v>
      </c>
      <c r="E9156" s="225" t="s">
        <v>9393</v>
      </c>
      <c r="F9156" s="225" t="s">
        <v>6946</v>
      </c>
    </row>
    <row r="9157" spans="2:6" ht="17.25" thickBot="1">
      <c r="B9157" s="226">
        <v>46206</v>
      </c>
      <c r="C9157" s="227">
        <v>0.50245370370370368</v>
      </c>
      <c r="D9157" s="228">
        <v>10</v>
      </c>
      <c r="E9157" s="225" t="s">
        <v>9386</v>
      </c>
      <c r="F9157" s="225" t="s">
        <v>6946</v>
      </c>
    </row>
    <row r="9158" spans="2:6" ht="17.25" thickBot="1">
      <c r="B9158" s="226">
        <v>46206</v>
      </c>
      <c r="C9158" s="227">
        <v>0.44288194444444445</v>
      </c>
      <c r="D9158" s="228">
        <v>10</v>
      </c>
      <c r="E9158" s="225" t="s">
        <v>9398</v>
      </c>
      <c r="F9158" s="225" t="s">
        <v>6946</v>
      </c>
    </row>
    <row r="9159" spans="2:6" ht="17.25" thickBot="1">
      <c r="B9159" s="226">
        <v>46206</v>
      </c>
      <c r="C9159" s="227">
        <v>0.43925925925925924</v>
      </c>
      <c r="D9159" s="228">
        <v>10</v>
      </c>
      <c r="E9159" s="225" t="s">
        <v>9401</v>
      </c>
      <c r="F9159" s="225" t="s">
        <v>6946</v>
      </c>
    </row>
    <row r="9160" spans="2:6" ht="17.25" thickBot="1">
      <c r="B9160" s="226">
        <v>46206</v>
      </c>
      <c r="C9160" s="227">
        <v>0.3903935185185185</v>
      </c>
      <c r="D9160" s="228">
        <v>10</v>
      </c>
      <c r="E9160" s="225" t="s">
        <v>9397</v>
      </c>
      <c r="F9160" s="225" t="s">
        <v>6946</v>
      </c>
    </row>
    <row r="9161" spans="2:6" ht="17.25" thickBot="1">
      <c r="B9161" s="226">
        <v>46206</v>
      </c>
      <c r="C9161" s="227">
        <v>0.39108796296296294</v>
      </c>
      <c r="D9161" s="228">
        <v>10</v>
      </c>
      <c r="E9161" s="225" t="s">
        <v>9399</v>
      </c>
      <c r="F9161" s="225" t="s">
        <v>6946</v>
      </c>
    </row>
    <row r="9162" spans="2:6" ht="26.25" thickBot="1">
      <c r="B9162" s="226">
        <v>46206</v>
      </c>
      <c r="C9162" s="227">
        <v>0.5848726851851852</v>
      </c>
      <c r="D9162" s="228">
        <v>10</v>
      </c>
      <c r="E9162" s="225" t="s">
        <v>9378</v>
      </c>
      <c r="F9162" s="225" t="s">
        <v>6946</v>
      </c>
    </row>
    <row r="9163" spans="2:6" ht="17.25" thickBot="1">
      <c r="B9163" s="226">
        <v>46206</v>
      </c>
      <c r="C9163" s="227">
        <v>0.57737268518518514</v>
      </c>
      <c r="D9163" s="228">
        <v>10</v>
      </c>
      <c r="E9163" s="225" t="s">
        <v>9389</v>
      </c>
      <c r="F9163" s="225" t="s">
        <v>6946</v>
      </c>
    </row>
    <row r="9164" spans="2:6" ht="17.25" thickBot="1">
      <c r="B9164" s="226">
        <v>46206</v>
      </c>
      <c r="C9164" s="227">
        <v>0.91737268518518522</v>
      </c>
      <c r="D9164" s="228">
        <v>10</v>
      </c>
      <c r="E9164" s="225" t="s">
        <v>9374</v>
      </c>
      <c r="F9164" s="225" t="s">
        <v>6946</v>
      </c>
    </row>
    <row r="9165" spans="2:6" ht="17.25" thickBot="1">
      <c r="B9165" s="226">
        <v>46206</v>
      </c>
      <c r="C9165" s="227">
        <v>0.78266203703703707</v>
      </c>
      <c r="D9165" s="228">
        <v>10</v>
      </c>
      <c r="E9165" s="225" t="s">
        <v>749</v>
      </c>
      <c r="F9165" s="225" t="s">
        <v>6946</v>
      </c>
    </row>
    <row r="9166" spans="2:6" ht="17.25" thickBot="1">
      <c r="B9166" s="226">
        <v>46206</v>
      </c>
      <c r="C9166" s="227">
        <v>0.74543981481481481</v>
      </c>
      <c r="D9166" s="228">
        <v>10</v>
      </c>
      <c r="E9166" s="225" t="s">
        <v>9379</v>
      </c>
      <c r="F9166" s="225" t="s">
        <v>6946</v>
      </c>
    </row>
    <row r="9167" spans="2:6" ht="17.25" thickBot="1">
      <c r="B9167" s="226">
        <v>46206</v>
      </c>
      <c r="C9167" s="227">
        <v>0.74333333333333329</v>
      </c>
      <c r="D9167" s="228">
        <v>10</v>
      </c>
      <c r="E9167" s="225" t="s">
        <v>9364</v>
      </c>
      <c r="F9167" s="225" t="s">
        <v>6946</v>
      </c>
    </row>
    <row r="9168" spans="2:6" ht="17.25" thickBot="1">
      <c r="B9168" s="226">
        <v>46206</v>
      </c>
      <c r="C9168" s="227">
        <v>0.73480324074074066</v>
      </c>
      <c r="D9168" s="228">
        <v>10</v>
      </c>
      <c r="E9168" s="225" t="s">
        <v>9381</v>
      </c>
      <c r="F9168" s="225" t="s">
        <v>6946</v>
      </c>
    </row>
    <row r="9169" spans="2:6" ht="17.25" thickBot="1">
      <c r="B9169" s="226">
        <v>46206</v>
      </c>
      <c r="C9169" s="227">
        <v>0.72723379629629636</v>
      </c>
      <c r="D9169" s="228">
        <v>10</v>
      </c>
      <c r="E9169" s="225" t="s">
        <v>9373</v>
      </c>
      <c r="F9169" s="225" t="s">
        <v>6946</v>
      </c>
    </row>
    <row r="9170" spans="2:6" ht="17.25" thickBot="1">
      <c r="B9170" s="226">
        <v>46206</v>
      </c>
      <c r="C9170" s="227">
        <v>0.72704861111111108</v>
      </c>
      <c r="D9170" s="228">
        <v>10</v>
      </c>
      <c r="E9170" s="225" t="s">
        <v>9376</v>
      </c>
      <c r="F9170" s="225" t="s">
        <v>6946</v>
      </c>
    </row>
    <row r="9171" spans="2:6" ht="17.25" thickBot="1">
      <c r="B9171" s="226">
        <v>46206</v>
      </c>
      <c r="C9171" s="227">
        <v>0.71461805555555558</v>
      </c>
      <c r="D9171" s="228">
        <v>10</v>
      </c>
      <c r="E9171" s="225" t="s">
        <v>9370</v>
      </c>
      <c r="F9171" s="225" t="s">
        <v>6946</v>
      </c>
    </row>
    <row r="9172" spans="2:6" ht="17.25" thickBot="1">
      <c r="B9172" s="226">
        <v>46206</v>
      </c>
      <c r="C9172" s="227">
        <v>0.67775462962962962</v>
      </c>
      <c r="D9172" s="228">
        <v>10</v>
      </c>
      <c r="E9172" s="225" t="s">
        <v>9366</v>
      </c>
      <c r="F9172" s="225" t="s">
        <v>6946</v>
      </c>
    </row>
    <row r="9173" spans="2:6" ht="17.25" thickBot="1">
      <c r="B9173" s="226">
        <v>46206</v>
      </c>
      <c r="C9173" s="227">
        <v>0.67098379629629623</v>
      </c>
      <c r="D9173" s="228">
        <v>10</v>
      </c>
      <c r="E9173" s="225" t="s">
        <v>9367</v>
      </c>
      <c r="F9173" s="225" t="s">
        <v>6946</v>
      </c>
    </row>
    <row r="9174" spans="2:6" ht="17.25" thickBot="1">
      <c r="B9174" s="226">
        <v>46206</v>
      </c>
      <c r="C9174" s="227">
        <v>0.65395833333333331</v>
      </c>
      <c r="D9174" s="228">
        <v>10</v>
      </c>
      <c r="E9174" s="225" t="s">
        <v>9382</v>
      </c>
      <c r="F9174" s="225" t="s">
        <v>6946</v>
      </c>
    </row>
    <row r="9175" spans="2:6" ht="17.25" thickBot="1">
      <c r="B9175" s="226">
        <v>46206</v>
      </c>
      <c r="C9175" s="227">
        <v>0.63298611111111114</v>
      </c>
      <c r="D9175" s="228">
        <v>10</v>
      </c>
      <c r="E9175" s="225" t="s">
        <v>9363</v>
      </c>
      <c r="F9175" s="225" t="s">
        <v>6946</v>
      </c>
    </row>
    <row r="9176" spans="2:6" ht="17.25" thickBot="1">
      <c r="B9176" s="226">
        <v>46206</v>
      </c>
      <c r="C9176" s="227">
        <v>0.61326388888888894</v>
      </c>
      <c r="D9176" s="228">
        <v>10</v>
      </c>
      <c r="E9176" s="225" t="s">
        <v>9377</v>
      </c>
      <c r="F9176" s="225" t="s">
        <v>6946</v>
      </c>
    </row>
    <row r="9177" spans="2:6" ht="26.25" thickBot="1">
      <c r="B9177" s="226">
        <v>46206</v>
      </c>
      <c r="C9177" s="227">
        <v>0.61474537037037036</v>
      </c>
      <c r="D9177" s="228">
        <v>10</v>
      </c>
      <c r="E9177" s="225" t="s">
        <v>9387</v>
      </c>
      <c r="F9177" s="225" t="s">
        <v>6946</v>
      </c>
    </row>
    <row r="9178" spans="2:6" ht="17.25" thickBot="1">
      <c r="B9178" s="226">
        <v>46206</v>
      </c>
      <c r="C9178" s="227">
        <v>0.59965277777777781</v>
      </c>
      <c r="D9178" s="228">
        <v>10</v>
      </c>
      <c r="E9178" s="225" t="s">
        <v>273</v>
      </c>
      <c r="F9178" s="225" t="s">
        <v>6946</v>
      </c>
    </row>
    <row r="9179" spans="2:6" ht="17.25" thickBot="1">
      <c r="B9179" s="226">
        <v>46206</v>
      </c>
      <c r="C9179" s="227">
        <v>0.59743055555555558</v>
      </c>
      <c r="D9179" s="228">
        <v>10</v>
      </c>
      <c r="E9179" s="225" t="s">
        <v>9392</v>
      </c>
      <c r="F9179" s="225" t="s">
        <v>6946</v>
      </c>
    </row>
    <row r="9180" spans="2:6" ht="17.25" thickBot="1">
      <c r="B9180" s="226">
        <v>46206</v>
      </c>
      <c r="C9180" s="227">
        <v>0.56660879629629635</v>
      </c>
      <c r="D9180" s="228">
        <v>10</v>
      </c>
      <c r="E9180" s="225" t="s">
        <v>9390</v>
      </c>
      <c r="F9180" s="225" t="s">
        <v>6946</v>
      </c>
    </row>
    <row r="9181" spans="2:6" ht="26.25" thickBot="1">
      <c r="B9181" s="226">
        <v>46206</v>
      </c>
      <c r="C9181" s="227">
        <v>0.48915509259259254</v>
      </c>
      <c r="D9181" s="228">
        <v>10</v>
      </c>
      <c r="E9181" s="225" t="s">
        <v>9384</v>
      </c>
      <c r="F9181" s="225" t="s">
        <v>6946</v>
      </c>
    </row>
    <row r="9182" spans="2:6" ht="17.25" thickBot="1">
      <c r="B9182" s="226">
        <v>46206</v>
      </c>
      <c r="C9182" s="227">
        <v>0.47778935185185184</v>
      </c>
      <c r="D9182" s="228">
        <v>10</v>
      </c>
      <c r="E9182" s="225" t="s">
        <v>9396</v>
      </c>
      <c r="F9182" s="225" t="s">
        <v>6946</v>
      </c>
    </row>
    <row r="9183" spans="2:6" ht="17.25" thickBot="1">
      <c r="B9183" s="226">
        <v>46206</v>
      </c>
      <c r="C9183" s="227">
        <v>0.44803240740740741</v>
      </c>
      <c r="D9183" s="228">
        <v>10</v>
      </c>
      <c r="E9183" s="225" t="s">
        <v>244</v>
      </c>
      <c r="F9183" s="225" t="s">
        <v>6946</v>
      </c>
    </row>
    <row r="9184" spans="2:6" ht="17.25" thickBot="1">
      <c r="B9184" s="226">
        <v>46206</v>
      </c>
      <c r="C9184" s="227">
        <v>0.4091319444444444</v>
      </c>
      <c r="D9184" s="228">
        <v>10</v>
      </c>
      <c r="E9184" s="225" t="s">
        <v>433</v>
      </c>
      <c r="F9184" s="225" t="s">
        <v>6946</v>
      </c>
    </row>
    <row r="9185" spans="2:6" ht="17.25" thickBot="1">
      <c r="B9185" s="226">
        <v>46206</v>
      </c>
      <c r="C9185" s="227">
        <v>0.39461805555555557</v>
      </c>
      <c r="D9185" s="228">
        <v>10</v>
      </c>
      <c r="E9185" s="225" t="s">
        <v>9400</v>
      </c>
      <c r="F9185" s="225" t="s">
        <v>6946</v>
      </c>
    </row>
    <row r="9186" spans="2:6" ht="17.25" thickBot="1">
      <c r="B9186" s="226">
        <v>46205</v>
      </c>
      <c r="C9186" s="227">
        <v>0.79219907407407408</v>
      </c>
      <c r="D9186" s="228">
        <v>10</v>
      </c>
      <c r="E9186" s="225" t="s">
        <v>9324</v>
      </c>
      <c r="F9186" s="225" t="s">
        <v>6946</v>
      </c>
    </row>
    <row r="9187" spans="2:6" ht="17.25" thickBot="1">
      <c r="B9187" s="226">
        <v>46205</v>
      </c>
      <c r="C9187" s="227">
        <v>0.75262731481481471</v>
      </c>
      <c r="D9187" s="228">
        <v>10</v>
      </c>
      <c r="E9187" s="225" t="s">
        <v>9327</v>
      </c>
      <c r="F9187" s="225" t="s">
        <v>6946</v>
      </c>
    </row>
    <row r="9188" spans="2:6" ht="26.25" thickBot="1">
      <c r="B9188" s="226">
        <v>46205</v>
      </c>
      <c r="C9188" s="227">
        <v>0.74913194444444453</v>
      </c>
      <c r="D9188" s="228">
        <v>10</v>
      </c>
      <c r="E9188" s="225" t="s">
        <v>9323</v>
      </c>
      <c r="F9188" s="225" t="s">
        <v>6946</v>
      </c>
    </row>
    <row r="9189" spans="2:6" ht="17.25" thickBot="1">
      <c r="B9189" s="226">
        <v>46205</v>
      </c>
      <c r="C9189" s="227">
        <v>0.74761574074074078</v>
      </c>
      <c r="D9189" s="228">
        <v>10</v>
      </c>
      <c r="E9189" s="225" t="s">
        <v>9325</v>
      </c>
      <c r="F9189" s="225" t="s">
        <v>6946</v>
      </c>
    </row>
    <row r="9190" spans="2:6" ht="17.25" thickBot="1">
      <c r="B9190" s="226">
        <v>46205</v>
      </c>
      <c r="C9190" s="227">
        <v>0.73155092592592597</v>
      </c>
      <c r="D9190" s="228">
        <v>10</v>
      </c>
      <c r="E9190" s="225" t="s">
        <v>9353</v>
      </c>
      <c r="F9190" s="225" t="s">
        <v>6946</v>
      </c>
    </row>
    <row r="9191" spans="2:6" ht="17.25" thickBot="1">
      <c r="B9191" s="226">
        <v>46205</v>
      </c>
      <c r="C9191" s="227">
        <v>0.73462962962962963</v>
      </c>
      <c r="D9191" s="228">
        <v>10</v>
      </c>
      <c r="E9191" s="225" t="s">
        <v>9322</v>
      </c>
      <c r="F9191" s="225" t="s">
        <v>6946</v>
      </c>
    </row>
    <row r="9192" spans="2:6" ht="17.25" thickBot="1">
      <c r="B9192" s="226">
        <v>46205</v>
      </c>
      <c r="C9192" s="227">
        <v>0.68906250000000002</v>
      </c>
      <c r="D9192" s="228">
        <v>10</v>
      </c>
      <c r="E9192" s="225" t="s">
        <v>9334</v>
      </c>
      <c r="F9192" s="225" t="s">
        <v>6946</v>
      </c>
    </row>
    <row r="9193" spans="2:6" ht="17.25" thickBot="1">
      <c r="B9193" s="226">
        <v>46205</v>
      </c>
      <c r="C9193" s="227">
        <v>0.67339120370370376</v>
      </c>
      <c r="D9193" s="228">
        <v>10</v>
      </c>
      <c r="E9193" s="225" t="s">
        <v>9332</v>
      </c>
      <c r="F9193" s="225" t="s">
        <v>6946</v>
      </c>
    </row>
    <row r="9194" spans="2:6" ht="17.25" thickBot="1">
      <c r="B9194" s="226">
        <v>46205</v>
      </c>
      <c r="C9194" s="227">
        <v>0.64065972222222223</v>
      </c>
      <c r="D9194" s="228">
        <v>10</v>
      </c>
      <c r="E9194" s="225" t="s">
        <v>9336</v>
      </c>
      <c r="F9194" s="225" t="s">
        <v>6946</v>
      </c>
    </row>
    <row r="9195" spans="2:6" ht="17.25" thickBot="1">
      <c r="B9195" s="226">
        <v>46205</v>
      </c>
      <c r="C9195" s="227">
        <v>0.40480324074074076</v>
      </c>
      <c r="D9195" s="228">
        <v>10</v>
      </c>
      <c r="E9195" s="225" t="s">
        <v>9352</v>
      </c>
      <c r="F9195" s="225" t="s">
        <v>6946</v>
      </c>
    </row>
    <row r="9196" spans="2:6" ht="17.25" thickBot="1">
      <c r="B9196" s="226">
        <v>46205</v>
      </c>
      <c r="C9196" s="227">
        <v>0.75763888888888886</v>
      </c>
      <c r="D9196" s="228">
        <v>7</v>
      </c>
      <c r="E9196" s="225" t="s">
        <v>9342</v>
      </c>
      <c r="F9196" s="225" t="s">
        <v>6946</v>
      </c>
    </row>
    <row r="9197" spans="2:6" ht="17.25" thickBot="1">
      <c r="B9197" s="226">
        <v>46205</v>
      </c>
      <c r="C9197" s="227">
        <v>0.69846064814814823</v>
      </c>
      <c r="D9197" s="228">
        <v>10</v>
      </c>
      <c r="E9197" s="225" t="s">
        <v>1678</v>
      </c>
      <c r="F9197" s="225" t="s">
        <v>6946</v>
      </c>
    </row>
    <row r="9198" spans="2:6" ht="17.25" thickBot="1">
      <c r="B9198" s="226">
        <v>46205</v>
      </c>
      <c r="C9198" s="227">
        <v>0.57866898148148149</v>
      </c>
      <c r="D9198" s="228">
        <v>10</v>
      </c>
      <c r="E9198" s="225" t="s">
        <v>9351</v>
      </c>
      <c r="F9198" s="225" t="s">
        <v>6946</v>
      </c>
    </row>
    <row r="9199" spans="2:6" ht="17.25" thickBot="1">
      <c r="B9199" s="226">
        <v>46205</v>
      </c>
      <c r="C9199" s="227">
        <v>0.83951388888888889</v>
      </c>
      <c r="D9199" s="228">
        <v>10</v>
      </c>
      <c r="E9199" s="225" t="s">
        <v>3543</v>
      </c>
      <c r="F9199" s="225" t="s">
        <v>6946</v>
      </c>
    </row>
    <row r="9200" spans="2:6" ht="17.25" thickBot="1">
      <c r="B9200" s="226">
        <v>46205</v>
      </c>
      <c r="C9200" s="227">
        <v>0.78631944444444446</v>
      </c>
      <c r="D9200" s="228">
        <v>10</v>
      </c>
      <c r="E9200" s="225" t="s">
        <v>5217</v>
      </c>
      <c r="F9200" s="225" t="s">
        <v>6946</v>
      </c>
    </row>
    <row r="9201" spans="2:6" ht="17.25" thickBot="1">
      <c r="B9201" s="226">
        <v>46205</v>
      </c>
      <c r="C9201" s="227">
        <v>0.76208333333333333</v>
      </c>
      <c r="D9201" s="228">
        <v>10</v>
      </c>
      <c r="E9201" s="225" t="s">
        <v>9320</v>
      </c>
      <c r="F9201" s="225" t="s">
        <v>6946</v>
      </c>
    </row>
    <row r="9202" spans="2:6" ht="17.25" thickBot="1">
      <c r="B9202" s="226">
        <v>46205</v>
      </c>
      <c r="C9202" s="227">
        <v>0.73420138888888886</v>
      </c>
      <c r="D9202" s="228">
        <v>10</v>
      </c>
      <c r="E9202" s="228">
        <v>345345</v>
      </c>
      <c r="F9202" s="225" t="s">
        <v>6946</v>
      </c>
    </row>
    <row r="9203" spans="2:6" ht="17.25" thickBot="1">
      <c r="B9203" s="226">
        <v>46205</v>
      </c>
      <c r="C9203" s="227">
        <v>0.73252314814814812</v>
      </c>
      <c r="D9203" s="228">
        <v>10</v>
      </c>
      <c r="E9203" s="225" t="s">
        <v>9339</v>
      </c>
      <c r="F9203" s="225" t="s">
        <v>6946</v>
      </c>
    </row>
    <row r="9204" spans="2:6" ht="17.25" thickBot="1">
      <c r="B9204" s="226">
        <v>46205</v>
      </c>
      <c r="C9204" s="227">
        <v>0.72326388888888893</v>
      </c>
      <c r="D9204" s="228">
        <v>10</v>
      </c>
      <c r="E9204" s="225" t="s">
        <v>448</v>
      </c>
      <c r="F9204" s="225" t="s">
        <v>6946</v>
      </c>
    </row>
    <row r="9205" spans="2:6" ht="17.25" thickBot="1">
      <c r="B9205" s="226">
        <v>46205</v>
      </c>
      <c r="C9205" s="227">
        <v>0.72483796296296299</v>
      </c>
      <c r="D9205" s="228">
        <v>10</v>
      </c>
      <c r="E9205" s="225" t="s">
        <v>9326</v>
      </c>
      <c r="F9205" s="225" t="s">
        <v>6946</v>
      </c>
    </row>
    <row r="9206" spans="2:6" ht="17.25" thickBot="1">
      <c r="B9206" s="226">
        <v>46205</v>
      </c>
      <c r="C9206" s="227">
        <v>0.68642361111111105</v>
      </c>
      <c r="D9206" s="228">
        <v>10</v>
      </c>
      <c r="E9206" s="225" t="s">
        <v>9321</v>
      </c>
      <c r="F9206" s="225" t="s">
        <v>6946</v>
      </c>
    </row>
    <row r="9207" spans="2:6" ht="17.25" thickBot="1">
      <c r="B9207" s="226">
        <v>46205</v>
      </c>
      <c r="C9207" s="227">
        <v>0.68171296296296291</v>
      </c>
      <c r="D9207" s="228">
        <v>10</v>
      </c>
      <c r="E9207" s="225" t="s">
        <v>9346</v>
      </c>
      <c r="F9207" s="225" t="s">
        <v>6946</v>
      </c>
    </row>
    <row r="9208" spans="2:6" ht="17.25" thickBot="1">
      <c r="B9208" s="226">
        <v>46205</v>
      </c>
      <c r="C9208" s="227">
        <v>0.67736111111111119</v>
      </c>
      <c r="D9208" s="228">
        <v>10</v>
      </c>
      <c r="E9208" s="225" t="s">
        <v>9349</v>
      </c>
      <c r="F9208" s="225" t="s">
        <v>6946</v>
      </c>
    </row>
    <row r="9209" spans="2:6" ht="17.25" thickBot="1">
      <c r="B9209" s="226">
        <v>46205</v>
      </c>
      <c r="C9209" s="227">
        <v>0.6753703703703704</v>
      </c>
      <c r="D9209" s="228">
        <v>10</v>
      </c>
      <c r="E9209" s="225" t="s">
        <v>9344</v>
      </c>
      <c r="F9209" s="225" t="s">
        <v>6946</v>
      </c>
    </row>
    <row r="9210" spans="2:6" ht="17.25" thickBot="1">
      <c r="B9210" s="226">
        <v>46205</v>
      </c>
      <c r="C9210" s="227">
        <v>0.67078703703703713</v>
      </c>
      <c r="D9210" s="228">
        <v>10</v>
      </c>
      <c r="E9210" s="225" t="s">
        <v>8586</v>
      </c>
      <c r="F9210" s="225" t="s">
        <v>6946</v>
      </c>
    </row>
    <row r="9211" spans="2:6" ht="17.25" thickBot="1">
      <c r="B9211" s="226">
        <v>46205</v>
      </c>
      <c r="C9211" s="227">
        <v>0.66712962962962974</v>
      </c>
      <c r="D9211" s="228">
        <v>10</v>
      </c>
      <c r="E9211" s="225" t="s">
        <v>9330</v>
      </c>
      <c r="F9211" s="225" t="s">
        <v>6946</v>
      </c>
    </row>
    <row r="9212" spans="2:6" ht="17.25" thickBot="1">
      <c r="B9212" s="226">
        <v>46205</v>
      </c>
      <c r="C9212" s="227">
        <v>0.59923611111111108</v>
      </c>
      <c r="D9212" s="228">
        <v>10</v>
      </c>
      <c r="E9212" s="225" t="s">
        <v>9331</v>
      </c>
      <c r="F9212" s="225" t="s">
        <v>6946</v>
      </c>
    </row>
    <row r="9213" spans="2:6" ht="17.25" thickBot="1">
      <c r="B9213" s="226">
        <v>46205</v>
      </c>
      <c r="C9213" s="227">
        <v>0.59065972222222218</v>
      </c>
      <c r="D9213" s="228">
        <v>10</v>
      </c>
      <c r="E9213" s="225" t="s">
        <v>9328</v>
      </c>
      <c r="F9213" s="225" t="s">
        <v>6946</v>
      </c>
    </row>
    <row r="9214" spans="2:6" ht="17.25" thickBot="1">
      <c r="B9214" s="226">
        <v>46205</v>
      </c>
      <c r="C9214" s="227">
        <v>0.59190972222222216</v>
      </c>
      <c r="D9214" s="228">
        <v>10</v>
      </c>
      <c r="E9214" s="225" t="s">
        <v>9338</v>
      </c>
      <c r="F9214" s="225" t="s">
        <v>6946</v>
      </c>
    </row>
    <row r="9215" spans="2:6" ht="17.25" thickBot="1">
      <c r="B9215" s="226">
        <v>46205</v>
      </c>
      <c r="C9215" s="227">
        <v>0.57180555555555557</v>
      </c>
      <c r="D9215" s="228">
        <v>10</v>
      </c>
      <c r="E9215" s="225" t="s">
        <v>9341</v>
      </c>
      <c r="F9215" s="225" t="s">
        <v>6946</v>
      </c>
    </row>
    <row r="9216" spans="2:6" ht="17.25" thickBot="1">
      <c r="B9216" s="226">
        <v>46205</v>
      </c>
      <c r="C9216" s="227">
        <v>0.51862268518518517</v>
      </c>
      <c r="D9216" s="228">
        <v>10</v>
      </c>
      <c r="E9216" s="225" t="s">
        <v>3624</v>
      </c>
      <c r="F9216" s="225" t="s">
        <v>6946</v>
      </c>
    </row>
    <row r="9217" spans="2:6" ht="17.25" thickBot="1">
      <c r="B9217" s="226">
        <v>46205</v>
      </c>
      <c r="C9217" s="227">
        <v>0.50378472222222226</v>
      </c>
      <c r="D9217" s="228">
        <v>10</v>
      </c>
      <c r="E9217" s="225" t="s">
        <v>9340</v>
      </c>
      <c r="F9217" s="225" t="s">
        <v>6946</v>
      </c>
    </row>
    <row r="9218" spans="2:6" ht="17.25" thickBot="1">
      <c r="B9218" s="226">
        <v>46205</v>
      </c>
      <c r="C9218" s="227">
        <v>0.47839120370370369</v>
      </c>
      <c r="D9218" s="228">
        <v>10</v>
      </c>
      <c r="E9218" s="225" t="s">
        <v>1436</v>
      </c>
      <c r="F9218" s="225" t="s">
        <v>6946</v>
      </c>
    </row>
    <row r="9219" spans="2:6" ht="17.25" thickBot="1">
      <c r="B9219" s="226">
        <v>46205</v>
      </c>
      <c r="C9219" s="227">
        <v>0.47502314814814817</v>
      </c>
      <c r="D9219" s="228">
        <v>10</v>
      </c>
      <c r="E9219" s="225" t="s">
        <v>9335</v>
      </c>
      <c r="F9219" s="225" t="s">
        <v>6946</v>
      </c>
    </row>
    <row r="9220" spans="2:6" ht="17.25" thickBot="1">
      <c r="B9220" s="226">
        <v>46205</v>
      </c>
      <c r="C9220" s="227">
        <v>0.46562500000000001</v>
      </c>
      <c r="D9220" s="228">
        <v>10</v>
      </c>
      <c r="E9220" s="225" t="s">
        <v>9345</v>
      </c>
      <c r="F9220" s="225" t="s">
        <v>6946</v>
      </c>
    </row>
    <row r="9221" spans="2:6" ht="26.25" thickBot="1">
      <c r="B9221" s="226">
        <v>46205</v>
      </c>
      <c r="C9221" s="227">
        <v>0.45385416666666667</v>
      </c>
      <c r="D9221" s="228">
        <v>10</v>
      </c>
      <c r="E9221" s="225" t="s">
        <v>9337</v>
      </c>
      <c r="F9221" s="225" t="s">
        <v>6946</v>
      </c>
    </row>
    <row r="9222" spans="2:6" ht="17.25" thickBot="1">
      <c r="B9222" s="226">
        <v>46205</v>
      </c>
      <c r="C9222" s="227">
        <v>0.43408564814814815</v>
      </c>
      <c r="D9222" s="228">
        <v>10</v>
      </c>
      <c r="E9222" s="225" t="s">
        <v>9343</v>
      </c>
      <c r="F9222" s="225" t="s">
        <v>6946</v>
      </c>
    </row>
    <row r="9223" spans="2:6" ht="17.25" thickBot="1">
      <c r="B9223" s="226">
        <v>46205</v>
      </c>
      <c r="C9223" s="227">
        <v>0.43792824074074077</v>
      </c>
      <c r="D9223" s="228">
        <v>10</v>
      </c>
      <c r="E9223" s="225" t="s">
        <v>9333</v>
      </c>
      <c r="F9223" s="225" t="s">
        <v>6946</v>
      </c>
    </row>
    <row r="9224" spans="2:6" ht="17.25" thickBot="1">
      <c r="B9224" s="226">
        <v>46205</v>
      </c>
      <c r="C9224" s="227">
        <v>0.43531249999999999</v>
      </c>
      <c r="D9224" s="228">
        <v>10</v>
      </c>
      <c r="E9224" s="225" t="s">
        <v>9350</v>
      </c>
      <c r="F9224" s="225" t="s">
        <v>6946</v>
      </c>
    </row>
    <row r="9225" spans="2:6" ht="17.25" thickBot="1">
      <c r="B9225" s="226">
        <v>46205</v>
      </c>
      <c r="C9225" s="227">
        <v>0.42457175925925927</v>
      </c>
      <c r="D9225" s="228">
        <v>10</v>
      </c>
      <c r="E9225" s="225" t="s">
        <v>9348</v>
      </c>
      <c r="F9225" s="225" t="s">
        <v>6946</v>
      </c>
    </row>
    <row r="9226" spans="2:6" ht="17.25" thickBot="1">
      <c r="B9226" s="226">
        <v>46205</v>
      </c>
      <c r="C9226" s="227">
        <v>0.41681712962962963</v>
      </c>
      <c r="D9226" s="228">
        <v>10</v>
      </c>
      <c r="E9226" s="225" t="s">
        <v>9347</v>
      </c>
      <c r="F9226" s="225" t="s">
        <v>6946</v>
      </c>
    </row>
    <row r="9227" spans="2:6" ht="17.25" thickBot="1">
      <c r="B9227" s="226">
        <v>46205</v>
      </c>
      <c r="C9227" s="227">
        <v>0.42061342592592593</v>
      </c>
      <c r="D9227" s="228">
        <v>10</v>
      </c>
      <c r="E9227" s="225" t="s">
        <v>9329</v>
      </c>
      <c r="F9227" s="225" t="s">
        <v>6946</v>
      </c>
    </row>
    <row r="9228" spans="2:6" ht="17.25" thickBot="1">
      <c r="B9228" s="226">
        <v>46204</v>
      </c>
      <c r="C9228" s="227">
        <v>0.91525462962962967</v>
      </c>
      <c r="D9228" s="228">
        <v>10</v>
      </c>
      <c r="E9228" s="225" t="s">
        <v>9302</v>
      </c>
      <c r="F9228" s="225" t="s">
        <v>6946</v>
      </c>
    </row>
    <row r="9229" spans="2:6" ht="17.25" thickBot="1">
      <c r="B9229" s="226">
        <v>46204</v>
      </c>
      <c r="C9229" s="227">
        <v>0.88412037037037028</v>
      </c>
      <c r="D9229" s="228">
        <v>10</v>
      </c>
      <c r="E9229" s="225" t="s">
        <v>9278</v>
      </c>
      <c r="F9229" s="225" t="s">
        <v>6946</v>
      </c>
    </row>
    <row r="9230" spans="2:6" ht="17.25" thickBot="1">
      <c r="B9230" s="226">
        <v>46204</v>
      </c>
      <c r="C9230" s="227">
        <v>0.84773148148148147</v>
      </c>
      <c r="D9230" s="228">
        <v>10</v>
      </c>
      <c r="E9230" s="225" t="s">
        <v>284</v>
      </c>
      <c r="F9230" s="225" t="s">
        <v>6946</v>
      </c>
    </row>
    <row r="9231" spans="2:6" ht="17.25" thickBot="1">
      <c r="B9231" s="226">
        <v>46204</v>
      </c>
      <c r="C9231" s="227">
        <v>0.82145833333333329</v>
      </c>
      <c r="D9231" s="228">
        <v>10</v>
      </c>
      <c r="E9231" s="225" t="s">
        <v>9277</v>
      </c>
      <c r="F9231" s="225" t="s">
        <v>6946</v>
      </c>
    </row>
    <row r="9232" spans="2:6" ht="17.25" thickBot="1">
      <c r="B9232" s="226">
        <v>46204</v>
      </c>
      <c r="C9232" s="227">
        <v>0.79910879629629628</v>
      </c>
      <c r="D9232" s="228">
        <v>10</v>
      </c>
      <c r="E9232" s="225" t="s">
        <v>1668</v>
      </c>
      <c r="F9232" s="225" t="s">
        <v>6946</v>
      </c>
    </row>
    <row r="9233" spans="2:6" ht="17.25" thickBot="1">
      <c r="B9233" s="226">
        <v>46204</v>
      </c>
      <c r="C9233" s="227">
        <v>0.78540509259259261</v>
      </c>
      <c r="D9233" s="228">
        <v>10</v>
      </c>
      <c r="E9233" s="225" t="s">
        <v>9279</v>
      </c>
      <c r="F9233" s="225" t="s">
        <v>6946</v>
      </c>
    </row>
    <row r="9234" spans="2:6" ht="17.25" thickBot="1">
      <c r="B9234" s="226">
        <v>46204</v>
      </c>
      <c r="C9234" s="227">
        <v>0.77509259259259267</v>
      </c>
      <c r="D9234" s="228">
        <v>10</v>
      </c>
      <c r="E9234" s="225" t="s">
        <v>6189</v>
      </c>
      <c r="F9234" s="225" t="s">
        <v>6946</v>
      </c>
    </row>
    <row r="9235" spans="2:6" ht="17.25" thickBot="1">
      <c r="B9235" s="226">
        <v>46204</v>
      </c>
      <c r="C9235" s="227">
        <v>0.78516203703703702</v>
      </c>
      <c r="D9235" s="228">
        <v>10</v>
      </c>
      <c r="E9235" s="225" t="s">
        <v>9275</v>
      </c>
      <c r="F9235" s="225" t="s">
        <v>6946</v>
      </c>
    </row>
    <row r="9236" spans="2:6" ht="17.25" thickBot="1">
      <c r="B9236" s="226">
        <v>46204</v>
      </c>
      <c r="C9236" s="227">
        <v>0.77307870370370368</v>
      </c>
      <c r="D9236" s="228">
        <v>10</v>
      </c>
      <c r="E9236" s="225" t="s">
        <v>9282</v>
      </c>
      <c r="F9236" s="225" t="s">
        <v>6946</v>
      </c>
    </row>
    <row r="9237" spans="2:6" ht="26.25" thickBot="1">
      <c r="B9237" s="226">
        <v>46204</v>
      </c>
      <c r="C9237" s="227">
        <v>0.74181712962962953</v>
      </c>
      <c r="D9237" s="228">
        <v>10</v>
      </c>
      <c r="E9237" s="225" t="s">
        <v>9285</v>
      </c>
      <c r="F9237" s="225" t="s">
        <v>6946</v>
      </c>
    </row>
    <row r="9238" spans="2:6" ht="17.25" thickBot="1">
      <c r="B9238" s="226">
        <v>46204</v>
      </c>
      <c r="C9238" s="227">
        <v>0.73725694444444445</v>
      </c>
      <c r="D9238" s="228">
        <v>10</v>
      </c>
      <c r="E9238" s="225" t="s">
        <v>9276</v>
      </c>
      <c r="F9238" s="225" t="s">
        <v>6946</v>
      </c>
    </row>
    <row r="9239" spans="2:6" ht="26.25" thickBot="1">
      <c r="B9239" s="226">
        <v>46204</v>
      </c>
      <c r="C9239" s="227">
        <v>0.73665509259259254</v>
      </c>
      <c r="D9239" s="228">
        <v>10</v>
      </c>
      <c r="E9239" s="225" t="s">
        <v>9281</v>
      </c>
      <c r="F9239" s="225" t="s">
        <v>6946</v>
      </c>
    </row>
    <row r="9240" spans="2:6" ht="17.25" thickBot="1">
      <c r="B9240" s="226">
        <v>46204</v>
      </c>
      <c r="C9240" s="227">
        <v>0.73662037037037031</v>
      </c>
      <c r="D9240" s="228">
        <v>10</v>
      </c>
      <c r="E9240" s="225" t="s">
        <v>9274</v>
      </c>
      <c r="F9240" s="225" t="s">
        <v>6946</v>
      </c>
    </row>
    <row r="9241" spans="2:6" ht="17.25" thickBot="1">
      <c r="B9241" s="226">
        <v>46204</v>
      </c>
      <c r="C9241" s="227">
        <v>0.72744212962962962</v>
      </c>
      <c r="D9241" s="228">
        <v>10</v>
      </c>
      <c r="E9241" s="225" t="s">
        <v>9284</v>
      </c>
      <c r="F9241" s="225" t="s">
        <v>6946</v>
      </c>
    </row>
    <row r="9242" spans="2:6" ht="17.25" thickBot="1">
      <c r="B9242" s="226">
        <v>46204</v>
      </c>
      <c r="C9242" s="227">
        <v>0.71223379629629635</v>
      </c>
      <c r="D9242" s="228">
        <v>10</v>
      </c>
      <c r="E9242" s="225" t="s">
        <v>9308</v>
      </c>
      <c r="F9242" s="225" t="s">
        <v>6946</v>
      </c>
    </row>
    <row r="9243" spans="2:6" ht="17.25" thickBot="1">
      <c r="B9243" s="226">
        <v>46204</v>
      </c>
      <c r="C9243" s="227">
        <v>0.69853009259259258</v>
      </c>
      <c r="D9243" s="228">
        <v>10</v>
      </c>
      <c r="E9243" s="225" t="s">
        <v>9299</v>
      </c>
      <c r="F9243" s="225" t="s">
        <v>6946</v>
      </c>
    </row>
    <row r="9244" spans="2:6" ht="17.25" thickBot="1">
      <c r="B9244" s="226">
        <v>46204</v>
      </c>
      <c r="C9244" s="227">
        <v>0.69240740740740747</v>
      </c>
      <c r="D9244" s="228">
        <v>10</v>
      </c>
      <c r="E9244" s="225" t="s">
        <v>9309</v>
      </c>
      <c r="F9244" s="225" t="s">
        <v>6946</v>
      </c>
    </row>
    <row r="9245" spans="2:6" ht="17.25" thickBot="1">
      <c r="B9245" s="226">
        <v>46204</v>
      </c>
      <c r="C9245" s="227">
        <v>0.69422453703703713</v>
      </c>
      <c r="D9245" s="228">
        <v>10</v>
      </c>
      <c r="E9245" s="225" t="s">
        <v>9303</v>
      </c>
      <c r="F9245" s="225" t="s">
        <v>6946</v>
      </c>
    </row>
    <row r="9246" spans="2:6" ht="17.25" thickBot="1">
      <c r="B9246" s="226">
        <v>46204</v>
      </c>
      <c r="C9246" s="227">
        <v>0.67576388888888894</v>
      </c>
      <c r="D9246" s="228">
        <v>10</v>
      </c>
      <c r="E9246" s="225" t="s">
        <v>9300</v>
      </c>
      <c r="F9246" s="225" t="s">
        <v>6946</v>
      </c>
    </row>
    <row r="9247" spans="2:6" ht="17.25" thickBot="1">
      <c r="B9247" s="226">
        <v>46204</v>
      </c>
      <c r="C9247" s="227">
        <v>0.6806712962962963</v>
      </c>
      <c r="D9247" s="228">
        <v>10</v>
      </c>
      <c r="E9247" s="225" t="s">
        <v>9292</v>
      </c>
      <c r="F9247" s="225" t="s">
        <v>6946</v>
      </c>
    </row>
    <row r="9248" spans="2:6" ht="17.25" thickBot="1">
      <c r="B9248" s="226">
        <v>46204</v>
      </c>
      <c r="C9248" s="227">
        <v>0.66752314814814817</v>
      </c>
      <c r="D9248" s="228">
        <v>10</v>
      </c>
      <c r="E9248" s="225" t="s">
        <v>1488</v>
      </c>
      <c r="F9248" s="225" t="s">
        <v>6946</v>
      </c>
    </row>
    <row r="9249" spans="2:6" ht="17.25" thickBot="1">
      <c r="B9249" s="226">
        <v>46204</v>
      </c>
      <c r="C9249" s="227">
        <v>0.66126157407407404</v>
      </c>
      <c r="D9249" s="228">
        <v>10</v>
      </c>
      <c r="E9249" s="225" t="s">
        <v>9283</v>
      </c>
      <c r="F9249" s="225" t="s">
        <v>6946</v>
      </c>
    </row>
    <row r="9250" spans="2:6" ht="17.25" thickBot="1">
      <c r="B9250" s="226">
        <v>46204</v>
      </c>
      <c r="C9250" s="227">
        <v>0.65482638888888889</v>
      </c>
      <c r="D9250" s="228">
        <v>10</v>
      </c>
      <c r="E9250" s="225" t="s">
        <v>9296</v>
      </c>
      <c r="F9250" s="225" t="s">
        <v>6946</v>
      </c>
    </row>
    <row r="9251" spans="2:6" ht="17.25" thickBot="1">
      <c r="B9251" s="226">
        <v>46204</v>
      </c>
      <c r="C9251" s="227">
        <v>0.64612268518518523</v>
      </c>
      <c r="D9251" s="228">
        <v>10</v>
      </c>
      <c r="E9251" s="225" t="s">
        <v>9290</v>
      </c>
      <c r="F9251" s="225" t="s">
        <v>6946</v>
      </c>
    </row>
    <row r="9252" spans="2:6" ht="17.25" thickBot="1">
      <c r="B9252" s="226">
        <v>46204</v>
      </c>
      <c r="C9252" s="227">
        <v>0.63807870370370368</v>
      </c>
      <c r="D9252" s="228">
        <v>10</v>
      </c>
      <c r="E9252" s="225" t="s">
        <v>9306</v>
      </c>
      <c r="F9252" s="225" t="s">
        <v>6946</v>
      </c>
    </row>
    <row r="9253" spans="2:6" ht="17.25" thickBot="1">
      <c r="B9253" s="226">
        <v>46204</v>
      </c>
      <c r="C9253" s="227">
        <v>0.64189814814814816</v>
      </c>
      <c r="D9253" s="228">
        <v>9</v>
      </c>
      <c r="E9253" s="225" t="s">
        <v>9297</v>
      </c>
      <c r="F9253" s="225" t="s">
        <v>6946</v>
      </c>
    </row>
    <row r="9254" spans="2:6" ht="17.25" thickBot="1">
      <c r="B9254" s="226">
        <v>46204</v>
      </c>
      <c r="C9254" s="227">
        <v>0.63142361111111112</v>
      </c>
      <c r="D9254" s="228">
        <v>10</v>
      </c>
      <c r="E9254" s="225" t="s">
        <v>9291</v>
      </c>
      <c r="F9254" s="225" t="s">
        <v>6946</v>
      </c>
    </row>
    <row r="9255" spans="2:6" ht="17.25" thickBot="1">
      <c r="B9255" s="226">
        <v>46204</v>
      </c>
      <c r="C9255" s="227">
        <v>0.63223379629629628</v>
      </c>
      <c r="D9255" s="228">
        <v>10</v>
      </c>
      <c r="E9255" s="225" t="s">
        <v>9307</v>
      </c>
      <c r="F9255" s="225" t="s">
        <v>6946</v>
      </c>
    </row>
    <row r="9256" spans="2:6" ht="17.25" thickBot="1">
      <c r="B9256" s="226">
        <v>46204</v>
      </c>
      <c r="C9256" s="227">
        <v>0.62513888888888891</v>
      </c>
      <c r="D9256" s="228">
        <v>10</v>
      </c>
      <c r="E9256" s="225" t="s">
        <v>9293</v>
      </c>
      <c r="F9256" s="225" t="s">
        <v>6946</v>
      </c>
    </row>
    <row r="9257" spans="2:6" ht="17.25" thickBot="1">
      <c r="B9257" s="226">
        <v>46204</v>
      </c>
      <c r="C9257" s="227">
        <v>0.63078703703703709</v>
      </c>
      <c r="D9257" s="228">
        <v>10</v>
      </c>
      <c r="E9257" s="225" t="s">
        <v>9289</v>
      </c>
      <c r="F9257" s="225" t="s">
        <v>6946</v>
      </c>
    </row>
    <row r="9258" spans="2:6" ht="17.25" thickBot="1">
      <c r="B9258" s="226">
        <v>46204</v>
      </c>
      <c r="C9258" s="227">
        <v>0.61039351851851853</v>
      </c>
      <c r="D9258" s="228">
        <v>10</v>
      </c>
      <c r="E9258" s="225" t="s">
        <v>9311</v>
      </c>
      <c r="F9258" s="225" t="s">
        <v>6946</v>
      </c>
    </row>
    <row r="9259" spans="2:6" ht="17.25" thickBot="1">
      <c r="B9259" s="226">
        <v>46204</v>
      </c>
      <c r="C9259" s="227">
        <v>0.59121527777777783</v>
      </c>
      <c r="D9259" s="228">
        <v>10</v>
      </c>
      <c r="E9259" s="225" t="s">
        <v>9288</v>
      </c>
      <c r="F9259" s="225" t="s">
        <v>6946</v>
      </c>
    </row>
    <row r="9260" spans="2:6" ht="17.25" thickBot="1">
      <c r="B9260" s="226">
        <v>46204</v>
      </c>
      <c r="C9260" s="227">
        <v>0.58724537037037039</v>
      </c>
      <c r="D9260" s="228">
        <v>10</v>
      </c>
      <c r="E9260" s="225" t="s">
        <v>9312</v>
      </c>
      <c r="F9260" s="225" t="s">
        <v>6946</v>
      </c>
    </row>
    <row r="9261" spans="2:6" ht="17.25" thickBot="1">
      <c r="B9261" s="226">
        <v>46204</v>
      </c>
      <c r="C9261" s="227">
        <v>0.5838888888888889</v>
      </c>
      <c r="D9261" s="228">
        <v>10</v>
      </c>
      <c r="E9261" s="225" t="s">
        <v>9287</v>
      </c>
      <c r="F9261" s="225" t="s">
        <v>6946</v>
      </c>
    </row>
    <row r="9262" spans="2:6" ht="17.25" thickBot="1">
      <c r="B9262" s="226">
        <v>46204</v>
      </c>
      <c r="C9262" s="227">
        <v>0.58651620370370372</v>
      </c>
      <c r="D9262" s="228">
        <v>10</v>
      </c>
      <c r="E9262" s="225" t="s">
        <v>313</v>
      </c>
      <c r="F9262" s="225" t="s">
        <v>6946</v>
      </c>
    </row>
    <row r="9263" spans="2:6" ht="17.25" thickBot="1">
      <c r="B9263" s="226">
        <v>46204</v>
      </c>
      <c r="C9263" s="227">
        <v>0.57841435185185186</v>
      </c>
      <c r="D9263" s="228">
        <v>10</v>
      </c>
      <c r="E9263" s="225" t="s">
        <v>9304</v>
      </c>
      <c r="F9263" s="225" t="s">
        <v>6946</v>
      </c>
    </row>
    <row r="9264" spans="2:6" ht="17.25" thickBot="1">
      <c r="B9264" s="226">
        <v>46204</v>
      </c>
      <c r="C9264" s="227">
        <v>0.57657407407407402</v>
      </c>
      <c r="D9264" s="228">
        <v>10</v>
      </c>
      <c r="E9264" s="225" t="s">
        <v>9286</v>
      </c>
      <c r="F9264" s="225" t="s">
        <v>6946</v>
      </c>
    </row>
    <row r="9265" spans="2:6" ht="17.25" thickBot="1">
      <c r="B9265" s="226">
        <v>46204</v>
      </c>
      <c r="C9265" s="227">
        <v>0.5271527777777778</v>
      </c>
      <c r="D9265" s="228">
        <v>10</v>
      </c>
      <c r="E9265" s="225" t="s">
        <v>9280</v>
      </c>
      <c r="F9265" s="225" t="s">
        <v>6946</v>
      </c>
    </row>
    <row r="9266" spans="2:6" ht="17.25" thickBot="1">
      <c r="B9266" s="226">
        <v>46204</v>
      </c>
      <c r="C9266" s="227">
        <v>0.5028125</v>
      </c>
      <c r="D9266" s="228">
        <v>10</v>
      </c>
      <c r="E9266" s="225" t="s">
        <v>9294</v>
      </c>
      <c r="F9266" s="225" t="s">
        <v>6946</v>
      </c>
    </row>
    <row r="9267" spans="2:6" ht="17.25" thickBot="1">
      <c r="B9267" s="226">
        <v>46204</v>
      </c>
      <c r="C9267" s="227">
        <v>0.48865740740740743</v>
      </c>
      <c r="D9267" s="228">
        <v>10</v>
      </c>
      <c r="E9267" s="225" t="s">
        <v>9298</v>
      </c>
      <c r="F9267" s="225" t="s">
        <v>6946</v>
      </c>
    </row>
    <row r="9268" spans="2:6" ht="17.25" thickBot="1">
      <c r="B9268" s="226">
        <v>46204</v>
      </c>
      <c r="C9268" s="227">
        <v>0.49152777777777779</v>
      </c>
      <c r="D9268" s="228">
        <v>10</v>
      </c>
      <c r="E9268" s="225" t="s">
        <v>6820</v>
      </c>
      <c r="F9268" s="225" t="s">
        <v>6946</v>
      </c>
    </row>
    <row r="9269" spans="2:6" ht="17.25" thickBot="1">
      <c r="B9269" s="226">
        <v>46204</v>
      </c>
      <c r="C9269" s="227">
        <v>0.47024305555555551</v>
      </c>
      <c r="D9269" s="228">
        <v>10</v>
      </c>
      <c r="E9269" s="225" t="s">
        <v>9295</v>
      </c>
      <c r="F9269" s="225" t="s">
        <v>6946</v>
      </c>
    </row>
    <row r="9270" spans="2:6" ht="17.25" thickBot="1">
      <c r="B9270" s="226">
        <v>46204</v>
      </c>
      <c r="C9270" s="227">
        <v>0.45709490740740738</v>
      </c>
      <c r="D9270" s="228">
        <v>10</v>
      </c>
      <c r="E9270" s="225" t="s">
        <v>9319</v>
      </c>
      <c r="F9270" s="225" t="s">
        <v>6946</v>
      </c>
    </row>
    <row r="9271" spans="2:6" ht="26.25" thickBot="1">
      <c r="B9271" s="226">
        <v>46204</v>
      </c>
      <c r="C9271" s="227">
        <v>0.46203703703703702</v>
      </c>
      <c r="D9271" s="228">
        <v>10</v>
      </c>
      <c r="E9271" s="225" t="s">
        <v>9305</v>
      </c>
      <c r="F9271" s="225" t="s">
        <v>6946</v>
      </c>
    </row>
    <row r="9272" spans="2:6" ht="17.25" thickBot="1">
      <c r="B9272" s="226">
        <v>46204</v>
      </c>
      <c r="C9272" s="227">
        <v>0.45413194444444444</v>
      </c>
      <c r="D9272" s="228">
        <v>10</v>
      </c>
      <c r="E9272" s="225" t="s">
        <v>9316</v>
      </c>
      <c r="F9272" s="225" t="s">
        <v>6946</v>
      </c>
    </row>
    <row r="9273" spans="2:6" ht="26.25" thickBot="1">
      <c r="B9273" s="226">
        <v>46204</v>
      </c>
      <c r="C9273" s="227">
        <v>0.43130787037037038</v>
      </c>
      <c r="D9273" s="228">
        <v>10</v>
      </c>
      <c r="E9273" s="225" t="s">
        <v>9315</v>
      </c>
      <c r="F9273" s="225" t="s">
        <v>6946</v>
      </c>
    </row>
    <row r="9274" spans="2:6" ht="17.25" thickBot="1">
      <c r="B9274" s="226">
        <v>46204</v>
      </c>
      <c r="C9274" s="227">
        <v>0.43586805555555558</v>
      </c>
      <c r="D9274" s="228">
        <v>10</v>
      </c>
      <c r="E9274" s="225" t="s">
        <v>9318</v>
      </c>
      <c r="F9274" s="225" t="s">
        <v>6946</v>
      </c>
    </row>
    <row r="9275" spans="2:6" ht="17.25" thickBot="1">
      <c r="B9275" s="226">
        <v>46204</v>
      </c>
      <c r="C9275" s="227">
        <v>0.42627314814814815</v>
      </c>
      <c r="D9275" s="228">
        <v>10</v>
      </c>
      <c r="E9275" s="225" t="s">
        <v>9314</v>
      </c>
      <c r="F9275" s="225" t="s">
        <v>6946</v>
      </c>
    </row>
    <row r="9276" spans="2:6" ht="17.25" thickBot="1">
      <c r="B9276" s="226">
        <v>46204</v>
      </c>
      <c r="C9276" s="227">
        <v>0.42335648148148147</v>
      </c>
      <c r="D9276" s="228">
        <v>10</v>
      </c>
      <c r="E9276" s="225" t="s">
        <v>9317</v>
      </c>
      <c r="F9276" s="225" t="s">
        <v>6946</v>
      </c>
    </row>
    <row r="9277" spans="2:6" ht="26.25" thickBot="1">
      <c r="B9277" s="226">
        <v>46204</v>
      </c>
      <c r="C9277" s="227">
        <v>0.42569444444444443</v>
      </c>
      <c r="D9277" s="228">
        <v>10</v>
      </c>
      <c r="E9277" s="225" t="s">
        <v>9301</v>
      </c>
      <c r="F9277" s="225" t="s">
        <v>6946</v>
      </c>
    </row>
    <row r="9278" spans="2:6" ht="17.25" thickBot="1">
      <c r="B9278" s="226">
        <v>46204</v>
      </c>
      <c r="C9278" s="227">
        <v>0.42790509259259263</v>
      </c>
      <c r="D9278" s="228">
        <v>10</v>
      </c>
      <c r="E9278" s="225" t="s">
        <v>718</v>
      </c>
      <c r="F9278" s="225" t="s">
        <v>6946</v>
      </c>
    </row>
    <row r="9279" spans="2:6" ht="17.25" thickBot="1">
      <c r="B9279" s="226">
        <v>46204</v>
      </c>
      <c r="C9279" s="227">
        <v>0.42494212962962963</v>
      </c>
      <c r="D9279" s="228">
        <v>10</v>
      </c>
      <c r="E9279" s="225" t="s">
        <v>9310</v>
      </c>
      <c r="F9279" s="225" t="s">
        <v>6946</v>
      </c>
    </row>
    <row r="9280" spans="2:6" ht="17.25" thickBot="1">
      <c r="B9280" s="226">
        <v>46204</v>
      </c>
      <c r="C9280" s="227">
        <v>0.39274305555555555</v>
      </c>
      <c r="D9280" s="228">
        <v>10</v>
      </c>
      <c r="E9280" s="225" t="s">
        <v>9313</v>
      </c>
      <c r="F9280" s="225" t="s">
        <v>6946</v>
      </c>
    </row>
    <row r="9281" spans="2:6" ht="17.25" thickBot="1">
      <c r="B9281" s="226">
        <v>46203</v>
      </c>
      <c r="C9281" s="227">
        <v>0.75368055555555558</v>
      </c>
      <c r="D9281" s="228">
        <v>10</v>
      </c>
      <c r="E9281" s="225" t="s">
        <v>9228</v>
      </c>
      <c r="F9281" s="225" t="s">
        <v>6946</v>
      </c>
    </row>
    <row r="9282" spans="2:6" ht="17.25" thickBot="1">
      <c r="B9282" s="226">
        <v>46203</v>
      </c>
      <c r="C9282" s="227">
        <v>0.72584490740740737</v>
      </c>
      <c r="D9282" s="228">
        <v>10</v>
      </c>
      <c r="E9282" s="225" t="s">
        <v>9229</v>
      </c>
      <c r="F9282" s="225" t="s">
        <v>6946</v>
      </c>
    </row>
    <row r="9283" spans="2:6" ht="17.25" thickBot="1">
      <c r="B9283" s="226">
        <v>46203</v>
      </c>
      <c r="C9283" s="227">
        <v>0.71469907407407407</v>
      </c>
      <c r="D9283" s="228">
        <v>10</v>
      </c>
      <c r="E9283" s="225" t="s">
        <v>9230</v>
      </c>
      <c r="F9283" s="225" t="s">
        <v>6946</v>
      </c>
    </row>
    <row r="9284" spans="2:6" ht="17.25" thickBot="1">
      <c r="B9284" s="226">
        <v>46203</v>
      </c>
      <c r="C9284" s="227">
        <v>0.7383912037037037</v>
      </c>
      <c r="D9284" s="228">
        <v>10</v>
      </c>
      <c r="E9284" s="225" t="s">
        <v>9231</v>
      </c>
      <c r="F9284" s="225" t="s">
        <v>6946</v>
      </c>
    </row>
    <row r="9285" spans="2:6" ht="17.25" thickBot="1">
      <c r="B9285" s="226">
        <v>46203</v>
      </c>
      <c r="C9285" s="227">
        <v>0.77671296296296299</v>
      </c>
      <c r="D9285" s="228">
        <v>10</v>
      </c>
      <c r="E9285" s="225" t="s">
        <v>9232</v>
      </c>
      <c r="F9285" s="225" t="s">
        <v>6946</v>
      </c>
    </row>
    <row r="9286" spans="2:6" ht="17.25" thickBot="1">
      <c r="B9286" s="226">
        <v>46203</v>
      </c>
      <c r="C9286" s="227">
        <v>0.75288194444444445</v>
      </c>
      <c r="D9286" s="228">
        <v>10</v>
      </c>
      <c r="E9286" s="225" t="s">
        <v>9233</v>
      </c>
      <c r="F9286" s="225" t="s">
        <v>6946</v>
      </c>
    </row>
    <row r="9287" spans="2:6" ht="17.25" thickBot="1">
      <c r="B9287" s="226">
        <v>46203</v>
      </c>
      <c r="C9287" s="227">
        <v>0.79218749999999993</v>
      </c>
      <c r="D9287" s="228">
        <v>10</v>
      </c>
      <c r="E9287" s="225" t="s">
        <v>9234</v>
      </c>
      <c r="F9287" s="225" t="s">
        <v>6946</v>
      </c>
    </row>
    <row r="9288" spans="2:6" ht="17.25" thickBot="1">
      <c r="B9288" s="226">
        <v>46203</v>
      </c>
      <c r="C9288" s="227">
        <v>0.72259259259259256</v>
      </c>
      <c r="D9288" s="228">
        <v>10</v>
      </c>
      <c r="E9288" s="225" t="s">
        <v>9235</v>
      </c>
      <c r="F9288" s="225" t="s">
        <v>6946</v>
      </c>
    </row>
    <row r="9289" spans="2:6" ht="17.25" thickBot="1">
      <c r="B9289" s="226">
        <v>46203</v>
      </c>
      <c r="C9289" s="227">
        <v>0.72380787037037031</v>
      </c>
      <c r="D9289" s="228">
        <v>10</v>
      </c>
      <c r="E9289" s="225" t="s">
        <v>9236</v>
      </c>
      <c r="F9289" s="225" t="s">
        <v>6946</v>
      </c>
    </row>
    <row r="9290" spans="2:6" ht="17.25" thickBot="1">
      <c r="B9290" s="226">
        <v>46203</v>
      </c>
      <c r="C9290" s="227">
        <v>0.70439814814814816</v>
      </c>
      <c r="D9290" s="228">
        <v>10</v>
      </c>
      <c r="E9290" s="225" t="s">
        <v>9242</v>
      </c>
      <c r="F9290" s="225" t="s">
        <v>6946</v>
      </c>
    </row>
    <row r="9291" spans="2:6" ht="17.25" thickBot="1">
      <c r="B9291" s="226">
        <v>46203</v>
      </c>
      <c r="C9291" s="227">
        <v>0.70648148148148149</v>
      </c>
      <c r="D9291" s="228">
        <v>10</v>
      </c>
      <c r="E9291" s="225" t="s">
        <v>9238</v>
      </c>
      <c r="F9291" s="225" t="s">
        <v>6946</v>
      </c>
    </row>
    <row r="9292" spans="2:6" ht="17.25" thickBot="1">
      <c r="B9292" s="226">
        <v>46203</v>
      </c>
      <c r="C9292" s="227">
        <v>0.69065972222222216</v>
      </c>
      <c r="D9292" s="228">
        <v>10</v>
      </c>
      <c r="E9292" s="225" t="s">
        <v>9243</v>
      </c>
      <c r="F9292" s="225" t="s">
        <v>6946</v>
      </c>
    </row>
    <row r="9293" spans="2:6" ht="17.25" thickBot="1">
      <c r="B9293" s="226">
        <v>46203</v>
      </c>
      <c r="C9293" s="227">
        <v>0.59006944444444442</v>
      </c>
      <c r="D9293" s="228">
        <v>10</v>
      </c>
      <c r="E9293" s="225" t="s">
        <v>9260</v>
      </c>
      <c r="F9293" s="225" t="s">
        <v>6946</v>
      </c>
    </row>
    <row r="9294" spans="2:6" ht="17.25" thickBot="1">
      <c r="B9294" s="226">
        <v>46203</v>
      </c>
      <c r="C9294" s="227">
        <v>0.68174768518518514</v>
      </c>
      <c r="D9294" s="228">
        <v>10</v>
      </c>
      <c r="E9294" s="225" t="s">
        <v>284</v>
      </c>
      <c r="F9294" s="225" t="s">
        <v>6946</v>
      </c>
    </row>
    <row r="9295" spans="2:6" ht="17.25" thickBot="1">
      <c r="B9295" s="226">
        <v>46203</v>
      </c>
      <c r="C9295" s="227">
        <v>0.80105324074074069</v>
      </c>
      <c r="D9295" s="228">
        <v>10</v>
      </c>
      <c r="E9295" s="225" t="s">
        <v>9240</v>
      </c>
      <c r="F9295" s="225" t="s">
        <v>6946</v>
      </c>
    </row>
    <row r="9296" spans="2:6" ht="17.25" thickBot="1">
      <c r="B9296" s="226">
        <v>46203</v>
      </c>
      <c r="C9296" s="227">
        <v>0.60468749999999993</v>
      </c>
      <c r="D9296" s="228">
        <v>10</v>
      </c>
      <c r="E9296" s="225" t="s">
        <v>9038</v>
      </c>
      <c r="F9296" s="225" t="s">
        <v>6946</v>
      </c>
    </row>
    <row r="9297" spans="2:6" ht="17.25" thickBot="1">
      <c r="B9297" s="226">
        <v>46203</v>
      </c>
      <c r="C9297" s="227">
        <v>0.76726851851851852</v>
      </c>
      <c r="D9297" s="228">
        <v>10</v>
      </c>
      <c r="E9297" s="225" t="s">
        <v>284</v>
      </c>
      <c r="F9297" s="225" t="s">
        <v>6946</v>
      </c>
    </row>
    <row r="9298" spans="2:6" ht="17.25" thickBot="1">
      <c r="B9298" s="226">
        <v>46203</v>
      </c>
      <c r="C9298" s="227">
        <v>0.76940972222222215</v>
      </c>
      <c r="D9298" s="228">
        <v>10</v>
      </c>
      <c r="E9298" s="225" t="s">
        <v>3405</v>
      </c>
      <c r="F9298" s="225" t="s">
        <v>6946</v>
      </c>
    </row>
    <row r="9299" spans="2:6" ht="26.25" thickBot="1">
      <c r="B9299" s="226">
        <v>46203</v>
      </c>
      <c r="C9299" s="227">
        <v>0.70679398148148154</v>
      </c>
      <c r="D9299" s="228">
        <v>10</v>
      </c>
      <c r="E9299" s="225" t="s">
        <v>9244</v>
      </c>
      <c r="F9299" s="225" t="s">
        <v>6946</v>
      </c>
    </row>
    <row r="9300" spans="2:6" ht="17.25" thickBot="1">
      <c r="B9300" s="226">
        <v>46203</v>
      </c>
      <c r="C9300" s="227">
        <v>0.62986111111111109</v>
      </c>
      <c r="D9300" s="228">
        <v>10</v>
      </c>
      <c r="E9300" s="225" t="s">
        <v>9257</v>
      </c>
      <c r="F9300" s="225" t="s">
        <v>6946</v>
      </c>
    </row>
    <row r="9301" spans="2:6" ht="17.25" thickBot="1">
      <c r="B9301" s="226">
        <v>46203</v>
      </c>
      <c r="C9301" s="227">
        <v>0.81409722222222225</v>
      </c>
      <c r="D9301" s="228">
        <v>10</v>
      </c>
      <c r="E9301" s="225" t="s">
        <v>9245</v>
      </c>
      <c r="F9301" s="225" t="s">
        <v>6946</v>
      </c>
    </row>
    <row r="9302" spans="2:6" ht="17.25" thickBot="1">
      <c r="B9302" s="226">
        <v>46203</v>
      </c>
      <c r="C9302" s="227">
        <v>0.71599537037037031</v>
      </c>
      <c r="D9302" s="228">
        <v>10</v>
      </c>
      <c r="E9302" s="225" t="s">
        <v>9247</v>
      </c>
      <c r="F9302" s="225" t="s">
        <v>6946</v>
      </c>
    </row>
    <row r="9303" spans="2:6" ht="17.25" thickBot="1">
      <c r="B9303" s="226">
        <v>46203</v>
      </c>
      <c r="C9303" s="227">
        <v>0.57783564814814814</v>
      </c>
      <c r="D9303" s="228">
        <v>10</v>
      </c>
      <c r="E9303" s="225" t="s">
        <v>9241</v>
      </c>
      <c r="F9303" s="225" t="s">
        <v>6946</v>
      </c>
    </row>
    <row r="9304" spans="2:6" ht="17.25" thickBot="1">
      <c r="B9304" s="226">
        <v>46203</v>
      </c>
      <c r="C9304" s="227">
        <v>0.66025462962962966</v>
      </c>
      <c r="D9304" s="228">
        <v>10</v>
      </c>
      <c r="E9304" s="225" t="s">
        <v>2771</v>
      </c>
      <c r="F9304" s="225" t="s">
        <v>6946</v>
      </c>
    </row>
    <row r="9305" spans="2:6" ht="17.25" thickBot="1">
      <c r="B9305" s="226">
        <v>46203</v>
      </c>
      <c r="C9305" s="227">
        <v>0.5791898148148148</v>
      </c>
      <c r="D9305" s="228">
        <v>10</v>
      </c>
      <c r="E9305" s="225" t="s">
        <v>9237</v>
      </c>
      <c r="F9305" s="225" t="s">
        <v>6946</v>
      </c>
    </row>
    <row r="9306" spans="2:6" ht="17.25" thickBot="1">
      <c r="B9306" s="226">
        <v>46203</v>
      </c>
      <c r="C9306" s="227">
        <v>0.68414351851851851</v>
      </c>
      <c r="D9306" s="228">
        <v>10</v>
      </c>
      <c r="E9306" s="225" t="s">
        <v>9249</v>
      </c>
      <c r="F9306" s="225" t="s">
        <v>6946</v>
      </c>
    </row>
    <row r="9307" spans="2:6" ht="17.25" thickBot="1">
      <c r="B9307" s="226">
        <v>46203</v>
      </c>
      <c r="C9307" s="227">
        <v>0.50516203703703699</v>
      </c>
      <c r="D9307" s="228">
        <v>10</v>
      </c>
      <c r="E9307" s="225" t="s">
        <v>9263</v>
      </c>
      <c r="F9307" s="225" t="s">
        <v>6946</v>
      </c>
    </row>
    <row r="9308" spans="2:6" ht="17.25" thickBot="1">
      <c r="B9308" s="226">
        <v>46203</v>
      </c>
      <c r="C9308" s="227">
        <v>0.74758101851851855</v>
      </c>
      <c r="D9308" s="228">
        <v>10</v>
      </c>
      <c r="E9308" s="225" t="s">
        <v>9256</v>
      </c>
      <c r="F9308" s="225" t="s">
        <v>6946</v>
      </c>
    </row>
    <row r="9309" spans="2:6" ht="17.25" thickBot="1">
      <c r="B9309" s="226">
        <v>46203</v>
      </c>
      <c r="C9309" s="227">
        <v>0.90521990740740732</v>
      </c>
      <c r="D9309" s="228">
        <v>10</v>
      </c>
      <c r="E9309" s="225" t="s">
        <v>370</v>
      </c>
      <c r="F9309" s="225" t="s">
        <v>6946</v>
      </c>
    </row>
    <row r="9310" spans="2:6" ht="17.25" thickBot="1">
      <c r="B9310" s="226">
        <v>46203</v>
      </c>
      <c r="C9310" s="227">
        <v>0.68293981481481481</v>
      </c>
      <c r="D9310" s="228">
        <v>10</v>
      </c>
      <c r="E9310" s="225" t="s">
        <v>9255</v>
      </c>
      <c r="F9310" s="225" t="s">
        <v>6946</v>
      </c>
    </row>
    <row r="9311" spans="2:6" ht="17.25" thickBot="1">
      <c r="B9311" s="226">
        <v>46203</v>
      </c>
      <c r="C9311" s="227">
        <v>0.4931828703703704</v>
      </c>
      <c r="D9311" s="228">
        <v>10</v>
      </c>
      <c r="E9311" s="225" t="s">
        <v>9273</v>
      </c>
      <c r="F9311" s="225" t="s">
        <v>6946</v>
      </c>
    </row>
    <row r="9312" spans="2:6" ht="17.25" thickBot="1">
      <c r="B9312" s="226">
        <v>46203</v>
      </c>
      <c r="C9312" s="227">
        <v>0.67928240740740742</v>
      </c>
      <c r="D9312" s="228">
        <v>10</v>
      </c>
      <c r="E9312" s="225" t="s">
        <v>9250</v>
      </c>
      <c r="F9312" s="225" t="s">
        <v>6946</v>
      </c>
    </row>
    <row r="9313" spans="2:6" ht="26.25" thickBot="1">
      <c r="B9313" s="226">
        <v>46203</v>
      </c>
      <c r="C9313" s="227">
        <v>0.69909722222222215</v>
      </c>
      <c r="D9313" s="228">
        <v>10</v>
      </c>
      <c r="E9313" s="225" t="s">
        <v>9259</v>
      </c>
      <c r="F9313" s="225" t="s">
        <v>6946</v>
      </c>
    </row>
    <row r="9314" spans="2:6" ht="17.25" thickBot="1">
      <c r="B9314" s="226">
        <v>46203</v>
      </c>
      <c r="C9314" s="227">
        <v>0.42956018518518518</v>
      </c>
      <c r="D9314" s="228">
        <v>10</v>
      </c>
      <c r="E9314" s="225" t="s">
        <v>9271</v>
      </c>
      <c r="F9314" s="225" t="s">
        <v>6946</v>
      </c>
    </row>
    <row r="9315" spans="2:6" ht="17.25" thickBot="1">
      <c r="B9315" s="226">
        <v>46203</v>
      </c>
      <c r="C9315" s="227">
        <v>0.70042824074074073</v>
      </c>
      <c r="D9315" s="228">
        <v>10</v>
      </c>
      <c r="E9315" s="225" t="s">
        <v>9262</v>
      </c>
      <c r="F9315" s="225" t="s">
        <v>6946</v>
      </c>
    </row>
    <row r="9316" spans="2:6" ht="17.25" thickBot="1">
      <c r="B9316" s="226">
        <v>46203</v>
      </c>
      <c r="C9316" s="227">
        <v>0.59528935185185183</v>
      </c>
      <c r="D9316" s="228">
        <v>10</v>
      </c>
      <c r="E9316" s="225" t="s">
        <v>9252</v>
      </c>
      <c r="F9316" s="225" t="s">
        <v>6946</v>
      </c>
    </row>
    <row r="9317" spans="2:6" ht="17.25" thickBot="1">
      <c r="B9317" s="226">
        <v>46203</v>
      </c>
      <c r="C9317" s="227">
        <v>0.50414351851851846</v>
      </c>
      <c r="D9317" s="228">
        <v>10</v>
      </c>
      <c r="E9317" s="225" t="s">
        <v>9246</v>
      </c>
      <c r="F9317" s="225" t="s">
        <v>6946</v>
      </c>
    </row>
    <row r="9318" spans="2:6" ht="17.25" thickBot="1">
      <c r="B9318" s="226">
        <v>46203</v>
      </c>
      <c r="C9318" s="227">
        <v>0.53266203703703707</v>
      </c>
      <c r="D9318" s="228">
        <v>10</v>
      </c>
      <c r="E9318" s="225" t="s">
        <v>9248</v>
      </c>
      <c r="F9318" s="225" t="s">
        <v>6946</v>
      </c>
    </row>
    <row r="9319" spans="2:6" ht="17.25" thickBot="1">
      <c r="B9319" s="226">
        <v>46203</v>
      </c>
      <c r="C9319" s="227">
        <v>0.65322916666666664</v>
      </c>
      <c r="D9319" s="228">
        <v>10</v>
      </c>
      <c r="E9319" s="225" t="s">
        <v>1042</v>
      </c>
      <c r="F9319" s="225" t="s">
        <v>6946</v>
      </c>
    </row>
    <row r="9320" spans="2:6" ht="17.25" thickBot="1">
      <c r="B9320" s="226">
        <v>46203</v>
      </c>
      <c r="C9320" s="227">
        <v>0.59848379629629633</v>
      </c>
      <c r="D9320" s="228">
        <v>10</v>
      </c>
      <c r="E9320" s="225" t="s">
        <v>9239</v>
      </c>
      <c r="F9320" s="225" t="s">
        <v>6946</v>
      </c>
    </row>
    <row r="9321" spans="2:6" ht="17.25" thickBot="1">
      <c r="B9321" s="226">
        <v>46203</v>
      </c>
      <c r="C9321" s="227">
        <v>0.64961805555555563</v>
      </c>
      <c r="D9321" s="228">
        <v>10</v>
      </c>
      <c r="E9321" s="225" t="s">
        <v>9258</v>
      </c>
      <c r="F9321" s="225" t="s">
        <v>6946</v>
      </c>
    </row>
    <row r="9322" spans="2:6" ht="17.25" thickBot="1">
      <c r="B9322" s="226">
        <v>46203</v>
      </c>
      <c r="C9322" s="227">
        <v>0.56692129629629628</v>
      </c>
      <c r="D9322" s="228">
        <v>10</v>
      </c>
      <c r="E9322" s="225" t="s">
        <v>9254</v>
      </c>
      <c r="F9322" s="225" t="s">
        <v>6946</v>
      </c>
    </row>
    <row r="9323" spans="2:6" ht="17.25" thickBot="1">
      <c r="B9323" s="226">
        <v>46203</v>
      </c>
      <c r="C9323" s="227">
        <v>0.44178240740740743</v>
      </c>
      <c r="D9323" s="228">
        <v>10</v>
      </c>
      <c r="E9323" s="225" t="s">
        <v>9266</v>
      </c>
      <c r="F9323" s="225" t="s">
        <v>6946</v>
      </c>
    </row>
    <row r="9324" spans="2:6" ht="17.25" thickBot="1">
      <c r="B9324" s="226">
        <v>46203</v>
      </c>
      <c r="C9324" s="227">
        <v>0.47466435185185185</v>
      </c>
      <c r="D9324" s="228">
        <v>10</v>
      </c>
      <c r="E9324" s="225" t="s">
        <v>9267</v>
      </c>
      <c r="F9324" s="225" t="s">
        <v>6946</v>
      </c>
    </row>
    <row r="9325" spans="2:6" ht="17.25" thickBot="1">
      <c r="B9325" s="226">
        <v>46203</v>
      </c>
      <c r="C9325" s="227">
        <v>0.43126157407407412</v>
      </c>
      <c r="D9325" s="228">
        <v>10</v>
      </c>
      <c r="E9325" s="225" t="s">
        <v>9268</v>
      </c>
      <c r="F9325" s="225" t="s">
        <v>6946</v>
      </c>
    </row>
    <row r="9326" spans="2:6" ht="17.25" thickBot="1">
      <c r="B9326" s="226">
        <v>46203</v>
      </c>
      <c r="C9326" s="227">
        <v>0.44831018518518517</v>
      </c>
      <c r="D9326" s="228">
        <v>10</v>
      </c>
      <c r="E9326" s="225" t="s">
        <v>9265</v>
      </c>
      <c r="F9326" s="225" t="s">
        <v>6946</v>
      </c>
    </row>
    <row r="9327" spans="2:6" ht="17.25" thickBot="1">
      <c r="B9327" s="226">
        <v>46203</v>
      </c>
      <c r="C9327" s="227">
        <v>0.47292824074074075</v>
      </c>
      <c r="D9327" s="228">
        <v>10</v>
      </c>
      <c r="E9327" s="225" t="s">
        <v>9272</v>
      </c>
      <c r="F9327" s="225" t="s">
        <v>6946</v>
      </c>
    </row>
    <row r="9328" spans="2:6" ht="17.25" thickBot="1">
      <c r="B9328" s="226">
        <v>46203</v>
      </c>
      <c r="C9328" s="227">
        <v>0.41901620370370374</v>
      </c>
      <c r="D9328" s="228">
        <v>10</v>
      </c>
      <c r="E9328" s="225" t="s">
        <v>132</v>
      </c>
      <c r="F9328" s="225" t="s">
        <v>6946</v>
      </c>
    </row>
    <row r="9329" spans="2:6" ht="51.75" thickBot="1">
      <c r="B9329" s="226">
        <v>46203</v>
      </c>
      <c r="C9329" s="227">
        <v>0.57207175925925924</v>
      </c>
      <c r="D9329" s="228">
        <v>10</v>
      </c>
      <c r="E9329" s="225" t="s">
        <v>9261</v>
      </c>
      <c r="F9329" s="225" t="s">
        <v>6946</v>
      </c>
    </row>
    <row r="9330" spans="2:6" ht="17.25" thickBot="1">
      <c r="B9330" s="226">
        <v>46203</v>
      </c>
      <c r="C9330" s="227">
        <v>0.42951388888888892</v>
      </c>
      <c r="D9330" s="228">
        <v>10</v>
      </c>
      <c r="E9330" s="225" t="s">
        <v>1563</v>
      </c>
      <c r="F9330" s="225" t="s">
        <v>6946</v>
      </c>
    </row>
    <row r="9331" spans="2:6" ht="26.25" thickBot="1">
      <c r="B9331" s="226">
        <v>46203</v>
      </c>
      <c r="C9331" s="227">
        <v>0.47209490740740739</v>
      </c>
      <c r="D9331" s="228">
        <v>10</v>
      </c>
      <c r="E9331" s="225" t="s">
        <v>9251</v>
      </c>
      <c r="F9331" s="225" t="s">
        <v>6946</v>
      </c>
    </row>
    <row r="9332" spans="2:6" ht="17.25" thickBot="1">
      <c r="B9332" s="226">
        <v>46203</v>
      </c>
      <c r="C9332" s="227">
        <v>0.47547453703703701</v>
      </c>
      <c r="D9332" s="228">
        <v>10</v>
      </c>
      <c r="E9332" s="225" t="s">
        <v>9253</v>
      </c>
      <c r="F9332" s="225" t="s">
        <v>6946</v>
      </c>
    </row>
    <row r="9333" spans="2:6" ht="17.25" thickBot="1">
      <c r="B9333" s="226">
        <v>46203</v>
      </c>
      <c r="C9333" s="227">
        <v>0.4215740740740741</v>
      </c>
      <c r="D9333" s="228">
        <v>10</v>
      </c>
      <c r="E9333" s="225" t="s">
        <v>5677</v>
      </c>
      <c r="F9333" s="225" t="s">
        <v>6946</v>
      </c>
    </row>
    <row r="9334" spans="2:6" ht="17.25" thickBot="1">
      <c r="B9334" s="226">
        <v>46203</v>
      </c>
      <c r="C9334" s="227">
        <v>0.4251967592592592</v>
      </c>
      <c r="D9334" s="228">
        <v>10</v>
      </c>
      <c r="E9334" s="225" t="s">
        <v>9269</v>
      </c>
      <c r="F9334" s="225" t="s">
        <v>6946</v>
      </c>
    </row>
    <row r="9335" spans="2:6" ht="17.25" thickBot="1">
      <c r="B9335" s="226">
        <v>46203</v>
      </c>
      <c r="C9335" s="227">
        <v>0.4244560185185185</v>
      </c>
      <c r="D9335" s="228">
        <v>10</v>
      </c>
      <c r="E9335" s="225" t="s">
        <v>4293</v>
      </c>
      <c r="F9335" s="225" t="s">
        <v>6946</v>
      </c>
    </row>
    <row r="9336" spans="2:6" ht="17.25" thickBot="1">
      <c r="B9336" s="226">
        <v>46203</v>
      </c>
      <c r="C9336" s="227">
        <v>0.4437962962962963</v>
      </c>
      <c r="D9336" s="228">
        <v>10</v>
      </c>
      <c r="E9336" s="225" t="s">
        <v>9264</v>
      </c>
      <c r="F9336" s="225" t="s">
        <v>6946</v>
      </c>
    </row>
    <row r="9337" spans="2:6" ht="17.25" thickBot="1">
      <c r="B9337" s="226">
        <v>46203</v>
      </c>
      <c r="C9337" s="227">
        <v>0.56035879629629626</v>
      </c>
      <c r="D9337" s="228">
        <v>10</v>
      </c>
      <c r="E9337" s="225" t="s">
        <v>9211</v>
      </c>
      <c r="F9337" s="225" t="s">
        <v>6946</v>
      </c>
    </row>
    <row r="9338" spans="2:6" ht="17.25" thickBot="1">
      <c r="B9338" s="226">
        <v>46203</v>
      </c>
      <c r="C9338" s="227">
        <v>0.39024305555555555</v>
      </c>
      <c r="D9338" s="228">
        <v>10</v>
      </c>
      <c r="E9338" s="225" t="s">
        <v>9270</v>
      </c>
      <c r="F9338" s="225" t="s">
        <v>6946</v>
      </c>
    </row>
    <row r="9339" spans="2:6" ht="17.25" thickBot="1">
      <c r="B9339" s="226">
        <v>46202</v>
      </c>
      <c r="C9339" s="227">
        <v>0.79622685185185194</v>
      </c>
      <c r="D9339" s="228">
        <v>10</v>
      </c>
      <c r="E9339" s="225" t="s">
        <v>836</v>
      </c>
      <c r="F9339" s="225" t="s">
        <v>6946</v>
      </c>
    </row>
    <row r="9340" spans="2:6" ht="26.25" thickBot="1">
      <c r="B9340" s="226">
        <v>46202</v>
      </c>
      <c r="C9340" s="227">
        <v>0.76011574074074073</v>
      </c>
      <c r="D9340" s="228">
        <v>10</v>
      </c>
      <c r="E9340" s="225" t="s">
        <v>9184</v>
      </c>
      <c r="F9340" s="225" t="s">
        <v>6946</v>
      </c>
    </row>
    <row r="9341" spans="2:6" ht="17.25" thickBot="1">
      <c r="B9341" s="226">
        <v>46202</v>
      </c>
      <c r="C9341" s="227">
        <v>0.76050925925925927</v>
      </c>
      <c r="D9341" s="228">
        <v>10</v>
      </c>
      <c r="E9341" s="225" t="s">
        <v>9186</v>
      </c>
      <c r="F9341" s="225" t="s">
        <v>6946</v>
      </c>
    </row>
    <row r="9342" spans="2:6" ht="17.25" thickBot="1">
      <c r="B9342" s="226">
        <v>46202</v>
      </c>
      <c r="C9342" s="227">
        <v>0.76444444444444448</v>
      </c>
      <c r="D9342" s="228">
        <v>10</v>
      </c>
      <c r="E9342" s="225" t="s">
        <v>9227</v>
      </c>
      <c r="F9342" s="225" t="s">
        <v>6946</v>
      </c>
    </row>
    <row r="9343" spans="2:6" ht="17.25" thickBot="1">
      <c r="B9343" s="226">
        <v>46202</v>
      </c>
      <c r="C9343" s="227">
        <v>0.72484953703703703</v>
      </c>
      <c r="D9343" s="228">
        <v>10</v>
      </c>
      <c r="E9343" s="225" t="s">
        <v>9187</v>
      </c>
      <c r="F9343" s="225" t="s">
        <v>6946</v>
      </c>
    </row>
    <row r="9344" spans="2:6" ht="17.25" thickBot="1">
      <c r="B9344" s="226">
        <v>46202</v>
      </c>
      <c r="C9344" s="227">
        <v>0.70832175925925922</v>
      </c>
      <c r="D9344" s="228">
        <v>10</v>
      </c>
      <c r="E9344" s="225" t="s">
        <v>9207</v>
      </c>
      <c r="F9344" s="225" t="s">
        <v>6946</v>
      </c>
    </row>
    <row r="9345" spans="2:6" ht="17.25" thickBot="1">
      <c r="B9345" s="226">
        <v>46202</v>
      </c>
      <c r="C9345" s="227">
        <v>0.75291666666666668</v>
      </c>
      <c r="D9345" s="228">
        <v>10</v>
      </c>
      <c r="E9345" s="225" t="s">
        <v>9183</v>
      </c>
      <c r="F9345" s="225" t="s">
        <v>6946</v>
      </c>
    </row>
    <row r="9346" spans="2:6" ht="17.25" thickBot="1">
      <c r="B9346" s="226">
        <v>46202</v>
      </c>
      <c r="C9346" s="227">
        <v>0.75486111111111109</v>
      </c>
      <c r="D9346" s="228">
        <v>10</v>
      </c>
      <c r="E9346" s="225" t="s">
        <v>9217</v>
      </c>
      <c r="F9346" s="225" t="s">
        <v>6946</v>
      </c>
    </row>
    <row r="9347" spans="2:6" ht="17.25" thickBot="1">
      <c r="B9347" s="226">
        <v>46202</v>
      </c>
      <c r="C9347" s="227">
        <v>0.72760416666666661</v>
      </c>
      <c r="D9347" s="228">
        <v>10</v>
      </c>
      <c r="E9347" s="225" t="s">
        <v>9190</v>
      </c>
      <c r="F9347" s="225" t="s">
        <v>6946</v>
      </c>
    </row>
    <row r="9348" spans="2:6" ht="17.25" thickBot="1">
      <c r="B9348" s="226">
        <v>46202</v>
      </c>
      <c r="C9348" s="227">
        <v>0.7179282407407408</v>
      </c>
      <c r="D9348" s="228">
        <v>10</v>
      </c>
      <c r="E9348" s="225" t="s">
        <v>198</v>
      </c>
      <c r="F9348" s="225" t="s">
        <v>6946</v>
      </c>
    </row>
    <row r="9349" spans="2:6" ht="17.25" thickBot="1">
      <c r="B9349" s="226">
        <v>46202</v>
      </c>
      <c r="C9349" s="227">
        <v>0.73965277777777771</v>
      </c>
      <c r="D9349" s="228">
        <v>10</v>
      </c>
      <c r="E9349" s="225" t="s">
        <v>306</v>
      </c>
      <c r="F9349" s="225" t="s">
        <v>6946</v>
      </c>
    </row>
    <row r="9350" spans="2:6" ht="17.25" thickBot="1">
      <c r="B9350" s="226">
        <v>46202</v>
      </c>
      <c r="C9350" s="227">
        <v>0.73046296296296298</v>
      </c>
      <c r="D9350" s="228">
        <v>10</v>
      </c>
      <c r="E9350" s="225" t="s">
        <v>9189</v>
      </c>
      <c r="F9350" s="225" t="s">
        <v>6946</v>
      </c>
    </row>
    <row r="9351" spans="2:6" ht="17.25" thickBot="1">
      <c r="B9351" s="226">
        <v>46202</v>
      </c>
      <c r="C9351" s="227">
        <v>0.77681712962962957</v>
      </c>
      <c r="D9351" s="228">
        <v>10</v>
      </c>
      <c r="E9351" s="225" t="s">
        <v>9188</v>
      </c>
      <c r="F9351" s="225" t="s">
        <v>6946</v>
      </c>
    </row>
    <row r="9352" spans="2:6" ht="17.25" thickBot="1">
      <c r="B9352" s="226">
        <v>46202</v>
      </c>
      <c r="C9352" s="227">
        <v>0.70656249999999998</v>
      </c>
      <c r="D9352" s="228">
        <v>10</v>
      </c>
      <c r="E9352" s="225" t="s">
        <v>2500</v>
      </c>
      <c r="F9352" s="225" t="s">
        <v>6946</v>
      </c>
    </row>
    <row r="9353" spans="2:6" ht="17.25" thickBot="1">
      <c r="B9353" s="226">
        <v>46202</v>
      </c>
      <c r="C9353" s="227">
        <v>0.73712962962962969</v>
      </c>
      <c r="D9353" s="228">
        <v>10</v>
      </c>
      <c r="E9353" s="225" t="s">
        <v>9197</v>
      </c>
      <c r="F9353" s="225" t="s">
        <v>6946</v>
      </c>
    </row>
    <row r="9354" spans="2:6" ht="17.25" thickBot="1">
      <c r="B9354" s="226">
        <v>46202</v>
      </c>
      <c r="C9354" s="227">
        <v>0.75138888888888899</v>
      </c>
      <c r="D9354" s="228">
        <v>10</v>
      </c>
      <c r="E9354" s="225" t="s">
        <v>5960</v>
      </c>
      <c r="F9354" s="225" t="s">
        <v>6946</v>
      </c>
    </row>
    <row r="9355" spans="2:6" ht="17.25" thickBot="1">
      <c r="B9355" s="226">
        <v>46202</v>
      </c>
      <c r="C9355" s="227">
        <v>0.70405092592592589</v>
      </c>
      <c r="D9355" s="228">
        <v>10</v>
      </c>
      <c r="E9355" s="225" t="s">
        <v>9196</v>
      </c>
      <c r="F9355" s="225" t="s">
        <v>6946</v>
      </c>
    </row>
    <row r="9356" spans="2:6" ht="17.25" thickBot="1">
      <c r="B9356" s="226">
        <v>46202</v>
      </c>
      <c r="C9356" s="227">
        <v>0.7169444444444445</v>
      </c>
      <c r="D9356" s="228">
        <v>10</v>
      </c>
      <c r="E9356" s="225" t="s">
        <v>9199</v>
      </c>
      <c r="F9356" s="225" t="s">
        <v>6946</v>
      </c>
    </row>
    <row r="9357" spans="2:6" ht="17.25" thickBot="1">
      <c r="B9357" s="226">
        <v>46202</v>
      </c>
      <c r="C9357" s="227">
        <v>0.71061342592592591</v>
      </c>
      <c r="D9357" s="228">
        <v>10</v>
      </c>
      <c r="E9357" s="225" t="s">
        <v>7034</v>
      </c>
      <c r="F9357" s="225" t="s">
        <v>6946</v>
      </c>
    </row>
    <row r="9358" spans="2:6" ht="17.25" thickBot="1">
      <c r="B9358" s="226">
        <v>46202</v>
      </c>
      <c r="C9358" s="227">
        <v>0.69284722222222228</v>
      </c>
      <c r="D9358" s="228">
        <v>10</v>
      </c>
      <c r="E9358" s="225" t="s">
        <v>9208</v>
      </c>
      <c r="F9358" s="225" t="s">
        <v>6946</v>
      </c>
    </row>
    <row r="9359" spans="2:6" ht="17.25" thickBot="1">
      <c r="B9359" s="226">
        <v>46202</v>
      </c>
      <c r="C9359" s="227">
        <v>0.67483796296296295</v>
      </c>
      <c r="D9359" s="228">
        <v>10</v>
      </c>
      <c r="E9359" s="225" t="s">
        <v>9204</v>
      </c>
      <c r="F9359" s="225" t="s">
        <v>6946</v>
      </c>
    </row>
    <row r="9360" spans="2:6" ht="17.25" thickBot="1">
      <c r="B9360" s="226">
        <v>46202</v>
      </c>
      <c r="C9360" s="227">
        <v>0.7287731481481482</v>
      </c>
      <c r="D9360" s="228">
        <v>10</v>
      </c>
      <c r="E9360" s="225" t="s">
        <v>9182</v>
      </c>
      <c r="F9360" s="225" t="s">
        <v>6946</v>
      </c>
    </row>
    <row r="9361" spans="2:6" ht="17.25" thickBot="1">
      <c r="B9361" s="226">
        <v>46202</v>
      </c>
      <c r="C9361" s="227">
        <v>0.69167824074074069</v>
      </c>
      <c r="D9361" s="228">
        <v>10</v>
      </c>
      <c r="E9361" s="225" t="s">
        <v>9202</v>
      </c>
      <c r="F9361" s="225" t="s">
        <v>6946</v>
      </c>
    </row>
    <row r="9362" spans="2:6" ht="17.25" thickBot="1">
      <c r="B9362" s="226">
        <v>46202</v>
      </c>
      <c r="C9362" s="227">
        <v>0.6700694444444445</v>
      </c>
      <c r="D9362" s="228">
        <v>10</v>
      </c>
      <c r="E9362" s="225" t="s">
        <v>1295</v>
      </c>
      <c r="F9362" s="225" t="s">
        <v>6946</v>
      </c>
    </row>
    <row r="9363" spans="2:6" ht="17.25" thickBot="1">
      <c r="B9363" s="226">
        <v>46202</v>
      </c>
      <c r="C9363" s="227">
        <v>0.7208796296296297</v>
      </c>
      <c r="D9363" s="228">
        <v>10</v>
      </c>
      <c r="E9363" s="225" t="s">
        <v>9191</v>
      </c>
      <c r="F9363" s="225" t="s">
        <v>6946</v>
      </c>
    </row>
    <row r="9364" spans="2:6" ht="17.25" thickBot="1">
      <c r="B9364" s="226">
        <v>46202</v>
      </c>
      <c r="C9364" s="227">
        <v>0.59532407407407406</v>
      </c>
      <c r="D9364" s="228">
        <v>10</v>
      </c>
      <c r="E9364" s="225" t="s">
        <v>9195</v>
      </c>
      <c r="F9364" s="225" t="s">
        <v>6946</v>
      </c>
    </row>
    <row r="9365" spans="2:6" ht="17.25" thickBot="1">
      <c r="B9365" s="226">
        <v>46202</v>
      </c>
      <c r="C9365" s="227">
        <v>0.61834490740740744</v>
      </c>
      <c r="D9365" s="228">
        <v>10</v>
      </c>
      <c r="E9365" s="225" t="s">
        <v>132</v>
      </c>
      <c r="F9365" s="225" t="s">
        <v>6946</v>
      </c>
    </row>
    <row r="9366" spans="2:6" ht="17.25" thickBot="1">
      <c r="B9366" s="226">
        <v>46202</v>
      </c>
      <c r="C9366" s="227">
        <v>0.59495370370370371</v>
      </c>
      <c r="D9366" s="228">
        <v>10</v>
      </c>
      <c r="E9366" s="225" t="s">
        <v>653</v>
      </c>
      <c r="F9366" s="225" t="s">
        <v>6946</v>
      </c>
    </row>
    <row r="9367" spans="2:6" ht="17.25" thickBot="1">
      <c r="B9367" s="226">
        <v>46202</v>
      </c>
      <c r="C9367" s="227">
        <v>0.59464120370370377</v>
      </c>
      <c r="D9367" s="228">
        <v>10</v>
      </c>
      <c r="E9367" s="225" t="s">
        <v>9185</v>
      </c>
      <c r="F9367" s="225" t="s">
        <v>6946</v>
      </c>
    </row>
    <row r="9368" spans="2:6" ht="17.25" thickBot="1">
      <c r="B9368" s="226">
        <v>46202</v>
      </c>
      <c r="C9368" s="227">
        <v>0.59090277777777778</v>
      </c>
      <c r="D9368" s="228">
        <v>10</v>
      </c>
      <c r="E9368" s="225" t="s">
        <v>1920</v>
      </c>
      <c r="F9368" s="225" t="s">
        <v>6946</v>
      </c>
    </row>
    <row r="9369" spans="2:6" ht="17.25" thickBot="1">
      <c r="B9369" s="226">
        <v>46202</v>
      </c>
      <c r="C9369" s="227">
        <v>0.66081018518518519</v>
      </c>
      <c r="D9369" s="228">
        <v>10</v>
      </c>
      <c r="E9369" s="225" t="s">
        <v>9212</v>
      </c>
      <c r="F9369" s="225" t="s">
        <v>6946</v>
      </c>
    </row>
    <row r="9370" spans="2:6" ht="17.25" thickBot="1">
      <c r="B9370" s="226">
        <v>46202</v>
      </c>
      <c r="C9370" s="227">
        <v>0.62039351851851854</v>
      </c>
      <c r="D9370" s="228">
        <v>10</v>
      </c>
      <c r="E9370" s="225" t="s">
        <v>9209</v>
      </c>
      <c r="F9370" s="225" t="s">
        <v>6946</v>
      </c>
    </row>
    <row r="9371" spans="2:6" ht="17.25" thickBot="1">
      <c r="B9371" s="226">
        <v>46202</v>
      </c>
      <c r="C9371" s="227">
        <v>0.59696759259259258</v>
      </c>
      <c r="D9371" s="228">
        <v>10</v>
      </c>
      <c r="E9371" s="225" t="s">
        <v>9210</v>
      </c>
      <c r="F9371" s="225" t="s">
        <v>6946</v>
      </c>
    </row>
    <row r="9372" spans="2:6" ht="17.25" thickBot="1">
      <c r="B9372" s="226">
        <v>46202</v>
      </c>
      <c r="C9372" s="227">
        <v>0.60988425925925926</v>
      </c>
      <c r="D9372" s="228">
        <v>10</v>
      </c>
      <c r="E9372" s="225" t="s">
        <v>273</v>
      </c>
      <c r="F9372" s="225" t="s">
        <v>6946</v>
      </c>
    </row>
    <row r="9373" spans="2:6" ht="17.25" thickBot="1">
      <c r="B9373" s="226">
        <v>46202</v>
      </c>
      <c r="C9373" s="227">
        <v>0.69982638888888893</v>
      </c>
      <c r="D9373" s="228">
        <v>10</v>
      </c>
      <c r="E9373" s="225" t="s">
        <v>9200</v>
      </c>
      <c r="F9373" s="225" t="s">
        <v>6946</v>
      </c>
    </row>
    <row r="9374" spans="2:6" ht="17.25" thickBot="1">
      <c r="B9374" s="226">
        <v>46202</v>
      </c>
      <c r="C9374" s="227">
        <v>0.62385416666666671</v>
      </c>
      <c r="D9374" s="228">
        <v>10</v>
      </c>
      <c r="E9374" s="225" t="s">
        <v>9192</v>
      </c>
      <c r="F9374" s="225" t="s">
        <v>6946</v>
      </c>
    </row>
    <row r="9375" spans="2:6" ht="17.25" thickBot="1">
      <c r="B9375" s="226">
        <v>46202</v>
      </c>
      <c r="C9375" s="227">
        <v>0.63615740740740734</v>
      </c>
      <c r="D9375" s="228">
        <v>10</v>
      </c>
      <c r="E9375" s="225" t="s">
        <v>9193</v>
      </c>
      <c r="F9375" s="225" t="s">
        <v>6946</v>
      </c>
    </row>
    <row r="9376" spans="2:6" ht="17.25" thickBot="1">
      <c r="B9376" s="226">
        <v>46202</v>
      </c>
      <c r="C9376" s="227">
        <v>0.66437500000000005</v>
      </c>
      <c r="D9376" s="228">
        <v>10</v>
      </c>
      <c r="E9376" s="225" t="s">
        <v>9194</v>
      </c>
      <c r="F9376" s="225" t="s">
        <v>6946</v>
      </c>
    </row>
    <row r="9377" spans="2:6" ht="17.25" thickBot="1">
      <c r="B9377" s="226">
        <v>46202</v>
      </c>
      <c r="C9377" s="227">
        <v>0.57960648148148153</v>
      </c>
      <c r="D9377" s="228">
        <v>10</v>
      </c>
      <c r="E9377" s="225" t="s">
        <v>9213</v>
      </c>
      <c r="F9377" s="225" t="s">
        <v>6946</v>
      </c>
    </row>
    <row r="9378" spans="2:6" ht="17.25" thickBot="1">
      <c r="B9378" s="226">
        <v>46202</v>
      </c>
      <c r="C9378" s="227">
        <v>0.61230324074074072</v>
      </c>
      <c r="D9378" s="228">
        <v>10</v>
      </c>
      <c r="E9378" s="225" t="s">
        <v>9203</v>
      </c>
      <c r="F9378" s="225" t="s">
        <v>6946</v>
      </c>
    </row>
    <row r="9379" spans="2:6" ht="17.25" thickBot="1">
      <c r="B9379" s="226">
        <v>46202</v>
      </c>
      <c r="C9379" s="227">
        <v>0.57013888888888886</v>
      </c>
      <c r="D9379" s="228">
        <v>10</v>
      </c>
      <c r="E9379" s="225" t="s">
        <v>9214</v>
      </c>
      <c r="F9379" s="225" t="s">
        <v>6946</v>
      </c>
    </row>
    <row r="9380" spans="2:6" ht="64.5" thickBot="1">
      <c r="B9380" s="226">
        <v>46202</v>
      </c>
      <c r="C9380" s="227">
        <v>0.5154050925925926</v>
      </c>
      <c r="D9380" s="228">
        <v>1</v>
      </c>
      <c r="E9380" s="225" t="s">
        <v>9222</v>
      </c>
      <c r="F9380" s="225" t="s">
        <v>6946</v>
      </c>
    </row>
    <row r="9381" spans="2:6" ht="17.25" thickBot="1">
      <c r="B9381" s="226">
        <v>46202</v>
      </c>
      <c r="C9381" s="227">
        <v>0.60767361111111107</v>
      </c>
      <c r="D9381" s="228">
        <v>10</v>
      </c>
      <c r="E9381" s="225" t="s">
        <v>9215</v>
      </c>
      <c r="F9381" s="225" t="s">
        <v>6946</v>
      </c>
    </row>
    <row r="9382" spans="2:6" ht="17.25" thickBot="1">
      <c r="B9382" s="226">
        <v>46202</v>
      </c>
      <c r="C9382" s="227">
        <v>0.52760416666666665</v>
      </c>
      <c r="D9382" s="228">
        <v>10</v>
      </c>
      <c r="E9382" s="225" t="s">
        <v>9206</v>
      </c>
      <c r="F9382" s="225" t="s">
        <v>6946</v>
      </c>
    </row>
    <row r="9383" spans="2:6" ht="17.25" thickBot="1">
      <c r="B9383" s="226">
        <v>46202</v>
      </c>
      <c r="C9383" s="227">
        <v>0.57290509259259259</v>
      </c>
      <c r="D9383" s="228">
        <v>10</v>
      </c>
      <c r="E9383" s="225" t="s">
        <v>448</v>
      </c>
      <c r="F9383" s="225" t="s">
        <v>6946</v>
      </c>
    </row>
    <row r="9384" spans="2:6" ht="17.25" thickBot="1">
      <c r="B9384" s="226">
        <v>46202</v>
      </c>
      <c r="C9384" s="227">
        <v>0.44506944444444446</v>
      </c>
      <c r="D9384" s="228">
        <v>10</v>
      </c>
      <c r="E9384" s="225" t="s">
        <v>9220</v>
      </c>
      <c r="F9384" s="225" t="s">
        <v>6946</v>
      </c>
    </row>
    <row r="9385" spans="2:6" ht="17.25" thickBot="1">
      <c r="B9385" s="226">
        <v>46202</v>
      </c>
      <c r="C9385" s="227">
        <v>0.50335648148148149</v>
      </c>
      <c r="D9385" s="228">
        <v>10</v>
      </c>
      <c r="E9385" s="225" t="s">
        <v>9221</v>
      </c>
      <c r="F9385" s="225" t="s">
        <v>6946</v>
      </c>
    </row>
    <row r="9386" spans="2:6" ht="17.25" thickBot="1">
      <c r="B9386" s="226">
        <v>46202</v>
      </c>
      <c r="C9386" s="227">
        <v>0.47740740740740745</v>
      </c>
      <c r="D9386" s="228">
        <v>10</v>
      </c>
      <c r="E9386" s="225" t="s">
        <v>313</v>
      </c>
      <c r="F9386" s="225" t="s">
        <v>6946</v>
      </c>
    </row>
    <row r="9387" spans="2:6" ht="17.25" thickBot="1">
      <c r="B9387" s="226">
        <v>46202</v>
      </c>
      <c r="C9387" s="227">
        <v>0.56900462962962961</v>
      </c>
      <c r="D9387" s="228">
        <v>10</v>
      </c>
      <c r="E9387" s="225" t="s">
        <v>9201</v>
      </c>
      <c r="F9387" s="225" t="s">
        <v>6946</v>
      </c>
    </row>
    <row r="9388" spans="2:6" ht="17.25" thickBot="1">
      <c r="B9388" s="226">
        <v>46202</v>
      </c>
      <c r="C9388" s="227">
        <v>0.51011574074074073</v>
      </c>
      <c r="D9388" s="228">
        <v>10</v>
      </c>
      <c r="E9388" s="225" t="s">
        <v>9205</v>
      </c>
      <c r="F9388" s="225" t="s">
        <v>6946</v>
      </c>
    </row>
    <row r="9389" spans="2:6" ht="17.25" thickBot="1">
      <c r="B9389" s="226">
        <v>46202</v>
      </c>
      <c r="C9389" s="227">
        <v>0.68144675925925924</v>
      </c>
      <c r="D9389" s="228">
        <v>10</v>
      </c>
      <c r="E9389" s="225" t="s">
        <v>9198</v>
      </c>
      <c r="F9389" s="225" t="s">
        <v>6946</v>
      </c>
    </row>
    <row r="9390" spans="2:6" ht="17.25" thickBot="1">
      <c r="B9390" s="226">
        <v>46202</v>
      </c>
      <c r="C9390" s="227">
        <v>0.53396990740740746</v>
      </c>
      <c r="D9390" s="228">
        <v>10</v>
      </c>
      <c r="E9390" s="225" t="s">
        <v>9223</v>
      </c>
      <c r="F9390" s="225" t="s">
        <v>6946</v>
      </c>
    </row>
    <row r="9391" spans="2:6" ht="17.25" thickBot="1">
      <c r="B9391" s="226">
        <v>46202</v>
      </c>
      <c r="C9391" s="227">
        <v>0.48270833333333335</v>
      </c>
      <c r="D9391" s="228">
        <v>10</v>
      </c>
      <c r="E9391" s="225" t="s">
        <v>4549</v>
      </c>
      <c r="F9391" s="225" t="s">
        <v>6946</v>
      </c>
    </row>
    <row r="9392" spans="2:6" ht="17.25" thickBot="1">
      <c r="B9392" s="226">
        <v>46202</v>
      </c>
      <c r="C9392" s="227">
        <v>0.38924768518518515</v>
      </c>
      <c r="D9392" s="228">
        <v>10</v>
      </c>
      <c r="E9392" s="225" t="s">
        <v>5057</v>
      </c>
      <c r="F9392" s="225" t="s">
        <v>6946</v>
      </c>
    </row>
    <row r="9393" spans="2:6" ht="17.25" thickBot="1">
      <c r="B9393" s="226">
        <v>46202</v>
      </c>
      <c r="C9393" s="227">
        <v>0.47576388888888888</v>
      </c>
      <c r="D9393" s="228">
        <v>10</v>
      </c>
      <c r="E9393" s="225"/>
      <c r="F9393" s="225" t="s">
        <v>6946</v>
      </c>
    </row>
    <row r="9394" spans="2:6" ht="17.25" thickBot="1">
      <c r="B9394" s="226">
        <v>46202</v>
      </c>
      <c r="C9394" s="227">
        <v>0.46379629629629626</v>
      </c>
      <c r="D9394" s="228">
        <v>10</v>
      </c>
      <c r="E9394" s="225" t="s">
        <v>9224</v>
      </c>
      <c r="F9394" s="225" t="s">
        <v>6946</v>
      </c>
    </row>
    <row r="9395" spans="2:6" ht="17.25" thickBot="1">
      <c r="B9395" s="226">
        <v>46202</v>
      </c>
      <c r="C9395" s="227">
        <v>0.41740740740740739</v>
      </c>
      <c r="D9395" s="228">
        <v>10</v>
      </c>
      <c r="E9395" s="225" t="s">
        <v>9216</v>
      </c>
      <c r="F9395" s="225" t="s">
        <v>6946</v>
      </c>
    </row>
    <row r="9396" spans="2:6" ht="17.25" thickBot="1">
      <c r="B9396" s="226">
        <v>46202</v>
      </c>
      <c r="C9396" s="227">
        <v>0.42603009259259261</v>
      </c>
      <c r="D9396" s="228">
        <v>10</v>
      </c>
      <c r="E9396" s="225" t="s">
        <v>718</v>
      </c>
      <c r="F9396" s="225" t="s">
        <v>6946</v>
      </c>
    </row>
    <row r="9397" spans="2:6" ht="17.25" thickBot="1">
      <c r="B9397" s="226">
        <v>46202</v>
      </c>
      <c r="C9397" s="227">
        <v>0.41902777777777778</v>
      </c>
      <c r="D9397" s="228">
        <v>10</v>
      </c>
      <c r="E9397" s="225" t="s">
        <v>9225</v>
      </c>
      <c r="F9397" s="225" t="s">
        <v>6946</v>
      </c>
    </row>
    <row r="9398" spans="2:6" ht="39" thickBot="1">
      <c r="B9398" s="226">
        <v>46202</v>
      </c>
      <c r="C9398" s="227">
        <v>0.45372685185185185</v>
      </c>
      <c r="D9398" s="228">
        <v>10</v>
      </c>
      <c r="E9398" s="225" t="s">
        <v>9218</v>
      </c>
      <c r="F9398" s="225" t="s">
        <v>6946</v>
      </c>
    </row>
    <row r="9399" spans="2:6" ht="17.25" thickBot="1">
      <c r="B9399" s="226">
        <v>46202</v>
      </c>
      <c r="C9399" s="227">
        <v>0.5586458333333334</v>
      </c>
      <c r="D9399" s="228">
        <v>10</v>
      </c>
      <c r="E9399" s="225" t="s">
        <v>9210</v>
      </c>
      <c r="F9399" s="225" t="s">
        <v>6946</v>
      </c>
    </row>
    <row r="9400" spans="2:6" ht="17.25" thickBot="1">
      <c r="B9400" s="226">
        <v>46202</v>
      </c>
      <c r="C9400" s="227">
        <v>0.3856134259259259</v>
      </c>
      <c r="D9400" s="228">
        <v>10</v>
      </c>
      <c r="E9400" s="225" t="s">
        <v>9226</v>
      </c>
      <c r="F9400" s="225" t="s">
        <v>6946</v>
      </c>
    </row>
    <row r="9401" spans="2:6" ht="17.25" thickBot="1">
      <c r="B9401" s="226">
        <v>46202</v>
      </c>
      <c r="C9401" s="227">
        <v>0.43712962962962965</v>
      </c>
      <c r="D9401" s="228">
        <v>10</v>
      </c>
      <c r="E9401" s="225" t="s">
        <v>9219</v>
      </c>
      <c r="F9401" s="225" t="s">
        <v>6946</v>
      </c>
    </row>
    <row r="9402" spans="2:6" ht="17.25" thickBot="1">
      <c r="B9402" s="226">
        <v>46200</v>
      </c>
      <c r="C9402" s="227">
        <v>0.65758101851851858</v>
      </c>
      <c r="D9402" s="228">
        <v>10</v>
      </c>
      <c r="E9402" s="225" t="s">
        <v>9142</v>
      </c>
      <c r="F9402" s="225" t="s">
        <v>6946</v>
      </c>
    </row>
    <row r="9403" spans="2:6" ht="17.25" thickBot="1">
      <c r="B9403" s="226">
        <v>46200</v>
      </c>
      <c r="C9403" s="227">
        <v>0.72266203703703702</v>
      </c>
      <c r="D9403" s="228">
        <v>10</v>
      </c>
      <c r="E9403" s="225" t="s">
        <v>9148</v>
      </c>
      <c r="F9403" s="225" t="s">
        <v>6946</v>
      </c>
    </row>
    <row r="9404" spans="2:6" ht="17.25" thickBot="1">
      <c r="B9404" s="226">
        <v>46200</v>
      </c>
      <c r="C9404" s="227">
        <v>0.73307870370370365</v>
      </c>
      <c r="D9404" s="228">
        <v>10</v>
      </c>
      <c r="E9404" s="225" t="s">
        <v>9139</v>
      </c>
      <c r="F9404" s="225" t="s">
        <v>6946</v>
      </c>
    </row>
    <row r="9405" spans="2:6" ht="17.25" thickBot="1">
      <c r="B9405" s="226">
        <v>46200</v>
      </c>
      <c r="C9405" s="227">
        <v>0.74472222222222229</v>
      </c>
      <c r="D9405" s="228">
        <v>10</v>
      </c>
      <c r="E9405" s="225" t="s">
        <v>3277</v>
      </c>
      <c r="F9405" s="225" t="s">
        <v>6946</v>
      </c>
    </row>
    <row r="9406" spans="2:6" ht="17.25" thickBot="1">
      <c r="B9406" s="226">
        <v>46200</v>
      </c>
      <c r="C9406" s="227">
        <v>0.59420138888888896</v>
      </c>
      <c r="D9406" s="228">
        <v>10</v>
      </c>
      <c r="E9406" s="225" t="s">
        <v>9138</v>
      </c>
      <c r="F9406" s="225" t="s">
        <v>6946</v>
      </c>
    </row>
    <row r="9407" spans="2:6" ht="17.25" thickBot="1">
      <c r="B9407" s="226">
        <v>46200</v>
      </c>
      <c r="C9407" s="227">
        <v>0.54221064814814812</v>
      </c>
      <c r="D9407" s="228">
        <v>10</v>
      </c>
      <c r="E9407" s="225" t="s">
        <v>3058</v>
      </c>
      <c r="F9407" s="225" t="s">
        <v>6946</v>
      </c>
    </row>
    <row r="9408" spans="2:6" ht="17.25" thickBot="1">
      <c r="B9408" s="226">
        <v>46200</v>
      </c>
      <c r="C9408" s="227">
        <v>0.56063657407407408</v>
      </c>
      <c r="D9408" s="228">
        <v>10</v>
      </c>
      <c r="E9408" s="225" t="s">
        <v>9141</v>
      </c>
      <c r="F9408" s="225" t="s">
        <v>6946</v>
      </c>
    </row>
    <row r="9409" spans="2:6" ht="17.25" thickBot="1">
      <c r="B9409" s="226">
        <v>46200</v>
      </c>
      <c r="C9409" s="227">
        <v>0.62793981481481487</v>
      </c>
      <c r="D9409" s="228">
        <v>10</v>
      </c>
      <c r="E9409" s="225" t="s">
        <v>9150</v>
      </c>
      <c r="F9409" s="225" t="s">
        <v>6946</v>
      </c>
    </row>
    <row r="9410" spans="2:6" ht="17.25" thickBot="1">
      <c r="B9410" s="226">
        <v>46200</v>
      </c>
      <c r="C9410" s="227">
        <v>0.67871527777777774</v>
      </c>
      <c r="D9410" s="228">
        <v>10</v>
      </c>
      <c r="E9410" s="225" t="s">
        <v>9144</v>
      </c>
      <c r="F9410" s="225" t="s">
        <v>6946</v>
      </c>
    </row>
    <row r="9411" spans="2:6" ht="17.25" thickBot="1">
      <c r="B9411" s="226">
        <v>46200</v>
      </c>
      <c r="C9411" s="227">
        <v>0.61890046296296297</v>
      </c>
      <c r="D9411" s="228">
        <v>10</v>
      </c>
      <c r="E9411" s="225" t="s">
        <v>9152</v>
      </c>
      <c r="F9411" s="225" t="s">
        <v>6946</v>
      </c>
    </row>
    <row r="9412" spans="2:6" ht="17.25" thickBot="1">
      <c r="B9412" s="226">
        <v>46200</v>
      </c>
      <c r="C9412" s="227">
        <v>0.71136574074074066</v>
      </c>
      <c r="D9412" s="228">
        <v>10</v>
      </c>
      <c r="E9412" s="225" t="s">
        <v>6568</v>
      </c>
      <c r="F9412" s="225" t="s">
        <v>6946</v>
      </c>
    </row>
    <row r="9413" spans="2:6" ht="17.25" thickBot="1">
      <c r="B9413" s="226">
        <v>46200</v>
      </c>
      <c r="C9413" s="227">
        <v>0.62968750000000007</v>
      </c>
      <c r="D9413" s="228">
        <v>10</v>
      </c>
      <c r="E9413" s="225" t="s">
        <v>132</v>
      </c>
      <c r="F9413" s="225" t="s">
        <v>6946</v>
      </c>
    </row>
    <row r="9414" spans="2:6" ht="17.25" thickBot="1">
      <c r="B9414" s="226">
        <v>46200</v>
      </c>
      <c r="C9414" s="227">
        <v>0.61391203703703701</v>
      </c>
      <c r="D9414" s="228">
        <v>10</v>
      </c>
      <c r="E9414" s="225" t="s">
        <v>9146</v>
      </c>
      <c r="F9414" s="225" t="s">
        <v>6946</v>
      </c>
    </row>
    <row r="9415" spans="2:6" ht="17.25" thickBot="1">
      <c r="B9415" s="226">
        <v>46200</v>
      </c>
      <c r="C9415" s="227">
        <v>0.41883101851851851</v>
      </c>
      <c r="D9415" s="228">
        <v>10</v>
      </c>
      <c r="E9415" s="225" t="s">
        <v>9151</v>
      </c>
      <c r="F9415" s="225" t="s">
        <v>6946</v>
      </c>
    </row>
    <row r="9416" spans="2:6" ht="17.25" thickBot="1">
      <c r="B9416" s="226">
        <v>46200</v>
      </c>
      <c r="C9416" s="227">
        <v>0.55053240740740739</v>
      </c>
      <c r="D9416" s="228">
        <v>10</v>
      </c>
      <c r="E9416" s="225" t="s">
        <v>9145</v>
      </c>
      <c r="F9416" s="225" t="s">
        <v>6946</v>
      </c>
    </row>
    <row r="9417" spans="2:6" ht="17.25" thickBot="1">
      <c r="B9417" s="226">
        <v>46200</v>
      </c>
      <c r="C9417" s="227">
        <v>0.57587962962962969</v>
      </c>
      <c r="D9417" s="228">
        <v>10</v>
      </c>
      <c r="E9417" s="225" t="s">
        <v>9143</v>
      </c>
      <c r="F9417" s="225" t="s">
        <v>6946</v>
      </c>
    </row>
    <row r="9418" spans="2:6" ht="26.25" thickBot="1">
      <c r="B9418" s="226">
        <v>46200</v>
      </c>
      <c r="C9418" s="227">
        <v>0.51346064814814818</v>
      </c>
      <c r="D9418" s="228">
        <v>10</v>
      </c>
      <c r="E9418" s="225" t="s">
        <v>9140</v>
      </c>
      <c r="F9418" s="225" t="s">
        <v>6946</v>
      </c>
    </row>
    <row r="9419" spans="2:6" ht="17.25" thickBot="1">
      <c r="B9419" s="226">
        <v>46200</v>
      </c>
      <c r="C9419" s="227">
        <v>0.40364583333333331</v>
      </c>
      <c r="D9419" s="228">
        <v>10</v>
      </c>
      <c r="E9419" s="225" t="s">
        <v>9149</v>
      </c>
      <c r="F9419" s="225" t="s">
        <v>6946</v>
      </c>
    </row>
    <row r="9420" spans="2:6" ht="17.25" thickBot="1">
      <c r="B9420" s="226">
        <v>46200</v>
      </c>
      <c r="C9420" s="227">
        <v>0.4001736111111111</v>
      </c>
      <c r="D9420" s="228">
        <v>10</v>
      </c>
      <c r="E9420" s="225" t="s">
        <v>9147</v>
      </c>
      <c r="F9420" s="225" t="s">
        <v>6946</v>
      </c>
    </row>
    <row r="9421" spans="2:6" ht="17.25" thickBot="1">
      <c r="B9421" s="226">
        <v>46199</v>
      </c>
      <c r="C9421" s="227">
        <v>0.765625</v>
      </c>
      <c r="D9421" s="228">
        <v>10</v>
      </c>
      <c r="E9421" s="225" t="s">
        <v>9166</v>
      </c>
      <c r="F9421" s="225" t="s">
        <v>6946</v>
      </c>
    </row>
    <row r="9422" spans="2:6" ht="17.25" thickBot="1">
      <c r="B9422" s="226">
        <v>46199</v>
      </c>
      <c r="C9422" s="227">
        <v>0.75148148148148142</v>
      </c>
      <c r="D9422" s="228">
        <v>10</v>
      </c>
      <c r="E9422" s="225" t="s">
        <v>9153</v>
      </c>
      <c r="F9422" s="225" t="s">
        <v>6946</v>
      </c>
    </row>
    <row r="9423" spans="2:6" ht="17.25" thickBot="1">
      <c r="B9423" s="226">
        <v>46199</v>
      </c>
      <c r="C9423" s="227">
        <v>0.91665509259259259</v>
      </c>
      <c r="D9423" s="228">
        <v>10</v>
      </c>
      <c r="E9423" s="225" t="s">
        <v>9159</v>
      </c>
      <c r="F9423" s="225" t="s">
        <v>6946</v>
      </c>
    </row>
    <row r="9424" spans="2:6" ht="39" thickBot="1">
      <c r="B9424" s="226">
        <v>46199</v>
      </c>
      <c r="C9424" s="227">
        <v>0.7471875</v>
      </c>
      <c r="D9424" s="228">
        <v>10</v>
      </c>
      <c r="E9424" s="225" t="s">
        <v>9154</v>
      </c>
      <c r="F9424" s="225" t="s">
        <v>6946</v>
      </c>
    </row>
    <row r="9425" spans="2:6" ht="17.25" thickBot="1">
      <c r="B9425" s="226">
        <v>46199</v>
      </c>
      <c r="C9425" s="227">
        <v>0.61822916666666672</v>
      </c>
      <c r="D9425" s="228">
        <v>10</v>
      </c>
      <c r="E9425" s="225" t="s">
        <v>9157</v>
      </c>
      <c r="F9425" s="225" t="s">
        <v>6946</v>
      </c>
    </row>
    <row r="9426" spans="2:6" ht="17.25" thickBot="1">
      <c r="B9426" s="226">
        <v>46199</v>
      </c>
      <c r="C9426" s="227">
        <v>0.67858796296296298</v>
      </c>
      <c r="D9426" s="228">
        <v>10</v>
      </c>
      <c r="E9426" s="225" t="s">
        <v>9164</v>
      </c>
      <c r="F9426" s="225" t="s">
        <v>6946</v>
      </c>
    </row>
    <row r="9427" spans="2:6" ht="17.25" thickBot="1">
      <c r="B9427" s="226">
        <v>46199</v>
      </c>
      <c r="C9427" s="227">
        <v>0.71886574074074072</v>
      </c>
      <c r="D9427" s="228">
        <v>10</v>
      </c>
      <c r="E9427" s="225" t="s">
        <v>9163</v>
      </c>
      <c r="F9427" s="225" t="s">
        <v>6946</v>
      </c>
    </row>
    <row r="9428" spans="2:6" ht="17.25" thickBot="1">
      <c r="B9428" s="226">
        <v>46199</v>
      </c>
      <c r="C9428" s="227">
        <v>0.69380787037037039</v>
      </c>
      <c r="D9428" s="228">
        <v>10</v>
      </c>
      <c r="E9428" s="225" t="s">
        <v>9171</v>
      </c>
      <c r="F9428" s="225" t="s">
        <v>6946</v>
      </c>
    </row>
    <row r="9429" spans="2:6" ht="17.25" thickBot="1">
      <c r="B9429" s="226">
        <v>46199</v>
      </c>
      <c r="C9429" s="227">
        <v>0.85866898148148152</v>
      </c>
      <c r="D9429" s="228">
        <v>10</v>
      </c>
      <c r="E9429" s="225" t="s">
        <v>244</v>
      </c>
      <c r="F9429" s="225" t="s">
        <v>6946</v>
      </c>
    </row>
    <row r="9430" spans="2:6" ht="17.25" thickBot="1">
      <c r="B9430" s="226">
        <v>46199</v>
      </c>
      <c r="C9430" s="227">
        <v>0.6769560185185185</v>
      </c>
      <c r="D9430" s="228">
        <v>10</v>
      </c>
      <c r="E9430" s="225" t="s">
        <v>9170</v>
      </c>
      <c r="F9430" s="225" t="s">
        <v>6946</v>
      </c>
    </row>
    <row r="9431" spans="2:6" ht="17.25" thickBot="1">
      <c r="B9431" s="226">
        <v>46199</v>
      </c>
      <c r="C9431" s="227">
        <v>0.74937500000000001</v>
      </c>
      <c r="D9431" s="228">
        <v>10</v>
      </c>
      <c r="E9431" s="225" t="s">
        <v>9167</v>
      </c>
      <c r="F9431" s="225" t="s">
        <v>6946</v>
      </c>
    </row>
    <row r="9432" spans="2:6" ht="17.25" thickBot="1">
      <c r="B9432" s="226">
        <v>46199</v>
      </c>
      <c r="C9432" s="227">
        <v>0.67601851851851846</v>
      </c>
      <c r="D9432" s="228">
        <v>10</v>
      </c>
      <c r="E9432" s="225" t="s">
        <v>9169</v>
      </c>
      <c r="F9432" s="225" t="s">
        <v>6946</v>
      </c>
    </row>
    <row r="9433" spans="2:6" ht="17.25" thickBot="1">
      <c r="B9433" s="226">
        <v>46199</v>
      </c>
      <c r="C9433" s="227">
        <v>0.68515046296296289</v>
      </c>
      <c r="D9433" s="228">
        <v>10</v>
      </c>
      <c r="E9433" s="225" t="s">
        <v>565</v>
      </c>
      <c r="F9433" s="225" t="s">
        <v>6946</v>
      </c>
    </row>
    <row r="9434" spans="2:6" ht="17.25" thickBot="1">
      <c r="B9434" s="226">
        <v>46199</v>
      </c>
      <c r="C9434" s="227">
        <v>0.77214120370370365</v>
      </c>
      <c r="D9434" s="228">
        <v>10</v>
      </c>
      <c r="E9434" s="225" t="s">
        <v>9156</v>
      </c>
      <c r="F9434" s="225" t="s">
        <v>6946</v>
      </c>
    </row>
    <row r="9435" spans="2:6" ht="17.25" thickBot="1">
      <c r="B9435" s="226">
        <v>46199</v>
      </c>
      <c r="C9435" s="227">
        <v>0.67737268518518512</v>
      </c>
      <c r="D9435" s="228">
        <v>10</v>
      </c>
      <c r="E9435" s="225" t="s">
        <v>9181</v>
      </c>
      <c r="F9435" s="225" t="s">
        <v>6946</v>
      </c>
    </row>
    <row r="9436" spans="2:6" ht="17.25" thickBot="1">
      <c r="B9436" s="226">
        <v>46199</v>
      </c>
      <c r="C9436" s="227">
        <v>0.70835648148148145</v>
      </c>
      <c r="D9436" s="228">
        <v>10</v>
      </c>
      <c r="E9436" s="225" t="s">
        <v>4051</v>
      </c>
      <c r="F9436" s="225" t="s">
        <v>6946</v>
      </c>
    </row>
    <row r="9437" spans="2:6" ht="17.25" thickBot="1">
      <c r="B9437" s="226">
        <v>46199</v>
      </c>
      <c r="C9437" s="227">
        <v>0.73788194444444455</v>
      </c>
      <c r="D9437" s="228">
        <v>10</v>
      </c>
      <c r="E9437" s="225" t="s">
        <v>9165</v>
      </c>
      <c r="F9437" s="225" t="s">
        <v>6946</v>
      </c>
    </row>
    <row r="9438" spans="2:6" ht="17.25" thickBot="1">
      <c r="B9438" s="226">
        <v>46199</v>
      </c>
      <c r="C9438" s="227">
        <v>0.62723379629629628</v>
      </c>
      <c r="D9438" s="228">
        <v>10</v>
      </c>
      <c r="E9438" s="225" t="s">
        <v>1942</v>
      </c>
      <c r="F9438" s="225" t="s">
        <v>6946</v>
      </c>
    </row>
    <row r="9439" spans="2:6" ht="17.25" thickBot="1">
      <c r="B9439" s="226">
        <v>46199</v>
      </c>
      <c r="C9439" s="227">
        <v>0.66432870370370367</v>
      </c>
      <c r="D9439" s="228">
        <v>10</v>
      </c>
      <c r="E9439" s="225" t="s">
        <v>9155</v>
      </c>
      <c r="F9439" s="225" t="s">
        <v>6946</v>
      </c>
    </row>
    <row r="9440" spans="2:6" ht="17.25" thickBot="1">
      <c r="B9440" s="226">
        <v>46199</v>
      </c>
      <c r="C9440" s="227">
        <v>0.61895833333333339</v>
      </c>
      <c r="D9440" s="228">
        <v>10</v>
      </c>
      <c r="E9440" s="225" t="s">
        <v>9172</v>
      </c>
      <c r="F9440" s="225" t="s">
        <v>6946</v>
      </c>
    </row>
    <row r="9441" spans="2:6" ht="17.25" thickBot="1">
      <c r="B9441" s="226">
        <v>46199</v>
      </c>
      <c r="C9441" s="227">
        <v>0.63832175925925927</v>
      </c>
      <c r="D9441" s="228">
        <v>10</v>
      </c>
      <c r="E9441" s="225" t="s">
        <v>9173</v>
      </c>
      <c r="F9441" s="225" t="s">
        <v>6946</v>
      </c>
    </row>
    <row r="9442" spans="2:6" ht="17.25" thickBot="1">
      <c r="B9442" s="226">
        <v>46199</v>
      </c>
      <c r="C9442" s="227">
        <v>0.65937499999999993</v>
      </c>
      <c r="D9442" s="228">
        <v>10</v>
      </c>
      <c r="E9442" s="225" t="s">
        <v>9162</v>
      </c>
      <c r="F9442" s="225" t="s">
        <v>6946</v>
      </c>
    </row>
    <row r="9443" spans="2:6" ht="17.25" thickBot="1">
      <c r="B9443" s="226">
        <v>46199</v>
      </c>
      <c r="C9443" s="227">
        <v>0.63416666666666666</v>
      </c>
      <c r="D9443" s="228">
        <v>10</v>
      </c>
      <c r="E9443" s="225" t="s">
        <v>9161</v>
      </c>
      <c r="F9443" s="225" t="s">
        <v>6946</v>
      </c>
    </row>
    <row r="9444" spans="2:6" ht="17.25" thickBot="1">
      <c r="B9444" s="226">
        <v>46199</v>
      </c>
      <c r="C9444" s="227">
        <v>0.56636574074074075</v>
      </c>
      <c r="D9444" s="228">
        <v>10</v>
      </c>
      <c r="E9444" s="225" t="s">
        <v>244</v>
      </c>
      <c r="F9444" s="225" t="s">
        <v>6946</v>
      </c>
    </row>
    <row r="9445" spans="2:6" ht="17.25" thickBot="1">
      <c r="B9445" s="226">
        <v>46199</v>
      </c>
      <c r="C9445" s="227">
        <v>0.58315972222222223</v>
      </c>
      <c r="D9445" s="228">
        <v>10</v>
      </c>
      <c r="E9445" s="225" t="s">
        <v>246</v>
      </c>
      <c r="F9445" s="225" t="s">
        <v>6946</v>
      </c>
    </row>
    <row r="9446" spans="2:6" ht="17.25" thickBot="1">
      <c r="B9446" s="226">
        <v>46199</v>
      </c>
      <c r="C9446" s="227">
        <v>0.82151620370370371</v>
      </c>
      <c r="D9446" s="228">
        <v>10</v>
      </c>
      <c r="E9446" s="225" t="s">
        <v>9158</v>
      </c>
      <c r="F9446" s="225" t="s">
        <v>6946</v>
      </c>
    </row>
    <row r="9447" spans="2:6" ht="17.25" thickBot="1">
      <c r="B9447" s="226">
        <v>46199</v>
      </c>
      <c r="C9447" s="227">
        <v>0.51442129629629629</v>
      </c>
      <c r="D9447" s="228">
        <v>10</v>
      </c>
      <c r="E9447" s="225" t="s">
        <v>9160</v>
      </c>
      <c r="F9447" s="225" t="s">
        <v>6946</v>
      </c>
    </row>
    <row r="9448" spans="2:6" ht="17.25" thickBot="1">
      <c r="B9448" s="226">
        <v>46199</v>
      </c>
      <c r="C9448" s="227">
        <v>0.50108796296296299</v>
      </c>
      <c r="D9448" s="228">
        <v>10</v>
      </c>
      <c r="E9448" s="225" t="s">
        <v>9180</v>
      </c>
      <c r="F9448" s="225" t="s">
        <v>6946</v>
      </c>
    </row>
    <row r="9449" spans="2:6" ht="17.25" thickBot="1">
      <c r="B9449" s="226">
        <v>46199</v>
      </c>
      <c r="C9449" s="227">
        <v>0.49092592592592593</v>
      </c>
      <c r="D9449" s="228">
        <v>10</v>
      </c>
      <c r="E9449" s="225" t="s">
        <v>9178</v>
      </c>
      <c r="F9449" s="225" t="s">
        <v>6946</v>
      </c>
    </row>
    <row r="9450" spans="2:6" ht="17.25" thickBot="1">
      <c r="B9450" s="226">
        <v>46199</v>
      </c>
      <c r="C9450" s="227">
        <v>0.42818287037037034</v>
      </c>
      <c r="D9450" s="228">
        <v>10</v>
      </c>
      <c r="E9450" s="225" t="s">
        <v>9179</v>
      </c>
      <c r="F9450" s="225" t="s">
        <v>6946</v>
      </c>
    </row>
    <row r="9451" spans="2:6" ht="17.25" thickBot="1">
      <c r="B9451" s="226">
        <v>46199</v>
      </c>
      <c r="C9451" s="227">
        <v>0.63241898148148146</v>
      </c>
      <c r="D9451" s="228">
        <v>10</v>
      </c>
      <c r="E9451" s="225" t="s">
        <v>9168</v>
      </c>
      <c r="F9451" s="225" t="s">
        <v>6946</v>
      </c>
    </row>
    <row r="9452" spans="2:6" ht="17.25" thickBot="1">
      <c r="B9452" s="226">
        <v>46199</v>
      </c>
      <c r="C9452" s="227">
        <v>0.55598379629629624</v>
      </c>
      <c r="D9452" s="228">
        <v>10</v>
      </c>
      <c r="E9452" s="225" t="s">
        <v>244</v>
      </c>
      <c r="F9452" s="225" t="s">
        <v>6946</v>
      </c>
    </row>
    <row r="9453" spans="2:6" ht="17.25" thickBot="1">
      <c r="B9453" s="226">
        <v>46199</v>
      </c>
      <c r="C9453" s="227">
        <v>0.43579861111111112</v>
      </c>
      <c r="D9453" s="228">
        <v>10</v>
      </c>
      <c r="E9453" s="225" t="s">
        <v>9175</v>
      </c>
      <c r="F9453" s="225" t="s">
        <v>6946</v>
      </c>
    </row>
    <row r="9454" spans="2:6" ht="17.25" thickBot="1">
      <c r="B9454" s="226">
        <v>46199</v>
      </c>
      <c r="C9454" s="227">
        <v>0.44767361111111109</v>
      </c>
      <c r="D9454" s="228">
        <v>10</v>
      </c>
      <c r="E9454" s="225" t="s">
        <v>9177</v>
      </c>
      <c r="F9454" s="225" t="s">
        <v>6946</v>
      </c>
    </row>
    <row r="9455" spans="2:6" ht="17.25" thickBot="1">
      <c r="B9455" s="226">
        <v>46199</v>
      </c>
      <c r="C9455" s="227">
        <v>0.41033564814814816</v>
      </c>
      <c r="D9455" s="228">
        <v>10</v>
      </c>
      <c r="E9455" s="225" t="s">
        <v>9174</v>
      </c>
      <c r="F9455" s="225" t="s">
        <v>6946</v>
      </c>
    </row>
    <row r="9456" spans="2:6" ht="17.25" thickBot="1">
      <c r="B9456" s="226">
        <v>46199</v>
      </c>
      <c r="C9456" s="227">
        <v>0.44324074074074077</v>
      </c>
      <c r="D9456" s="228">
        <v>10</v>
      </c>
      <c r="E9456" s="225" t="s">
        <v>9176</v>
      </c>
      <c r="F9456" s="225" t="s">
        <v>6946</v>
      </c>
    </row>
    <row r="9457" spans="2:6" ht="17.25" thickBot="1">
      <c r="B9457" s="226">
        <v>46198</v>
      </c>
      <c r="C9457" s="227">
        <v>0.73954861111111114</v>
      </c>
      <c r="D9457" s="228">
        <v>10</v>
      </c>
      <c r="E9457" s="225" t="s">
        <v>537</v>
      </c>
      <c r="F9457" s="225" t="s">
        <v>6946</v>
      </c>
    </row>
    <row r="9458" spans="2:6" ht="17.25" thickBot="1">
      <c r="B9458" s="226">
        <v>46198</v>
      </c>
      <c r="C9458" s="227">
        <v>0.90516203703703713</v>
      </c>
      <c r="D9458" s="228">
        <v>10</v>
      </c>
      <c r="E9458" s="225" t="s">
        <v>5415</v>
      </c>
      <c r="F9458" s="225" t="s">
        <v>6946</v>
      </c>
    </row>
    <row r="9459" spans="2:6" ht="17.25" thickBot="1">
      <c r="B9459" s="226">
        <v>46198</v>
      </c>
      <c r="C9459" s="227">
        <v>0.90634259259259264</v>
      </c>
      <c r="D9459" s="228">
        <v>10</v>
      </c>
      <c r="E9459" s="225" t="s">
        <v>537</v>
      </c>
      <c r="F9459" s="225" t="s">
        <v>6946</v>
      </c>
    </row>
    <row r="9460" spans="2:6" ht="17.25" thickBot="1">
      <c r="B9460" s="226">
        <v>46198</v>
      </c>
      <c r="C9460" s="227">
        <v>0.69232638888888898</v>
      </c>
      <c r="D9460" s="228">
        <v>10</v>
      </c>
      <c r="E9460" s="225" t="s">
        <v>9125</v>
      </c>
      <c r="F9460" s="225" t="s">
        <v>6946</v>
      </c>
    </row>
    <row r="9461" spans="2:6" ht="17.25" thickBot="1">
      <c r="B9461" s="226">
        <v>46198</v>
      </c>
      <c r="C9461" s="227">
        <v>0.74648148148148152</v>
      </c>
      <c r="D9461" s="228">
        <v>10</v>
      </c>
      <c r="E9461" s="225" t="s">
        <v>9110</v>
      </c>
      <c r="F9461" s="225" t="s">
        <v>6946</v>
      </c>
    </row>
    <row r="9462" spans="2:6" ht="17.25" thickBot="1">
      <c r="B9462" s="226">
        <v>46198</v>
      </c>
      <c r="C9462" s="227">
        <v>0.81331018518518527</v>
      </c>
      <c r="D9462" s="228">
        <v>10</v>
      </c>
      <c r="E9462" s="225" t="s">
        <v>9135</v>
      </c>
      <c r="F9462" s="225" t="s">
        <v>6946</v>
      </c>
    </row>
    <row r="9463" spans="2:6" ht="17.25" thickBot="1">
      <c r="B9463" s="226">
        <v>46198</v>
      </c>
      <c r="C9463" s="227">
        <v>0.71704861111111118</v>
      </c>
      <c r="D9463" s="228">
        <v>10</v>
      </c>
      <c r="E9463" s="225" t="s">
        <v>4679</v>
      </c>
      <c r="F9463" s="225" t="s">
        <v>6946</v>
      </c>
    </row>
    <row r="9464" spans="2:6" ht="17.25" thickBot="1">
      <c r="B9464" s="226">
        <v>46198</v>
      </c>
      <c r="C9464" s="227">
        <v>0.7179861111111111</v>
      </c>
      <c r="D9464" s="228">
        <v>10</v>
      </c>
      <c r="E9464" s="225" t="s">
        <v>9112</v>
      </c>
      <c r="F9464" s="225" t="s">
        <v>6946</v>
      </c>
    </row>
    <row r="9465" spans="2:6" ht="17.25" thickBot="1">
      <c r="B9465" s="226">
        <v>46198</v>
      </c>
      <c r="C9465" s="227">
        <v>0.63459490740740743</v>
      </c>
      <c r="D9465" s="228">
        <v>10</v>
      </c>
      <c r="E9465" s="225" t="s">
        <v>9121</v>
      </c>
      <c r="F9465" s="225" t="s">
        <v>6946</v>
      </c>
    </row>
    <row r="9466" spans="2:6" ht="17.25" thickBot="1">
      <c r="B9466" s="226">
        <v>46198</v>
      </c>
      <c r="C9466" s="227">
        <v>0.71516203703703696</v>
      </c>
      <c r="D9466" s="228">
        <v>10</v>
      </c>
      <c r="E9466" s="225" t="s">
        <v>9119</v>
      </c>
      <c r="F9466" s="225" t="s">
        <v>6946</v>
      </c>
    </row>
    <row r="9467" spans="2:6" ht="17.25" thickBot="1">
      <c r="B9467" s="226">
        <v>46198</v>
      </c>
      <c r="C9467" s="227">
        <v>0.69578703703703704</v>
      </c>
      <c r="D9467" s="228">
        <v>10</v>
      </c>
      <c r="E9467" s="225" t="s">
        <v>9130</v>
      </c>
      <c r="F9467" s="225" t="s">
        <v>6946</v>
      </c>
    </row>
    <row r="9468" spans="2:6" ht="17.25" thickBot="1">
      <c r="B9468" s="226">
        <v>46198</v>
      </c>
      <c r="C9468" s="227">
        <v>0.59605324074074073</v>
      </c>
      <c r="D9468" s="228">
        <v>10</v>
      </c>
      <c r="E9468" s="225" t="s">
        <v>9129</v>
      </c>
      <c r="F9468" s="225" t="s">
        <v>6946</v>
      </c>
    </row>
    <row r="9469" spans="2:6" ht="17.25" thickBot="1">
      <c r="B9469" s="226">
        <v>46198</v>
      </c>
      <c r="C9469" s="227">
        <v>0.61861111111111111</v>
      </c>
      <c r="D9469" s="228">
        <v>10</v>
      </c>
      <c r="E9469" s="225" t="s">
        <v>9126</v>
      </c>
      <c r="F9469" s="225" t="s">
        <v>6946</v>
      </c>
    </row>
    <row r="9470" spans="2:6" ht="17.25" thickBot="1">
      <c r="B9470" s="226">
        <v>46198</v>
      </c>
      <c r="C9470" s="227">
        <v>0.62607638888888884</v>
      </c>
      <c r="D9470" s="228">
        <v>10</v>
      </c>
      <c r="E9470" s="225" t="s">
        <v>9131</v>
      </c>
      <c r="F9470" s="225" t="s">
        <v>6946</v>
      </c>
    </row>
    <row r="9471" spans="2:6" ht="17.25" thickBot="1">
      <c r="B9471" s="226">
        <v>46198</v>
      </c>
      <c r="C9471" s="227">
        <v>0.62991898148148151</v>
      </c>
      <c r="D9471" s="228">
        <v>10</v>
      </c>
      <c r="E9471" s="225" t="s">
        <v>9133</v>
      </c>
      <c r="F9471" s="225" t="s">
        <v>6946</v>
      </c>
    </row>
    <row r="9472" spans="2:6" ht="17.25" thickBot="1">
      <c r="B9472" s="226">
        <v>46198</v>
      </c>
      <c r="C9472" s="227">
        <v>0.76324074074074078</v>
      </c>
      <c r="D9472" s="228">
        <v>10</v>
      </c>
      <c r="E9472" s="225" t="s">
        <v>9128</v>
      </c>
      <c r="F9472" s="225" t="s">
        <v>6946</v>
      </c>
    </row>
    <row r="9473" spans="2:6" ht="17.25" thickBot="1">
      <c r="B9473" s="226">
        <v>46198</v>
      </c>
      <c r="C9473" s="227">
        <v>0.64545138888888887</v>
      </c>
      <c r="D9473" s="228">
        <v>10</v>
      </c>
      <c r="E9473" s="225" t="s">
        <v>9134</v>
      </c>
      <c r="F9473" s="225" t="s">
        <v>6946</v>
      </c>
    </row>
    <row r="9474" spans="2:6" ht="17.25" thickBot="1">
      <c r="B9474" s="226">
        <v>46198</v>
      </c>
      <c r="C9474" s="227">
        <v>0.54421296296296295</v>
      </c>
      <c r="D9474" s="228">
        <v>10</v>
      </c>
      <c r="E9474" s="225" t="s">
        <v>9123</v>
      </c>
      <c r="F9474" s="225" t="s">
        <v>6946</v>
      </c>
    </row>
    <row r="9475" spans="2:6" ht="17.25" thickBot="1">
      <c r="B9475" s="226">
        <v>46198</v>
      </c>
      <c r="C9475" s="227">
        <v>0.51218750000000002</v>
      </c>
      <c r="D9475" s="228">
        <v>10</v>
      </c>
      <c r="E9475" s="225" t="s">
        <v>288</v>
      </c>
      <c r="F9475" s="225" t="s">
        <v>6946</v>
      </c>
    </row>
    <row r="9476" spans="2:6" ht="17.25" thickBot="1">
      <c r="B9476" s="226">
        <v>46198</v>
      </c>
      <c r="C9476" s="227">
        <v>0.80473379629629627</v>
      </c>
      <c r="D9476" s="228">
        <v>10</v>
      </c>
      <c r="E9476" s="225" t="s">
        <v>8163</v>
      </c>
      <c r="F9476" s="225" t="s">
        <v>6946</v>
      </c>
    </row>
    <row r="9477" spans="2:6" ht="17.25" thickBot="1">
      <c r="B9477" s="226">
        <v>46198</v>
      </c>
      <c r="C9477" s="227">
        <v>0.6111805555555555</v>
      </c>
      <c r="D9477" s="228">
        <v>10</v>
      </c>
      <c r="E9477" s="225" t="s">
        <v>9120</v>
      </c>
      <c r="F9477" s="225" t="s">
        <v>6946</v>
      </c>
    </row>
    <row r="9478" spans="2:6" ht="17.25" thickBot="1">
      <c r="B9478" s="226">
        <v>46198</v>
      </c>
      <c r="C9478" s="227">
        <v>0.56660879629629635</v>
      </c>
      <c r="D9478" s="228">
        <v>10</v>
      </c>
      <c r="E9478" s="225" t="s">
        <v>9117</v>
      </c>
      <c r="F9478" s="225" t="s">
        <v>6946</v>
      </c>
    </row>
    <row r="9479" spans="2:6" ht="17.25" thickBot="1">
      <c r="B9479" s="226">
        <v>46198</v>
      </c>
      <c r="C9479" s="227">
        <v>0.56159722222222219</v>
      </c>
      <c r="D9479" s="228">
        <v>10</v>
      </c>
      <c r="E9479" s="225" t="s">
        <v>9127</v>
      </c>
      <c r="F9479" s="225" t="s">
        <v>6946</v>
      </c>
    </row>
    <row r="9480" spans="2:6" ht="17.25" thickBot="1">
      <c r="B9480" s="226">
        <v>46198</v>
      </c>
      <c r="C9480" s="227">
        <v>0.41405092592592596</v>
      </c>
      <c r="D9480" s="228">
        <v>10</v>
      </c>
      <c r="E9480" s="225" t="s">
        <v>3468</v>
      </c>
      <c r="F9480" s="225" t="s">
        <v>6946</v>
      </c>
    </row>
    <row r="9481" spans="2:6" ht="17.25" thickBot="1">
      <c r="B9481" s="226">
        <v>46198</v>
      </c>
      <c r="C9481" s="227">
        <v>0.56572916666666673</v>
      </c>
      <c r="D9481" s="228">
        <v>10</v>
      </c>
      <c r="E9481" s="225" t="s">
        <v>9118</v>
      </c>
      <c r="F9481" s="225" t="s">
        <v>6946</v>
      </c>
    </row>
    <row r="9482" spans="2:6" ht="17.25" thickBot="1">
      <c r="B9482" s="226">
        <v>46198</v>
      </c>
      <c r="C9482" s="227">
        <v>0.50876157407407407</v>
      </c>
      <c r="D9482" s="228">
        <v>10</v>
      </c>
      <c r="E9482" s="225" t="s">
        <v>9122</v>
      </c>
      <c r="F9482" s="225" t="s">
        <v>6946</v>
      </c>
    </row>
    <row r="9483" spans="2:6" ht="17.25" thickBot="1">
      <c r="B9483" s="226">
        <v>46198</v>
      </c>
      <c r="C9483" s="227">
        <v>0.4850694444444445</v>
      </c>
      <c r="D9483" s="228">
        <v>10</v>
      </c>
      <c r="E9483" s="225" t="s">
        <v>9124</v>
      </c>
      <c r="F9483" s="225" t="s">
        <v>6946</v>
      </c>
    </row>
    <row r="9484" spans="2:6" ht="17.25" thickBot="1">
      <c r="B9484" s="226">
        <v>46198</v>
      </c>
      <c r="C9484" s="227">
        <v>0.49458333333333332</v>
      </c>
      <c r="D9484" s="228">
        <v>10</v>
      </c>
      <c r="E9484" s="225" t="s">
        <v>9115</v>
      </c>
      <c r="F9484" s="225" t="s">
        <v>6946</v>
      </c>
    </row>
    <row r="9485" spans="2:6" ht="17.25" thickBot="1">
      <c r="B9485" s="226">
        <v>46198</v>
      </c>
      <c r="C9485" s="227">
        <v>0.54666666666666663</v>
      </c>
      <c r="D9485" s="228">
        <v>10</v>
      </c>
      <c r="E9485" s="225" t="s">
        <v>9132</v>
      </c>
      <c r="F9485" s="225" t="s">
        <v>6946</v>
      </c>
    </row>
    <row r="9486" spans="2:6" ht="17.25" thickBot="1">
      <c r="B9486" s="226">
        <v>46198</v>
      </c>
      <c r="C9486" s="227">
        <v>0.44457175925925929</v>
      </c>
      <c r="D9486" s="228">
        <v>10</v>
      </c>
      <c r="E9486" s="225" t="s">
        <v>9116</v>
      </c>
      <c r="F9486" s="225" t="s">
        <v>6946</v>
      </c>
    </row>
    <row r="9487" spans="2:6" ht="17.25" thickBot="1">
      <c r="B9487" s="226">
        <v>46198</v>
      </c>
      <c r="C9487" s="227">
        <v>0.39658564814814817</v>
      </c>
      <c r="D9487" s="228">
        <v>10</v>
      </c>
      <c r="E9487" s="225" t="s">
        <v>9111</v>
      </c>
      <c r="F9487" s="225" t="s">
        <v>6946</v>
      </c>
    </row>
    <row r="9488" spans="2:6" ht="17.25" thickBot="1">
      <c r="B9488" s="226">
        <v>46198</v>
      </c>
      <c r="C9488" s="227">
        <v>0.49331018518518516</v>
      </c>
      <c r="D9488" s="228">
        <v>10</v>
      </c>
      <c r="E9488" s="225" t="s">
        <v>9114</v>
      </c>
      <c r="F9488" s="225" t="s">
        <v>6946</v>
      </c>
    </row>
    <row r="9489" spans="2:6" ht="17.25" thickBot="1">
      <c r="B9489" s="226">
        <v>46198</v>
      </c>
      <c r="C9489" s="227">
        <v>0.49791666666666662</v>
      </c>
      <c r="D9489" s="228">
        <v>10</v>
      </c>
      <c r="E9489" s="225" t="s">
        <v>2500</v>
      </c>
      <c r="F9489" s="225" t="s">
        <v>6946</v>
      </c>
    </row>
    <row r="9490" spans="2:6" ht="17.25" thickBot="1">
      <c r="B9490" s="226">
        <v>46198</v>
      </c>
      <c r="C9490" s="227">
        <v>0.40777777777777779</v>
      </c>
      <c r="D9490" s="228">
        <v>10</v>
      </c>
      <c r="E9490" s="225" t="s">
        <v>9113</v>
      </c>
      <c r="F9490" s="225" t="s">
        <v>6946</v>
      </c>
    </row>
    <row r="9491" spans="2:6" ht="17.25" thickBot="1">
      <c r="B9491" s="226">
        <v>46198</v>
      </c>
      <c r="C9491" s="227">
        <v>0.45505787037037032</v>
      </c>
      <c r="D9491" s="228">
        <v>10</v>
      </c>
      <c r="E9491" s="225" t="s">
        <v>851</v>
      </c>
      <c r="F9491" s="225" t="s">
        <v>6946</v>
      </c>
    </row>
    <row r="9492" spans="2:6" ht="17.25" thickBot="1">
      <c r="B9492" s="226">
        <v>46197</v>
      </c>
      <c r="C9492" s="227">
        <v>0.4539583333333333</v>
      </c>
      <c r="D9492" s="228">
        <v>10</v>
      </c>
      <c r="E9492" s="225" t="s">
        <v>246</v>
      </c>
      <c r="F9492" s="225" t="s">
        <v>6946</v>
      </c>
    </row>
    <row r="9493" spans="2:6" ht="17.25" thickBot="1">
      <c r="B9493" s="226">
        <v>46197</v>
      </c>
      <c r="C9493" s="227">
        <v>0.80321759259259251</v>
      </c>
      <c r="D9493" s="228">
        <v>10</v>
      </c>
      <c r="E9493" s="225" t="s">
        <v>9066</v>
      </c>
      <c r="F9493" s="225" t="s">
        <v>6946</v>
      </c>
    </row>
    <row r="9494" spans="2:6" ht="17.25" thickBot="1">
      <c r="B9494" s="226">
        <v>46197</v>
      </c>
      <c r="C9494" s="227">
        <v>0.87067129629629625</v>
      </c>
      <c r="D9494" s="228">
        <v>10</v>
      </c>
      <c r="E9494" s="225" t="s">
        <v>4081</v>
      </c>
      <c r="F9494" s="225" t="s">
        <v>6946</v>
      </c>
    </row>
    <row r="9495" spans="2:6" ht="17.25" thickBot="1">
      <c r="B9495" s="226">
        <v>46197</v>
      </c>
      <c r="C9495" s="227">
        <v>0.86083333333333334</v>
      </c>
      <c r="D9495" s="228">
        <v>10</v>
      </c>
      <c r="E9495" s="225" t="s">
        <v>9065</v>
      </c>
      <c r="F9495" s="225" t="s">
        <v>6946</v>
      </c>
    </row>
    <row r="9496" spans="2:6" ht="17.25" thickBot="1">
      <c r="B9496" s="226">
        <v>46197</v>
      </c>
      <c r="C9496" s="227">
        <v>0.75429398148148152</v>
      </c>
      <c r="D9496" s="228">
        <v>10</v>
      </c>
      <c r="E9496" s="225" t="s">
        <v>9076</v>
      </c>
      <c r="F9496" s="225" t="s">
        <v>6946</v>
      </c>
    </row>
    <row r="9497" spans="2:6" ht="17.25" thickBot="1">
      <c r="B9497" s="226">
        <v>46197</v>
      </c>
      <c r="C9497" s="227">
        <v>0.70765046296296286</v>
      </c>
      <c r="D9497" s="228">
        <v>10</v>
      </c>
      <c r="E9497" s="225" t="s">
        <v>9040</v>
      </c>
      <c r="F9497" s="225" t="s">
        <v>6946</v>
      </c>
    </row>
    <row r="9498" spans="2:6" ht="17.25" thickBot="1">
      <c r="B9498" s="226">
        <v>46197</v>
      </c>
      <c r="C9498" s="227">
        <v>0.80905092592592587</v>
      </c>
      <c r="D9498" s="228">
        <v>10</v>
      </c>
      <c r="E9498" s="225" t="s">
        <v>9039</v>
      </c>
      <c r="F9498" s="225" t="s">
        <v>6946</v>
      </c>
    </row>
    <row r="9499" spans="2:6" ht="17.25" thickBot="1">
      <c r="B9499" s="226">
        <v>46197</v>
      </c>
      <c r="C9499" s="227">
        <v>0.44118055555555552</v>
      </c>
      <c r="D9499" s="228">
        <v>10</v>
      </c>
      <c r="E9499" s="225" t="s">
        <v>9068</v>
      </c>
      <c r="F9499" s="225" t="s">
        <v>6946</v>
      </c>
    </row>
    <row r="9500" spans="2:6" ht="17.25" thickBot="1">
      <c r="B9500" s="226">
        <v>46197</v>
      </c>
      <c r="C9500" s="227">
        <v>0.72482638888888884</v>
      </c>
      <c r="D9500" s="228">
        <v>10</v>
      </c>
      <c r="E9500" s="225" t="s">
        <v>9073</v>
      </c>
      <c r="F9500" s="225" t="s">
        <v>6946</v>
      </c>
    </row>
    <row r="9501" spans="2:6" ht="17.25" thickBot="1">
      <c r="B9501" s="226">
        <v>46197</v>
      </c>
      <c r="C9501" s="227">
        <v>0.71840277777777783</v>
      </c>
      <c r="D9501" s="228">
        <v>10</v>
      </c>
      <c r="E9501" s="225" t="s">
        <v>1042</v>
      </c>
      <c r="F9501" s="225" t="s">
        <v>6946</v>
      </c>
    </row>
    <row r="9502" spans="2:6" ht="17.25" thickBot="1">
      <c r="B9502" s="226">
        <v>46197</v>
      </c>
      <c r="C9502" s="227">
        <v>0.71098379629629627</v>
      </c>
      <c r="D9502" s="228">
        <v>10</v>
      </c>
      <c r="E9502" s="225" t="s">
        <v>288</v>
      </c>
      <c r="F9502" s="225" t="s">
        <v>6946</v>
      </c>
    </row>
    <row r="9503" spans="2:6" ht="17.25" thickBot="1">
      <c r="B9503" s="226">
        <v>46197</v>
      </c>
      <c r="C9503" s="227">
        <v>0.53437499999999993</v>
      </c>
      <c r="D9503" s="228">
        <v>10</v>
      </c>
      <c r="E9503" s="225" t="s">
        <v>9057</v>
      </c>
      <c r="F9503" s="225" t="s">
        <v>6946</v>
      </c>
    </row>
    <row r="9504" spans="2:6" ht="17.25" thickBot="1">
      <c r="B9504" s="226">
        <v>46197</v>
      </c>
      <c r="C9504" s="227">
        <v>0.69351851851851853</v>
      </c>
      <c r="D9504" s="228">
        <v>10</v>
      </c>
      <c r="E9504" s="225" t="s">
        <v>9067</v>
      </c>
      <c r="F9504" s="225" t="s">
        <v>6946</v>
      </c>
    </row>
    <row r="9505" spans="2:6" ht="17.25" thickBot="1">
      <c r="B9505" s="226">
        <v>46197</v>
      </c>
      <c r="C9505" s="227">
        <v>0.64839120370370373</v>
      </c>
      <c r="D9505" s="228">
        <v>10</v>
      </c>
      <c r="E9505" s="225" t="s">
        <v>9062</v>
      </c>
      <c r="F9505" s="225" t="s">
        <v>6946</v>
      </c>
    </row>
    <row r="9506" spans="2:6" ht="17.25" thickBot="1">
      <c r="B9506" s="226">
        <v>46197</v>
      </c>
      <c r="C9506" s="227">
        <v>0.68890046296296292</v>
      </c>
      <c r="D9506" s="228">
        <v>10</v>
      </c>
      <c r="E9506" s="225" t="s">
        <v>9070</v>
      </c>
      <c r="F9506" s="225" t="s">
        <v>6946</v>
      </c>
    </row>
    <row r="9507" spans="2:6" ht="17.25" thickBot="1">
      <c r="B9507" s="226">
        <v>46197</v>
      </c>
      <c r="C9507" s="227">
        <v>0.49975694444444446</v>
      </c>
      <c r="D9507" s="228">
        <v>10</v>
      </c>
      <c r="E9507" s="225" t="s">
        <v>9054</v>
      </c>
      <c r="F9507" s="225" t="s">
        <v>6946</v>
      </c>
    </row>
    <row r="9508" spans="2:6" ht="17.25" thickBot="1">
      <c r="B9508" s="226">
        <v>46197</v>
      </c>
      <c r="C9508" s="227">
        <v>0.60476851851851854</v>
      </c>
      <c r="D9508" s="228">
        <v>10</v>
      </c>
      <c r="E9508" s="225" t="s">
        <v>9075</v>
      </c>
      <c r="F9508" s="225" t="s">
        <v>6946</v>
      </c>
    </row>
    <row r="9509" spans="2:6" ht="17.25" thickBot="1">
      <c r="B9509" s="226">
        <v>46197</v>
      </c>
      <c r="C9509" s="227">
        <v>0.7978587962962963</v>
      </c>
      <c r="D9509" s="228">
        <v>10</v>
      </c>
      <c r="E9509" s="225" t="s">
        <v>9041</v>
      </c>
      <c r="F9509" s="225" t="s">
        <v>6946</v>
      </c>
    </row>
    <row r="9510" spans="2:6" ht="17.25" thickBot="1">
      <c r="B9510" s="226">
        <v>46197</v>
      </c>
      <c r="C9510" s="227">
        <v>0.62498842592592596</v>
      </c>
      <c r="D9510" s="228">
        <v>10</v>
      </c>
      <c r="E9510" s="225" t="s">
        <v>9060</v>
      </c>
      <c r="F9510" s="225" t="s">
        <v>6946</v>
      </c>
    </row>
    <row r="9511" spans="2:6" ht="17.25" thickBot="1">
      <c r="B9511" s="226">
        <v>46197</v>
      </c>
      <c r="C9511" s="227">
        <v>0.65659722222222217</v>
      </c>
      <c r="D9511" s="228">
        <v>10</v>
      </c>
      <c r="E9511" s="225" t="s">
        <v>313</v>
      </c>
      <c r="F9511" s="225" t="s">
        <v>6946</v>
      </c>
    </row>
    <row r="9512" spans="2:6" ht="17.25" thickBot="1">
      <c r="B9512" s="226">
        <v>46197</v>
      </c>
      <c r="C9512" s="227">
        <v>0.61547453703703703</v>
      </c>
      <c r="D9512" s="228">
        <v>10</v>
      </c>
      <c r="E9512" s="225" t="s">
        <v>9053</v>
      </c>
      <c r="F9512" s="225" t="s">
        <v>6946</v>
      </c>
    </row>
    <row r="9513" spans="2:6" ht="26.25" thickBot="1">
      <c r="B9513" s="226">
        <v>46197</v>
      </c>
      <c r="C9513" s="227">
        <v>0.62064814814814817</v>
      </c>
      <c r="D9513" s="228">
        <v>10</v>
      </c>
      <c r="E9513" s="225" t="s">
        <v>9069</v>
      </c>
      <c r="F9513" s="225" t="s">
        <v>6946</v>
      </c>
    </row>
    <row r="9514" spans="2:6" ht="17.25" thickBot="1">
      <c r="B9514" s="226">
        <v>46197</v>
      </c>
      <c r="C9514" s="227">
        <v>0.42144675925925923</v>
      </c>
      <c r="D9514" s="228">
        <v>10</v>
      </c>
      <c r="E9514" s="225" t="s">
        <v>9050</v>
      </c>
      <c r="F9514" s="225" t="s">
        <v>6946</v>
      </c>
    </row>
    <row r="9515" spans="2:6" ht="17.25" thickBot="1">
      <c r="B9515" s="226">
        <v>46197</v>
      </c>
      <c r="C9515" s="227">
        <v>0.70548611111111104</v>
      </c>
      <c r="D9515" s="228">
        <v>10</v>
      </c>
      <c r="E9515" s="225" t="s">
        <v>9052</v>
      </c>
      <c r="F9515" s="225" t="s">
        <v>6946</v>
      </c>
    </row>
    <row r="9516" spans="2:6" ht="17.25" thickBot="1">
      <c r="B9516" s="226">
        <v>46197</v>
      </c>
      <c r="C9516" s="227">
        <v>0.61123842592592592</v>
      </c>
      <c r="D9516" s="228">
        <v>10</v>
      </c>
      <c r="E9516" s="225" t="s">
        <v>9038</v>
      </c>
      <c r="F9516" s="225" t="s">
        <v>6946</v>
      </c>
    </row>
    <row r="9517" spans="2:6" ht="17.25" thickBot="1">
      <c r="B9517" s="226">
        <v>46197</v>
      </c>
      <c r="C9517" s="227">
        <v>0.73857638888888888</v>
      </c>
      <c r="D9517" s="228">
        <v>10</v>
      </c>
      <c r="E9517" s="225" t="s">
        <v>9042</v>
      </c>
      <c r="F9517" s="225" t="s">
        <v>6946</v>
      </c>
    </row>
    <row r="9518" spans="2:6" ht="17.25" thickBot="1">
      <c r="B9518" s="226">
        <v>46197</v>
      </c>
      <c r="C9518" s="227">
        <v>0.71250000000000002</v>
      </c>
      <c r="D9518" s="228">
        <v>10</v>
      </c>
      <c r="E9518" s="225" t="s">
        <v>9043</v>
      </c>
      <c r="F9518" s="225" t="s">
        <v>6946</v>
      </c>
    </row>
    <row r="9519" spans="2:6" ht="17.25" thickBot="1">
      <c r="B9519" s="226">
        <v>46197</v>
      </c>
      <c r="C9519" s="227">
        <v>0.60002314814814817</v>
      </c>
      <c r="D9519" s="228">
        <v>10</v>
      </c>
      <c r="E9519" s="225" t="s">
        <v>9051</v>
      </c>
      <c r="F9519" s="225" t="s">
        <v>6946</v>
      </c>
    </row>
    <row r="9520" spans="2:6" ht="17.25" thickBot="1">
      <c r="B9520" s="226">
        <v>46197</v>
      </c>
      <c r="C9520" s="227">
        <v>0.42826388888888883</v>
      </c>
      <c r="D9520" s="228">
        <v>10</v>
      </c>
      <c r="E9520" s="225" t="s">
        <v>9061</v>
      </c>
      <c r="F9520" s="225" t="s">
        <v>6946</v>
      </c>
    </row>
    <row r="9521" spans="2:6" ht="17.25" thickBot="1">
      <c r="B9521" s="226">
        <v>46197</v>
      </c>
      <c r="C9521" s="227">
        <v>0.53528935185185189</v>
      </c>
      <c r="D9521" s="228">
        <v>10</v>
      </c>
      <c r="E9521" s="225" t="s">
        <v>9047</v>
      </c>
      <c r="F9521" s="225" t="s">
        <v>6946</v>
      </c>
    </row>
    <row r="9522" spans="2:6" ht="17.25" thickBot="1">
      <c r="B9522" s="226">
        <v>46197</v>
      </c>
      <c r="C9522" s="227">
        <v>0.56010416666666674</v>
      </c>
      <c r="D9522" s="228">
        <v>10</v>
      </c>
      <c r="E9522" s="225" t="s">
        <v>9058</v>
      </c>
      <c r="F9522" s="225" t="s">
        <v>6946</v>
      </c>
    </row>
    <row r="9523" spans="2:6" ht="17.25" thickBot="1">
      <c r="B9523" s="226">
        <v>46197</v>
      </c>
      <c r="C9523" s="227">
        <v>0.51557870370370373</v>
      </c>
      <c r="D9523" s="228">
        <v>10</v>
      </c>
      <c r="E9523" s="225" t="s">
        <v>9059</v>
      </c>
      <c r="F9523" s="225" t="s">
        <v>6946</v>
      </c>
    </row>
    <row r="9524" spans="2:6" ht="17.25" thickBot="1">
      <c r="B9524" s="226">
        <v>46197</v>
      </c>
      <c r="C9524" s="227">
        <v>0.53064814814814809</v>
      </c>
      <c r="D9524" s="228">
        <v>10</v>
      </c>
      <c r="E9524" s="225" t="s">
        <v>9072</v>
      </c>
      <c r="F9524" s="225" t="s">
        <v>6946</v>
      </c>
    </row>
    <row r="9525" spans="2:6" ht="17.25" thickBot="1">
      <c r="B9525" s="226">
        <v>46197</v>
      </c>
      <c r="C9525" s="227">
        <v>0.57074074074074077</v>
      </c>
      <c r="D9525" s="228">
        <v>10</v>
      </c>
      <c r="E9525" s="225" t="s">
        <v>9056</v>
      </c>
      <c r="F9525" s="225" t="s">
        <v>6946</v>
      </c>
    </row>
    <row r="9526" spans="2:6" ht="17.25" thickBot="1">
      <c r="B9526" s="226">
        <v>46197</v>
      </c>
      <c r="C9526" s="227">
        <v>0.60761574074074076</v>
      </c>
      <c r="D9526" s="228">
        <v>10</v>
      </c>
      <c r="E9526" s="225" t="s">
        <v>3058</v>
      </c>
      <c r="F9526" s="225" t="s">
        <v>6946</v>
      </c>
    </row>
    <row r="9527" spans="2:6" ht="17.25" thickBot="1">
      <c r="B9527" s="226">
        <v>46197</v>
      </c>
      <c r="C9527" s="227">
        <v>0.56762731481481488</v>
      </c>
      <c r="D9527" s="228">
        <v>10</v>
      </c>
      <c r="E9527" s="225" t="s">
        <v>9044</v>
      </c>
      <c r="F9527" s="225" t="s">
        <v>6946</v>
      </c>
    </row>
    <row r="9528" spans="2:6" ht="17.25" thickBot="1">
      <c r="B9528" s="226">
        <v>46197</v>
      </c>
      <c r="C9528" s="227">
        <v>0.56652777777777774</v>
      </c>
      <c r="D9528" s="228">
        <v>10</v>
      </c>
      <c r="E9528" s="225" t="s">
        <v>9055</v>
      </c>
      <c r="F9528" s="225" t="s">
        <v>6946</v>
      </c>
    </row>
    <row r="9529" spans="2:6" ht="17.25" thickBot="1">
      <c r="B9529" s="226">
        <v>46197</v>
      </c>
      <c r="C9529" s="227">
        <v>0.5808564814814815</v>
      </c>
      <c r="D9529" s="228">
        <v>10</v>
      </c>
      <c r="E9529" s="225" t="s">
        <v>9049</v>
      </c>
      <c r="F9529" s="225" t="s">
        <v>6946</v>
      </c>
    </row>
    <row r="9530" spans="2:6" ht="17.25" thickBot="1">
      <c r="B9530" s="226">
        <v>46197</v>
      </c>
      <c r="C9530" s="227">
        <v>0.47081018518518519</v>
      </c>
      <c r="D9530" s="228">
        <v>10</v>
      </c>
      <c r="E9530" s="225" t="s">
        <v>9045</v>
      </c>
      <c r="F9530" s="225" t="s">
        <v>6946</v>
      </c>
    </row>
    <row r="9531" spans="2:6" ht="17.25" thickBot="1">
      <c r="B9531" s="226">
        <v>46197</v>
      </c>
      <c r="C9531" s="227">
        <v>0.50172453703703701</v>
      </c>
      <c r="D9531" s="228">
        <v>10</v>
      </c>
      <c r="E9531" s="225" t="s">
        <v>9071</v>
      </c>
      <c r="F9531" s="225" t="s">
        <v>6946</v>
      </c>
    </row>
    <row r="9532" spans="2:6" ht="17.25" thickBot="1">
      <c r="B9532" s="226">
        <v>46197</v>
      </c>
      <c r="C9532" s="227">
        <v>0.56136574074074075</v>
      </c>
      <c r="D9532" s="228">
        <v>10</v>
      </c>
      <c r="E9532" s="225" t="s">
        <v>9046</v>
      </c>
      <c r="F9532" s="225" t="s">
        <v>6946</v>
      </c>
    </row>
    <row r="9533" spans="2:6" ht="17.25" thickBot="1">
      <c r="B9533" s="226">
        <v>46197</v>
      </c>
      <c r="C9533" s="227">
        <v>0.40565972222222224</v>
      </c>
      <c r="D9533" s="228">
        <v>10</v>
      </c>
      <c r="E9533" s="225" t="s">
        <v>9063</v>
      </c>
      <c r="F9533" s="225" t="s">
        <v>6946</v>
      </c>
    </row>
    <row r="9534" spans="2:6" ht="17.25" thickBot="1">
      <c r="B9534" s="226">
        <v>46197</v>
      </c>
      <c r="C9534" s="227">
        <v>0.74556712962962957</v>
      </c>
      <c r="D9534" s="228">
        <v>10</v>
      </c>
      <c r="E9534" s="225" t="s">
        <v>9074</v>
      </c>
      <c r="F9534" s="225" t="s">
        <v>6946</v>
      </c>
    </row>
    <row r="9535" spans="2:6" ht="17.25" thickBot="1">
      <c r="B9535" s="226">
        <v>46197</v>
      </c>
      <c r="C9535" s="227">
        <v>0.4210416666666667</v>
      </c>
      <c r="D9535" s="228">
        <v>10</v>
      </c>
      <c r="E9535" s="225" t="s">
        <v>9048</v>
      </c>
      <c r="F9535" s="225" t="s">
        <v>6946</v>
      </c>
    </row>
    <row r="9536" spans="2:6" ht="17.25" thickBot="1">
      <c r="B9536" s="226">
        <v>46197</v>
      </c>
      <c r="C9536" s="227">
        <v>0.38890046296296293</v>
      </c>
      <c r="D9536" s="228">
        <v>10</v>
      </c>
      <c r="E9536" s="225" t="s">
        <v>9064</v>
      </c>
      <c r="F9536" s="225" t="s">
        <v>6946</v>
      </c>
    </row>
    <row r="9537" spans="2:6" ht="17.25" thickBot="1">
      <c r="B9537" s="226">
        <v>46196</v>
      </c>
      <c r="C9537" s="227">
        <v>0.39127314814814818</v>
      </c>
      <c r="D9537" s="228">
        <v>10</v>
      </c>
      <c r="E9537" s="225" t="s">
        <v>9099</v>
      </c>
      <c r="F9537" s="225" t="s">
        <v>6946</v>
      </c>
    </row>
    <row r="9538" spans="2:6" ht="17.25" thickBot="1">
      <c r="B9538" s="226">
        <v>46196</v>
      </c>
      <c r="C9538" s="227">
        <v>0.75800925925925933</v>
      </c>
      <c r="D9538" s="228">
        <v>10</v>
      </c>
      <c r="E9538" s="225" t="s">
        <v>9103</v>
      </c>
      <c r="F9538" s="225" t="s">
        <v>6946</v>
      </c>
    </row>
    <row r="9539" spans="2:6" ht="17.25" thickBot="1">
      <c r="B9539" s="226">
        <v>46196</v>
      </c>
      <c r="C9539" s="227">
        <v>0.81290509259259258</v>
      </c>
      <c r="D9539" s="228">
        <v>10</v>
      </c>
      <c r="E9539" s="225" t="s">
        <v>9082</v>
      </c>
      <c r="F9539" s="225" t="s">
        <v>6946</v>
      </c>
    </row>
    <row r="9540" spans="2:6" ht="17.25" thickBot="1">
      <c r="B9540" s="226">
        <v>46196</v>
      </c>
      <c r="C9540" s="227">
        <v>0.7453819444444445</v>
      </c>
      <c r="D9540" s="228">
        <v>10</v>
      </c>
      <c r="E9540" s="225" t="s">
        <v>9089</v>
      </c>
      <c r="F9540" s="225" t="s">
        <v>6946</v>
      </c>
    </row>
    <row r="9541" spans="2:6" ht="17.25" thickBot="1">
      <c r="B9541" s="226">
        <v>46196</v>
      </c>
      <c r="C9541" s="227">
        <v>0.58819444444444446</v>
      </c>
      <c r="D9541" s="228">
        <v>10</v>
      </c>
      <c r="E9541" s="225" t="s">
        <v>9097</v>
      </c>
      <c r="F9541" s="225" t="s">
        <v>6946</v>
      </c>
    </row>
    <row r="9542" spans="2:6" ht="17.25" thickBot="1">
      <c r="B9542" s="226">
        <v>46196</v>
      </c>
      <c r="C9542" s="227">
        <v>0.76413194444444443</v>
      </c>
      <c r="D9542" s="228">
        <v>10</v>
      </c>
      <c r="E9542" s="225" t="s">
        <v>732</v>
      </c>
      <c r="F9542" s="225" t="s">
        <v>6946</v>
      </c>
    </row>
    <row r="9543" spans="2:6" ht="17.25" thickBot="1">
      <c r="B9543" s="226">
        <v>46196</v>
      </c>
      <c r="C9543" s="227">
        <v>0.74424768518518514</v>
      </c>
      <c r="D9543" s="228">
        <v>10</v>
      </c>
      <c r="E9543" s="225" t="s">
        <v>9078</v>
      </c>
      <c r="F9543" s="225" t="s">
        <v>6946</v>
      </c>
    </row>
    <row r="9544" spans="2:6" ht="17.25" thickBot="1">
      <c r="B9544" s="226">
        <v>46196</v>
      </c>
      <c r="C9544" s="227">
        <v>0.74313657407407396</v>
      </c>
      <c r="D9544" s="228">
        <v>10</v>
      </c>
      <c r="E9544" s="225" t="s">
        <v>9079</v>
      </c>
      <c r="F9544" s="225" t="s">
        <v>6946</v>
      </c>
    </row>
    <row r="9545" spans="2:6" ht="17.25" thickBot="1">
      <c r="B9545" s="226">
        <v>46196</v>
      </c>
      <c r="C9545" s="227">
        <v>0.82469907407407417</v>
      </c>
      <c r="D9545" s="228">
        <v>10</v>
      </c>
      <c r="E9545" s="225" t="s">
        <v>9108</v>
      </c>
      <c r="F9545" s="225" t="s">
        <v>6946</v>
      </c>
    </row>
    <row r="9546" spans="2:6" ht="17.25" thickBot="1">
      <c r="B9546" s="226">
        <v>46196</v>
      </c>
      <c r="C9546" s="227">
        <v>0.73800925925925931</v>
      </c>
      <c r="D9546" s="228">
        <v>10</v>
      </c>
      <c r="E9546" s="225" t="s">
        <v>9083</v>
      </c>
      <c r="F9546" s="225" t="s">
        <v>6946</v>
      </c>
    </row>
    <row r="9547" spans="2:6" ht="26.25" thickBot="1">
      <c r="B9547" s="226">
        <v>46196</v>
      </c>
      <c r="C9547" s="227">
        <v>0.74887731481481479</v>
      </c>
      <c r="D9547" s="228">
        <v>10</v>
      </c>
      <c r="E9547" s="225" t="s">
        <v>9095</v>
      </c>
      <c r="F9547" s="225" t="s">
        <v>6946</v>
      </c>
    </row>
    <row r="9548" spans="2:6" ht="17.25" thickBot="1">
      <c r="B9548" s="226">
        <v>46196</v>
      </c>
      <c r="C9548" s="227">
        <v>0.7240509259259259</v>
      </c>
      <c r="D9548" s="228">
        <v>10</v>
      </c>
      <c r="E9548" s="225" t="s">
        <v>9080</v>
      </c>
      <c r="F9548" s="225" t="s">
        <v>6946</v>
      </c>
    </row>
    <row r="9549" spans="2:6" ht="17.25" thickBot="1">
      <c r="B9549" s="226">
        <v>46196</v>
      </c>
      <c r="C9549" s="227">
        <v>0.67137731481481477</v>
      </c>
      <c r="D9549" s="228">
        <v>10</v>
      </c>
      <c r="E9549" s="225" t="s">
        <v>9093</v>
      </c>
      <c r="F9549" s="225" t="s">
        <v>6946</v>
      </c>
    </row>
    <row r="9550" spans="2:6" ht="17.25" thickBot="1">
      <c r="B9550" s="226">
        <v>46196</v>
      </c>
      <c r="C9550" s="227">
        <v>0.77958333333333341</v>
      </c>
      <c r="D9550" s="228">
        <v>10</v>
      </c>
      <c r="E9550" s="225" t="s">
        <v>9077</v>
      </c>
      <c r="F9550" s="225" t="s">
        <v>6946</v>
      </c>
    </row>
    <row r="9551" spans="2:6" ht="17.25" thickBot="1">
      <c r="B9551" s="226">
        <v>46196</v>
      </c>
      <c r="C9551" s="227">
        <v>0.69047453703703709</v>
      </c>
      <c r="D9551" s="228">
        <v>10</v>
      </c>
      <c r="E9551" s="225" t="s">
        <v>9094</v>
      </c>
      <c r="F9551" s="225" t="s">
        <v>6946</v>
      </c>
    </row>
    <row r="9552" spans="2:6" ht="17.25" thickBot="1">
      <c r="B9552" s="226">
        <v>46196</v>
      </c>
      <c r="C9552" s="227">
        <v>0.71030092592592586</v>
      </c>
      <c r="D9552" s="228">
        <v>10</v>
      </c>
      <c r="E9552" s="225" t="s">
        <v>9102</v>
      </c>
      <c r="F9552" s="225" t="s">
        <v>6946</v>
      </c>
    </row>
    <row r="9553" spans="2:6" ht="17.25" thickBot="1">
      <c r="B9553" s="226">
        <v>46196</v>
      </c>
      <c r="C9553" s="227">
        <v>0.66666666666666663</v>
      </c>
      <c r="D9553" s="228">
        <v>10</v>
      </c>
      <c r="E9553" s="225" t="s">
        <v>9109</v>
      </c>
      <c r="F9553" s="225" t="s">
        <v>6946</v>
      </c>
    </row>
    <row r="9554" spans="2:6" ht="17.25" thickBot="1">
      <c r="B9554" s="226">
        <v>46196</v>
      </c>
      <c r="C9554" s="227">
        <v>0.71429398148148149</v>
      </c>
      <c r="D9554" s="228">
        <v>10</v>
      </c>
      <c r="E9554" s="225" t="s">
        <v>9090</v>
      </c>
      <c r="F9554" s="225" t="s">
        <v>6946</v>
      </c>
    </row>
    <row r="9555" spans="2:6" ht="17.25" thickBot="1">
      <c r="B9555" s="226">
        <v>46196</v>
      </c>
      <c r="C9555" s="227">
        <v>0.91501157407407396</v>
      </c>
      <c r="D9555" s="228">
        <v>10</v>
      </c>
      <c r="E9555" s="225" t="s">
        <v>9085</v>
      </c>
      <c r="F9555" s="225" t="s">
        <v>6946</v>
      </c>
    </row>
    <row r="9556" spans="2:6" ht="26.25" thickBot="1">
      <c r="B9556" s="226">
        <v>46196</v>
      </c>
      <c r="C9556" s="227">
        <v>0.66358796296296296</v>
      </c>
      <c r="D9556" s="228">
        <v>10</v>
      </c>
      <c r="E9556" s="225" t="s">
        <v>9098</v>
      </c>
      <c r="F9556" s="225" t="s">
        <v>6946</v>
      </c>
    </row>
    <row r="9557" spans="2:6" ht="17.25" thickBot="1">
      <c r="B9557" s="226">
        <v>46196</v>
      </c>
      <c r="C9557" s="227">
        <v>0.73344907407407411</v>
      </c>
      <c r="D9557" s="228">
        <v>10</v>
      </c>
      <c r="E9557" s="225" t="s">
        <v>9081</v>
      </c>
      <c r="F9557" s="225" t="s">
        <v>6946</v>
      </c>
    </row>
    <row r="9558" spans="2:6" ht="17.25" thickBot="1">
      <c r="B9558" s="226">
        <v>46196</v>
      </c>
      <c r="C9558" s="227">
        <v>0.66302083333333328</v>
      </c>
      <c r="D9558" s="228">
        <v>10</v>
      </c>
      <c r="E9558" s="225" t="s">
        <v>9088</v>
      </c>
      <c r="F9558" s="225" t="s">
        <v>6946</v>
      </c>
    </row>
    <row r="9559" spans="2:6" ht="17.25" thickBot="1">
      <c r="B9559" s="226">
        <v>46196</v>
      </c>
      <c r="C9559" s="227">
        <v>0.67920138888888892</v>
      </c>
      <c r="D9559" s="228">
        <v>10</v>
      </c>
      <c r="E9559" s="225" t="s">
        <v>9087</v>
      </c>
      <c r="F9559" s="225" t="s">
        <v>6946</v>
      </c>
    </row>
    <row r="9560" spans="2:6" ht="17.25" thickBot="1">
      <c r="B9560" s="226">
        <v>46196</v>
      </c>
      <c r="C9560" s="227">
        <v>0.65469907407407402</v>
      </c>
      <c r="D9560" s="228">
        <v>10</v>
      </c>
      <c r="E9560" s="225" t="s">
        <v>9105</v>
      </c>
      <c r="F9560" s="225" t="s">
        <v>6946</v>
      </c>
    </row>
    <row r="9561" spans="2:6" ht="17.25" thickBot="1">
      <c r="B9561" s="226">
        <v>46196</v>
      </c>
      <c r="C9561" s="227">
        <v>0.65510416666666671</v>
      </c>
      <c r="D9561" s="228">
        <v>10</v>
      </c>
      <c r="E9561" s="225" t="s">
        <v>9086</v>
      </c>
      <c r="F9561" s="225" t="s">
        <v>6946</v>
      </c>
    </row>
    <row r="9562" spans="2:6" ht="17.25" thickBot="1">
      <c r="B9562" s="226">
        <v>46196</v>
      </c>
      <c r="C9562" s="227">
        <v>0.65993055555555558</v>
      </c>
      <c r="D9562" s="228">
        <v>10</v>
      </c>
      <c r="E9562" s="225" t="s">
        <v>9091</v>
      </c>
      <c r="F9562" s="225" t="s">
        <v>6946</v>
      </c>
    </row>
    <row r="9563" spans="2:6" ht="17.25" thickBot="1">
      <c r="B9563" s="226">
        <v>46196</v>
      </c>
      <c r="C9563" s="227">
        <v>0.59966435185185185</v>
      </c>
      <c r="D9563" s="228">
        <v>10</v>
      </c>
      <c r="E9563" s="225" t="s">
        <v>9092</v>
      </c>
      <c r="F9563" s="225" t="s">
        <v>6946</v>
      </c>
    </row>
    <row r="9564" spans="2:6" ht="17.25" thickBot="1">
      <c r="B9564" s="226">
        <v>46196</v>
      </c>
      <c r="C9564" s="227">
        <v>0.56431712962962965</v>
      </c>
      <c r="D9564" s="228">
        <v>10</v>
      </c>
      <c r="E9564" s="225" t="s">
        <v>9107</v>
      </c>
      <c r="F9564" s="225" t="s">
        <v>6946</v>
      </c>
    </row>
    <row r="9565" spans="2:6" ht="17.25" thickBot="1">
      <c r="B9565" s="226">
        <v>46196</v>
      </c>
      <c r="C9565" s="227">
        <v>0.60502314814814817</v>
      </c>
      <c r="D9565" s="228">
        <v>10</v>
      </c>
      <c r="E9565" s="225" t="s">
        <v>9084</v>
      </c>
      <c r="F9565" s="225" t="s">
        <v>6946</v>
      </c>
    </row>
    <row r="9566" spans="2:6" ht="17.25" thickBot="1">
      <c r="B9566" s="226">
        <v>46196</v>
      </c>
      <c r="C9566" s="227">
        <v>0.5559722222222222</v>
      </c>
      <c r="D9566" s="228">
        <v>10</v>
      </c>
      <c r="E9566" s="225" t="s">
        <v>5121</v>
      </c>
      <c r="F9566" s="225" t="s">
        <v>6946</v>
      </c>
    </row>
    <row r="9567" spans="2:6" ht="17.25" thickBot="1">
      <c r="B9567" s="226">
        <v>46196</v>
      </c>
      <c r="C9567" s="227">
        <v>0.47410879629629626</v>
      </c>
      <c r="D9567" s="228">
        <v>10</v>
      </c>
      <c r="E9567" s="225" t="s">
        <v>9104</v>
      </c>
      <c r="F9567" s="225" t="s">
        <v>6946</v>
      </c>
    </row>
    <row r="9568" spans="2:6" ht="17.25" thickBot="1">
      <c r="B9568" s="226">
        <v>46196</v>
      </c>
      <c r="C9568" s="227">
        <v>0.56010416666666674</v>
      </c>
      <c r="D9568" s="228">
        <v>10</v>
      </c>
      <c r="E9568" s="225" t="s">
        <v>2146</v>
      </c>
      <c r="F9568" s="225" t="s">
        <v>6946</v>
      </c>
    </row>
    <row r="9569" spans="2:6" ht="17.25" thickBot="1">
      <c r="B9569" s="226">
        <v>46196</v>
      </c>
      <c r="C9569" s="227">
        <v>0.55660879629629634</v>
      </c>
      <c r="D9569" s="228">
        <v>10</v>
      </c>
      <c r="E9569" s="225" t="s">
        <v>4971</v>
      </c>
      <c r="F9569" s="225" t="s">
        <v>6946</v>
      </c>
    </row>
    <row r="9570" spans="2:6" ht="17.25" thickBot="1">
      <c r="B9570" s="226">
        <v>46196</v>
      </c>
      <c r="C9570" s="227">
        <v>0.50758101851851845</v>
      </c>
      <c r="D9570" s="228">
        <v>10</v>
      </c>
      <c r="E9570" s="225" t="s">
        <v>1340</v>
      </c>
      <c r="F9570" s="225" t="s">
        <v>6946</v>
      </c>
    </row>
    <row r="9571" spans="2:6" ht="17.25" thickBot="1">
      <c r="B9571" s="226">
        <v>46196</v>
      </c>
      <c r="C9571" s="227">
        <v>0.48898148148148146</v>
      </c>
      <c r="D9571" s="228">
        <v>10</v>
      </c>
      <c r="E9571" s="225" t="s">
        <v>313</v>
      </c>
      <c r="F9571" s="225" t="s">
        <v>6946</v>
      </c>
    </row>
    <row r="9572" spans="2:6" ht="17.25" thickBot="1">
      <c r="B9572" s="226">
        <v>46196</v>
      </c>
      <c r="C9572" s="227">
        <v>0.41050925925925924</v>
      </c>
      <c r="D9572" s="228">
        <v>10</v>
      </c>
      <c r="E9572" s="225" t="s">
        <v>9096</v>
      </c>
      <c r="F9572" s="225" t="s">
        <v>6946</v>
      </c>
    </row>
    <row r="9573" spans="2:6" ht="17.25" thickBot="1">
      <c r="B9573" s="226">
        <v>46196</v>
      </c>
      <c r="C9573" s="227">
        <v>0.51221064814814821</v>
      </c>
      <c r="D9573" s="228">
        <v>10</v>
      </c>
      <c r="E9573" s="225" t="s">
        <v>495</v>
      </c>
      <c r="F9573" s="225" t="s">
        <v>6946</v>
      </c>
    </row>
    <row r="9574" spans="2:6" ht="17.25" thickBot="1">
      <c r="B9574" s="226">
        <v>46196</v>
      </c>
      <c r="C9574" s="227">
        <v>0.41923611111111114</v>
      </c>
      <c r="D9574" s="228">
        <v>10</v>
      </c>
      <c r="E9574" s="225" t="s">
        <v>9100</v>
      </c>
      <c r="F9574" s="225" t="s">
        <v>6946</v>
      </c>
    </row>
    <row r="9575" spans="2:6" ht="17.25" thickBot="1">
      <c r="B9575" s="226">
        <v>46196</v>
      </c>
      <c r="C9575" s="227">
        <v>0.45960648148148148</v>
      </c>
      <c r="D9575" s="228">
        <v>10</v>
      </c>
      <c r="E9575" s="225" t="s">
        <v>3715</v>
      </c>
      <c r="F9575" s="225" t="s">
        <v>6946</v>
      </c>
    </row>
    <row r="9576" spans="2:6" ht="17.25" thickBot="1">
      <c r="B9576" s="226">
        <v>46196</v>
      </c>
      <c r="C9576" s="227">
        <v>0.4105787037037037</v>
      </c>
      <c r="D9576" s="228">
        <v>10</v>
      </c>
      <c r="E9576" s="225" t="s">
        <v>9101</v>
      </c>
      <c r="F9576" s="225" t="s">
        <v>6946</v>
      </c>
    </row>
    <row r="9577" spans="2:6" ht="17.25" thickBot="1">
      <c r="B9577" s="226">
        <v>46196</v>
      </c>
      <c r="C9577" s="227">
        <v>0.50700231481481484</v>
      </c>
      <c r="D9577" s="228">
        <v>10</v>
      </c>
      <c r="E9577" s="225" t="s">
        <v>9106</v>
      </c>
      <c r="F9577" s="225" t="s">
        <v>6946</v>
      </c>
    </row>
    <row r="9578" spans="2:6" ht="17.25" thickBot="1">
      <c r="B9578" s="226">
        <v>46195</v>
      </c>
      <c r="C9578" s="227">
        <v>0.64369212962962963</v>
      </c>
      <c r="D9578" s="228">
        <v>10</v>
      </c>
      <c r="E9578" s="225" t="s">
        <v>9014</v>
      </c>
      <c r="F9578" s="225" t="s">
        <v>6946</v>
      </c>
    </row>
    <row r="9579" spans="2:6" ht="17.25" thickBot="1">
      <c r="B9579" s="226">
        <v>46195</v>
      </c>
      <c r="C9579" s="227">
        <v>0.87643518518518515</v>
      </c>
      <c r="D9579" s="228">
        <v>10</v>
      </c>
      <c r="E9579" s="225" t="s">
        <v>9004</v>
      </c>
      <c r="F9579" s="225" t="s">
        <v>6946</v>
      </c>
    </row>
    <row r="9580" spans="2:6" ht="17.25" thickBot="1">
      <c r="B9580" s="226">
        <v>46195</v>
      </c>
      <c r="C9580" s="227">
        <v>0.82400462962962961</v>
      </c>
      <c r="D9580" s="228">
        <v>10</v>
      </c>
      <c r="E9580" s="225" t="s">
        <v>9011</v>
      </c>
      <c r="F9580" s="225" t="s">
        <v>6946</v>
      </c>
    </row>
    <row r="9581" spans="2:6" ht="17.25" thickBot="1">
      <c r="B9581" s="226">
        <v>46195</v>
      </c>
      <c r="C9581" s="227">
        <v>0.69656250000000008</v>
      </c>
      <c r="D9581" s="228">
        <v>10</v>
      </c>
      <c r="E9581" s="225" t="s">
        <v>9007</v>
      </c>
      <c r="F9581" s="225" t="s">
        <v>6946</v>
      </c>
    </row>
    <row r="9582" spans="2:6" ht="17.25" thickBot="1">
      <c r="B9582" s="226">
        <v>46195</v>
      </c>
      <c r="C9582" s="227">
        <v>0.75513888888888892</v>
      </c>
      <c r="D9582" s="228">
        <v>10</v>
      </c>
      <c r="E9582" s="225" t="s">
        <v>9009</v>
      </c>
      <c r="F9582" s="225" t="s">
        <v>6946</v>
      </c>
    </row>
    <row r="9583" spans="2:6" ht="17.25" thickBot="1">
      <c r="B9583" s="226">
        <v>46195</v>
      </c>
      <c r="C9583" s="227">
        <v>0.75</v>
      </c>
      <c r="D9583" s="228">
        <v>10</v>
      </c>
      <c r="E9583" s="225" t="s">
        <v>132</v>
      </c>
      <c r="F9583" s="225" t="s">
        <v>6946</v>
      </c>
    </row>
    <row r="9584" spans="2:6" ht="17.25" thickBot="1">
      <c r="B9584" s="226">
        <v>46195</v>
      </c>
      <c r="C9584" s="227">
        <v>0.71219907407407401</v>
      </c>
      <c r="D9584" s="228">
        <v>10</v>
      </c>
      <c r="E9584" s="225" t="s">
        <v>9019</v>
      </c>
      <c r="F9584" s="225" t="s">
        <v>6946</v>
      </c>
    </row>
    <row r="9585" spans="2:6" ht="17.25" thickBot="1">
      <c r="B9585" s="226">
        <v>46195</v>
      </c>
      <c r="C9585" s="227">
        <v>0.833125</v>
      </c>
      <c r="D9585" s="228">
        <v>10</v>
      </c>
      <c r="E9585" s="225" t="s">
        <v>7032</v>
      </c>
      <c r="F9585" s="225" t="s">
        <v>6946</v>
      </c>
    </row>
    <row r="9586" spans="2:6" ht="17.25" thickBot="1">
      <c r="B9586" s="226">
        <v>46195</v>
      </c>
      <c r="C9586" s="227">
        <v>0.73158564814814808</v>
      </c>
      <c r="D9586" s="228">
        <v>10</v>
      </c>
      <c r="E9586" s="225" t="s">
        <v>9003</v>
      </c>
      <c r="F9586" s="225" t="s">
        <v>6946</v>
      </c>
    </row>
    <row r="9587" spans="2:6" ht="17.25" thickBot="1">
      <c r="B9587" s="226">
        <v>46195</v>
      </c>
      <c r="C9587" s="227">
        <v>0.56290509259259258</v>
      </c>
      <c r="D9587" s="228">
        <v>10</v>
      </c>
      <c r="E9587" s="225" t="s">
        <v>132</v>
      </c>
      <c r="F9587" s="225" t="s">
        <v>6946</v>
      </c>
    </row>
    <row r="9588" spans="2:6" ht="17.25" thickBot="1">
      <c r="B9588" s="226">
        <v>46195</v>
      </c>
      <c r="C9588" s="227">
        <v>0.7252777777777778</v>
      </c>
      <c r="D9588" s="228">
        <v>10</v>
      </c>
      <c r="E9588" s="225" t="s">
        <v>9010</v>
      </c>
      <c r="F9588" s="225" t="s">
        <v>6946</v>
      </c>
    </row>
    <row r="9589" spans="2:6" ht="26.25" thickBot="1">
      <c r="B9589" s="226">
        <v>46195</v>
      </c>
      <c r="C9589" s="227">
        <v>0.84554398148148147</v>
      </c>
      <c r="D9589" s="228">
        <v>10</v>
      </c>
      <c r="E9589" s="225" t="s">
        <v>9005</v>
      </c>
      <c r="F9589" s="225" t="s">
        <v>6946</v>
      </c>
    </row>
    <row r="9590" spans="2:6" ht="17.25" thickBot="1">
      <c r="B9590" s="226">
        <v>46195</v>
      </c>
      <c r="C9590" s="227">
        <v>0.70037037037037031</v>
      </c>
      <c r="D9590" s="228">
        <v>10</v>
      </c>
      <c r="E9590" s="225" t="s">
        <v>9006</v>
      </c>
      <c r="F9590" s="225" t="s">
        <v>6946</v>
      </c>
    </row>
    <row r="9591" spans="2:6" ht="17.25" thickBot="1">
      <c r="B9591" s="226">
        <v>46195</v>
      </c>
      <c r="C9591" s="227">
        <v>0.67418981481481488</v>
      </c>
      <c r="D9591" s="228">
        <v>10</v>
      </c>
      <c r="E9591" s="225" t="s">
        <v>9021</v>
      </c>
      <c r="F9591" s="225" t="s">
        <v>6946</v>
      </c>
    </row>
    <row r="9592" spans="2:6" ht="17.25" thickBot="1">
      <c r="B9592" s="226">
        <v>46195</v>
      </c>
      <c r="C9592" s="227">
        <v>0.65557870370370364</v>
      </c>
      <c r="D9592" s="228">
        <v>10</v>
      </c>
      <c r="E9592" s="225" t="s">
        <v>132</v>
      </c>
      <c r="F9592" s="225" t="s">
        <v>6946</v>
      </c>
    </row>
    <row r="9593" spans="2:6" ht="17.25" thickBot="1">
      <c r="B9593" s="226">
        <v>46195</v>
      </c>
      <c r="C9593" s="227">
        <v>0.57619212962962962</v>
      </c>
      <c r="D9593" s="228">
        <v>7</v>
      </c>
      <c r="E9593" s="225" t="s">
        <v>9033</v>
      </c>
      <c r="F9593" s="225" t="s">
        <v>6946</v>
      </c>
    </row>
    <row r="9594" spans="2:6" ht="17.25" thickBot="1">
      <c r="B9594" s="226">
        <v>46195</v>
      </c>
      <c r="C9594" s="227">
        <v>0.70083333333333331</v>
      </c>
      <c r="D9594" s="228">
        <v>10</v>
      </c>
      <c r="E9594" s="225" t="s">
        <v>1422</v>
      </c>
      <c r="F9594" s="225" t="s">
        <v>6946</v>
      </c>
    </row>
    <row r="9595" spans="2:6" ht="17.25" thickBot="1">
      <c r="B9595" s="226">
        <v>46195</v>
      </c>
      <c r="C9595" s="227">
        <v>0.63207175925925929</v>
      </c>
      <c r="D9595" s="228">
        <v>10</v>
      </c>
      <c r="E9595" s="225" t="s">
        <v>9030</v>
      </c>
      <c r="F9595" s="225" t="s">
        <v>6946</v>
      </c>
    </row>
    <row r="9596" spans="2:6" ht="17.25" thickBot="1">
      <c r="B9596" s="226">
        <v>46195</v>
      </c>
      <c r="C9596" s="227">
        <v>0.65543981481481484</v>
      </c>
      <c r="D9596" s="228">
        <v>10</v>
      </c>
      <c r="E9596" s="225" t="s">
        <v>1474</v>
      </c>
      <c r="F9596" s="225" t="s">
        <v>6946</v>
      </c>
    </row>
    <row r="9597" spans="2:6" ht="17.25" thickBot="1">
      <c r="B9597" s="226">
        <v>46195</v>
      </c>
      <c r="C9597" s="227">
        <v>0.42322916666666671</v>
      </c>
      <c r="D9597" s="228">
        <v>10</v>
      </c>
      <c r="E9597" s="225" t="s">
        <v>9024</v>
      </c>
      <c r="F9597" s="225" t="s">
        <v>6946</v>
      </c>
    </row>
    <row r="9598" spans="2:6" ht="17.25" thickBot="1">
      <c r="B9598" s="226">
        <v>46195</v>
      </c>
      <c r="C9598" s="227">
        <v>0.74589120370370365</v>
      </c>
      <c r="D9598" s="228">
        <v>10</v>
      </c>
      <c r="E9598" s="225" t="s">
        <v>9023</v>
      </c>
      <c r="F9598" s="225" t="s">
        <v>6946</v>
      </c>
    </row>
    <row r="9599" spans="2:6" ht="17.25" thickBot="1">
      <c r="B9599" s="226">
        <v>46195</v>
      </c>
      <c r="C9599" s="227">
        <v>0.6777777777777777</v>
      </c>
      <c r="D9599" s="228">
        <v>10</v>
      </c>
      <c r="E9599" s="225" t="s">
        <v>9018</v>
      </c>
      <c r="F9599" s="225" t="s">
        <v>6946</v>
      </c>
    </row>
    <row r="9600" spans="2:6" ht="17.25" thickBot="1">
      <c r="B9600" s="226">
        <v>46195</v>
      </c>
      <c r="C9600" s="227">
        <v>0.75545138888888885</v>
      </c>
      <c r="D9600" s="228">
        <v>10</v>
      </c>
      <c r="E9600" s="225" t="s">
        <v>7999</v>
      </c>
      <c r="F9600" s="225" t="s">
        <v>6946</v>
      </c>
    </row>
    <row r="9601" spans="2:6" ht="17.25" thickBot="1">
      <c r="B9601" s="226">
        <v>46195</v>
      </c>
      <c r="C9601" s="227">
        <v>0.59026620370370375</v>
      </c>
      <c r="D9601" s="228">
        <v>10</v>
      </c>
      <c r="E9601" s="225" t="s">
        <v>9035</v>
      </c>
      <c r="F9601" s="225" t="s">
        <v>6946</v>
      </c>
    </row>
    <row r="9602" spans="2:6" ht="17.25" thickBot="1">
      <c r="B9602" s="226">
        <v>46195</v>
      </c>
      <c r="C9602" s="227">
        <v>0.56718750000000007</v>
      </c>
      <c r="D9602" s="228">
        <v>10</v>
      </c>
      <c r="E9602" s="225" t="s">
        <v>9032</v>
      </c>
      <c r="F9602" s="225" t="s">
        <v>6946</v>
      </c>
    </row>
    <row r="9603" spans="2:6" ht="17.25" thickBot="1">
      <c r="B9603" s="226">
        <v>46195</v>
      </c>
      <c r="C9603" s="227">
        <v>0.60192129629629632</v>
      </c>
      <c r="D9603" s="228">
        <v>10</v>
      </c>
      <c r="E9603" s="225" t="s">
        <v>2028</v>
      </c>
      <c r="F9603" s="225" t="s">
        <v>6946</v>
      </c>
    </row>
    <row r="9604" spans="2:6" ht="17.25" thickBot="1">
      <c r="B9604" s="226">
        <v>46195</v>
      </c>
      <c r="C9604" s="227">
        <v>0.57484953703703701</v>
      </c>
      <c r="D9604" s="228">
        <v>10</v>
      </c>
      <c r="E9604" s="225" t="s">
        <v>7276</v>
      </c>
      <c r="F9604" s="225" t="s">
        <v>6946</v>
      </c>
    </row>
    <row r="9605" spans="2:6" ht="17.25" thickBot="1">
      <c r="B9605" s="226">
        <v>46195</v>
      </c>
      <c r="C9605" s="227">
        <v>0.50327546296296299</v>
      </c>
      <c r="D9605" s="228">
        <v>10</v>
      </c>
      <c r="E9605" s="225" t="s">
        <v>9020</v>
      </c>
      <c r="F9605" s="225" t="s">
        <v>6946</v>
      </c>
    </row>
    <row r="9606" spans="2:6" ht="17.25" thickBot="1">
      <c r="B9606" s="226">
        <v>46195</v>
      </c>
      <c r="C9606" s="227">
        <v>0.5665162037037037</v>
      </c>
      <c r="D9606" s="228">
        <v>10</v>
      </c>
      <c r="E9606" s="225"/>
      <c r="F9606" s="225" t="s">
        <v>6946</v>
      </c>
    </row>
    <row r="9607" spans="2:6" ht="17.25" thickBot="1">
      <c r="B9607" s="226">
        <v>46195</v>
      </c>
      <c r="C9607" s="227">
        <v>0.54788194444444438</v>
      </c>
      <c r="D9607" s="228">
        <v>10</v>
      </c>
      <c r="E9607" s="225" t="s">
        <v>244</v>
      </c>
      <c r="F9607" s="225" t="s">
        <v>6946</v>
      </c>
    </row>
    <row r="9608" spans="2:6" ht="17.25" thickBot="1">
      <c r="B9608" s="226">
        <v>46195</v>
      </c>
      <c r="C9608" s="227">
        <v>0.53189814814814818</v>
      </c>
      <c r="D9608" s="228">
        <v>10</v>
      </c>
      <c r="E9608" s="225" t="s">
        <v>9036</v>
      </c>
      <c r="F9608" s="225" t="s">
        <v>6946</v>
      </c>
    </row>
    <row r="9609" spans="2:6" ht="17.25" thickBot="1">
      <c r="B9609" s="226">
        <v>46195</v>
      </c>
      <c r="C9609" s="227">
        <v>0.49747685185185181</v>
      </c>
      <c r="D9609" s="228">
        <v>10</v>
      </c>
      <c r="E9609" s="225" t="s">
        <v>9017</v>
      </c>
      <c r="F9609" s="225" t="s">
        <v>6946</v>
      </c>
    </row>
    <row r="9610" spans="2:6" ht="17.25" thickBot="1">
      <c r="B9610" s="226">
        <v>46195</v>
      </c>
      <c r="C9610" s="227">
        <v>0.49994212962962964</v>
      </c>
      <c r="D9610" s="228">
        <v>10</v>
      </c>
      <c r="E9610" s="225" t="s">
        <v>9031</v>
      </c>
      <c r="F9610" s="225" t="s">
        <v>6946</v>
      </c>
    </row>
    <row r="9611" spans="2:6" ht="17.25" thickBot="1">
      <c r="B9611" s="226">
        <v>46195</v>
      </c>
      <c r="C9611" s="227">
        <v>0.65951388888888884</v>
      </c>
      <c r="D9611" s="228">
        <v>10</v>
      </c>
      <c r="E9611" s="225" t="s">
        <v>9015</v>
      </c>
      <c r="F9611" s="225" t="s">
        <v>6946</v>
      </c>
    </row>
    <row r="9612" spans="2:6" ht="17.25" thickBot="1">
      <c r="B9612" s="226">
        <v>46195</v>
      </c>
      <c r="C9612" s="227">
        <v>0.59305555555555556</v>
      </c>
      <c r="D9612" s="228">
        <v>10</v>
      </c>
      <c r="E9612" s="225" t="s">
        <v>9022</v>
      </c>
      <c r="F9612" s="225" t="s">
        <v>6946</v>
      </c>
    </row>
    <row r="9613" spans="2:6" ht="17.25" thickBot="1">
      <c r="B9613" s="226">
        <v>46195</v>
      </c>
      <c r="C9613" s="227">
        <v>0.63758101851851856</v>
      </c>
      <c r="D9613" s="228">
        <v>10</v>
      </c>
      <c r="E9613" s="225" t="s">
        <v>9016</v>
      </c>
      <c r="F9613" s="225" t="s">
        <v>6946</v>
      </c>
    </row>
    <row r="9614" spans="2:6" ht="17.25" thickBot="1">
      <c r="B9614" s="226">
        <v>46195</v>
      </c>
      <c r="C9614" s="227">
        <v>0.62866898148148154</v>
      </c>
      <c r="D9614" s="228">
        <v>10</v>
      </c>
      <c r="E9614" s="225" t="s">
        <v>132</v>
      </c>
      <c r="F9614" s="225" t="s">
        <v>6946</v>
      </c>
    </row>
    <row r="9615" spans="2:6" ht="17.25" thickBot="1">
      <c r="B9615" s="226">
        <v>46195</v>
      </c>
      <c r="C9615" s="227">
        <v>0.61584490740740738</v>
      </c>
      <c r="D9615" s="228">
        <v>10</v>
      </c>
      <c r="E9615" s="225" t="s">
        <v>9013</v>
      </c>
      <c r="F9615" s="225" t="s">
        <v>6946</v>
      </c>
    </row>
    <row r="9616" spans="2:6" ht="17.25" thickBot="1">
      <c r="B9616" s="226">
        <v>46195</v>
      </c>
      <c r="C9616" s="227">
        <v>0.50182870370370369</v>
      </c>
      <c r="D9616" s="228">
        <v>10</v>
      </c>
      <c r="E9616" s="225" t="s">
        <v>9028</v>
      </c>
      <c r="F9616" s="225" t="s">
        <v>6946</v>
      </c>
    </row>
    <row r="9617" spans="2:6" ht="17.25" thickBot="1">
      <c r="B9617" s="226">
        <v>46195</v>
      </c>
      <c r="C9617" s="227">
        <v>0.71346064814814814</v>
      </c>
      <c r="D9617" s="228">
        <v>10</v>
      </c>
      <c r="E9617" s="225" t="s">
        <v>9008</v>
      </c>
      <c r="F9617" s="225" t="s">
        <v>6946</v>
      </c>
    </row>
    <row r="9618" spans="2:6" ht="17.25" thickBot="1">
      <c r="B9618" s="226">
        <v>46195</v>
      </c>
      <c r="C9618" s="227">
        <v>0.46728009259259262</v>
      </c>
      <c r="D9618" s="228">
        <v>10</v>
      </c>
      <c r="E9618" s="225" t="s">
        <v>132</v>
      </c>
      <c r="F9618" s="225" t="s">
        <v>6946</v>
      </c>
    </row>
    <row r="9619" spans="2:6" ht="17.25" thickBot="1">
      <c r="B9619" s="226">
        <v>46195</v>
      </c>
      <c r="C9619" s="227">
        <v>0.50563657407407414</v>
      </c>
      <c r="D9619" s="228">
        <v>10</v>
      </c>
      <c r="E9619" s="225" t="s">
        <v>3405</v>
      </c>
      <c r="F9619" s="225" t="s">
        <v>6946</v>
      </c>
    </row>
    <row r="9620" spans="2:6" ht="17.25" thickBot="1">
      <c r="B9620" s="226">
        <v>46195</v>
      </c>
      <c r="C9620" s="227">
        <v>0.4484143518518518</v>
      </c>
      <c r="D9620" s="228">
        <v>10</v>
      </c>
      <c r="E9620" s="225" t="s">
        <v>426</v>
      </c>
      <c r="F9620" s="225" t="s">
        <v>6946</v>
      </c>
    </row>
    <row r="9621" spans="2:6" ht="17.25" thickBot="1">
      <c r="B9621" s="226">
        <v>46195</v>
      </c>
      <c r="C9621" s="227">
        <v>0.43753472222222217</v>
      </c>
      <c r="D9621" s="228">
        <v>10</v>
      </c>
      <c r="E9621" s="225" t="s">
        <v>9027</v>
      </c>
      <c r="F9621" s="225" t="s">
        <v>6946</v>
      </c>
    </row>
    <row r="9622" spans="2:6" ht="17.25" thickBot="1">
      <c r="B9622" s="226">
        <v>46195</v>
      </c>
      <c r="C9622" s="227">
        <v>0.45415509259259257</v>
      </c>
      <c r="D9622" s="228">
        <v>10</v>
      </c>
      <c r="E9622" s="225" t="s">
        <v>9026</v>
      </c>
      <c r="F9622" s="225" t="s">
        <v>6946</v>
      </c>
    </row>
    <row r="9623" spans="2:6" ht="17.25" thickBot="1">
      <c r="B9623" s="226">
        <v>46195</v>
      </c>
      <c r="C9623" s="227">
        <v>0.45844907407407409</v>
      </c>
      <c r="D9623" s="228">
        <v>10</v>
      </c>
      <c r="E9623" s="225" t="s">
        <v>201</v>
      </c>
      <c r="F9623" s="225" t="s">
        <v>6946</v>
      </c>
    </row>
    <row r="9624" spans="2:6" ht="17.25" thickBot="1">
      <c r="B9624" s="226">
        <v>46195</v>
      </c>
      <c r="C9624" s="227">
        <v>0.4408217592592592</v>
      </c>
      <c r="D9624" s="228">
        <v>10</v>
      </c>
      <c r="E9624" s="225" t="s">
        <v>9029</v>
      </c>
      <c r="F9624" s="225" t="s">
        <v>6946</v>
      </c>
    </row>
    <row r="9625" spans="2:6" ht="17.25" thickBot="1">
      <c r="B9625" s="226">
        <v>46195</v>
      </c>
      <c r="C9625" s="227">
        <v>0.41930555555555554</v>
      </c>
      <c r="D9625" s="228">
        <v>8</v>
      </c>
      <c r="E9625" s="225" t="s">
        <v>495</v>
      </c>
      <c r="F9625" s="225" t="s">
        <v>6946</v>
      </c>
    </row>
    <row r="9626" spans="2:6" ht="17.25" thickBot="1">
      <c r="B9626" s="226">
        <v>46195</v>
      </c>
      <c r="C9626" s="227">
        <v>0.42765046296296294</v>
      </c>
      <c r="D9626" s="228">
        <v>10</v>
      </c>
      <c r="E9626" s="225" t="s">
        <v>9025</v>
      </c>
      <c r="F9626" s="225" t="s">
        <v>6946</v>
      </c>
    </row>
    <row r="9627" spans="2:6" ht="17.25" thickBot="1">
      <c r="B9627" s="226">
        <v>46195</v>
      </c>
      <c r="C9627" s="227">
        <v>0.39197916666666671</v>
      </c>
      <c r="D9627" s="228">
        <v>10</v>
      </c>
      <c r="E9627" s="225" t="s">
        <v>9012</v>
      </c>
      <c r="F9627" s="225" t="s">
        <v>6946</v>
      </c>
    </row>
    <row r="9628" spans="2:6" ht="39" thickBot="1">
      <c r="B9628" s="226">
        <v>46195</v>
      </c>
      <c r="C9628" s="227">
        <v>0.40590277777777778</v>
      </c>
      <c r="D9628" s="228">
        <v>10</v>
      </c>
      <c r="E9628" s="225" t="s">
        <v>9037</v>
      </c>
      <c r="F9628" s="225" t="s">
        <v>6946</v>
      </c>
    </row>
    <row r="9629" spans="2:6" ht="17.25" thickBot="1">
      <c r="B9629" s="226">
        <v>46195</v>
      </c>
      <c r="C9629" s="227">
        <v>0.40434027777777781</v>
      </c>
      <c r="D9629" s="228">
        <v>10</v>
      </c>
      <c r="E9629" s="225" t="s">
        <v>9034</v>
      </c>
      <c r="F9629" s="225" t="s">
        <v>6946</v>
      </c>
    </row>
    <row r="9630" spans="2:6" ht="17.25" thickBot="1">
      <c r="B9630" s="226">
        <v>46193</v>
      </c>
      <c r="C9630" s="227">
        <v>0.54313657407407401</v>
      </c>
      <c r="D9630" s="228">
        <v>10</v>
      </c>
      <c r="E9630" s="225" t="s">
        <v>8965</v>
      </c>
      <c r="F9630" s="225" t="s">
        <v>6946</v>
      </c>
    </row>
    <row r="9631" spans="2:6" ht="17.25" thickBot="1">
      <c r="B9631" s="226">
        <v>46193</v>
      </c>
      <c r="C9631" s="227">
        <v>0.64137731481481486</v>
      </c>
      <c r="D9631" s="228">
        <v>10</v>
      </c>
      <c r="E9631" s="225" t="s">
        <v>8964</v>
      </c>
      <c r="F9631" s="225" t="s">
        <v>6946</v>
      </c>
    </row>
    <row r="9632" spans="2:6" ht="26.25" thickBot="1">
      <c r="B9632" s="226">
        <v>46193</v>
      </c>
      <c r="C9632" s="227">
        <v>0.47681712962962958</v>
      </c>
      <c r="D9632" s="228">
        <v>10</v>
      </c>
      <c r="E9632" s="225" t="s">
        <v>8963</v>
      </c>
      <c r="F9632" s="225" t="s">
        <v>6946</v>
      </c>
    </row>
    <row r="9633" spans="2:6" ht="17.25" thickBot="1">
      <c r="B9633" s="226">
        <v>46193</v>
      </c>
      <c r="C9633" s="227">
        <v>0.58981481481481479</v>
      </c>
      <c r="D9633" s="228">
        <v>10</v>
      </c>
      <c r="E9633" s="225" t="s">
        <v>8966</v>
      </c>
      <c r="F9633" s="225" t="s">
        <v>6946</v>
      </c>
    </row>
    <row r="9634" spans="2:6" ht="17.25" thickBot="1">
      <c r="B9634" s="226">
        <v>46193</v>
      </c>
      <c r="C9634" s="227">
        <v>0.66273148148148142</v>
      </c>
      <c r="D9634" s="228">
        <v>10</v>
      </c>
      <c r="E9634" s="225" t="s">
        <v>8970</v>
      </c>
      <c r="F9634" s="225" t="s">
        <v>6946</v>
      </c>
    </row>
    <row r="9635" spans="2:6" ht="17.25" thickBot="1">
      <c r="B9635" s="226">
        <v>46193</v>
      </c>
      <c r="C9635" s="227">
        <v>0.54343750000000002</v>
      </c>
      <c r="D9635" s="228">
        <v>10</v>
      </c>
      <c r="E9635" s="225" t="s">
        <v>6516</v>
      </c>
      <c r="F9635" s="225" t="s">
        <v>6946</v>
      </c>
    </row>
    <row r="9636" spans="2:6" ht="39" thickBot="1">
      <c r="B9636" s="226">
        <v>46193</v>
      </c>
      <c r="C9636" s="227">
        <v>0.39101851851851849</v>
      </c>
      <c r="D9636" s="228">
        <v>10</v>
      </c>
      <c r="E9636" s="225" t="s">
        <v>8968</v>
      </c>
      <c r="F9636" s="225" t="s">
        <v>6946</v>
      </c>
    </row>
    <row r="9637" spans="2:6" ht="17.25" thickBot="1">
      <c r="B9637" s="226">
        <v>46193</v>
      </c>
      <c r="C9637" s="227">
        <v>0.65059027777777778</v>
      </c>
      <c r="D9637" s="228">
        <v>10</v>
      </c>
      <c r="E9637" s="225" t="s">
        <v>8967</v>
      </c>
      <c r="F9637" s="225" t="s">
        <v>6946</v>
      </c>
    </row>
    <row r="9638" spans="2:6" ht="17.25" thickBot="1">
      <c r="B9638" s="226">
        <v>46193</v>
      </c>
      <c r="C9638" s="227">
        <v>0.61880787037037044</v>
      </c>
      <c r="D9638" s="228">
        <v>10</v>
      </c>
      <c r="E9638" s="225" t="s">
        <v>8969</v>
      </c>
      <c r="F9638" s="225" t="s">
        <v>6946</v>
      </c>
    </row>
    <row r="9639" spans="2:6" ht="17.25" thickBot="1">
      <c r="B9639" s="226">
        <v>46193</v>
      </c>
      <c r="C9639" s="227">
        <v>0.43260416666666668</v>
      </c>
      <c r="D9639" s="228">
        <v>10</v>
      </c>
      <c r="E9639" s="225" t="s">
        <v>132</v>
      </c>
      <c r="F9639" s="225" t="s">
        <v>6946</v>
      </c>
    </row>
    <row r="9640" spans="2:6" ht="17.25" thickBot="1">
      <c r="B9640" s="226">
        <v>46192</v>
      </c>
      <c r="C9640" s="227">
        <v>0.75796296296296306</v>
      </c>
      <c r="D9640" s="228">
        <v>10</v>
      </c>
      <c r="E9640" s="225" t="s">
        <v>1394</v>
      </c>
      <c r="F9640" s="225" t="s">
        <v>6946</v>
      </c>
    </row>
    <row r="9641" spans="2:6" ht="17.25" thickBot="1">
      <c r="B9641" s="226">
        <v>46192</v>
      </c>
      <c r="C9641" s="227">
        <v>0.91405092592592585</v>
      </c>
      <c r="D9641" s="228">
        <v>10</v>
      </c>
      <c r="E9641" s="225" t="s">
        <v>8981</v>
      </c>
      <c r="F9641" s="225" t="s">
        <v>6946</v>
      </c>
    </row>
    <row r="9642" spans="2:6" ht="17.25" thickBot="1">
      <c r="B9642" s="226">
        <v>46192</v>
      </c>
      <c r="C9642" s="227">
        <v>0.91340277777777779</v>
      </c>
      <c r="D9642" s="228">
        <v>10</v>
      </c>
      <c r="E9642" s="225" t="s">
        <v>8999</v>
      </c>
      <c r="F9642" s="225" t="s">
        <v>6946</v>
      </c>
    </row>
    <row r="9643" spans="2:6" ht="17.25" thickBot="1">
      <c r="B9643" s="226">
        <v>46192</v>
      </c>
      <c r="C9643" s="227">
        <v>0.80557870370370377</v>
      </c>
      <c r="D9643" s="228">
        <v>10</v>
      </c>
      <c r="E9643" s="225" t="s">
        <v>8980</v>
      </c>
      <c r="F9643" s="225" t="s">
        <v>6946</v>
      </c>
    </row>
    <row r="9644" spans="2:6" ht="17.25" thickBot="1">
      <c r="B9644" s="226">
        <v>46192</v>
      </c>
      <c r="C9644" s="227">
        <v>0.81825231481481486</v>
      </c>
      <c r="D9644" s="228">
        <v>10</v>
      </c>
      <c r="E9644" s="225" t="s">
        <v>8989</v>
      </c>
      <c r="F9644" s="225" t="s">
        <v>6946</v>
      </c>
    </row>
    <row r="9645" spans="2:6" ht="17.25" thickBot="1">
      <c r="B9645" s="226">
        <v>46192</v>
      </c>
      <c r="C9645" s="227">
        <v>0.78039351851851846</v>
      </c>
      <c r="D9645" s="228">
        <v>10</v>
      </c>
      <c r="E9645" s="225" t="s">
        <v>8993</v>
      </c>
      <c r="F9645" s="225" t="s">
        <v>6946</v>
      </c>
    </row>
    <row r="9646" spans="2:6" ht="17.25" thickBot="1">
      <c r="B9646" s="226">
        <v>46192</v>
      </c>
      <c r="C9646" s="227">
        <v>0.73297453703703708</v>
      </c>
      <c r="D9646" s="228">
        <v>10</v>
      </c>
      <c r="E9646" s="225" t="s">
        <v>8985</v>
      </c>
      <c r="F9646" s="225" t="s">
        <v>6946</v>
      </c>
    </row>
    <row r="9647" spans="2:6" ht="17.25" thickBot="1">
      <c r="B9647" s="226">
        <v>46192</v>
      </c>
      <c r="C9647" s="227">
        <v>0.71978009259259268</v>
      </c>
      <c r="D9647" s="228">
        <v>10</v>
      </c>
      <c r="E9647" s="225" t="s">
        <v>8977</v>
      </c>
      <c r="F9647" s="225" t="s">
        <v>6946</v>
      </c>
    </row>
    <row r="9648" spans="2:6" ht="17.25" thickBot="1">
      <c r="B9648" s="226">
        <v>46192</v>
      </c>
      <c r="C9648" s="227">
        <v>0.63626157407407413</v>
      </c>
      <c r="D9648" s="228">
        <v>10</v>
      </c>
      <c r="E9648" s="225" t="s">
        <v>8975</v>
      </c>
      <c r="F9648" s="225" t="s">
        <v>6946</v>
      </c>
    </row>
    <row r="9649" spans="2:6" ht="17.25" thickBot="1">
      <c r="B9649" s="226">
        <v>46192</v>
      </c>
      <c r="C9649" s="227">
        <v>0.74113425925925924</v>
      </c>
      <c r="D9649" s="228">
        <v>10</v>
      </c>
      <c r="E9649" s="225" t="s">
        <v>9001</v>
      </c>
      <c r="F9649" s="225" t="s">
        <v>6946</v>
      </c>
    </row>
    <row r="9650" spans="2:6" ht="17.25" thickBot="1">
      <c r="B9650" s="226">
        <v>46192</v>
      </c>
      <c r="C9650" s="227">
        <v>0.66383101851851845</v>
      </c>
      <c r="D9650" s="228">
        <v>10</v>
      </c>
      <c r="E9650" s="225" t="s">
        <v>8974</v>
      </c>
      <c r="F9650" s="225" t="s">
        <v>6946</v>
      </c>
    </row>
    <row r="9651" spans="2:6" ht="17.25" thickBot="1">
      <c r="B9651" s="226">
        <v>46192</v>
      </c>
      <c r="C9651" s="227">
        <v>0.73814814814814811</v>
      </c>
      <c r="D9651" s="228">
        <v>10</v>
      </c>
      <c r="E9651" s="225" t="s">
        <v>8978</v>
      </c>
      <c r="F9651" s="225" t="s">
        <v>6946</v>
      </c>
    </row>
    <row r="9652" spans="2:6" ht="17.25" thickBot="1">
      <c r="B9652" s="226">
        <v>46192</v>
      </c>
      <c r="C9652" s="227">
        <v>0.6639004629629629</v>
      </c>
      <c r="D9652" s="228">
        <v>10</v>
      </c>
      <c r="E9652" s="225" t="s">
        <v>8987</v>
      </c>
      <c r="F9652" s="225" t="s">
        <v>6946</v>
      </c>
    </row>
    <row r="9653" spans="2:6" ht="17.25" thickBot="1">
      <c r="B9653" s="226">
        <v>46192</v>
      </c>
      <c r="C9653" s="227">
        <v>0.68991898148148145</v>
      </c>
      <c r="D9653" s="228">
        <v>10</v>
      </c>
      <c r="E9653" s="225" t="s">
        <v>8976</v>
      </c>
      <c r="F9653" s="225" t="s">
        <v>6946</v>
      </c>
    </row>
    <row r="9654" spans="2:6" ht="17.25" thickBot="1">
      <c r="B9654" s="226">
        <v>46192</v>
      </c>
      <c r="C9654" s="227">
        <v>0.75170138888888882</v>
      </c>
      <c r="D9654" s="228">
        <v>10</v>
      </c>
      <c r="E9654" s="225" t="s">
        <v>8984</v>
      </c>
      <c r="F9654" s="225" t="s">
        <v>6946</v>
      </c>
    </row>
    <row r="9655" spans="2:6" ht="17.25" thickBot="1">
      <c r="B9655" s="226">
        <v>46192</v>
      </c>
      <c r="C9655" s="227">
        <v>0.61865740740740738</v>
      </c>
      <c r="D9655" s="228">
        <v>10</v>
      </c>
      <c r="E9655" s="225" t="s">
        <v>8988</v>
      </c>
      <c r="F9655" s="225" t="s">
        <v>6946</v>
      </c>
    </row>
    <row r="9656" spans="2:6" ht="17.25" thickBot="1">
      <c r="B9656" s="226">
        <v>46192</v>
      </c>
      <c r="C9656" s="227">
        <v>0.64369212962962963</v>
      </c>
      <c r="D9656" s="228">
        <v>10</v>
      </c>
      <c r="E9656" s="225" t="s">
        <v>8986</v>
      </c>
      <c r="F9656" s="225" t="s">
        <v>6946</v>
      </c>
    </row>
    <row r="9657" spans="2:6" ht="17.25" thickBot="1">
      <c r="B9657" s="226">
        <v>46192</v>
      </c>
      <c r="C9657" s="227">
        <v>0.68899305555555557</v>
      </c>
      <c r="D9657" s="228">
        <v>10</v>
      </c>
      <c r="E9657" s="225" t="s">
        <v>8973</v>
      </c>
      <c r="F9657" s="225" t="s">
        <v>6946</v>
      </c>
    </row>
    <row r="9658" spans="2:6" ht="17.25" thickBot="1">
      <c r="B9658" s="226">
        <v>46192</v>
      </c>
      <c r="C9658" s="227">
        <v>0.65789351851851852</v>
      </c>
      <c r="D9658" s="228">
        <v>10</v>
      </c>
      <c r="E9658" s="225" t="s">
        <v>351</v>
      </c>
      <c r="F9658" s="225" t="s">
        <v>6946</v>
      </c>
    </row>
    <row r="9659" spans="2:6" ht="17.25" thickBot="1">
      <c r="B9659" s="226">
        <v>46192</v>
      </c>
      <c r="C9659" s="227">
        <v>0.59517361111111111</v>
      </c>
      <c r="D9659" s="228">
        <v>10</v>
      </c>
      <c r="E9659" s="225" t="s">
        <v>8990</v>
      </c>
      <c r="F9659" s="225" t="s">
        <v>6946</v>
      </c>
    </row>
    <row r="9660" spans="2:6" ht="17.25" thickBot="1">
      <c r="B9660" s="226">
        <v>46192</v>
      </c>
      <c r="C9660" s="227">
        <v>0.63072916666666667</v>
      </c>
      <c r="D9660" s="228">
        <v>10</v>
      </c>
      <c r="E9660" s="225" t="s">
        <v>8971</v>
      </c>
      <c r="F9660" s="225" t="s">
        <v>6946</v>
      </c>
    </row>
    <row r="9661" spans="2:6" ht="17.25" thickBot="1">
      <c r="B9661" s="226">
        <v>46192</v>
      </c>
      <c r="C9661" s="227">
        <v>0.66861111111111116</v>
      </c>
      <c r="D9661" s="228">
        <v>10</v>
      </c>
      <c r="E9661" s="225" t="s">
        <v>132</v>
      </c>
      <c r="F9661" s="225" t="s">
        <v>6946</v>
      </c>
    </row>
    <row r="9662" spans="2:6" ht="17.25" thickBot="1">
      <c r="B9662" s="226">
        <v>46192</v>
      </c>
      <c r="C9662" s="227">
        <v>0.69890046296296304</v>
      </c>
      <c r="D9662" s="228">
        <v>10</v>
      </c>
      <c r="E9662" s="225" t="s">
        <v>8972</v>
      </c>
      <c r="F9662" s="225" t="s">
        <v>6946</v>
      </c>
    </row>
    <row r="9663" spans="2:6" ht="17.25" thickBot="1">
      <c r="B9663" s="226">
        <v>46192</v>
      </c>
      <c r="C9663" s="227">
        <v>0.55103009259259261</v>
      </c>
      <c r="D9663" s="228">
        <v>10</v>
      </c>
      <c r="E9663" s="225" t="s">
        <v>537</v>
      </c>
      <c r="F9663" s="225" t="s">
        <v>6946</v>
      </c>
    </row>
    <row r="9664" spans="2:6" ht="17.25" thickBot="1">
      <c r="B9664" s="226">
        <v>46192</v>
      </c>
      <c r="C9664" s="227">
        <v>0.65538194444444442</v>
      </c>
      <c r="D9664" s="228">
        <v>10</v>
      </c>
      <c r="E9664" s="225" t="s">
        <v>8979</v>
      </c>
      <c r="F9664" s="225" t="s">
        <v>6946</v>
      </c>
    </row>
    <row r="9665" spans="2:6" ht="17.25" thickBot="1">
      <c r="B9665" s="226">
        <v>46192</v>
      </c>
      <c r="C9665" s="227">
        <v>0.48011574074074076</v>
      </c>
      <c r="D9665" s="228">
        <v>10</v>
      </c>
      <c r="E9665" s="225" t="s">
        <v>8994</v>
      </c>
      <c r="F9665" s="225" t="s">
        <v>6946</v>
      </c>
    </row>
    <row r="9666" spans="2:6" ht="17.25" thickBot="1">
      <c r="B9666" s="226">
        <v>46192</v>
      </c>
      <c r="C9666" s="227">
        <v>0.58496527777777774</v>
      </c>
      <c r="D9666" s="228">
        <v>5</v>
      </c>
      <c r="E9666" s="225" t="s">
        <v>8991</v>
      </c>
      <c r="F9666" s="225" t="s">
        <v>6946</v>
      </c>
    </row>
    <row r="9667" spans="2:6" ht="17.25" thickBot="1">
      <c r="B9667" s="226">
        <v>46192</v>
      </c>
      <c r="C9667" s="227">
        <v>0.53532407407407401</v>
      </c>
      <c r="D9667" s="228">
        <v>10</v>
      </c>
      <c r="E9667" s="225" t="s">
        <v>8983</v>
      </c>
      <c r="F9667" s="225" t="s">
        <v>6946</v>
      </c>
    </row>
    <row r="9668" spans="2:6" ht="17.25" thickBot="1">
      <c r="B9668" s="226">
        <v>46192</v>
      </c>
      <c r="C9668" s="227">
        <v>0.55942129629629633</v>
      </c>
      <c r="D9668" s="228">
        <v>10</v>
      </c>
      <c r="E9668" s="225" t="s">
        <v>8995</v>
      </c>
      <c r="F9668" s="225" t="s">
        <v>6946</v>
      </c>
    </row>
    <row r="9669" spans="2:6" ht="17.25" thickBot="1">
      <c r="B9669" s="226">
        <v>46192</v>
      </c>
      <c r="C9669" s="227">
        <v>0.44435185185185189</v>
      </c>
      <c r="D9669" s="228">
        <v>10</v>
      </c>
      <c r="E9669" s="225" t="s">
        <v>8982</v>
      </c>
      <c r="F9669" s="225" t="s">
        <v>6946</v>
      </c>
    </row>
    <row r="9670" spans="2:6" ht="17.25" thickBot="1">
      <c r="B9670" s="226">
        <v>46192</v>
      </c>
      <c r="C9670" s="227">
        <v>0.41554398148148147</v>
      </c>
      <c r="D9670" s="228">
        <v>10</v>
      </c>
      <c r="E9670" s="225" t="s">
        <v>5033</v>
      </c>
      <c r="F9670" s="225" t="s">
        <v>6946</v>
      </c>
    </row>
    <row r="9671" spans="2:6" ht="17.25" thickBot="1">
      <c r="B9671" s="226">
        <v>46192</v>
      </c>
      <c r="C9671" s="227">
        <v>0.41167824074074072</v>
      </c>
      <c r="D9671" s="228">
        <v>10</v>
      </c>
      <c r="E9671" s="225" t="s">
        <v>8997</v>
      </c>
      <c r="F9671" s="225" t="s">
        <v>6946</v>
      </c>
    </row>
    <row r="9672" spans="2:6" ht="17.25" thickBot="1">
      <c r="B9672" s="226">
        <v>46192</v>
      </c>
      <c r="C9672" s="227">
        <v>0.4632175925925926</v>
      </c>
      <c r="D9672" s="228">
        <v>10</v>
      </c>
      <c r="E9672" s="225" t="s">
        <v>9000</v>
      </c>
      <c r="F9672" s="225" t="s">
        <v>6946</v>
      </c>
    </row>
    <row r="9673" spans="2:6" ht="17.25" thickBot="1">
      <c r="B9673" s="226">
        <v>46192</v>
      </c>
      <c r="C9673" s="227">
        <v>0.43828703703703703</v>
      </c>
      <c r="D9673" s="228">
        <v>10</v>
      </c>
      <c r="E9673" s="225" t="s">
        <v>8992</v>
      </c>
      <c r="F9673" s="225" t="s">
        <v>6946</v>
      </c>
    </row>
    <row r="9674" spans="2:6" ht="17.25" thickBot="1">
      <c r="B9674" s="226">
        <v>46192</v>
      </c>
      <c r="C9674" s="227">
        <v>0.40803240740740737</v>
      </c>
      <c r="D9674" s="228">
        <v>10</v>
      </c>
      <c r="E9674" s="225" t="s">
        <v>9002</v>
      </c>
      <c r="F9674" s="225" t="s">
        <v>6946</v>
      </c>
    </row>
    <row r="9675" spans="2:6" ht="17.25" thickBot="1">
      <c r="B9675" s="226">
        <v>46192</v>
      </c>
      <c r="C9675" s="227">
        <v>0.47174768518518517</v>
      </c>
      <c r="D9675" s="228">
        <v>10</v>
      </c>
      <c r="E9675" s="225" t="s">
        <v>8996</v>
      </c>
      <c r="F9675" s="225" t="s">
        <v>6946</v>
      </c>
    </row>
    <row r="9676" spans="2:6" ht="17.25" thickBot="1">
      <c r="B9676" s="226">
        <v>46192</v>
      </c>
      <c r="C9676" s="227">
        <v>0.43709490740740736</v>
      </c>
      <c r="D9676" s="228">
        <v>10</v>
      </c>
      <c r="E9676" s="225" t="s">
        <v>4244</v>
      </c>
      <c r="F9676" s="225" t="s">
        <v>6946</v>
      </c>
    </row>
    <row r="9677" spans="2:6" ht="17.25" thickBot="1">
      <c r="B9677" s="226">
        <v>46192</v>
      </c>
      <c r="C9677" s="227">
        <v>0.44292824074074072</v>
      </c>
      <c r="D9677" s="228">
        <v>9</v>
      </c>
      <c r="E9677" s="225" t="s">
        <v>8998</v>
      </c>
      <c r="F9677" s="225" t="s">
        <v>6946</v>
      </c>
    </row>
    <row r="9678" spans="2:6" ht="17.25" thickBot="1">
      <c r="B9678" s="226">
        <v>46191</v>
      </c>
      <c r="C9678" s="227">
        <v>0.75287037037037041</v>
      </c>
      <c r="D9678" s="228">
        <v>10</v>
      </c>
      <c r="E9678" s="225" t="s">
        <v>8949</v>
      </c>
      <c r="F9678" s="225" t="s">
        <v>6946</v>
      </c>
    </row>
    <row r="9679" spans="2:6" ht="17.25" thickBot="1">
      <c r="B9679" s="226">
        <v>46191</v>
      </c>
      <c r="C9679" s="227">
        <v>0.67982638888888891</v>
      </c>
      <c r="D9679" s="228">
        <v>10</v>
      </c>
      <c r="E9679" s="225" t="s">
        <v>8952</v>
      </c>
      <c r="F9679" s="225" t="s">
        <v>6946</v>
      </c>
    </row>
    <row r="9680" spans="2:6" ht="26.25" thickBot="1">
      <c r="B9680" s="226">
        <v>46191</v>
      </c>
      <c r="C9680" s="227">
        <v>0.74870370370370365</v>
      </c>
      <c r="D9680" s="228">
        <v>10</v>
      </c>
      <c r="E9680" s="225" t="s">
        <v>8948</v>
      </c>
      <c r="F9680" s="225" t="s">
        <v>6946</v>
      </c>
    </row>
    <row r="9681" spans="2:6" ht="17.25" thickBot="1">
      <c r="B9681" s="226">
        <v>46191</v>
      </c>
      <c r="C9681" s="227">
        <v>0.78630787037037031</v>
      </c>
      <c r="D9681" s="228">
        <v>10</v>
      </c>
      <c r="E9681" s="225" t="s">
        <v>8934</v>
      </c>
      <c r="F9681" s="225" t="s">
        <v>6946</v>
      </c>
    </row>
    <row r="9682" spans="2:6" ht="26.25" thickBot="1">
      <c r="B9682" s="226">
        <v>46191</v>
      </c>
      <c r="C9682" s="227">
        <v>0.77674768518518522</v>
      </c>
      <c r="D9682" s="228">
        <v>10</v>
      </c>
      <c r="E9682" s="225" t="s">
        <v>8953</v>
      </c>
      <c r="F9682" s="225" t="s">
        <v>6946</v>
      </c>
    </row>
    <row r="9683" spans="2:6" ht="17.25" thickBot="1">
      <c r="B9683" s="226">
        <v>46191</v>
      </c>
      <c r="C9683" s="227">
        <v>0.69021990740740735</v>
      </c>
      <c r="D9683" s="228">
        <v>10</v>
      </c>
      <c r="E9683" s="225" t="s">
        <v>8956</v>
      </c>
      <c r="F9683" s="225" t="s">
        <v>6946</v>
      </c>
    </row>
    <row r="9684" spans="2:6" ht="17.25" thickBot="1">
      <c r="B9684" s="226">
        <v>46191</v>
      </c>
      <c r="C9684" s="227">
        <v>0.75905092592592593</v>
      </c>
      <c r="D9684" s="228">
        <v>10</v>
      </c>
      <c r="E9684" s="225" t="s">
        <v>8947</v>
      </c>
      <c r="F9684" s="225" t="s">
        <v>6946</v>
      </c>
    </row>
    <row r="9685" spans="2:6" ht="17.25" thickBot="1">
      <c r="B9685" s="226">
        <v>46191</v>
      </c>
      <c r="C9685" s="227">
        <v>0.73586805555555557</v>
      </c>
      <c r="D9685" s="228">
        <v>10</v>
      </c>
      <c r="E9685" s="225" t="s">
        <v>8932</v>
      </c>
      <c r="F9685" s="225" t="s">
        <v>6946</v>
      </c>
    </row>
    <row r="9686" spans="2:6" ht="17.25" thickBot="1">
      <c r="B9686" s="226">
        <v>46191</v>
      </c>
      <c r="C9686" s="227">
        <v>0.68202546296296296</v>
      </c>
      <c r="D9686" s="228">
        <v>10</v>
      </c>
      <c r="E9686" s="225" t="s">
        <v>132</v>
      </c>
      <c r="F9686" s="225" t="s">
        <v>6946</v>
      </c>
    </row>
    <row r="9687" spans="2:6" ht="17.25" thickBot="1">
      <c r="B9687" s="226">
        <v>46191</v>
      </c>
      <c r="C9687" s="227">
        <v>0.66491898148148143</v>
      </c>
      <c r="D9687" s="228">
        <v>10</v>
      </c>
      <c r="E9687" s="225" t="s">
        <v>8935</v>
      </c>
      <c r="F9687" s="225" t="s">
        <v>6946</v>
      </c>
    </row>
    <row r="9688" spans="2:6" ht="17.25" thickBot="1">
      <c r="B9688" s="226">
        <v>46191</v>
      </c>
      <c r="C9688" s="227">
        <v>0.76483796296296302</v>
      </c>
      <c r="D9688" s="228">
        <v>10</v>
      </c>
      <c r="E9688" s="225" t="s">
        <v>8928</v>
      </c>
      <c r="F9688" s="225" t="s">
        <v>6946</v>
      </c>
    </row>
    <row r="9689" spans="2:6" ht="17.25" thickBot="1">
      <c r="B9689" s="226">
        <v>46191</v>
      </c>
      <c r="C9689" s="227">
        <v>0.89785879629629628</v>
      </c>
      <c r="D9689" s="228">
        <v>10</v>
      </c>
      <c r="E9689" s="225" t="s">
        <v>1688</v>
      </c>
      <c r="F9689" s="225" t="s">
        <v>6946</v>
      </c>
    </row>
    <row r="9690" spans="2:6" ht="17.25" thickBot="1">
      <c r="B9690" s="226">
        <v>46191</v>
      </c>
      <c r="C9690" s="227">
        <v>0.7697222222222222</v>
      </c>
      <c r="D9690" s="228">
        <v>10</v>
      </c>
      <c r="E9690" s="225" t="s">
        <v>537</v>
      </c>
      <c r="F9690" s="225" t="s">
        <v>6946</v>
      </c>
    </row>
    <row r="9691" spans="2:6" ht="17.25" thickBot="1">
      <c r="B9691" s="226">
        <v>46191</v>
      </c>
      <c r="C9691" s="227">
        <v>0.60231481481481486</v>
      </c>
      <c r="D9691" s="228">
        <v>10</v>
      </c>
      <c r="E9691" s="225" t="s">
        <v>8933</v>
      </c>
      <c r="F9691" s="225" t="s">
        <v>6946</v>
      </c>
    </row>
    <row r="9692" spans="2:6" ht="17.25" thickBot="1">
      <c r="B9692" s="226">
        <v>46191</v>
      </c>
      <c r="C9692" s="227">
        <v>0.89457175925925936</v>
      </c>
      <c r="D9692" s="228">
        <v>10</v>
      </c>
      <c r="E9692" s="225" t="s">
        <v>2584</v>
      </c>
      <c r="F9692" s="225" t="s">
        <v>6946</v>
      </c>
    </row>
    <row r="9693" spans="2:6" ht="17.25" thickBot="1">
      <c r="B9693" s="226">
        <v>46191</v>
      </c>
      <c r="C9693" s="227">
        <v>0.75344907407407413</v>
      </c>
      <c r="D9693" s="228">
        <v>10</v>
      </c>
      <c r="E9693" s="225" t="s">
        <v>8950</v>
      </c>
      <c r="F9693" s="225" t="s">
        <v>6946</v>
      </c>
    </row>
    <row r="9694" spans="2:6" ht="17.25" thickBot="1">
      <c r="B9694" s="226">
        <v>46191</v>
      </c>
      <c r="C9694" s="227">
        <v>0.7262615740740741</v>
      </c>
      <c r="D9694" s="228">
        <v>10</v>
      </c>
      <c r="E9694" s="225" t="s">
        <v>8927</v>
      </c>
      <c r="F9694" s="225" t="s">
        <v>6946</v>
      </c>
    </row>
    <row r="9695" spans="2:6" ht="17.25" thickBot="1">
      <c r="B9695" s="226">
        <v>46191</v>
      </c>
      <c r="C9695" s="227">
        <v>0.70586805555555554</v>
      </c>
      <c r="D9695" s="228">
        <v>10</v>
      </c>
      <c r="E9695" s="225" t="s">
        <v>8942</v>
      </c>
      <c r="F9695" s="225" t="s">
        <v>6946</v>
      </c>
    </row>
    <row r="9696" spans="2:6" ht="17.25" thickBot="1">
      <c r="B9696" s="226">
        <v>46191</v>
      </c>
      <c r="C9696" s="227">
        <v>0.60277777777777775</v>
      </c>
      <c r="D9696" s="228">
        <v>10</v>
      </c>
      <c r="E9696" s="225" t="s">
        <v>244</v>
      </c>
      <c r="F9696" s="225" t="s">
        <v>6946</v>
      </c>
    </row>
    <row r="9697" spans="2:6" ht="17.25" thickBot="1">
      <c r="B9697" s="226">
        <v>46191</v>
      </c>
      <c r="C9697" s="227">
        <v>0.61131944444444442</v>
      </c>
      <c r="D9697" s="228">
        <v>10</v>
      </c>
      <c r="E9697" s="225" t="s">
        <v>1700</v>
      </c>
      <c r="F9697" s="225" t="s">
        <v>6946</v>
      </c>
    </row>
    <row r="9698" spans="2:6" ht="17.25" thickBot="1">
      <c r="B9698" s="226">
        <v>46191</v>
      </c>
      <c r="C9698" s="227">
        <v>0.7453819444444445</v>
      </c>
      <c r="D9698" s="228">
        <v>10</v>
      </c>
      <c r="E9698" s="225" t="s">
        <v>5217</v>
      </c>
      <c r="F9698" s="225" t="s">
        <v>6946</v>
      </c>
    </row>
    <row r="9699" spans="2:6" ht="17.25" thickBot="1">
      <c r="B9699" s="226">
        <v>46191</v>
      </c>
      <c r="C9699" s="227">
        <v>0.54188657407407403</v>
      </c>
      <c r="D9699" s="228">
        <v>10</v>
      </c>
      <c r="E9699" s="225" t="s">
        <v>8941</v>
      </c>
      <c r="F9699" s="225" t="s">
        <v>6946</v>
      </c>
    </row>
    <row r="9700" spans="2:6" ht="17.25" thickBot="1">
      <c r="B9700" s="226">
        <v>46191</v>
      </c>
      <c r="C9700" s="227">
        <v>0.67353009259259267</v>
      </c>
      <c r="D9700" s="228">
        <v>10</v>
      </c>
      <c r="E9700" s="225" t="s">
        <v>8954</v>
      </c>
      <c r="F9700" s="225" t="s">
        <v>6946</v>
      </c>
    </row>
    <row r="9701" spans="2:6" ht="17.25" thickBot="1">
      <c r="B9701" s="226">
        <v>46191</v>
      </c>
      <c r="C9701" s="227">
        <v>0.6818749999999999</v>
      </c>
      <c r="D9701" s="228">
        <v>10</v>
      </c>
      <c r="E9701" s="225" t="s">
        <v>132</v>
      </c>
      <c r="F9701" s="225" t="s">
        <v>6946</v>
      </c>
    </row>
    <row r="9702" spans="2:6" ht="17.25" thickBot="1">
      <c r="B9702" s="226">
        <v>46191</v>
      </c>
      <c r="C9702" s="227">
        <v>0.58767361111111105</v>
      </c>
      <c r="D9702" s="228">
        <v>10</v>
      </c>
      <c r="E9702" s="225" t="s">
        <v>8940</v>
      </c>
      <c r="F9702" s="225" t="s">
        <v>6946</v>
      </c>
    </row>
    <row r="9703" spans="2:6" ht="17.25" thickBot="1">
      <c r="B9703" s="226">
        <v>46191</v>
      </c>
      <c r="C9703" s="227">
        <v>0.68847222222222226</v>
      </c>
      <c r="D9703" s="228">
        <v>10</v>
      </c>
      <c r="E9703" s="225" t="s">
        <v>8943</v>
      </c>
      <c r="F9703" s="225" t="s">
        <v>6946</v>
      </c>
    </row>
    <row r="9704" spans="2:6" ht="17.25" thickBot="1">
      <c r="B9704" s="226">
        <v>46191</v>
      </c>
      <c r="C9704" s="227">
        <v>0.63135416666666666</v>
      </c>
      <c r="D9704" s="228">
        <v>10</v>
      </c>
      <c r="E9704" s="225" t="s">
        <v>8945</v>
      </c>
      <c r="F9704" s="225" t="s">
        <v>6946</v>
      </c>
    </row>
    <row r="9705" spans="2:6" ht="17.25" thickBot="1">
      <c r="B9705" s="226">
        <v>46191</v>
      </c>
      <c r="C9705" s="227">
        <v>0.81149305555555562</v>
      </c>
      <c r="D9705" s="228">
        <v>10</v>
      </c>
      <c r="E9705" s="225" t="s">
        <v>8958</v>
      </c>
      <c r="F9705" s="225" t="s">
        <v>6946</v>
      </c>
    </row>
    <row r="9706" spans="2:6" ht="17.25" thickBot="1">
      <c r="B9706" s="226">
        <v>46191</v>
      </c>
      <c r="C9706" s="227">
        <v>0.61848379629629624</v>
      </c>
      <c r="D9706" s="228">
        <v>10</v>
      </c>
      <c r="E9706" s="225" t="s">
        <v>8946</v>
      </c>
      <c r="F9706" s="225" t="s">
        <v>6946</v>
      </c>
    </row>
    <row r="9707" spans="2:6" ht="17.25" thickBot="1">
      <c r="B9707" s="226">
        <v>46191</v>
      </c>
      <c r="C9707" s="227">
        <v>0.65812499999999996</v>
      </c>
      <c r="D9707" s="228">
        <v>10</v>
      </c>
      <c r="E9707" s="225" t="s">
        <v>8929</v>
      </c>
      <c r="F9707" s="225" t="s">
        <v>6946</v>
      </c>
    </row>
    <row r="9708" spans="2:6" ht="17.25" thickBot="1">
      <c r="B9708" s="226">
        <v>46191</v>
      </c>
      <c r="C9708" s="227">
        <v>0.6444212962962963</v>
      </c>
      <c r="D9708" s="228">
        <v>10</v>
      </c>
      <c r="E9708" s="225" t="s">
        <v>132</v>
      </c>
      <c r="F9708" s="225" t="s">
        <v>6946</v>
      </c>
    </row>
    <row r="9709" spans="2:6" ht="17.25" thickBot="1">
      <c r="B9709" s="226">
        <v>46191</v>
      </c>
      <c r="C9709" s="227">
        <v>0.60995370370370372</v>
      </c>
      <c r="D9709" s="228">
        <v>10</v>
      </c>
      <c r="E9709" s="225" t="s">
        <v>8936</v>
      </c>
      <c r="F9709" s="225" t="s">
        <v>6946</v>
      </c>
    </row>
    <row r="9710" spans="2:6" ht="17.25" thickBot="1">
      <c r="B9710" s="226">
        <v>46191</v>
      </c>
      <c r="C9710" s="227">
        <v>0.48592592592592593</v>
      </c>
      <c r="D9710" s="228">
        <v>10</v>
      </c>
      <c r="E9710" s="225" t="s">
        <v>8930</v>
      </c>
      <c r="F9710" s="225" t="s">
        <v>6946</v>
      </c>
    </row>
    <row r="9711" spans="2:6" ht="17.25" thickBot="1">
      <c r="B9711" s="226">
        <v>46191</v>
      </c>
      <c r="C9711" s="227">
        <v>0.49856481481481479</v>
      </c>
      <c r="D9711" s="228">
        <v>10</v>
      </c>
      <c r="E9711" s="225" t="s">
        <v>8951</v>
      </c>
      <c r="F9711" s="225" t="s">
        <v>6946</v>
      </c>
    </row>
    <row r="9712" spans="2:6" ht="17.25" thickBot="1">
      <c r="B9712" s="226">
        <v>46191</v>
      </c>
      <c r="C9712" s="227">
        <v>0.40281250000000002</v>
      </c>
      <c r="D9712" s="228">
        <v>10</v>
      </c>
      <c r="E9712" s="225" t="s">
        <v>8939</v>
      </c>
      <c r="F9712" s="225" t="s">
        <v>6946</v>
      </c>
    </row>
    <row r="9713" spans="2:6" ht="17.25" thickBot="1">
      <c r="B9713" s="226">
        <v>46191</v>
      </c>
      <c r="C9713" s="227">
        <v>0.45025462962962964</v>
      </c>
      <c r="D9713" s="228">
        <v>10</v>
      </c>
      <c r="E9713" s="225" t="s">
        <v>8961</v>
      </c>
      <c r="F9713" s="225" t="s">
        <v>6946</v>
      </c>
    </row>
    <row r="9714" spans="2:6" ht="17.25" thickBot="1">
      <c r="B9714" s="226">
        <v>46191</v>
      </c>
      <c r="C9714" s="227">
        <v>0.48887731481481483</v>
      </c>
      <c r="D9714" s="228">
        <v>10</v>
      </c>
      <c r="E9714" s="225" t="s">
        <v>8957</v>
      </c>
      <c r="F9714" s="225" t="s">
        <v>6946</v>
      </c>
    </row>
    <row r="9715" spans="2:6" ht="17.25" thickBot="1">
      <c r="B9715" s="226">
        <v>46191</v>
      </c>
      <c r="C9715" s="227">
        <v>0.39534722222222224</v>
      </c>
      <c r="D9715" s="228">
        <v>10</v>
      </c>
      <c r="E9715" s="225" t="s">
        <v>8959</v>
      </c>
      <c r="F9715" s="225" t="s">
        <v>6946</v>
      </c>
    </row>
    <row r="9716" spans="2:6" ht="17.25" thickBot="1">
      <c r="B9716" s="226">
        <v>46191</v>
      </c>
      <c r="C9716" s="227">
        <v>0.49452546296296296</v>
      </c>
      <c r="D9716" s="228">
        <v>10</v>
      </c>
      <c r="E9716" s="225" t="s">
        <v>8944</v>
      </c>
      <c r="F9716" s="225" t="s">
        <v>6946</v>
      </c>
    </row>
    <row r="9717" spans="2:6" ht="17.25" thickBot="1">
      <c r="B9717" s="226">
        <v>46191</v>
      </c>
      <c r="C9717" s="227">
        <v>0.47722222222222221</v>
      </c>
      <c r="D9717" s="228">
        <v>10</v>
      </c>
      <c r="E9717" s="225" t="s">
        <v>8938</v>
      </c>
      <c r="F9717" s="225" t="s">
        <v>6946</v>
      </c>
    </row>
    <row r="9718" spans="2:6" ht="17.25" thickBot="1">
      <c r="B9718" s="226">
        <v>46191</v>
      </c>
      <c r="C9718" s="227">
        <v>0.45839120370370368</v>
      </c>
      <c r="D9718" s="228">
        <v>10</v>
      </c>
      <c r="E9718" s="225" t="s">
        <v>8937</v>
      </c>
      <c r="F9718" s="225" t="s">
        <v>6946</v>
      </c>
    </row>
    <row r="9719" spans="2:6" ht="17.25" thickBot="1">
      <c r="B9719" s="226">
        <v>46191</v>
      </c>
      <c r="C9719" s="227">
        <v>0.44958333333333328</v>
      </c>
      <c r="D9719" s="228">
        <v>10</v>
      </c>
      <c r="E9719" s="225" t="s">
        <v>132</v>
      </c>
      <c r="F9719" s="225" t="s">
        <v>6946</v>
      </c>
    </row>
    <row r="9720" spans="2:6" ht="26.25" thickBot="1">
      <c r="B9720" s="226">
        <v>46191</v>
      </c>
      <c r="C9720" s="227">
        <v>0.61539351851851853</v>
      </c>
      <c r="D9720" s="228">
        <v>10</v>
      </c>
      <c r="E9720" s="225" t="s">
        <v>8931</v>
      </c>
      <c r="F9720" s="225" t="s">
        <v>6946</v>
      </c>
    </row>
    <row r="9721" spans="2:6" ht="17.25" thickBot="1">
      <c r="B9721" s="226">
        <v>46191</v>
      </c>
      <c r="C9721" s="227">
        <v>0.43936342592592598</v>
      </c>
      <c r="D9721" s="228">
        <v>10</v>
      </c>
      <c r="E9721" s="225" t="s">
        <v>8955</v>
      </c>
      <c r="F9721" s="225" t="s">
        <v>6946</v>
      </c>
    </row>
    <row r="9722" spans="2:6" ht="17.25" thickBot="1">
      <c r="B9722" s="226">
        <v>46191</v>
      </c>
      <c r="C9722" s="227">
        <v>0.68618055555555557</v>
      </c>
      <c r="D9722" s="228">
        <v>10</v>
      </c>
      <c r="E9722" s="225" t="s">
        <v>8962</v>
      </c>
      <c r="F9722" s="225" t="s">
        <v>6946</v>
      </c>
    </row>
    <row r="9723" spans="2:6" ht="17.25" thickBot="1">
      <c r="B9723" s="226">
        <v>46191</v>
      </c>
      <c r="C9723" s="227">
        <v>0.42072916666666665</v>
      </c>
      <c r="D9723" s="228">
        <v>10</v>
      </c>
      <c r="E9723" s="225" t="s">
        <v>448</v>
      </c>
      <c r="F9723" s="225" t="s">
        <v>6946</v>
      </c>
    </row>
    <row r="9724" spans="2:6" ht="17.25" thickBot="1">
      <c r="B9724" s="226">
        <v>46191</v>
      </c>
      <c r="C9724" s="227">
        <v>0.47068287037037032</v>
      </c>
      <c r="D9724" s="228">
        <v>10</v>
      </c>
      <c r="E9724" s="225" t="s">
        <v>8960</v>
      </c>
      <c r="F9724" s="225" t="s">
        <v>6946</v>
      </c>
    </row>
    <row r="9725" spans="2:6" ht="17.25" thickBot="1">
      <c r="B9725" s="226">
        <v>46190</v>
      </c>
      <c r="C9725" s="227">
        <v>0.82321759259259253</v>
      </c>
      <c r="D9725" s="228">
        <v>10</v>
      </c>
      <c r="E9725" s="225" t="s">
        <v>8531</v>
      </c>
      <c r="F9725" s="225" t="s">
        <v>6946</v>
      </c>
    </row>
    <row r="9726" spans="2:6" ht="17.25" thickBot="1">
      <c r="B9726" s="226">
        <v>46190</v>
      </c>
      <c r="C9726" s="227">
        <v>0.91525462962962967</v>
      </c>
      <c r="D9726" s="228">
        <v>10</v>
      </c>
      <c r="E9726" s="225" t="s">
        <v>8509</v>
      </c>
      <c r="F9726" s="225" t="s">
        <v>6946</v>
      </c>
    </row>
    <row r="9727" spans="2:6" ht="17.25" thickBot="1">
      <c r="B9727" s="226">
        <v>46190</v>
      </c>
      <c r="C9727" s="227">
        <v>0.87099537037037045</v>
      </c>
      <c r="D9727" s="228">
        <v>10</v>
      </c>
      <c r="E9727" s="225" t="s">
        <v>8504</v>
      </c>
      <c r="F9727" s="225" t="s">
        <v>6946</v>
      </c>
    </row>
    <row r="9728" spans="2:6" ht="17.25" thickBot="1">
      <c r="B9728" s="226">
        <v>46190</v>
      </c>
      <c r="C9728" s="227">
        <v>0.55200231481481488</v>
      </c>
      <c r="D9728" s="228">
        <v>10</v>
      </c>
      <c r="E9728" s="225" t="s">
        <v>8530</v>
      </c>
      <c r="F9728" s="225" t="s">
        <v>6946</v>
      </c>
    </row>
    <row r="9729" spans="2:6" ht="17.25" thickBot="1">
      <c r="B9729" s="226">
        <v>46190</v>
      </c>
      <c r="C9729" s="227">
        <v>0.84384259259259264</v>
      </c>
      <c r="D9729" s="228">
        <v>10</v>
      </c>
      <c r="E9729" s="225" t="s">
        <v>8522</v>
      </c>
      <c r="F9729" s="225" t="s">
        <v>6946</v>
      </c>
    </row>
    <row r="9730" spans="2:6" ht="17.25" thickBot="1">
      <c r="B9730" s="226">
        <v>46190</v>
      </c>
      <c r="C9730" s="227">
        <v>0.76925925925925931</v>
      </c>
      <c r="D9730" s="228">
        <v>10</v>
      </c>
      <c r="E9730" s="225" t="s">
        <v>537</v>
      </c>
      <c r="F9730" s="225" t="s">
        <v>6946</v>
      </c>
    </row>
    <row r="9731" spans="2:6" ht="17.25" thickBot="1">
      <c r="B9731" s="226">
        <v>46190</v>
      </c>
      <c r="C9731" s="227">
        <v>0.71627314814814813</v>
      </c>
      <c r="D9731" s="228">
        <v>10</v>
      </c>
      <c r="E9731" s="225" t="s">
        <v>3731</v>
      </c>
      <c r="F9731" s="225" t="s">
        <v>6946</v>
      </c>
    </row>
    <row r="9732" spans="2:6" ht="17.25" thickBot="1">
      <c r="B9732" s="226">
        <v>46190</v>
      </c>
      <c r="C9732" s="227">
        <v>0.76398148148148148</v>
      </c>
      <c r="D9732" s="228">
        <v>10</v>
      </c>
      <c r="E9732" s="225" t="s">
        <v>8508</v>
      </c>
      <c r="F9732" s="225" t="s">
        <v>6946</v>
      </c>
    </row>
    <row r="9733" spans="2:6" ht="17.25" thickBot="1">
      <c r="B9733" s="226">
        <v>46190</v>
      </c>
      <c r="C9733" s="227">
        <v>0.79738425925925915</v>
      </c>
      <c r="D9733" s="228">
        <v>10</v>
      </c>
      <c r="E9733" s="225" t="s">
        <v>8533</v>
      </c>
      <c r="F9733" s="225" t="s">
        <v>6946</v>
      </c>
    </row>
    <row r="9734" spans="2:6" ht="17.25" thickBot="1">
      <c r="B9734" s="226">
        <v>46190</v>
      </c>
      <c r="C9734" s="227">
        <v>0.7850462962962963</v>
      </c>
      <c r="D9734" s="228">
        <v>10</v>
      </c>
      <c r="E9734" s="225" t="s">
        <v>8532</v>
      </c>
      <c r="F9734" s="225" t="s">
        <v>6946</v>
      </c>
    </row>
    <row r="9735" spans="2:6" ht="17.25" thickBot="1">
      <c r="B9735" s="226">
        <v>46190</v>
      </c>
      <c r="C9735" s="227">
        <v>0.6711111111111111</v>
      </c>
      <c r="D9735" s="228">
        <v>10</v>
      </c>
      <c r="E9735" s="225" t="s">
        <v>8517</v>
      </c>
      <c r="F9735" s="225" t="s">
        <v>6946</v>
      </c>
    </row>
    <row r="9736" spans="2:6" ht="17.25" thickBot="1">
      <c r="B9736" s="226">
        <v>46190</v>
      </c>
      <c r="C9736" s="227">
        <v>0.7230092592592593</v>
      </c>
      <c r="D9736" s="228">
        <v>10</v>
      </c>
      <c r="E9736" s="225" t="s">
        <v>8524</v>
      </c>
      <c r="F9736" s="225" t="s">
        <v>6946</v>
      </c>
    </row>
    <row r="9737" spans="2:6" ht="17.25" thickBot="1">
      <c r="B9737" s="226">
        <v>46190</v>
      </c>
      <c r="C9737" s="227">
        <v>0.67954861111111109</v>
      </c>
      <c r="D9737" s="228">
        <v>10</v>
      </c>
      <c r="E9737" s="225" t="s">
        <v>8523</v>
      </c>
      <c r="F9737" s="225" t="s">
        <v>6946</v>
      </c>
    </row>
    <row r="9738" spans="2:6" ht="17.25" thickBot="1">
      <c r="B9738" s="226">
        <v>46190</v>
      </c>
      <c r="C9738" s="227">
        <v>0.60768518518518522</v>
      </c>
      <c r="D9738" s="228">
        <v>10</v>
      </c>
      <c r="E9738" s="225" t="s">
        <v>536</v>
      </c>
      <c r="F9738" s="225" t="s">
        <v>6946</v>
      </c>
    </row>
    <row r="9739" spans="2:6" ht="17.25" thickBot="1">
      <c r="B9739" s="226">
        <v>46190</v>
      </c>
      <c r="C9739" s="227">
        <v>0.4696643518518519</v>
      </c>
      <c r="D9739" s="228">
        <v>10</v>
      </c>
      <c r="E9739" s="225" t="s">
        <v>8528</v>
      </c>
      <c r="F9739" s="225" t="s">
        <v>6946</v>
      </c>
    </row>
    <row r="9740" spans="2:6" ht="17.25" thickBot="1">
      <c r="B9740" s="226">
        <v>46190</v>
      </c>
      <c r="C9740" s="227">
        <v>0.48363425925925929</v>
      </c>
      <c r="D9740" s="228">
        <v>10</v>
      </c>
      <c r="E9740" s="225" t="s">
        <v>132</v>
      </c>
      <c r="F9740" s="225" t="s">
        <v>6946</v>
      </c>
    </row>
    <row r="9741" spans="2:6" ht="17.25" thickBot="1">
      <c r="B9741" s="226">
        <v>46190</v>
      </c>
      <c r="C9741" s="227">
        <v>0.7247337962962962</v>
      </c>
      <c r="D9741" s="228">
        <v>8</v>
      </c>
      <c r="E9741" s="225" t="s">
        <v>8505</v>
      </c>
      <c r="F9741" s="225" t="s">
        <v>6946</v>
      </c>
    </row>
    <row r="9742" spans="2:6" ht="17.25" thickBot="1">
      <c r="B9742" s="226">
        <v>46190</v>
      </c>
      <c r="C9742" s="227">
        <v>0.65041666666666664</v>
      </c>
      <c r="D9742" s="228">
        <v>10</v>
      </c>
      <c r="E9742" s="225" t="s">
        <v>8515</v>
      </c>
      <c r="F9742" s="225" t="s">
        <v>6946</v>
      </c>
    </row>
    <row r="9743" spans="2:6" ht="17.25" thickBot="1">
      <c r="B9743" s="226">
        <v>46190</v>
      </c>
      <c r="C9743" s="227">
        <v>0.88188657407407411</v>
      </c>
      <c r="D9743" s="228">
        <v>10</v>
      </c>
      <c r="E9743" s="225" t="s">
        <v>8510</v>
      </c>
      <c r="F9743" s="225" t="s">
        <v>6946</v>
      </c>
    </row>
    <row r="9744" spans="2:6" ht="17.25" thickBot="1">
      <c r="B9744" s="226">
        <v>46190</v>
      </c>
      <c r="C9744" s="227">
        <v>0.65681712962962957</v>
      </c>
      <c r="D9744" s="228">
        <v>10</v>
      </c>
      <c r="E9744" s="225" t="s">
        <v>3286</v>
      </c>
      <c r="F9744" s="225" t="s">
        <v>6946</v>
      </c>
    </row>
    <row r="9745" spans="2:6" ht="17.25" thickBot="1">
      <c r="B9745" s="226">
        <v>46190</v>
      </c>
      <c r="C9745" s="227">
        <v>0.61038194444444438</v>
      </c>
      <c r="D9745" s="228">
        <v>10</v>
      </c>
      <c r="E9745" s="225" t="s">
        <v>8519</v>
      </c>
      <c r="F9745" s="225" t="s">
        <v>6946</v>
      </c>
    </row>
    <row r="9746" spans="2:6" ht="17.25" thickBot="1">
      <c r="B9746" s="226">
        <v>46190</v>
      </c>
      <c r="C9746" s="227">
        <v>0.50234953703703711</v>
      </c>
      <c r="D9746" s="228">
        <v>10</v>
      </c>
      <c r="E9746" s="225" t="s">
        <v>8527</v>
      </c>
      <c r="F9746" s="225" t="s">
        <v>6946</v>
      </c>
    </row>
    <row r="9747" spans="2:6" ht="17.25" thickBot="1">
      <c r="B9747" s="226">
        <v>46190</v>
      </c>
      <c r="C9747" s="227">
        <v>0.68807870370370372</v>
      </c>
      <c r="D9747" s="228">
        <v>10</v>
      </c>
      <c r="E9747" s="225" t="s">
        <v>8511</v>
      </c>
      <c r="F9747" s="225" t="s">
        <v>6946</v>
      </c>
    </row>
    <row r="9748" spans="2:6" ht="17.25" thickBot="1">
      <c r="B9748" s="226">
        <v>46190</v>
      </c>
      <c r="C9748" s="227">
        <v>0.61469907407407409</v>
      </c>
      <c r="D9748" s="228">
        <v>9</v>
      </c>
      <c r="E9748" s="225" t="s">
        <v>8513</v>
      </c>
      <c r="F9748" s="225" t="s">
        <v>6946</v>
      </c>
    </row>
    <row r="9749" spans="2:6" ht="17.25" thickBot="1">
      <c r="B9749" s="226">
        <v>46190</v>
      </c>
      <c r="C9749" s="227">
        <v>0.57109953703703698</v>
      </c>
      <c r="D9749" s="228">
        <v>10</v>
      </c>
      <c r="E9749" s="225" t="s">
        <v>4590</v>
      </c>
      <c r="F9749" s="225" t="s">
        <v>6946</v>
      </c>
    </row>
    <row r="9750" spans="2:6" ht="17.25" thickBot="1">
      <c r="B9750" s="226">
        <v>46190</v>
      </c>
      <c r="C9750" s="227">
        <v>0.5998148148148148</v>
      </c>
      <c r="D9750" s="228">
        <v>10</v>
      </c>
      <c r="E9750" s="225" t="s">
        <v>8525</v>
      </c>
      <c r="F9750" s="225" t="s">
        <v>6946</v>
      </c>
    </row>
    <row r="9751" spans="2:6" ht="17.25" thickBot="1">
      <c r="B9751" s="226">
        <v>46190</v>
      </c>
      <c r="C9751" s="227">
        <v>0.39182870370370365</v>
      </c>
      <c r="D9751" s="228">
        <v>10</v>
      </c>
      <c r="E9751" s="225" t="s">
        <v>8514</v>
      </c>
      <c r="F9751" s="225" t="s">
        <v>6946</v>
      </c>
    </row>
    <row r="9752" spans="2:6" ht="17.25" thickBot="1">
      <c r="B9752" s="226">
        <v>46190</v>
      </c>
      <c r="C9752" s="227">
        <v>0.52121527777777776</v>
      </c>
      <c r="D9752" s="228">
        <v>10</v>
      </c>
      <c r="E9752" s="225" t="s">
        <v>8529</v>
      </c>
      <c r="F9752" s="225" t="s">
        <v>6946</v>
      </c>
    </row>
    <row r="9753" spans="2:6" ht="17.25" thickBot="1">
      <c r="B9753" s="226">
        <v>46190</v>
      </c>
      <c r="C9753" s="227">
        <v>0.43444444444444441</v>
      </c>
      <c r="D9753" s="228">
        <v>10</v>
      </c>
      <c r="E9753" s="225" t="s">
        <v>8520</v>
      </c>
      <c r="F9753" s="225" t="s">
        <v>6946</v>
      </c>
    </row>
    <row r="9754" spans="2:6" ht="17.25" thickBot="1">
      <c r="B9754" s="226">
        <v>46190</v>
      </c>
      <c r="C9754" s="227">
        <v>0.56959490740740748</v>
      </c>
      <c r="D9754" s="228">
        <v>10</v>
      </c>
      <c r="E9754" s="225" t="s">
        <v>8526</v>
      </c>
      <c r="F9754" s="225" t="s">
        <v>6946</v>
      </c>
    </row>
    <row r="9755" spans="2:6" ht="17.25" thickBot="1">
      <c r="B9755" s="226">
        <v>46190</v>
      </c>
      <c r="C9755" s="227">
        <v>0.6270486111111111</v>
      </c>
      <c r="D9755" s="228">
        <v>8</v>
      </c>
      <c r="E9755" s="225" t="s">
        <v>8512</v>
      </c>
      <c r="F9755" s="225" t="s">
        <v>6946</v>
      </c>
    </row>
    <row r="9756" spans="2:6" ht="17.25" thickBot="1">
      <c r="B9756" s="226">
        <v>46190</v>
      </c>
      <c r="C9756" s="227">
        <v>0.56839120370370366</v>
      </c>
      <c r="D9756" s="228">
        <v>10</v>
      </c>
      <c r="E9756" s="225" t="s">
        <v>8516</v>
      </c>
      <c r="F9756" s="225" t="s">
        <v>6946</v>
      </c>
    </row>
    <row r="9757" spans="2:6" ht="17.25" thickBot="1">
      <c r="B9757" s="226">
        <v>46190</v>
      </c>
      <c r="C9757" s="227">
        <v>0.43663194444444442</v>
      </c>
      <c r="D9757" s="228">
        <v>10</v>
      </c>
      <c r="E9757" s="225" t="s">
        <v>8518</v>
      </c>
      <c r="F9757" s="225" t="s">
        <v>6946</v>
      </c>
    </row>
    <row r="9758" spans="2:6" ht="17.25" thickBot="1">
      <c r="B9758" s="226">
        <v>46190</v>
      </c>
      <c r="C9758" s="227">
        <v>0.55773148148148144</v>
      </c>
      <c r="D9758" s="228">
        <v>10</v>
      </c>
      <c r="E9758" s="225" t="s">
        <v>8507</v>
      </c>
      <c r="F9758" s="225" t="s">
        <v>6946</v>
      </c>
    </row>
    <row r="9759" spans="2:6" ht="17.25" thickBot="1">
      <c r="B9759" s="226">
        <v>46190</v>
      </c>
      <c r="C9759" s="227">
        <v>0.45721064814814816</v>
      </c>
      <c r="D9759" s="228">
        <v>10</v>
      </c>
      <c r="E9759" s="225" t="s">
        <v>8503</v>
      </c>
      <c r="F9759" s="225" t="s">
        <v>6946</v>
      </c>
    </row>
    <row r="9760" spans="2:6" ht="17.25" thickBot="1">
      <c r="B9760" s="226">
        <v>46190</v>
      </c>
      <c r="C9760" s="227">
        <v>0.42478009259259258</v>
      </c>
      <c r="D9760" s="228">
        <v>10</v>
      </c>
      <c r="E9760" s="225" t="s">
        <v>8506</v>
      </c>
      <c r="F9760" s="225" t="s">
        <v>6946</v>
      </c>
    </row>
    <row r="9761" spans="2:6" ht="26.25" thickBot="1">
      <c r="B9761" s="226">
        <v>46190</v>
      </c>
      <c r="C9761" s="227">
        <v>0.45636574074074071</v>
      </c>
      <c r="D9761" s="228">
        <v>10</v>
      </c>
      <c r="E9761" s="225" t="s">
        <v>8521</v>
      </c>
      <c r="F9761" s="225" t="s">
        <v>6946</v>
      </c>
    </row>
    <row r="9762" spans="2:6" ht="17.25" thickBot="1">
      <c r="B9762" s="226">
        <v>46189</v>
      </c>
      <c r="C9762" s="227">
        <v>0.88276620370370373</v>
      </c>
      <c r="D9762" s="228">
        <v>10</v>
      </c>
      <c r="E9762" s="225" t="s">
        <v>5077</v>
      </c>
      <c r="F9762" s="225" t="s">
        <v>6946</v>
      </c>
    </row>
    <row r="9763" spans="2:6" ht="17.25" thickBot="1">
      <c r="B9763" s="226">
        <v>46189</v>
      </c>
      <c r="C9763" s="227">
        <v>0.78511574074074064</v>
      </c>
      <c r="D9763" s="228">
        <v>10</v>
      </c>
      <c r="E9763" s="225" t="s">
        <v>8538</v>
      </c>
      <c r="F9763" s="225" t="s">
        <v>6946</v>
      </c>
    </row>
    <row r="9764" spans="2:6" ht="17.25" thickBot="1">
      <c r="B9764" s="226">
        <v>46189</v>
      </c>
      <c r="C9764" s="227">
        <v>0.85526620370370365</v>
      </c>
      <c r="D9764" s="228">
        <v>10</v>
      </c>
      <c r="E9764" s="225" t="s">
        <v>288</v>
      </c>
      <c r="F9764" s="225" t="s">
        <v>6946</v>
      </c>
    </row>
    <row r="9765" spans="2:6" ht="17.25" thickBot="1">
      <c r="B9765" s="226">
        <v>46189</v>
      </c>
      <c r="C9765" s="227">
        <v>0.84652777777777777</v>
      </c>
      <c r="D9765" s="228">
        <v>10</v>
      </c>
      <c r="E9765" s="225" t="s">
        <v>244</v>
      </c>
      <c r="F9765" s="225" t="s">
        <v>6946</v>
      </c>
    </row>
    <row r="9766" spans="2:6" ht="17.25" thickBot="1">
      <c r="B9766" s="226">
        <v>46189</v>
      </c>
      <c r="C9766" s="227">
        <v>0.8504976851851852</v>
      </c>
      <c r="D9766" s="228">
        <v>10</v>
      </c>
      <c r="E9766" s="225" t="s">
        <v>132</v>
      </c>
      <c r="F9766" s="225" t="s">
        <v>6946</v>
      </c>
    </row>
    <row r="9767" spans="2:6" ht="17.25" thickBot="1">
      <c r="B9767" s="226">
        <v>46189</v>
      </c>
      <c r="C9767" s="227">
        <v>0.91622685185185182</v>
      </c>
      <c r="D9767" s="228">
        <v>10</v>
      </c>
      <c r="E9767" s="225" t="s">
        <v>8559</v>
      </c>
      <c r="F9767" s="225" t="s">
        <v>6946</v>
      </c>
    </row>
    <row r="9768" spans="2:6" ht="17.25" thickBot="1">
      <c r="B9768" s="226">
        <v>46189</v>
      </c>
      <c r="C9768" s="227">
        <v>0.80969907407407404</v>
      </c>
      <c r="D9768" s="228">
        <v>10</v>
      </c>
      <c r="E9768" s="225" t="s">
        <v>1434</v>
      </c>
      <c r="F9768" s="225" t="s">
        <v>6946</v>
      </c>
    </row>
    <row r="9769" spans="2:6" ht="17.25" thickBot="1">
      <c r="B9769" s="226">
        <v>46189</v>
      </c>
      <c r="C9769" s="227">
        <v>0.80201388888888892</v>
      </c>
      <c r="D9769" s="228">
        <v>10</v>
      </c>
      <c r="E9769" s="225" t="s">
        <v>8534</v>
      </c>
      <c r="F9769" s="225" t="s">
        <v>6946</v>
      </c>
    </row>
    <row r="9770" spans="2:6" ht="17.25" thickBot="1">
      <c r="B9770" s="226">
        <v>46189</v>
      </c>
      <c r="C9770" s="227">
        <v>0.68686342592592586</v>
      </c>
      <c r="D9770" s="228">
        <v>10</v>
      </c>
      <c r="E9770" s="225" t="s">
        <v>179</v>
      </c>
      <c r="F9770" s="225" t="s">
        <v>6946</v>
      </c>
    </row>
    <row r="9771" spans="2:6" ht="17.25" thickBot="1">
      <c r="B9771" s="226">
        <v>46189</v>
      </c>
      <c r="C9771" s="227">
        <v>0.75004629629629627</v>
      </c>
      <c r="D9771" s="228">
        <v>10</v>
      </c>
      <c r="E9771" s="225" t="s">
        <v>7467</v>
      </c>
      <c r="F9771" s="225" t="s">
        <v>6946</v>
      </c>
    </row>
    <row r="9772" spans="2:6" ht="17.25" thickBot="1">
      <c r="B9772" s="226">
        <v>46189</v>
      </c>
      <c r="C9772" s="227">
        <v>0.74306712962962962</v>
      </c>
      <c r="D9772" s="228">
        <v>10</v>
      </c>
      <c r="E9772" s="225" t="s">
        <v>8542</v>
      </c>
      <c r="F9772" s="225" t="s">
        <v>6946</v>
      </c>
    </row>
    <row r="9773" spans="2:6" ht="17.25" thickBot="1">
      <c r="B9773" s="226">
        <v>46189</v>
      </c>
      <c r="C9773" s="227">
        <v>0.74322916666666661</v>
      </c>
      <c r="D9773" s="228">
        <v>10</v>
      </c>
      <c r="E9773" s="225" t="s">
        <v>8541</v>
      </c>
      <c r="F9773" s="225" t="s">
        <v>6946</v>
      </c>
    </row>
    <row r="9774" spans="2:6" ht="17.25" thickBot="1">
      <c r="B9774" s="226">
        <v>46189</v>
      </c>
      <c r="C9774" s="227">
        <v>0.80123842592592587</v>
      </c>
      <c r="D9774" s="228">
        <v>10</v>
      </c>
      <c r="E9774" s="225" t="s">
        <v>6176</v>
      </c>
      <c r="F9774" s="225" t="s">
        <v>6946</v>
      </c>
    </row>
    <row r="9775" spans="2:6" ht="17.25" thickBot="1">
      <c r="B9775" s="226">
        <v>46189</v>
      </c>
      <c r="C9775" s="227">
        <v>0.77416666666666656</v>
      </c>
      <c r="D9775" s="228">
        <v>10</v>
      </c>
      <c r="E9775" s="225" t="s">
        <v>132</v>
      </c>
      <c r="F9775" s="225" t="s">
        <v>6946</v>
      </c>
    </row>
    <row r="9776" spans="2:6" ht="17.25" thickBot="1">
      <c r="B9776" s="226">
        <v>46189</v>
      </c>
      <c r="C9776" s="227">
        <v>0.75578703703703709</v>
      </c>
      <c r="D9776" s="228">
        <v>10</v>
      </c>
      <c r="E9776" s="225" t="s">
        <v>732</v>
      </c>
      <c r="F9776" s="225" t="s">
        <v>6946</v>
      </c>
    </row>
    <row r="9777" spans="2:6" ht="17.25" thickBot="1">
      <c r="B9777" s="226">
        <v>46189</v>
      </c>
      <c r="C9777" s="227">
        <v>0.73585648148148142</v>
      </c>
      <c r="D9777" s="228">
        <v>10</v>
      </c>
      <c r="E9777" s="225" t="s">
        <v>8536</v>
      </c>
      <c r="F9777" s="225" t="s">
        <v>6946</v>
      </c>
    </row>
    <row r="9778" spans="2:6" ht="17.25" thickBot="1">
      <c r="B9778" s="226">
        <v>46189</v>
      </c>
      <c r="C9778" s="227">
        <v>0.74729166666666658</v>
      </c>
      <c r="D9778" s="228">
        <v>10</v>
      </c>
      <c r="E9778" s="225" t="s">
        <v>8539</v>
      </c>
      <c r="F9778" s="225" t="s">
        <v>6946</v>
      </c>
    </row>
    <row r="9779" spans="2:6" ht="26.25" thickBot="1">
      <c r="B9779" s="226">
        <v>46189</v>
      </c>
      <c r="C9779" s="227">
        <v>0.64495370370370375</v>
      </c>
      <c r="D9779" s="228">
        <v>10</v>
      </c>
      <c r="E9779" s="225" t="s">
        <v>8550</v>
      </c>
      <c r="F9779" s="225" t="s">
        <v>6946</v>
      </c>
    </row>
    <row r="9780" spans="2:6" ht="17.25" thickBot="1">
      <c r="B9780" s="226">
        <v>46189</v>
      </c>
      <c r="C9780" s="227">
        <v>0.67452546296296301</v>
      </c>
      <c r="D9780" s="228">
        <v>10</v>
      </c>
      <c r="E9780" s="225" t="s">
        <v>8558</v>
      </c>
      <c r="F9780" s="225" t="s">
        <v>6946</v>
      </c>
    </row>
    <row r="9781" spans="2:6" ht="17.25" thickBot="1">
      <c r="B9781" s="226">
        <v>46189</v>
      </c>
      <c r="C9781" s="227">
        <v>0.67086805555555562</v>
      </c>
      <c r="D9781" s="228">
        <v>10</v>
      </c>
      <c r="E9781" s="225" t="s">
        <v>8566</v>
      </c>
      <c r="F9781" s="225" t="s">
        <v>6946</v>
      </c>
    </row>
    <row r="9782" spans="2:6" ht="17.25" thickBot="1">
      <c r="B9782" s="226">
        <v>46189</v>
      </c>
      <c r="C9782" s="227">
        <v>0.69706018518518509</v>
      </c>
      <c r="D9782" s="228">
        <v>10</v>
      </c>
      <c r="E9782" s="225" t="s">
        <v>8547</v>
      </c>
      <c r="F9782" s="225" t="s">
        <v>6946</v>
      </c>
    </row>
    <row r="9783" spans="2:6" ht="17.25" thickBot="1">
      <c r="B9783" s="226">
        <v>46189</v>
      </c>
      <c r="C9783" s="227">
        <v>0.48900462962962959</v>
      </c>
      <c r="D9783" s="228">
        <v>10</v>
      </c>
      <c r="E9783" s="225" t="s">
        <v>8549</v>
      </c>
      <c r="F9783" s="225" t="s">
        <v>6946</v>
      </c>
    </row>
    <row r="9784" spans="2:6" ht="17.25" thickBot="1">
      <c r="B9784" s="226">
        <v>46189</v>
      </c>
      <c r="C9784" s="227">
        <v>0.74101851851851863</v>
      </c>
      <c r="D9784" s="228">
        <v>10</v>
      </c>
      <c r="E9784" s="225" t="s">
        <v>8535</v>
      </c>
      <c r="F9784" s="225" t="s">
        <v>6946</v>
      </c>
    </row>
    <row r="9785" spans="2:6" ht="17.25" thickBot="1">
      <c r="B9785" s="226">
        <v>46189</v>
      </c>
      <c r="C9785" s="227">
        <v>0.63663194444444449</v>
      </c>
      <c r="D9785" s="228">
        <v>10</v>
      </c>
      <c r="E9785" s="225" t="s">
        <v>246</v>
      </c>
      <c r="F9785" s="225" t="s">
        <v>6946</v>
      </c>
    </row>
    <row r="9786" spans="2:6" ht="17.25" thickBot="1">
      <c r="B9786" s="226">
        <v>46189</v>
      </c>
      <c r="C9786" s="227">
        <v>0.68581018518518511</v>
      </c>
      <c r="D9786" s="228">
        <v>10</v>
      </c>
      <c r="E9786" s="225" t="s">
        <v>8561</v>
      </c>
      <c r="F9786" s="225" t="s">
        <v>6946</v>
      </c>
    </row>
    <row r="9787" spans="2:6" ht="17.25" thickBot="1">
      <c r="B9787" s="226">
        <v>46189</v>
      </c>
      <c r="C9787" s="227">
        <v>0.783136574074074</v>
      </c>
      <c r="D9787" s="228">
        <v>9</v>
      </c>
      <c r="E9787" s="225" t="s">
        <v>8537</v>
      </c>
      <c r="F9787" s="225" t="s">
        <v>6946</v>
      </c>
    </row>
    <row r="9788" spans="2:6" ht="17.25" thickBot="1">
      <c r="B9788" s="226">
        <v>46189</v>
      </c>
      <c r="C9788" s="227">
        <v>0.74613425925925936</v>
      </c>
      <c r="D9788" s="228">
        <v>10</v>
      </c>
      <c r="E9788" s="225" t="s">
        <v>8544</v>
      </c>
      <c r="F9788" s="225" t="s">
        <v>6946</v>
      </c>
    </row>
    <row r="9789" spans="2:6" ht="17.25" thickBot="1">
      <c r="B9789" s="226">
        <v>46189</v>
      </c>
      <c r="C9789" s="227">
        <v>0.58511574074074069</v>
      </c>
      <c r="D9789" s="228">
        <v>10</v>
      </c>
      <c r="E9789" s="225" t="s">
        <v>8543</v>
      </c>
      <c r="F9789" s="225" t="s">
        <v>6946</v>
      </c>
    </row>
    <row r="9790" spans="2:6" ht="17.25" thickBot="1">
      <c r="B9790" s="226">
        <v>46189</v>
      </c>
      <c r="C9790" s="227">
        <v>0.68144675925925924</v>
      </c>
      <c r="D9790" s="228">
        <v>10</v>
      </c>
      <c r="E9790" s="225" t="s">
        <v>4293</v>
      </c>
      <c r="F9790" s="225" t="s">
        <v>6946</v>
      </c>
    </row>
    <row r="9791" spans="2:6" ht="17.25" thickBot="1">
      <c r="B9791" s="226">
        <v>46189</v>
      </c>
      <c r="C9791" s="227">
        <v>0.51061342592592596</v>
      </c>
      <c r="D9791" s="228">
        <v>10</v>
      </c>
      <c r="E9791" s="225" t="s">
        <v>8556</v>
      </c>
      <c r="F9791" s="225" t="s">
        <v>6946</v>
      </c>
    </row>
    <row r="9792" spans="2:6" ht="17.25" thickBot="1">
      <c r="B9792" s="226">
        <v>46189</v>
      </c>
      <c r="C9792" s="227">
        <v>0.48348379629629629</v>
      </c>
      <c r="D9792" s="228">
        <v>10</v>
      </c>
      <c r="E9792" s="225" t="s">
        <v>8548</v>
      </c>
      <c r="F9792" s="225" t="s">
        <v>6946</v>
      </c>
    </row>
    <row r="9793" spans="2:6" ht="26.25" thickBot="1">
      <c r="B9793" s="226">
        <v>46189</v>
      </c>
      <c r="C9793" s="227">
        <v>0.60875000000000001</v>
      </c>
      <c r="D9793" s="228">
        <v>10</v>
      </c>
      <c r="E9793" s="225" t="s">
        <v>8554</v>
      </c>
      <c r="F9793" s="225" t="s">
        <v>6946</v>
      </c>
    </row>
    <row r="9794" spans="2:6" ht="17.25" thickBot="1">
      <c r="B9794" s="226">
        <v>46189</v>
      </c>
      <c r="C9794" s="227">
        <v>0.73601851851851852</v>
      </c>
      <c r="D9794" s="228">
        <v>10</v>
      </c>
      <c r="E9794" s="225" t="s">
        <v>8560</v>
      </c>
      <c r="F9794" s="225" t="s">
        <v>6946</v>
      </c>
    </row>
    <row r="9795" spans="2:6" ht="17.25" thickBot="1">
      <c r="B9795" s="226">
        <v>46189</v>
      </c>
      <c r="C9795" s="227">
        <v>0.49041666666666667</v>
      </c>
      <c r="D9795" s="228">
        <v>10</v>
      </c>
      <c r="E9795" s="225" t="s">
        <v>8545</v>
      </c>
      <c r="F9795" s="225" t="s">
        <v>6946</v>
      </c>
    </row>
    <row r="9796" spans="2:6" ht="17.25" thickBot="1">
      <c r="B9796" s="226">
        <v>46189</v>
      </c>
      <c r="C9796" s="227">
        <v>0.56287037037037035</v>
      </c>
      <c r="D9796" s="228">
        <v>10</v>
      </c>
      <c r="E9796" s="225" t="s">
        <v>8540</v>
      </c>
      <c r="F9796" s="225" t="s">
        <v>6946</v>
      </c>
    </row>
    <row r="9797" spans="2:6" ht="17.25" thickBot="1">
      <c r="B9797" s="226">
        <v>46189</v>
      </c>
      <c r="C9797" s="227">
        <v>0.49578703703703703</v>
      </c>
      <c r="D9797" s="228">
        <v>10</v>
      </c>
      <c r="E9797" s="225" t="s">
        <v>8546</v>
      </c>
      <c r="F9797" s="225" t="s">
        <v>6946</v>
      </c>
    </row>
    <row r="9798" spans="2:6" ht="17.25" thickBot="1">
      <c r="B9798" s="226">
        <v>46189</v>
      </c>
      <c r="C9798" s="227">
        <v>0.45210648148148147</v>
      </c>
      <c r="D9798" s="228">
        <v>10</v>
      </c>
      <c r="E9798" s="225" t="s">
        <v>8565</v>
      </c>
      <c r="F9798" s="225" t="s">
        <v>6946</v>
      </c>
    </row>
    <row r="9799" spans="2:6" ht="17.25" thickBot="1">
      <c r="B9799" s="226">
        <v>46189</v>
      </c>
      <c r="C9799" s="227">
        <v>0.49700231481481483</v>
      </c>
      <c r="D9799" s="228">
        <v>10</v>
      </c>
      <c r="E9799" s="225" t="s">
        <v>3916</v>
      </c>
      <c r="F9799" s="225" t="s">
        <v>6946</v>
      </c>
    </row>
    <row r="9800" spans="2:6" ht="17.25" thickBot="1">
      <c r="B9800" s="226">
        <v>46189</v>
      </c>
      <c r="C9800" s="227">
        <v>0.50858796296296294</v>
      </c>
      <c r="D9800" s="228">
        <v>10</v>
      </c>
      <c r="E9800" s="225" t="s">
        <v>8557</v>
      </c>
      <c r="F9800" s="225" t="s">
        <v>6946</v>
      </c>
    </row>
    <row r="9801" spans="2:6" ht="17.25" thickBot="1">
      <c r="B9801" s="226">
        <v>46189</v>
      </c>
      <c r="C9801" s="227">
        <v>0.47351851851851851</v>
      </c>
      <c r="D9801" s="228">
        <v>10</v>
      </c>
      <c r="E9801" s="225" t="s">
        <v>8551</v>
      </c>
      <c r="F9801" s="225" t="s">
        <v>6946</v>
      </c>
    </row>
    <row r="9802" spans="2:6" ht="17.25" thickBot="1">
      <c r="B9802" s="226">
        <v>46189</v>
      </c>
      <c r="C9802" s="227">
        <v>0.44840277777777776</v>
      </c>
      <c r="D9802" s="228">
        <v>10</v>
      </c>
      <c r="E9802" s="225" t="s">
        <v>3687</v>
      </c>
      <c r="F9802" s="225" t="s">
        <v>6946</v>
      </c>
    </row>
    <row r="9803" spans="2:6" ht="17.25" thickBot="1">
      <c r="B9803" s="226">
        <v>46189</v>
      </c>
      <c r="C9803" s="227">
        <v>0.44873842592592594</v>
      </c>
      <c r="D9803" s="228">
        <v>10</v>
      </c>
      <c r="E9803" s="225" t="s">
        <v>444</v>
      </c>
      <c r="F9803" s="225" t="s">
        <v>6946</v>
      </c>
    </row>
    <row r="9804" spans="2:6" ht="17.25" thickBot="1">
      <c r="B9804" s="226">
        <v>46189</v>
      </c>
      <c r="C9804" s="227">
        <v>0.46004629629629629</v>
      </c>
      <c r="D9804" s="228">
        <v>10</v>
      </c>
      <c r="E9804" s="225" t="s">
        <v>1042</v>
      </c>
      <c r="F9804" s="225" t="s">
        <v>6946</v>
      </c>
    </row>
    <row r="9805" spans="2:6" ht="17.25" thickBot="1">
      <c r="B9805" s="226">
        <v>46189</v>
      </c>
      <c r="C9805" s="227">
        <v>0.44582175925925926</v>
      </c>
      <c r="D9805" s="228">
        <v>10</v>
      </c>
      <c r="E9805" s="225" t="s">
        <v>313</v>
      </c>
      <c r="F9805" s="225" t="s">
        <v>6946</v>
      </c>
    </row>
    <row r="9806" spans="2:6" ht="17.25" thickBot="1">
      <c r="B9806" s="226">
        <v>46189</v>
      </c>
      <c r="C9806" s="227">
        <v>0.87876157407407407</v>
      </c>
      <c r="D9806" s="228">
        <v>10</v>
      </c>
      <c r="E9806" s="225" t="s">
        <v>5057</v>
      </c>
      <c r="F9806" s="225" t="s">
        <v>6946</v>
      </c>
    </row>
    <row r="9807" spans="2:6" ht="17.25" thickBot="1">
      <c r="B9807" s="226">
        <v>46189</v>
      </c>
      <c r="C9807" s="227">
        <v>0.5095601851851852</v>
      </c>
      <c r="D9807" s="228">
        <v>10</v>
      </c>
      <c r="E9807" s="225" t="s">
        <v>8553</v>
      </c>
      <c r="F9807" s="225" t="s">
        <v>6946</v>
      </c>
    </row>
    <row r="9808" spans="2:6" ht="17.25" thickBot="1">
      <c r="B9808" s="226">
        <v>46189</v>
      </c>
      <c r="C9808" s="227">
        <v>0.41893518518518519</v>
      </c>
      <c r="D9808" s="228">
        <v>10</v>
      </c>
      <c r="E9808" s="225" t="s">
        <v>8552</v>
      </c>
      <c r="F9808" s="225" t="s">
        <v>6946</v>
      </c>
    </row>
    <row r="9809" spans="2:6" ht="17.25" thickBot="1">
      <c r="B9809" s="226">
        <v>46189</v>
      </c>
      <c r="C9809" s="227">
        <v>0.39640046296296294</v>
      </c>
      <c r="D9809" s="228">
        <v>10</v>
      </c>
      <c r="E9809" s="225" t="s">
        <v>8564</v>
      </c>
      <c r="F9809" s="225" t="s">
        <v>6946</v>
      </c>
    </row>
    <row r="9810" spans="2:6" ht="17.25" thickBot="1">
      <c r="B9810" s="226">
        <v>46189</v>
      </c>
      <c r="C9810" s="227">
        <v>0.49769675925925921</v>
      </c>
      <c r="D9810" s="228">
        <v>10</v>
      </c>
      <c r="E9810" s="225" t="s">
        <v>132</v>
      </c>
      <c r="F9810" s="225" t="s">
        <v>6946</v>
      </c>
    </row>
    <row r="9811" spans="2:6" ht="17.25" thickBot="1">
      <c r="B9811" s="226">
        <v>46189</v>
      </c>
      <c r="C9811" s="227">
        <v>0.60480324074074077</v>
      </c>
      <c r="D9811" s="228">
        <v>10</v>
      </c>
      <c r="E9811" s="225" t="s">
        <v>8555</v>
      </c>
      <c r="F9811" s="225" t="s">
        <v>6946</v>
      </c>
    </row>
    <row r="9812" spans="2:6" ht="17.25" thickBot="1">
      <c r="B9812" s="226">
        <v>46189</v>
      </c>
      <c r="C9812" s="227">
        <v>0.49114583333333334</v>
      </c>
      <c r="D9812" s="228">
        <v>10</v>
      </c>
      <c r="E9812" s="225" t="s">
        <v>8562</v>
      </c>
      <c r="F9812" s="225" t="s">
        <v>6946</v>
      </c>
    </row>
    <row r="9813" spans="2:6" ht="17.25" thickBot="1">
      <c r="B9813" s="226">
        <v>46189</v>
      </c>
      <c r="C9813" s="227">
        <v>0.46834490740740736</v>
      </c>
      <c r="D9813" s="228">
        <v>10</v>
      </c>
      <c r="E9813" s="225" t="s">
        <v>8563</v>
      </c>
      <c r="F9813" s="225" t="s">
        <v>6946</v>
      </c>
    </row>
    <row r="9814" spans="2:6" ht="17.25" thickBot="1">
      <c r="B9814" s="226">
        <v>46188</v>
      </c>
      <c r="C9814" s="227">
        <v>0.81879629629629624</v>
      </c>
      <c r="D9814" s="228">
        <v>10</v>
      </c>
      <c r="E9814" s="225" t="s">
        <v>244</v>
      </c>
      <c r="F9814" s="225" t="s">
        <v>6946</v>
      </c>
    </row>
    <row r="9815" spans="2:6" ht="17.25" thickBot="1">
      <c r="B9815" s="226">
        <v>46188</v>
      </c>
      <c r="C9815" s="227">
        <v>0.81214120370370368</v>
      </c>
      <c r="D9815" s="228">
        <v>10</v>
      </c>
      <c r="E9815" s="225" t="s">
        <v>194</v>
      </c>
      <c r="F9815" s="225" t="s">
        <v>6946</v>
      </c>
    </row>
    <row r="9816" spans="2:6" ht="17.25" thickBot="1">
      <c r="B9816" s="226">
        <v>46188</v>
      </c>
      <c r="C9816" s="227">
        <v>0.88495370370370363</v>
      </c>
      <c r="D9816" s="228">
        <v>10</v>
      </c>
      <c r="E9816" s="225" t="s">
        <v>8570</v>
      </c>
      <c r="F9816" s="225" t="s">
        <v>6946</v>
      </c>
    </row>
    <row r="9817" spans="2:6" ht="17.25" thickBot="1">
      <c r="B9817" s="226">
        <v>46188</v>
      </c>
      <c r="C9817" s="227">
        <v>0.64693287037037039</v>
      </c>
      <c r="D9817" s="228">
        <v>10</v>
      </c>
      <c r="E9817" s="225" t="s">
        <v>8575</v>
      </c>
      <c r="F9817" s="225" t="s">
        <v>6946</v>
      </c>
    </row>
    <row r="9818" spans="2:6" ht="17.25" thickBot="1">
      <c r="B9818" s="226">
        <v>46188</v>
      </c>
      <c r="C9818" s="227">
        <v>0.79138888888888881</v>
      </c>
      <c r="D9818" s="228">
        <v>10</v>
      </c>
      <c r="E9818" s="225" t="s">
        <v>8595</v>
      </c>
      <c r="F9818" s="225" t="s">
        <v>6946</v>
      </c>
    </row>
    <row r="9819" spans="2:6" ht="26.25" thickBot="1">
      <c r="B9819" s="226">
        <v>46188</v>
      </c>
      <c r="C9819" s="227">
        <v>0.70216435185185189</v>
      </c>
      <c r="D9819" s="228">
        <v>10</v>
      </c>
      <c r="E9819" s="225" t="s">
        <v>8590</v>
      </c>
      <c r="F9819" s="225" t="s">
        <v>6946</v>
      </c>
    </row>
    <row r="9820" spans="2:6" ht="17.25" thickBot="1">
      <c r="B9820" s="226">
        <v>46188</v>
      </c>
      <c r="C9820" s="227">
        <v>0.72979166666666673</v>
      </c>
      <c r="D9820" s="228">
        <v>10</v>
      </c>
      <c r="E9820" s="225" t="s">
        <v>8568</v>
      </c>
      <c r="F9820" s="225" t="s">
        <v>6946</v>
      </c>
    </row>
    <row r="9821" spans="2:6" ht="17.25" thickBot="1">
      <c r="B9821" s="226">
        <v>46188</v>
      </c>
      <c r="C9821" s="227">
        <v>0.70159722222222232</v>
      </c>
      <c r="D9821" s="228">
        <v>10</v>
      </c>
      <c r="E9821" s="225" t="s">
        <v>8598</v>
      </c>
      <c r="F9821" s="225" t="s">
        <v>6946</v>
      </c>
    </row>
    <row r="9822" spans="2:6" ht="17.25" thickBot="1">
      <c r="B9822" s="226">
        <v>46188</v>
      </c>
      <c r="C9822" s="227">
        <v>0.81010416666666663</v>
      </c>
      <c r="D9822" s="228">
        <v>10</v>
      </c>
      <c r="E9822" s="225" t="s">
        <v>8581</v>
      </c>
      <c r="F9822" s="225" t="s">
        <v>6946</v>
      </c>
    </row>
    <row r="9823" spans="2:6" ht="17.25" thickBot="1">
      <c r="B9823" s="226">
        <v>46188</v>
      </c>
      <c r="C9823" s="227">
        <v>0.67019675925925926</v>
      </c>
      <c r="D9823" s="228">
        <v>10</v>
      </c>
      <c r="E9823" s="225" t="s">
        <v>244</v>
      </c>
      <c r="F9823" s="225" t="s">
        <v>6946</v>
      </c>
    </row>
    <row r="9824" spans="2:6" ht="17.25" thickBot="1">
      <c r="B9824" s="226">
        <v>46188</v>
      </c>
      <c r="C9824" s="227">
        <v>0.70925925925925926</v>
      </c>
      <c r="D9824" s="228">
        <v>10</v>
      </c>
      <c r="E9824" s="225" t="s">
        <v>8592</v>
      </c>
      <c r="F9824" s="225" t="s">
        <v>6946</v>
      </c>
    </row>
    <row r="9825" spans="2:6" ht="26.25" thickBot="1">
      <c r="B9825" s="226">
        <v>46188</v>
      </c>
      <c r="C9825" s="227">
        <v>0.72769675925925925</v>
      </c>
      <c r="D9825" s="228">
        <v>10</v>
      </c>
      <c r="E9825" s="225" t="s">
        <v>8599</v>
      </c>
      <c r="F9825" s="225" t="s">
        <v>6946</v>
      </c>
    </row>
    <row r="9826" spans="2:6" ht="17.25" thickBot="1">
      <c r="B9826" s="226">
        <v>46188</v>
      </c>
      <c r="C9826" s="227">
        <v>0.72170138888888891</v>
      </c>
      <c r="D9826" s="228">
        <v>10</v>
      </c>
      <c r="E9826" s="225" t="s">
        <v>8569</v>
      </c>
      <c r="F9826" s="225" t="s">
        <v>6946</v>
      </c>
    </row>
    <row r="9827" spans="2:6" ht="17.25" thickBot="1">
      <c r="B9827" s="226">
        <v>46188</v>
      </c>
      <c r="C9827" s="227">
        <v>0.69465277777777779</v>
      </c>
      <c r="D9827" s="228">
        <v>10</v>
      </c>
      <c r="E9827" s="225" t="s">
        <v>8601</v>
      </c>
      <c r="F9827" s="225" t="s">
        <v>6946</v>
      </c>
    </row>
    <row r="9828" spans="2:6" ht="17.25" thickBot="1">
      <c r="B9828" s="226">
        <v>46188</v>
      </c>
      <c r="C9828" s="227">
        <v>0.86652777777777779</v>
      </c>
      <c r="D9828" s="228">
        <v>10</v>
      </c>
      <c r="E9828" s="225" t="s">
        <v>8589</v>
      </c>
      <c r="F9828" s="225" t="s">
        <v>6946</v>
      </c>
    </row>
    <row r="9829" spans="2:6" ht="17.25" thickBot="1">
      <c r="B9829" s="226">
        <v>46188</v>
      </c>
      <c r="C9829" s="227">
        <v>0.73201388888888896</v>
      </c>
      <c r="D9829" s="228">
        <v>10</v>
      </c>
      <c r="E9829" s="225" t="s">
        <v>8579</v>
      </c>
      <c r="F9829" s="225" t="s">
        <v>6946</v>
      </c>
    </row>
    <row r="9830" spans="2:6" ht="17.25" thickBot="1">
      <c r="B9830" s="226">
        <v>46188</v>
      </c>
      <c r="C9830" s="227">
        <v>0.68666666666666665</v>
      </c>
      <c r="D9830" s="228">
        <v>10</v>
      </c>
      <c r="E9830" s="225" t="s">
        <v>8585</v>
      </c>
      <c r="F9830" s="225" t="s">
        <v>6946</v>
      </c>
    </row>
    <row r="9831" spans="2:6" ht="17.25" thickBot="1">
      <c r="B9831" s="226">
        <v>46188</v>
      </c>
      <c r="C9831" s="227">
        <v>0.7302777777777778</v>
      </c>
      <c r="D9831" s="228">
        <v>10</v>
      </c>
      <c r="E9831" s="225" t="s">
        <v>690</v>
      </c>
      <c r="F9831" s="225" t="s">
        <v>6946</v>
      </c>
    </row>
    <row r="9832" spans="2:6" ht="17.25" thickBot="1">
      <c r="B9832" s="226">
        <v>46188</v>
      </c>
      <c r="C9832" s="227">
        <v>0.66887731481481483</v>
      </c>
      <c r="D9832" s="228">
        <v>10</v>
      </c>
      <c r="E9832" s="225" t="s">
        <v>3543</v>
      </c>
      <c r="F9832" s="225" t="s">
        <v>6946</v>
      </c>
    </row>
    <row r="9833" spans="2:6" ht="17.25" thickBot="1">
      <c r="B9833" s="226">
        <v>46188</v>
      </c>
      <c r="C9833" s="227">
        <v>0.89306712962962964</v>
      </c>
      <c r="D9833" s="228">
        <v>10</v>
      </c>
      <c r="E9833" s="225" t="s">
        <v>8572</v>
      </c>
      <c r="F9833" s="225" t="s">
        <v>6946</v>
      </c>
    </row>
    <row r="9834" spans="2:6" ht="17.25" thickBot="1">
      <c r="B9834" s="226">
        <v>46188</v>
      </c>
      <c r="C9834" s="227">
        <v>0.57686342592592588</v>
      </c>
      <c r="D9834" s="228">
        <v>10</v>
      </c>
      <c r="E9834" s="225" t="s">
        <v>8588</v>
      </c>
      <c r="F9834" s="225" t="s">
        <v>6946</v>
      </c>
    </row>
    <row r="9835" spans="2:6" ht="17.25" thickBot="1">
      <c r="B9835" s="226">
        <v>46188</v>
      </c>
      <c r="C9835" s="227">
        <v>0.70436342592592593</v>
      </c>
      <c r="D9835" s="228">
        <v>10</v>
      </c>
      <c r="E9835" s="225" t="s">
        <v>8594</v>
      </c>
      <c r="F9835" s="225" t="s">
        <v>6946</v>
      </c>
    </row>
    <row r="9836" spans="2:6" ht="17.25" thickBot="1">
      <c r="B9836" s="226">
        <v>46188</v>
      </c>
      <c r="C9836" s="227">
        <v>0.67193287037037042</v>
      </c>
      <c r="D9836" s="228">
        <v>10</v>
      </c>
      <c r="E9836" s="225" t="s">
        <v>8600</v>
      </c>
      <c r="F9836" s="225" t="s">
        <v>6946</v>
      </c>
    </row>
    <row r="9837" spans="2:6" ht="17.25" thickBot="1">
      <c r="B9837" s="226">
        <v>46188</v>
      </c>
      <c r="C9837" s="227">
        <v>0.74526620370370367</v>
      </c>
      <c r="D9837" s="228">
        <v>10</v>
      </c>
      <c r="E9837" s="225" t="s">
        <v>8577</v>
      </c>
      <c r="F9837" s="225" t="s">
        <v>6946</v>
      </c>
    </row>
    <row r="9838" spans="2:6" ht="17.25" thickBot="1">
      <c r="B9838" s="226">
        <v>46188</v>
      </c>
      <c r="C9838" s="227">
        <v>0.75392361111111106</v>
      </c>
      <c r="D9838" s="228">
        <v>10</v>
      </c>
      <c r="E9838" s="225" t="s">
        <v>8606</v>
      </c>
      <c r="F9838" s="225" t="s">
        <v>6946</v>
      </c>
    </row>
    <row r="9839" spans="2:6" ht="17.25" thickBot="1">
      <c r="B9839" s="226">
        <v>46188</v>
      </c>
      <c r="C9839" s="227">
        <v>0.64217592592592598</v>
      </c>
      <c r="D9839" s="228">
        <v>10</v>
      </c>
      <c r="E9839" s="225" t="s">
        <v>4375</v>
      </c>
      <c r="F9839" s="225" t="s">
        <v>6946</v>
      </c>
    </row>
    <row r="9840" spans="2:6" ht="17.25" thickBot="1">
      <c r="B9840" s="226">
        <v>46188</v>
      </c>
      <c r="C9840" s="227">
        <v>0.84744212962962961</v>
      </c>
      <c r="D9840" s="228">
        <v>10</v>
      </c>
      <c r="E9840" s="225" t="s">
        <v>8571</v>
      </c>
      <c r="F9840" s="225" t="s">
        <v>6946</v>
      </c>
    </row>
    <row r="9841" spans="2:6" ht="17.25" thickBot="1">
      <c r="B9841" s="226">
        <v>46188</v>
      </c>
      <c r="C9841" s="227">
        <v>0.6444212962962963</v>
      </c>
      <c r="D9841" s="228">
        <v>10</v>
      </c>
      <c r="E9841" s="225" t="s">
        <v>8586</v>
      </c>
      <c r="F9841" s="225" t="s">
        <v>6946</v>
      </c>
    </row>
    <row r="9842" spans="2:6" ht="17.25" thickBot="1">
      <c r="B9842" s="226">
        <v>46188</v>
      </c>
      <c r="C9842" s="227">
        <v>0.60515046296296293</v>
      </c>
      <c r="D9842" s="228">
        <v>10</v>
      </c>
      <c r="E9842" s="225" t="s">
        <v>565</v>
      </c>
      <c r="F9842" s="225" t="s">
        <v>6946</v>
      </c>
    </row>
    <row r="9843" spans="2:6" ht="17.25" thickBot="1">
      <c r="B9843" s="226">
        <v>46188</v>
      </c>
      <c r="C9843" s="227">
        <v>0.48038194444444443</v>
      </c>
      <c r="D9843" s="228">
        <v>10</v>
      </c>
      <c r="E9843" s="225" t="s">
        <v>8574</v>
      </c>
      <c r="F9843" s="225" t="s">
        <v>6946</v>
      </c>
    </row>
    <row r="9844" spans="2:6" ht="17.25" thickBot="1">
      <c r="B9844" s="226">
        <v>46188</v>
      </c>
      <c r="C9844" s="227">
        <v>0.57518518518518513</v>
      </c>
      <c r="D9844" s="228">
        <v>8</v>
      </c>
      <c r="E9844" s="225" t="s">
        <v>565</v>
      </c>
      <c r="F9844" s="225" t="s">
        <v>6946</v>
      </c>
    </row>
    <row r="9845" spans="2:6" ht="17.25" thickBot="1">
      <c r="B9845" s="226">
        <v>46188</v>
      </c>
      <c r="C9845" s="227">
        <v>0.50670138888888883</v>
      </c>
      <c r="D9845" s="228">
        <v>10</v>
      </c>
      <c r="E9845" s="225" t="s">
        <v>8602</v>
      </c>
      <c r="F9845" s="225" t="s">
        <v>6946</v>
      </c>
    </row>
    <row r="9846" spans="2:6" ht="17.25" thickBot="1">
      <c r="B9846" s="226">
        <v>46188</v>
      </c>
      <c r="C9846" s="227">
        <v>0.48428240740740741</v>
      </c>
      <c r="D9846" s="228">
        <v>10</v>
      </c>
      <c r="E9846" s="225" t="s">
        <v>8587</v>
      </c>
      <c r="F9846" s="225" t="s">
        <v>6946</v>
      </c>
    </row>
    <row r="9847" spans="2:6" ht="17.25" thickBot="1">
      <c r="B9847" s="226">
        <v>46188</v>
      </c>
      <c r="C9847" s="227">
        <v>0.61233796296296295</v>
      </c>
      <c r="D9847" s="228">
        <v>10</v>
      </c>
      <c r="E9847" s="225" t="s">
        <v>8583</v>
      </c>
      <c r="F9847" s="225" t="s">
        <v>6946</v>
      </c>
    </row>
    <row r="9848" spans="2:6" ht="17.25" thickBot="1">
      <c r="B9848" s="226">
        <v>46188</v>
      </c>
      <c r="C9848" s="227">
        <v>0.48571759259259256</v>
      </c>
      <c r="D9848" s="228">
        <v>10</v>
      </c>
      <c r="E9848" s="225" t="s">
        <v>8591</v>
      </c>
      <c r="F9848" s="225" t="s">
        <v>6946</v>
      </c>
    </row>
    <row r="9849" spans="2:6" ht="17.25" thickBot="1">
      <c r="B9849" s="226">
        <v>46188</v>
      </c>
      <c r="C9849" s="227">
        <v>0.58120370370370367</v>
      </c>
      <c r="D9849" s="228">
        <v>10</v>
      </c>
      <c r="E9849" s="225" t="s">
        <v>433</v>
      </c>
      <c r="F9849" s="225" t="s">
        <v>6946</v>
      </c>
    </row>
    <row r="9850" spans="2:6" ht="17.25" thickBot="1">
      <c r="B9850" s="226">
        <v>46188</v>
      </c>
      <c r="C9850" s="227">
        <v>0.40226851851851847</v>
      </c>
      <c r="D9850" s="228">
        <v>10</v>
      </c>
      <c r="E9850" s="225" t="s">
        <v>8597</v>
      </c>
      <c r="F9850" s="225" t="s">
        <v>6946</v>
      </c>
    </row>
    <row r="9851" spans="2:6" ht="17.25" thickBot="1">
      <c r="B9851" s="226">
        <v>46188</v>
      </c>
      <c r="C9851" s="227">
        <v>0.49653935185185188</v>
      </c>
      <c r="D9851" s="228">
        <v>10</v>
      </c>
      <c r="E9851" s="225" t="s">
        <v>8584</v>
      </c>
      <c r="F9851" s="225" t="s">
        <v>6946</v>
      </c>
    </row>
    <row r="9852" spans="2:6" ht="17.25" thickBot="1">
      <c r="B9852" s="226">
        <v>46188</v>
      </c>
      <c r="C9852" s="227">
        <v>0.56024305555555554</v>
      </c>
      <c r="D9852" s="228">
        <v>10</v>
      </c>
      <c r="E9852" s="225" t="s">
        <v>273</v>
      </c>
      <c r="F9852" s="225" t="s">
        <v>6946</v>
      </c>
    </row>
    <row r="9853" spans="2:6" ht="17.25" thickBot="1">
      <c r="B9853" s="226">
        <v>46188</v>
      </c>
      <c r="C9853" s="227">
        <v>0.47203703703703703</v>
      </c>
      <c r="D9853" s="228">
        <v>10</v>
      </c>
      <c r="E9853" s="225" t="s">
        <v>2094</v>
      </c>
      <c r="F9853" s="225" t="s">
        <v>6946</v>
      </c>
    </row>
    <row r="9854" spans="2:6" ht="17.25" thickBot="1">
      <c r="B9854" s="226">
        <v>46188</v>
      </c>
      <c r="C9854" s="227">
        <v>0.46988425925925931</v>
      </c>
      <c r="D9854" s="228">
        <v>10</v>
      </c>
      <c r="E9854" s="225" t="s">
        <v>8596</v>
      </c>
      <c r="F9854" s="225" t="s">
        <v>6946</v>
      </c>
    </row>
    <row r="9855" spans="2:6" ht="17.25" thickBot="1">
      <c r="B9855" s="226">
        <v>46188</v>
      </c>
      <c r="C9855" s="227">
        <v>0.66181712962962969</v>
      </c>
      <c r="D9855" s="228">
        <v>10</v>
      </c>
      <c r="E9855" s="225" t="s">
        <v>8580</v>
      </c>
      <c r="F9855" s="225" t="s">
        <v>6946</v>
      </c>
    </row>
    <row r="9856" spans="2:6" ht="17.25" thickBot="1">
      <c r="B9856" s="226">
        <v>46188</v>
      </c>
      <c r="C9856" s="227">
        <v>0.67572916666666671</v>
      </c>
      <c r="D9856" s="228">
        <v>10</v>
      </c>
      <c r="E9856" s="225" t="s">
        <v>313</v>
      </c>
      <c r="F9856" s="225" t="s">
        <v>6946</v>
      </c>
    </row>
    <row r="9857" spans="2:6" ht="17.25" thickBot="1">
      <c r="B9857" s="226">
        <v>46188</v>
      </c>
      <c r="C9857" s="227">
        <v>0.56597222222222221</v>
      </c>
      <c r="D9857" s="228">
        <v>10</v>
      </c>
      <c r="E9857" s="225" t="s">
        <v>8607</v>
      </c>
      <c r="F9857" s="225" t="s">
        <v>6946</v>
      </c>
    </row>
    <row r="9858" spans="2:6" ht="17.25" thickBot="1">
      <c r="B9858" s="226">
        <v>46188</v>
      </c>
      <c r="C9858" s="227">
        <v>0.39278935185185188</v>
      </c>
      <c r="D9858" s="228">
        <v>10</v>
      </c>
      <c r="E9858" s="225" t="s">
        <v>8603</v>
      </c>
      <c r="F9858" s="225" t="s">
        <v>6946</v>
      </c>
    </row>
    <row r="9859" spans="2:6" ht="17.25" thickBot="1">
      <c r="B9859" s="226">
        <v>46188</v>
      </c>
      <c r="C9859" s="227">
        <v>0.44912037037037034</v>
      </c>
      <c r="D9859" s="228">
        <v>10</v>
      </c>
      <c r="E9859" s="225" t="s">
        <v>8582</v>
      </c>
      <c r="F9859" s="225" t="s">
        <v>6946</v>
      </c>
    </row>
    <row r="9860" spans="2:6" ht="17.25" thickBot="1">
      <c r="B9860" s="226">
        <v>46188</v>
      </c>
      <c r="C9860" s="227">
        <v>0.39733796296296298</v>
      </c>
      <c r="D9860" s="228">
        <v>10</v>
      </c>
      <c r="E9860" s="225" t="s">
        <v>8605</v>
      </c>
      <c r="F9860" s="225" t="s">
        <v>6946</v>
      </c>
    </row>
    <row r="9861" spans="2:6" ht="26.25" thickBot="1">
      <c r="B9861" s="226">
        <v>46188</v>
      </c>
      <c r="C9861" s="227">
        <v>0.45081018518518517</v>
      </c>
      <c r="D9861" s="228">
        <v>10</v>
      </c>
      <c r="E9861" s="225" t="s">
        <v>8593</v>
      </c>
      <c r="F9861" s="225" t="s">
        <v>6946</v>
      </c>
    </row>
    <row r="9862" spans="2:6" ht="17.25" thickBot="1">
      <c r="B9862" s="226">
        <v>46188</v>
      </c>
      <c r="C9862" s="227">
        <v>0.4178587962962963</v>
      </c>
      <c r="D9862" s="228">
        <v>10</v>
      </c>
      <c r="E9862" s="225" t="s">
        <v>8604</v>
      </c>
      <c r="F9862" s="225" t="s">
        <v>6946</v>
      </c>
    </row>
    <row r="9863" spans="2:6" ht="17.25" thickBot="1">
      <c r="B9863" s="226">
        <v>46188</v>
      </c>
      <c r="C9863" s="227">
        <v>0.43383101851851852</v>
      </c>
      <c r="D9863" s="228">
        <v>10</v>
      </c>
      <c r="E9863" s="225" t="s">
        <v>8578</v>
      </c>
      <c r="F9863" s="225" t="s">
        <v>6946</v>
      </c>
    </row>
    <row r="9864" spans="2:6" ht="17.25" thickBot="1">
      <c r="B9864" s="226">
        <v>46188</v>
      </c>
      <c r="C9864" s="227">
        <v>0.52223379629629629</v>
      </c>
      <c r="D9864" s="228">
        <v>10</v>
      </c>
      <c r="E9864" s="225" t="s">
        <v>8573</v>
      </c>
      <c r="F9864" s="225" t="s">
        <v>6946</v>
      </c>
    </row>
    <row r="9865" spans="2:6" ht="17.25" thickBot="1">
      <c r="B9865" s="226">
        <v>46188</v>
      </c>
      <c r="C9865" s="227">
        <v>0.39662037037037035</v>
      </c>
      <c r="D9865" s="228">
        <v>10</v>
      </c>
      <c r="E9865" s="225" t="s">
        <v>8567</v>
      </c>
      <c r="F9865" s="225" t="s">
        <v>6946</v>
      </c>
    </row>
    <row r="9866" spans="2:6" ht="17.25" thickBot="1">
      <c r="B9866" s="226">
        <v>46188</v>
      </c>
      <c r="C9866" s="227">
        <v>0.45428240740740744</v>
      </c>
      <c r="D9866" s="228">
        <v>10</v>
      </c>
      <c r="E9866" s="225" t="s">
        <v>785</v>
      </c>
      <c r="F9866" s="225" t="s">
        <v>6946</v>
      </c>
    </row>
    <row r="9867" spans="2:6" ht="26.25" thickBot="1">
      <c r="B9867" s="226">
        <v>46188</v>
      </c>
      <c r="C9867" s="227">
        <v>0.43866898148148148</v>
      </c>
      <c r="D9867" s="228">
        <v>10</v>
      </c>
      <c r="E9867" s="225" t="s">
        <v>8576</v>
      </c>
      <c r="F9867" s="225" t="s">
        <v>6946</v>
      </c>
    </row>
    <row r="9868" spans="2:6" ht="17.25" thickBot="1">
      <c r="B9868" s="226">
        <v>46186</v>
      </c>
      <c r="C9868" s="227">
        <v>0.57649305555555552</v>
      </c>
      <c r="D9868" s="228">
        <v>10</v>
      </c>
      <c r="E9868" s="225" t="s">
        <v>273</v>
      </c>
      <c r="F9868" s="225" t="s">
        <v>6946</v>
      </c>
    </row>
    <row r="9869" spans="2:6" ht="17.25" thickBot="1">
      <c r="B9869" s="226">
        <v>46186</v>
      </c>
      <c r="C9869" s="227">
        <v>0.44201388888888887</v>
      </c>
      <c r="D9869" s="228">
        <v>10</v>
      </c>
      <c r="E9869" s="225" t="s">
        <v>8608</v>
      </c>
      <c r="F9869" s="225" t="s">
        <v>6946</v>
      </c>
    </row>
    <row r="9870" spans="2:6" ht="17.25" thickBot="1">
      <c r="B9870" s="226">
        <v>46186</v>
      </c>
      <c r="C9870" s="227">
        <v>0.4332523148148148</v>
      </c>
      <c r="D9870" s="228">
        <v>10</v>
      </c>
      <c r="E9870" s="225" t="s">
        <v>8612</v>
      </c>
      <c r="F9870" s="225" t="s">
        <v>6946</v>
      </c>
    </row>
    <row r="9871" spans="2:6" ht="17.25" thickBot="1">
      <c r="B9871" s="226">
        <v>46186</v>
      </c>
      <c r="C9871" s="227">
        <v>0.72009259259259262</v>
      </c>
      <c r="D9871" s="228">
        <v>10</v>
      </c>
      <c r="E9871" s="225" t="s">
        <v>8609</v>
      </c>
      <c r="F9871" s="225" t="s">
        <v>6946</v>
      </c>
    </row>
    <row r="9872" spans="2:6" ht="17.25" thickBot="1">
      <c r="B9872" s="226">
        <v>46186</v>
      </c>
      <c r="C9872" s="227">
        <v>0.47472222222222221</v>
      </c>
      <c r="D9872" s="228">
        <v>7</v>
      </c>
      <c r="E9872" s="225" t="s">
        <v>1327</v>
      </c>
      <c r="F9872" s="225" t="s">
        <v>6946</v>
      </c>
    </row>
    <row r="9873" spans="2:6" ht="17.25" thickBot="1">
      <c r="B9873" s="226">
        <v>46186</v>
      </c>
      <c r="C9873" s="227">
        <v>0.64684027777777775</v>
      </c>
      <c r="D9873" s="228">
        <v>10</v>
      </c>
      <c r="E9873" s="225" t="s">
        <v>8610</v>
      </c>
      <c r="F9873" s="225" t="s">
        <v>6946</v>
      </c>
    </row>
    <row r="9874" spans="2:6" ht="17.25" thickBot="1">
      <c r="B9874" s="226">
        <v>46186</v>
      </c>
      <c r="C9874" s="227">
        <v>0.55457175925925928</v>
      </c>
      <c r="D9874" s="228">
        <v>10</v>
      </c>
      <c r="E9874" s="225" t="s">
        <v>8611</v>
      </c>
      <c r="F9874" s="225" t="s">
        <v>6946</v>
      </c>
    </row>
    <row r="9875" spans="2:6" ht="17.25" thickBot="1">
      <c r="B9875" s="226">
        <v>46185</v>
      </c>
      <c r="C9875" s="227">
        <v>0.81957175925925929</v>
      </c>
      <c r="D9875" s="228">
        <v>10</v>
      </c>
      <c r="E9875" s="225" t="s">
        <v>732</v>
      </c>
      <c r="F9875" s="225" t="s">
        <v>6946</v>
      </c>
    </row>
    <row r="9876" spans="2:6" ht="17.25" thickBot="1">
      <c r="B9876" s="226">
        <v>46185</v>
      </c>
      <c r="C9876" s="227">
        <v>0.73334490740740732</v>
      </c>
      <c r="D9876" s="228">
        <v>10</v>
      </c>
      <c r="E9876" s="225" t="s">
        <v>8614</v>
      </c>
      <c r="F9876" s="225" t="s">
        <v>6946</v>
      </c>
    </row>
    <row r="9877" spans="2:6" ht="26.25" thickBot="1">
      <c r="B9877" s="226">
        <v>46185</v>
      </c>
      <c r="C9877" s="227">
        <v>0.71748842592592599</v>
      </c>
      <c r="D9877" s="228">
        <v>10</v>
      </c>
      <c r="E9877" s="225" t="s">
        <v>8629</v>
      </c>
      <c r="F9877" s="225" t="s">
        <v>6946</v>
      </c>
    </row>
    <row r="9878" spans="2:6" ht="17.25" thickBot="1">
      <c r="B9878" s="226">
        <v>46185</v>
      </c>
      <c r="C9878" s="227">
        <v>0.71725694444444443</v>
      </c>
      <c r="D9878" s="228">
        <v>10</v>
      </c>
      <c r="E9878" s="225" t="s">
        <v>8626</v>
      </c>
      <c r="F9878" s="225" t="s">
        <v>6946</v>
      </c>
    </row>
    <row r="9879" spans="2:6" ht="17.25" thickBot="1">
      <c r="B9879" s="226">
        <v>46185</v>
      </c>
      <c r="C9879" s="227">
        <v>0.59949074074074071</v>
      </c>
      <c r="D9879" s="228">
        <v>10</v>
      </c>
      <c r="E9879" s="225" t="s">
        <v>8628</v>
      </c>
      <c r="F9879" s="225" t="s">
        <v>6946</v>
      </c>
    </row>
    <row r="9880" spans="2:6" ht="17.25" thickBot="1">
      <c r="B9880" s="226">
        <v>46185</v>
      </c>
      <c r="C9880" s="227">
        <v>0.56877314814814817</v>
      </c>
      <c r="D9880" s="228">
        <v>10</v>
      </c>
      <c r="E9880" s="225" t="s">
        <v>836</v>
      </c>
      <c r="F9880" s="225" t="s">
        <v>6946</v>
      </c>
    </row>
    <row r="9881" spans="2:6" ht="17.25" thickBot="1">
      <c r="B9881" s="226">
        <v>46185</v>
      </c>
      <c r="C9881" s="227">
        <v>0.75844907407407414</v>
      </c>
      <c r="D9881" s="228">
        <v>10</v>
      </c>
      <c r="E9881" s="225" t="s">
        <v>8616</v>
      </c>
      <c r="F9881" s="225" t="s">
        <v>6946</v>
      </c>
    </row>
    <row r="9882" spans="2:6" ht="17.25" thickBot="1">
      <c r="B9882" s="226">
        <v>46185</v>
      </c>
      <c r="C9882" s="227">
        <v>0.91802083333333329</v>
      </c>
      <c r="D9882" s="228">
        <v>10</v>
      </c>
      <c r="E9882" s="225" t="s">
        <v>132</v>
      </c>
      <c r="F9882" s="225" t="s">
        <v>6946</v>
      </c>
    </row>
    <row r="9883" spans="2:6" ht="17.25" thickBot="1">
      <c r="B9883" s="226">
        <v>46185</v>
      </c>
      <c r="C9883" s="227">
        <v>0.74460648148148145</v>
      </c>
      <c r="D9883" s="228">
        <v>10</v>
      </c>
      <c r="E9883" s="225" t="s">
        <v>3286</v>
      </c>
      <c r="F9883" s="225" t="s">
        <v>6946</v>
      </c>
    </row>
    <row r="9884" spans="2:6" ht="17.25" thickBot="1">
      <c r="B9884" s="226">
        <v>46185</v>
      </c>
      <c r="C9884" s="227">
        <v>0.57056712962962963</v>
      </c>
      <c r="D9884" s="228">
        <v>10</v>
      </c>
      <c r="E9884" s="225" t="s">
        <v>8632</v>
      </c>
      <c r="F9884" s="225" t="s">
        <v>6946</v>
      </c>
    </row>
    <row r="9885" spans="2:6" ht="17.25" thickBot="1">
      <c r="B9885" s="226">
        <v>46185</v>
      </c>
      <c r="C9885" s="227">
        <v>0.89165509259259268</v>
      </c>
      <c r="D9885" s="228">
        <v>10</v>
      </c>
      <c r="E9885" s="225" t="s">
        <v>8613</v>
      </c>
      <c r="F9885" s="225" t="s">
        <v>6946</v>
      </c>
    </row>
    <row r="9886" spans="2:6" ht="17.25" thickBot="1">
      <c r="B9886" s="226">
        <v>46185</v>
      </c>
      <c r="C9886" s="227">
        <v>0.43826388888888884</v>
      </c>
      <c r="D9886" s="228">
        <v>10</v>
      </c>
      <c r="E9886" s="225" t="s">
        <v>8633</v>
      </c>
      <c r="F9886" s="225" t="s">
        <v>6946</v>
      </c>
    </row>
    <row r="9887" spans="2:6" ht="17.25" thickBot="1">
      <c r="B9887" s="226">
        <v>46185</v>
      </c>
      <c r="C9887" s="227">
        <v>0.74146990740740737</v>
      </c>
      <c r="D9887" s="228">
        <v>10</v>
      </c>
      <c r="E9887" s="225" t="s">
        <v>288</v>
      </c>
      <c r="F9887" s="225" t="s">
        <v>6946</v>
      </c>
    </row>
    <row r="9888" spans="2:6" ht="17.25" thickBot="1">
      <c r="B9888" s="226">
        <v>46185</v>
      </c>
      <c r="C9888" s="227">
        <v>0.70472222222222225</v>
      </c>
      <c r="D9888" s="228">
        <v>10</v>
      </c>
      <c r="E9888" s="225" t="s">
        <v>288</v>
      </c>
      <c r="F9888" s="225" t="s">
        <v>6946</v>
      </c>
    </row>
    <row r="9889" spans="2:6" ht="17.25" thickBot="1">
      <c r="B9889" s="226">
        <v>46185</v>
      </c>
      <c r="C9889" s="227">
        <v>0.73299768518518515</v>
      </c>
      <c r="D9889" s="228">
        <v>10</v>
      </c>
      <c r="E9889" s="225"/>
      <c r="F9889" s="225" t="s">
        <v>6946</v>
      </c>
    </row>
    <row r="9890" spans="2:6" ht="26.25" thickBot="1">
      <c r="B9890" s="226">
        <v>46185</v>
      </c>
      <c r="C9890" s="227">
        <v>0.7611458333333333</v>
      </c>
      <c r="D9890" s="228">
        <v>10</v>
      </c>
      <c r="E9890" s="225" t="s">
        <v>8627</v>
      </c>
      <c r="F9890" s="225" t="s">
        <v>6946</v>
      </c>
    </row>
    <row r="9891" spans="2:6" ht="17.25" thickBot="1">
      <c r="B9891" s="226">
        <v>46185</v>
      </c>
      <c r="C9891" s="227">
        <v>0.75393518518518521</v>
      </c>
      <c r="D9891" s="228">
        <v>10</v>
      </c>
      <c r="E9891" s="225" t="s">
        <v>8630</v>
      </c>
      <c r="F9891" s="225" t="s">
        <v>6946</v>
      </c>
    </row>
    <row r="9892" spans="2:6" ht="17.25" thickBot="1">
      <c r="B9892" s="226">
        <v>46185</v>
      </c>
      <c r="C9892" s="227">
        <v>0.39413194444444444</v>
      </c>
      <c r="D9892" s="228">
        <v>10</v>
      </c>
      <c r="E9892" s="225" t="s">
        <v>565</v>
      </c>
      <c r="F9892" s="225" t="s">
        <v>6946</v>
      </c>
    </row>
    <row r="9893" spans="2:6" ht="17.25" thickBot="1">
      <c r="B9893" s="226">
        <v>46185</v>
      </c>
      <c r="C9893" s="227">
        <v>0.64651620370370366</v>
      </c>
      <c r="D9893" s="228">
        <v>10</v>
      </c>
      <c r="E9893" s="225" t="s">
        <v>8620</v>
      </c>
      <c r="F9893" s="225" t="s">
        <v>6946</v>
      </c>
    </row>
    <row r="9894" spans="2:6" ht="17.25" thickBot="1">
      <c r="B9894" s="226">
        <v>46185</v>
      </c>
      <c r="C9894" s="227">
        <v>0.57508101851851856</v>
      </c>
      <c r="D9894" s="228">
        <v>10</v>
      </c>
      <c r="E9894" s="225" t="s">
        <v>8636</v>
      </c>
      <c r="F9894" s="225" t="s">
        <v>6946</v>
      </c>
    </row>
    <row r="9895" spans="2:6" ht="26.25" thickBot="1">
      <c r="B9895" s="226">
        <v>46185</v>
      </c>
      <c r="C9895" s="227">
        <v>0.49289351851851854</v>
      </c>
      <c r="D9895" s="228">
        <v>10</v>
      </c>
      <c r="E9895" s="225" t="s">
        <v>8618</v>
      </c>
      <c r="F9895" s="225" t="s">
        <v>6946</v>
      </c>
    </row>
    <row r="9896" spans="2:6" ht="17.25" thickBot="1">
      <c r="B9896" s="226">
        <v>46185</v>
      </c>
      <c r="C9896" s="227">
        <v>0.72039351851851852</v>
      </c>
      <c r="D9896" s="228">
        <v>10</v>
      </c>
      <c r="E9896" s="225" t="s">
        <v>8634</v>
      </c>
      <c r="F9896" s="225" t="s">
        <v>6946</v>
      </c>
    </row>
    <row r="9897" spans="2:6" ht="17.25" thickBot="1">
      <c r="B9897" s="226">
        <v>46185</v>
      </c>
      <c r="C9897" s="227">
        <v>0.60151620370370373</v>
      </c>
      <c r="D9897" s="228">
        <v>10</v>
      </c>
      <c r="E9897" s="225" t="s">
        <v>8631</v>
      </c>
      <c r="F9897" s="225" t="s">
        <v>6946</v>
      </c>
    </row>
    <row r="9898" spans="2:6" ht="17.25" thickBot="1">
      <c r="B9898" s="226">
        <v>46185</v>
      </c>
      <c r="C9898" s="227">
        <v>0.59193287037037035</v>
      </c>
      <c r="D9898" s="228">
        <v>10</v>
      </c>
      <c r="E9898" s="225" t="s">
        <v>5171</v>
      </c>
      <c r="F9898" s="225" t="s">
        <v>6946</v>
      </c>
    </row>
    <row r="9899" spans="2:6" ht="17.25" thickBot="1">
      <c r="B9899" s="226">
        <v>46185</v>
      </c>
      <c r="C9899" s="227">
        <v>0.62138888888888888</v>
      </c>
      <c r="D9899" s="228">
        <v>10</v>
      </c>
      <c r="E9899" s="225" t="s">
        <v>8624</v>
      </c>
      <c r="F9899" s="225" t="s">
        <v>6946</v>
      </c>
    </row>
    <row r="9900" spans="2:6" ht="17.25" thickBot="1">
      <c r="B9900" s="226">
        <v>46185</v>
      </c>
      <c r="C9900" s="227">
        <v>0.67917824074074085</v>
      </c>
      <c r="D9900" s="228">
        <v>10</v>
      </c>
      <c r="E9900" s="225" t="s">
        <v>8615</v>
      </c>
      <c r="F9900" s="225" t="s">
        <v>6946</v>
      </c>
    </row>
    <row r="9901" spans="2:6" ht="17.25" thickBot="1">
      <c r="B9901" s="226">
        <v>46185</v>
      </c>
      <c r="C9901" s="227">
        <v>0.56149305555555562</v>
      </c>
      <c r="D9901" s="228">
        <v>10</v>
      </c>
      <c r="E9901" s="225" t="s">
        <v>8623</v>
      </c>
      <c r="F9901" s="225" t="s">
        <v>6946</v>
      </c>
    </row>
    <row r="9902" spans="2:6" ht="17.25" thickBot="1">
      <c r="B9902" s="226">
        <v>46185</v>
      </c>
      <c r="C9902" s="227">
        <v>0.50795138888888891</v>
      </c>
      <c r="D9902" s="228">
        <v>10</v>
      </c>
      <c r="E9902" s="225" t="s">
        <v>288</v>
      </c>
      <c r="F9902" s="225" t="s">
        <v>6946</v>
      </c>
    </row>
    <row r="9903" spans="2:6" ht="17.25" thickBot="1">
      <c r="B9903" s="226">
        <v>46185</v>
      </c>
      <c r="C9903" s="227">
        <v>0.44209490740740742</v>
      </c>
      <c r="D9903" s="228">
        <v>10</v>
      </c>
      <c r="E9903" s="225" t="s">
        <v>8625</v>
      </c>
      <c r="F9903" s="225" t="s">
        <v>6946</v>
      </c>
    </row>
    <row r="9904" spans="2:6" ht="17.25" thickBot="1">
      <c r="B9904" s="226">
        <v>46185</v>
      </c>
      <c r="C9904" s="227">
        <v>0.60950231481481476</v>
      </c>
      <c r="D9904" s="228">
        <v>10</v>
      </c>
      <c r="E9904" s="225" t="s">
        <v>8619</v>
      </c>
      <c r="F9904" s="225" t="s">
        <v>6946</v>
      </c>
    </row>
    <row r="9905" spans="2:6" ht="17.25" thickBot="1">
      <c r="B9905" s="226">
        <v>46185</v>
      </c>
      <c r="C9905" s="227">
        <v>0.47437499999999999</v>
      </c>
      <c r="D9905" s="228">
        <v>10</v>
      </c>
      <c r="E9905" s="225" t="s">
        <v>8622</v>
      </c>
      <c r="F9905" s="225" t="s">
        <v>6946</v>
      </c>
    </row>
    <row r="9906" spans="2:6" ht="17.25" thickBot="1">
      <c r="B9906" s="226">
        <v>46185</v>
      </c>
      <c r="C9906" s="227">
        <v>0.55534722222222221</v>
      </c>
      <c r="D9906" s="228">
        <v>10</v>
      </c>
      <c r="E9906" s="225" t="s">
        <v>836</v>
      </c>
      <c r="F9906" s="225" t="s">
        <v>6946</v>
      </c>
    </row>
    <row r="9907" spans="2:6" ht="17.25" thickBot="1">
      <c r="B9907" s="226">
        <v>46185</v>
      </c>
      <c r="C9907" s="227">
        <v>0.42907407407407411</v>
      </c>
      <c r="D9907" s="228">
        <v>10</v>
      </c>
      <c r="E9907" s="225" t="s">
        <v>3058</v>
      </c>
      <c r="F9907" s="225" t="s">
        <v>6946</v>
      </c>
    </row>
    <row r="9908" spans="2:6" ht="17.25" thickBot="1">
      <c r="B9908" s="226">
        <v>46185</v>
      </c>
      <c r="C9908" s="227">
        <v>0.47043981481481478</v>
      </c>
      <c r="D9908" s="228">
        <v>10</v>
      </c>
      <c r="E9908" s="225" t="s">
        <v>8617</v>
      </c>
      <c r="F9908" s="225" t="s">
        <v>6946</v>
      </c>
    </row>
    <row r="9909" spans="2:6" ht="17.25" thickBot="1">
      <c r="B9909" s="226">
        <v>46185</v>
      </c>
      <c r="C9909" s="227">
        <v>0.40329861111111115</v>
      </c>
      <c r="D9909" s="228">
        <v>10</v>
      </c>
      <c r="E9909" s="225" t="s">
        <v>8621</v>
      </c>
      <c r="F9909" s="225" t="s">
        <v>6946</v>
      </c>
    </row>
    <row r="9910" spans="2:6" ht="17.25" thickBot="1">
      <c r="B9910" s="226">
        <v>46185</v>
      </c>
      <c r="C9910" s="227">
        <v>0.3668865740740741</v>
      </c>
      <c r="D9910" s="228">
        <v>10</v>
      </c>
      <c r="E9910" s="225" t="s">
        <v>273</v>
      </c>
      <c r="F9910" s="225" t="s">
        <v>6946</v>
      </c>
    </row>
    <row r="9911" spans="2:6" ht="17.25" thickBot="1">
      <c r="B9911" s="226">
        <v>46185</v>
      </c>
      <c r="C9911" s="227">
        <v>0.56622685185185184</v>
      </c>
      <c r="D9911" s="228">
        <v>10</v>
      </c>
      <c r="E9911" s="225" t="s">
        <v>8635</v>
      </c>
      <c r="F9911" s="225" t="s">
        <v>6946</v>
      </c>
    </row>
    <row r="9912" spans="2:6" ht="17.25" thickBot="1">
      <c r="B9912" s="226">
        <v>46185</v>
      </c>
      <c r="C9912" s="227">
        <v>0.46923611111111113</v>
      </c>
      <c r="D9912" s="228">
        <v>10</v>
      </c>
      <c r="E9912" s="225" t="s">
        <v>3687</v>
      </c>
      <c r="F9912" s="225" t="s">
        <v>6946</v>
      </c>
    </row>
    <row r="9913" spans="2:6" ht="17.25" thickBot="1">
      <c r="B9913" s="226">
        <v>46184</v>
      </c>
      <c r="C9913" s="227">
        <v>0.76777777777777778</v>
      </c>
      <c r="D9913" s="228">
        <v>10</v>
      </c>
      <c r="E9913" s="225" t="s">
        <v>1291</v>
      </c>
      <c r="F9913" s="225" t="s">
        <v>6946</v>
      </c>
    </row>
    <row r="9914" spans="2:6" ht="17.25" thickBot="1">
      <c r="B9914" s="226">
        <v>46184</v>
      </c>
      <c r="C9914" s="227">
        <v>0.83030092592592597</v>
      </c>
      <c r="D9914" s="228">
        <v>10</v>
      </c>
      <c r="E9914" s="225" t="s">
        <v>8670</v>
      </c>
      <c r="F9914" s="225" t="s">
        <v>6946</v>
      </c>
    </row>
    <row r="9915" spans="2:6" ht="17.25" thickBot="1">
      <c r="B9915" s="226">
        <v>46184</v>
      </c>
      <c r="C9915" s="227">
        <v>0.86979166666666663</v>
      </c>
      <c r="D9915" s="228">
        <v>10</v>
      </c>
      <c r="E9915" s="225" t="s">
        <v>8534</v>
      </c>
      <c r="F9915" s="225" t="s">
        <v>6946</v>
      </c>
    </row>
    <row r="9916" spans="2:6" ht="17.25" thickBot="1">
      <c r="B9916" s="226">
        <v>46184</v>
      </c>
      <c r="C9916" s="227">
        <v>0.64796296296296296</v>
      </c>
      <c r="D9916" s="228">
        <v>10</v>
      </c>
      <c r="E9916" s="225" t="s">
        <v>8660</v>
      </c>
      <c r="F9916" s="225" t="s">
        <v>6946</v>
      </c>
    </row>
    <row r="9917" spans="2:6" ht="17.25" thickBot="1">
      <c r="B9917" s="226">
        <v>46184</v>
      </c>
      <c r="C9917" s="227">
        <v>0.77690972222222221</v>
      </c>
      <c r="D9917" s="228">
        <v>10</v>
      </c>
      <c r="E9917" s="225" t="s">
        <v>8676</v>
      </c>
      <c r="F9917" s="225" t="s">
        <v>6946</v>
      </c>
    </row>
    <row r="9918" spans="2:6" ht="17.25" thickBot="1">
      <c r="B9918" s="226">
        <v>46184</v>
      </c>
      <c r="C9918" s="227">
        <v>0.68523148148148139</v>
      </c>
      <c r="D9918" s="228">
        <v>10</v>
      </c>
      <c r="E9918" s="225" t="s">
        <v>8675</v>
      </c>
      <c r="F9918" s="225" t="s">
        <v>6946</v>
      </c>
    </row>
    <row r="9919" spans="2:6" ht="17.25" thickBot="1">
      <c r="B9919" s="226">
        <v>46184</v>
      </c>
      <c r="C9919" s="227">
        <v>0.58177083333333335</v>
      </c>
      <c r="D9919" s="228">
        <v>10</v>
      </c>
      <c r="E9919" s="225" t="s">
        <v>8659</v>
      </c>
      <c r="F9919" s="225" t="s">
        <v>6946</v>
      </c>
    </row>
    <row r="9920" spans="2:6" ht="26.25" thickBot="1">
      <c r="B9920" s="226">
        <v>46184</v>
      </c>
      <c r="C9920" s="227">
        <v>0.74812499999999993</v>
      </c>
      <c r="D9920" s="228">
        <v>10</v>
      </c>
      <c r="E9920" s="225" t="s">
        <v>8647</v>
      </c>
      <c r="F9920" s="225" t="s">
        <v>6946</v>
      </c>
    </row>
    <row r="9921" spans="2:6" ht="17.25" thickBot="1">
      <c r="B9921" s="226">
        <v>46184</v>
      </c>
      <c r="C9921" s="227">
        <v>0.65150462962962963</v>
      </c>
      <c r="D9921" s="228">
        <v>10</v>
      </c>
      <c r="E9921" s="225" t="s">
        <v>194</v>
      </c>
      <c r="F9921" s="225" t="s">
        <v>6946</v>
      </c>
    </row>
    <row r="9922" spans="2:6" ht="17.25" thickBot="1">
      <c r="B9922" s="226">
        <v>46184</v>
      </c>
      <c r="C9922" s="227">
        <v>0.69822916666666668</v>
      </c>
      <c r="D9922" s="228">
        <v>10</v>
      </c>
      <c r="E9922" s="225" t="s">
        <v>8649</v>
      </c>
      <c r="F9922" s="225" t="s">
        <v>6946</v>
      </c>
    </row>
    <row r="9923" spans="2:6" ht="17.25" thickBot="1">
      <c r="B9923" s="226">
        <v>46184</v>
      </c>
      <c r="C9923" s="227">
        <v>0.68839120370370377</v>
      </c>
      <c r="D9923" s="228">
        <v>10</v>
      </c>
      <c r="E9923" s="225" t="s">
        <v>8651</v>
      </c>
      <c r="F9923" s="225" t="s">
        <v>6946</v>
      </c>
    </row>
    <row r="9924" spans="2:6" ht="17.25" thickBot="1">
      <c r="B9924" s="226">
        <v>46184</v>
      </c>
      <c r="C9924" s="227">
        <v>0.73417824074074067</v>
      </c>
      <c r="D9924" s="228">
        <v>10</v>
      </c>
      <c r="E9924" s="225" t="s">
        <v>8662</v>
      </c>
      <c r="F9924" s="225" t="s">
        <v>6946</v>
      </c>
    </row>
    <row r="9925" spans="2:6" ht="17.25" thickBot="1">
      <c r="B9925" s="226">
        <v>46184</v>
      </c>
      <c r="C9925" s="227">
        <v>0.7163194444444444</v>
      </c>
      <c r="D9925" s="228">
        <v>10</v>
      </c>
      <c r="E9925" s="225" t="s">
        <v>8671</v>
      </c>
      <c r="F9925" s="225" t="s">
        <v>6946</v>
      </c>
    </row>
    <row r="9926" spans="2:6" ht="17.25" thickBot="1">
      <c r="B9926" s="226">
        <v>46184</v>
      </c>
      <c r="C9926" s="227">
        <v>0.62449074074074074</v>
      </c>
      <c r="D9926" s="228">
        <v>10</v>
      </c>
      <c r="E9926" s="225" t="s">
        <v>8640</v>
      </c>
      <c r="F9926" s="225" t="s">
        <v>6946</v>
      </c>
    </row>
    <row r="9927" spans="2:6" ht="17.25" thickBot="1">
      <c r="B9927" s="226">
        <v>46184</v>
      </c>
      <c r="C9927" s="227">
        <v>0.63971064814814815</v>
      </c>
      <c r="D9927" s="228">
        <v>10</v>
      </c>
      <c r="E9927" s="225" t="s">
        <v>8663</v>
      </c>
      <c r="F9927" s="225" t="s">
        <v>6946</v>
      </c>
    </row>
    <row r="9928" spans="2:6" ht="17.25" thickBot="1">
      <c r="B9928" s="226">
        <v>46184</v>
      </c>
      <c r="C9928" s="227">
        <v>0.77387731481481481</v>
      </c>
      <c r="D9928" s="228">
        <v>10</v>
      </c>
      <c r="E9928" s="225" t="s">
        <v>8653</v>
      </c>
      <c r="F9928" s="225" t="s">
        <v>6946</v>
      </c>
    </row>
    <row r="9929" spans="2:6" ht="17.25" thickBot="1">
      <c r="B9929" s="226">
        <v>46184</v>
      </c>
      <c r="C9929" s="227">
        <v>0.65011574074074074</v>
      </c>
      <c r="D9929" s="228">
        <v>10</v>
      </c>
      <c r="E9929" s="225" t="s">
        <v>8643</v>
      </c>
      <c r="F9929" s="225" t="s">
        <v>6946</v>
      </c>
    </row>
    <row r="9930" spans="2:6" ht="17.25" thickBot="1">
      <c r="B9930" s="226">
        <v>46184</v>
      </c>
      <c r="C9930" s="227">
        <v>0.59942129629629626</v>
      </c>
      <c r="D9930" s="228">
        <v>10</v>
      </c>
      <c r="E9930" s="225" t="s">
        <v>8637</v>
      </c>
      <c r="F9930" s="225" t="s">
        <v>6946</v>
      </c>
    </row>
    <row r="9931" spans="2:6" ht="17.25" thickBot="1">
      <c r="B9931" s="226">
        <v>46184</v>
      </c>
      <c r="C9931" s="227">
        <v>0.75398148148148147</v>
      </c>
      <c r="D9931" s="228">
        <v>10</v>
      </c>
      <c r="E9931" s="225" t="s">
        <v>8646</v>
      </c>
      <c r="F9931" s="225" t="s">
        <v>6946</v>
      </c>
    </row>
    <row r="9932" spans="2:6" ht="17.25" thickBot="1">
      <c r="B9932" s="226">
        <v>46184</v>
      </c>
      <c r="C9932" s="227">
        <v>0.66212962962962962</v>
      </c>
      <c r="D9932" s="228">
        <v>10</v>
      </c>
      <c r="E9932" s="225" t="s">
        <v>8641</v>
      </c>
      <c r="F9932" s="225" t="s">
        <v>6946</v>
      </c>
    </row>
    <row r="9933" spans="2:6" ht="17.25" thickBot="1">
      <c r="B9933" s="226">
        <v>46184</v>
      </c>
      <c r="C9933" s="227">
        <v>0.62722222222222224</v>
      </c>
      <c r="D9933" s="228">
        <v>10</v>
      </c>
      <c r="E9933" s="225" t="s">
        <v>8669</v>
      </c>
      <c r="F9933" s="225" t="s">
        <v>6946</v>
      </c>
    </row>
    <row r="9934" spans="2:6" ht="17.25" thickBot="1">
      <c r="B9934" s="226">
        <v>46184</v>
      </c>
      <c r="C9934" s="227">
        <v>0.60923611111111109</v>
      </c>
      <c r="D9934" s="228">
        <v>10</v>
      </c>
      <c r="E9934" s="225" t="s">
        <v>8664</v>
      </c>
      <c r="F9934" s="225" t="s">
        <v>6946</v>
      </c>
    </row>
    <row r="9935" spans="2:6" ht="17.25" thickBot="1">
      <c r="B9935" s="226">
        <v>46184</v>
      </c>
      <c r="C9935" s="227">
        <v>0.67054398148148142</v>
      </c>
      <c r="D9935" s="228">
        <v>10</v>
      </c>
      <c r="E9935" s="225" t="s">
        <v>8668</v>
      </c>
      <c r="F9935" s="225" t="s">
        <v>6946</v>
      </c>
    </row>
    <row r="9936" spans="2:6" ht="17.25" thickBot="1">
      <c r="B9936" s="226">
        <v>46184</v>
      </c>
      <c r="C9936" s="227">
        <v>0.60751157407407408</v>
      </c>
      <c r="D9936" s="228">
        <v>10</v>
      </c>
      <c r="E9936" s="225" t="s">
        <v>8655</v>
      </c>
      <c r="F9936" s="225" t="s">
        <v>6946</v>
      </c>
    </row>
    <row r="9937" spans="2:6" ht="17.25" thickBot="1">
      <c r="B9937" s="226">
        <v>46184</v>
      </c>
      <c r="C9937" s="227">
        <v>0.43458333333333332</v>
      </c>
      <c r="D9937" s="228">
        <v>10</v>
      </c>
      <c r="E9937" s="225" t="s">
        <v>8680</v>
      </c>
      <c r="F9937" s="225" t="s">
        <v>6946</v>
      </c>
    </row>
    <row r="9938" spans="2:6" ht="17.25" thickBot="1">
      <c r="B9938" s="226">
        <v>46184</v>
      </c>
      <c r="C9938" s="227">
        <v>0.56412037037037044</v>
      </c>
      <c r="D9938" s="228">
        <v>10</v>
      </c>
      <c r="E9938" s="225" t="s">
        <v>8657</v>
      </c>
      <c r="F9938" s="225" t="s">
        <v>6946</v>
      </c>
    </row>
    <row r="9939" spans="2:6" ht="17.25" thickBot="1">
      <c r="B9939" s="226">
        <v>46184</v>
      </c>
      <c r="C9939" s="227">
        <v>0.61596064814814822</v>
      </c>
      <c r="D9939" s="228">
        <v>10</v>
      </c>
      <c r="E9939" s="225" t="s">
        <v>8644</v>
      </c>
      <c r="F9939" s="225" t="s">
        <v>6946</v>
      </c>
    </row>
    <row r="9940" spans="2:6" ht="17.25" thickBot="1">
      <c r="B9940" s="226">
        <v>46184</v>
      </c>
      <c r="C9940" s="227">
        <v>0.58488425925925924</v>
      </c>
      <c r="D9940" s="228">
        <v>10</v>
      </c>
      <c r="E9940" s="225" t="s">
        <v>8650</v>
      </c>
      <c r="F9940" s="225" t="s">
        <v>6946</v>
      </c>
    </row>
    <row r="9941" spans="2:6" ht="17.25" thickBot="1">
      <c r="B9941" s="226">
        <v>46184</v>
      </c>
      <c r="C9941" s="227">
        <v>0.65151620370370367</v>
      </c>
      <c r="D9941" s="228">
        <v>10</v>
      </c>
      <c r="E9941" s="225" t="s">
        <v>8678</v>
      </c>
      <c r="F9941" s="225" t="s">
        <v>6946</v>
      </c>
    </row>
    <row r="9942" spans="2:6" ht="17.25" thickBot="1">
      <c r="B9942" s="226">
        <v>46184</v>
      </c>
      <c r="C9942" s="227">
        <v>0.42706018518518518</v>
      </c>
      <c r="D9942" s="228">
        <v>10</v>
      </c>
      <c r="E9942" s="225" t="s">
        <v>8681</v>
      </c>
      <c r="F9942" s="225" t="s">
        <v>6946</v>
      </c>
    </row>
    <row r="9943" spans="2:6" ht="17.25" thickBot="1">
      <c r="B9943" s="226">
        <v>46184</v>
      </c>
      <c r="C9943" s="227">
        <v>0.58084490740740746</v>
      </c>
      <c r="D9943" s="228">
        <v>10</v>
      </c>
      <c r="E9943" s="225" t="s">
        <v>2385</v>
      </c>
      <c r="F9943" s="225" t="s">
        <v>6946</v>
      </c>
    </row>
    <row r="9944" spans="2:6" ht="17.25" thickBot="1">
      <c r="B9944" s="226">
        <v>46184</v>
      </c>
      <c r="C9944" s="227">
        <v>0.64523148148148146</v>
      </c>
      <c r="D9944" s="228">
        <v>10</v>
      </c>
      <c r="E9944" s="225" t="s">
        <v>8642</v>
      </c>
      <c r="F9944" s="225" t="s">
        <v>6946</v>
      </c>
    </row>
    <row r="9945" spans="2:6" ht="17.25" thickBot="1">
      <c r="B9945" s="226">
        <v>46184</v>
      </c>
      <c r="C9945" s="227">
        <v>0.60714120370370372</v>
      </c>
      <c r="D9945" s="228">
        <v>10</v>
      </c>
      <c r="E9945" s="225" t="s">
        <v>8672</v>
      </c>
      <c r="F9945" s="225" t="s">
        <v>6946</v>
      </c>
    </row>
    <row r="9946" spans="2:6" ht="17.25" thickBot="1">
      <c r="B9946" s="226">
        <v>46184</v>
      </c>
      <c r="C9946" s="227">
        <v>0.710474537037037</v>
      </c>
      <c r="D9946" s="228">
        <v>10</v>
      </c>
      <c r="E9946" s="225" t="s">
        <v>8645</v>
      </c>
      <c r="F9946" s="225" t="s">
        <v>6946</v>
      </c>
    </row>
    <row r="9947" spans="2:6" ht="17.25" thickBot="1">
      <c r="B9947" s="226">
        <v>46184</v>
      </c>
      <c r="C9947" s="227">
        <v>0.50596064814814812</v>
      </c>
      <c r="D9947" s="228">
        <v>10</v>
      </c>
      <c r="E9947" s="225" t="s">
        <v>8665</v>
      </c>
      <c r="F9947" s="225" t="s">
        <v>6946</v>
      </c>
    </row>
    <row r="9948" spans="2:6" ht="17.25" thickBot="1">
      <c r="B9948" s="226">
        <v>46184</v>
      </c>
      <c r="C9948" s="227">
        <v>0.58789351851851845</v>
      </c>
      <c r="D9948" s="228">
        <v>10</v>
      </c>
      <c r="E9948" s="225" t="s">
        <v>8661</v>
      </c>
      <c r="F9948" s="225" t="s">
        <v>6946</v>
      </c>
    </row>
    <row r="9949" spans="2:6" ht="17.25" thickBot="1">
      <c r="B9949" s="226">
        <v>46184</v>
      </c>
      <c r="C9949" s="227">
        <v>0.62597222222222226</v>
      </c>
      <c r="D9949" s="228">
        <v>10</v>
      </c>
      <c r="E9949" s="225" t="s">
        <v>8673</v>
      </c>
      <c r="F9949" s="225" t="s">
        <v>6946</v>
      </c>
    </row>
    <row r="9950" spans="2:6" ht="17.25" thickBot="1">
      <c r="B9950" s="226">
        <v>46184</v>
      </c>
      <c r="C9950" s="227">
        <v>0.57672453703703697</v>
      </c>
      <c r="D9950" s="228">
        <v>10</v>
      </c>
      <c r="E9950" s="225" t="s">
        <v>8674</v>
      </c>
      <c r="F9950" s="225" t="s">
        <v>6946</v>
      </c>
    </row>
    <row r="9951" spans="2:6" ht="17.25" thickBot="1">
      <c r="B9951" s="226">
        <v>46184</v>
      </c>
      <c r="C9951" s="227">
        <v>0.50287037037037041</v>
      </c>
      <c r="D9951" s="228">
        <v>10</v>
      </c>
      <c r="E9951" s="225" t="s">
        <v>8652</v>
      </c>
      <c r="F9951" s="225" t="s">
        <v>6946</v>
      </c>
    </row>
    <row r="9952" spans="2:6" ht="17.25" thickBot="1">
      <c r="B9952" s="226">
        <v>46184</v>
      </c>
      <c r="C9952" s="227">
        <v>0.47615740740740736</v>
      </c>
      <c r="D9952" s="228">
        <v>10</v>
      </c>
      <c r="E9952" s="225" t="s">
        <v>8679</v>
      </c>
      <c r="F9952" s="225" t="s">
        <v>6946</v>
      </c>
    </row>
    <row r="9953" spans="2:6" ht="17.25" thickBot="1">
      <c r="B9953" s="226">
        <v>46184</v>
      </c>
      <c r="C9953" s="227">
        <v>0.39703703703703702</v>
      </c>
      <c r="D9953" s="228">
        <v>10</v>
      </c>
      <c r="E9953" s="225" t="s">
        <v>8658</v>
      </c>
      <c r="F9953" s="225" t="s">
        <v>6946</v>
      </c>
    </row>
    <row r="9954" spans="2:6" ht="17.25" thickBot="1">
      <c r="B9954" s="226">
        <v>46184</v>
      </c>
      <c r="C9954" s="227">
        <v>0.45295138888888892</v>
      </c>
      <c r="D9954" s="228">
        <v>10</v>
      </c>
      <c r="E9954" s="225" t="s">
        <v>8639</v>
      </c>
      <c r="F9954" s="225" t="s">
        <v>6946</v>
      </c>
    </row>
    <row r="9955" spans="2:6" ht="17.25" thickBot="1">
      <c r="B9955" s="226">
        <v>46184</v>
      </c>
      <c r="C9955" s="227">
        <v>0.43832175925925926</v>
      </c>
      <c r="D9955" s="228">
        <v>10</v>
      </c>
      <c r="E9955" s="225" t="s">
        <v>8654</v>
      </c>
      <c r="F9955" s="225" t="s">
        <v>6946</v>
      </c>
    </row>
    <row r="9956" spans="2:6" ht="17.25" thickBot="1">
      <c r="B9956" s="226">
        <v>46184</v>
      </c>
      <c r="C9956" s="227">
        <v>0.49712962962962964</v>
      </c>
      <c r="D9956" s="228">
        <v>10</v>
      </c>
      <c r="E9956" s="225" t="s">
        <v>8648</v>
      </c>
      <c r="F9956" s="225" t="s">
        <v>6946</v>
      </c>
    </row>
    <row r="9957" spans="2:6" ht="17.25" thickBot="1">
      <c r="B9957" s="226">
        <v>46184</v>
      </c>
      <c r="C9957" s="227">
        <v>0.47947916666666668</v>
      </c>
      <c r="D9957" s="228">
        <v>10</v>
      </c>
      <c r="E9957" s="225" t="s">
        <v>8638</v>
      </c>
      <c r="F9957" s="225" t="s">
        <v>6946</v>
      </c>
    </row>
    <row r="9958" spans="2:6" ht="17.25" thickBot="1">
      <c r="B9958" s="226">
        <v>46184</v>
      </c>
      <c r="C9958" s="227">
        <v>0.38653935185185184</v>
      </c>
      <c r="D9958" s="228">
        <v>10</v>
      </c>
      <c r="E9958" s="225" t="s">
        <v>8677</v>
      </c>
      <c r="F9958" s="225" t="s">
        <v>6946</v>
      </c>
    </row>
    <row r="9959" spans="2:6" ht="17.25" thickBot="1">
      <c r="B9959" s="226">
        <v>46184</v>
      </c>
      <c r="C9959" s="227">
        <v>0.40114583333333331</v>
      </c>
      <c r="D9959" s="228">
        <v>10</v>
      </c>
      <c r="E9959" s="225" t="s">
        <v>8656</v>
      </c>
      <c r="F9959" s="225" t="s">
        <v>6946</v>
      </c>
    </row>
    <row r="9960" spans="2:6" ht="17.25" thickBot="1">
      <c r="B9960" s="226">
        <v>46184</v>
      </c>
      <c r="C9960" s="227">
        <v>0.42009259259259263</v>
      </c>
      <c r="D9960" s="228">
        <v>10</v>
      </c>
      <c r="E9960" s="225" t="s">
        <v>8667</v>
      </c>
      <c r="F9960" s="225" t="s">
        <v>6946</v>
      </c>
    </row>
    <row r="9961" spans="2:6" ht="17.25" thickBot="1">
      <c r="B9961" s="226">
        <v>46184</v>
      </c>
      <c r="C9961" s="227">
        <v>0.40221064814814816</v>
      </c>
      <c r="D9961" s="228">
        <v>10</v>
      </c>
      <c r="E9961" s="225" t="s">
        <v>8666</v>
      </c>
      <c r="F9961" s="225" t="s">
        <v>6946</v>
      </c>
    </row>
    <row r="9962" spans="2:6" ht="17.25" thickBot="1">
      <c r="B9962" s="226">
        <v>46183</v>
      </c>
      <c r="C9962" s="227">
        <v>0.7400578703703703</v>
      </c>
      <c r="D9962" s="228">
        <v>10</v>
      </c>
      <c r="E9962" s="225" t="s">
        <v>8694</v>
      </c>
      <c r="F9962" s="225" t="s">
        <v>6946</v>
      </c>
    </row>
    <row r="9963" spans="2:6" ht="17.25" thickBot="1">
      <c r="B9963" s="226">
        <v>46183</v>
      </c>
      <c r="C9963" s="227">
        <v>0.72229166666666667</v>
      </c>
      <c r="D9963" s="228">
        <v>10</v>
      </c>
      <c r="E9963" s="225" t="s">
        <v>8698</v>
      </c>
      <c r="F9963" s="225" t="s">
        <v>6946</v>
      </c>
    </row>
    <row r="9964" spans="2:6" ht="17.25" thickBot="1">
      <c r="B9964" s="226">
        <v>46183</v>
      </c>
      <c r="C9964" s="227">
        <v>0.82944444444444443</v>
      </c>
      <c r="D9964" s="228">
        <v>10</v>
      </c>
      <c r="E9964" s="225" t="s">
        <v>8695</v>
      </c>
      <c r="F9964" s="225" t="s">
        <v>6946</v>
      </c>
    </row>
    <row r="9965" spans="2:6" ht="17.25" thickBot="1">
      <c r="B9965" s="226">
        <v>46183</v>
      </c>
      <c r="C9965" s="227">
        <v>0.68934027777777773</v>
      </c>
      <c r="D9965" s="228">
        <v>10</v>
      </c>
      <c r="E9965" s="225" t="s">
        <v>4774</v>
      </c>
      <c r="F9965" s="225" t="s">
        <v>6946</v>
      </c>
    </row>
    <row r="9966" spans="2:6" ht="17.25" thickBot="1">
      <c r="B9966" s="226">
        <v>46183</v>
      </c>
      <c r="C9966" s="227">
        <v>0.76946759259259256</v>
      </c>
      <c r="D9966" s="228">
        <v>10</v>
      </c>
      <c r="E9966" s="225" t="s">
        <v>8702</v>
      </c>
      <c r="F9966" s="225" t="s">
        <v>6946</v>
      </c>
    </row>
    <row r="9967" spans="2:6" ht="39" thickBot="1">
      <c r="B9967" s="226">
        <v>46183</v>
      </c>
      <c r="C9967" s="227">
        <v>0.76366898148148143</v>
      </c>
      <c r="D9967" s="228">
        <v>10</v>
      </c>
      <c r="E9967" s="225" t="s">
        <v>8682</v>
      </c>
      <c r="F9967" s="225" t="s">
        <v>6946</v>
      </c>
    </row>
    <row r="9968" spans="2:6" ht="17.25" thickBot="1">
      <c r="B9968" s="226">
        <v>46183</v>
      </c>
      <c r="C9968" s="227">
        <v>0.74685185185185177</v>
      </c>
      <c r="D9968" s="228">
        <v>8</v>
      </c>
      <c r="E9968" s="225" t="s">
        <v>8708</v>
      </c>
      <c r="F9968" s="225" t="s">
        <v>6946</v>
      </c>
    </row>
    <row r="9969" spans="2:6" ht="17.25" thickBot="1">
      <c r="B9969" s="226">
        <v>46183</v>
      </c>
      <c r="C9969" s="227">
        <v>0.85003472222222232</v>
      </c>
      <c r="D9969" s="228">
        <v>10</v>
      </c>
      <c r="E9969" s="225" t="s">
        <v>8697</v>
      </c>
      <c r="F9969" s="225" t="s">
        <v>6946</v>
      </c>
    </row>
    <row r="9970" spans="2:6" ht="17.25" thickBot="1">
      <c r="B9970" s="226">
        <v>46183</v>
      </c>
      <c r="C9970" s="227">
        <v>0.7686574074074074</v>
      </c>
      <c r="D9970" s="228">
        <v>10</v>
      </c>
      <c r="E9970" s="225" t="s">
        <v>8696</v>
      </c>
      <c r="F9970" s="225" t="s">
        <v>6946</v>
      </c>
    </row>
    <row r="9971" spans="2:6" ht="17.25" thickBot="1">
      <c r="B9971" s="226">
        <v>46183</v>
      </c>
      <c r="C9971" s="227">
        <v>0.88850694444444445</v>
      </c>
      <c r="D9971" s="228">
        <v>10</v>
      </c>
      <c r="E9971" s="225" t="s">
        <v>7242</v>
      </c>
      <c r="F9971" s="225" t="s">
        <v>6946</v>
      </c>
    </row>
    <row r="9972" spans="2:6" ht="17.25" thickBot="1">
      <c r="B9972" s="226">
        <v>46183</v>
      </c>
      <c r="C9972" s="227">
        <v>0.80063657407407407</v>
      </c>
      <c r="D9972" s="228">
        <v>10</v>
      </c>
      <c r="E9972" s="225" t="s">
        <v>8689</v>
      </c>
      <c r="F9972" s="225" t="s">
        <v>6946</v>
      </c>
    </row>
    <row r="9973" spans="2:6" ht="17.25" thickBot="1">
      <c r="B9973" s="226">
        <v>46183</v>
      </c>
      <c r="C9973" s="227">
        <v>0.56636574074074075</v>
      </c>
      <c r="D9973" s="228">
        <v>10</v>
      </c>
      <c r="E9973" s="225" t="s">
        <v>8711</v>
      </c>
      <c r="F9973" s="225" t="s">
        <v>6946</v>
      </c>
    </row>
    <row r="9974" spans="2:6" ht="26.25" thickBot="1">
      <c r="B9974" s="226">
        <v>46183</v>
      </c>
      <c r="C9974" s="227">
        <v>0.60790509259259262</v>
      </c>
      <c r="D9974" s="228">
        <v>10</v>
      </c>
      <c r="E9974" s="225" t="s">
        <v>8693</v>
      </c>
      <c r="F9974" s="225" t="s">
        <v>6946</v>
      </c>
    </row>
    <row r="9975" spans="2:6" ht="17.25" thickBot="1">
      <c r="B9975" s="226">
        <v>46183</v>
      </c>
      <c r="C9975" s="227">
        <v>0.67113425925925929</v>
      </c>
      <c r="D9975" s="228">
        <v>10</v>
      </c>
      <c r="E9975" s="225" t="s">
        <v>8686</v>
      </c>
      <c r="F9975" s="225" t="s">
        <v>6946</v>
      </c>
    </row>
    <row r="9976" spans="2:6" ht="17.25" thickBot="1">
      <c r="B9976" s="226">
        <v>46183</v>
      </c>
      <c r="C9976" s="227">
        <v>0.74616898148148147</v>
      </c>
      <c r="D9976" s="228">
        <v>10</v>
      </c>
      <c r="E9976" s="225" t="s">
        <v>8700</v>
      </c>
      <c r="F9976" s="225" t="s">
        <v>6946</v>
      </c>
    </row>
    <row r="9977" spans="2:6" ht="17.25" thickBot="1">
      <c r="B9977" s="226">
        <v>46183</v>
      </c>
      <c r="C9977" s="227">
        <v>0.72679398148148155</v>
      </c>
      <c r="D9977" s="228">
        <v>10</v>
      </c>
      <c r="E9977" s="225" t="s">
        <v>8707</v>
      </c>
      <c r="F9977" s="225" t="s">
        <v>6946</v>
      </c>
    </row>
    <row r="9978" spans="2:6" ht="17.25" thickBot="1">
      <c r="B9978" s="226">
        <v>46183</v>
      </c>
      <c r="C9978" s="227">
        <v>0.70927083333333341</v>
      </c>
      <c r="D9978" s="228">
        <v>10</v>
      </c>
      <c r="E9978" s="225" t="s">
        <v>8701</v>
      </c>
      <c r="F9978" s="225" t="s">
        <v>6946</v>
      </c>
    </row>
    <row r="9979" spans="2:6" ht="17.25" thickBot="1">
      <c r="B9979" s="226">
        <v>46183</v>
      </c>
      <c r="C9979" s="227">
        <v>0.69239583333333332</v>
      </c>
      <c r="D9979" s="228">
        <v>10</v>
      </c>
      <c r="E9979" s="225" t="s">
        <v>8709</v>
      </c>
      <c r="F9979" s="225" t="s">
        <v>6946</v>
      </c>
    </row>
    <row r="9980" spans="2:6" ht="17.25" thickBot="1">
      <c r="B9980" s="226">
        <v>46183</v>
      </c>
      <c r="C9980" s="227">
        <v>0.69437499999999996</v>
      </c>
      <c r="D9980" s="228">
        <v>10</v>
      </c>
      <c r="E9980" s="225" t="s">
        <v>8699</v>
      </c>
      <c r="F9980" s="225" t="s">
        <v>6946</v>
      </c>
    </row>
    <row r="9981" spans="2:6" ht="17.25" thickBot="1">
      <c r="B9981" s="226">
        <v>46183</v>
      </c>
      <c r="C9981" s="227">
        <v>0.63557870370370373</v>
      </c>
      <c r="D9981" s="228">
        <v>10</v>
      </c>
      <c r="E9981" s="225" t="s">
        <v>8690</v>
      </c>
      <c r="F9981" s="225" t="s">
        <v>6946</v>
      </c>
    </row>
    <row r="9982" spans="2:6" ht="17.25" thickBot="1">
      <c r="B9982" s="226">
        <v>46183</v>
      </c>
      <c r="C9982" s="227">
        <v>0.49064814814814817</v>
      </c>
      <c r="D9982" s="228">
        <v>10</v>
      </c>
      <c r="E9982" s="225" t="s">
        <v>8685</v>
      </c>
      <c r="F9982" s="225" t="s">
        <v>6946</v>
      </c>
    </row>
    <row r="9983" spans="2:6" ht="17.25" thickBot="1">
      <c r="B9983" s="226">
        <v>46183</v>
      </c>
      <c r="C9983" s="227">
        <v>0.4578356481481482</v>
      </c>
      <c r="D9983" s="228">
        <v>10</v>
      </c>
      <c r="E9983" s="225" t="s">
        <v>8706</v>
      </c>
      <c r="F9983" s="225" t="s">
        <v>6946</v>
      </c>
    </row>
    <row r="9984" spans="2:6" ht="17.25" thickBot="1">
      <c r="B9984" s="226">
        <v>46183</v>
      </c>
      <c r="C9984" s="227">
        <v>0.60023148148148142</v>
      </c>
      <c r="D9984" s="228">
        <v>10</v>
      </c>
      <c r="E9984" s="225" t="s">
        <v>8691</v>
      </c>
      <c r="F9984" s="225" t="s">
        <v>6946</v>
      </c>
    </row>
    <row r="9985" spans="2:6" ht="17.25" thickBot="1">
      <c r="B9985" s="226">
        <v>46183</v>
      </c>
      <c r="C9985" s="227">
        <v>0.65533564814814815</v>
      </c>
      <c r="D9985" s="228">
        <v>7</v>
      </c>
      <c r="E9985" s="225" t="s">
        <v>8710</v>
      </c>
      <c r="F9985" s="225" t="s">
        <v>6946</v>
      </c>
    </row>
    <row r="9986" spans="2:6" ht="17.25" thickBot="1">
      <c r="B9986" s="226">
        <v>46183</v>
      </c>
      <c r="C9986" s="227">
        <v>0.56909722222222225</v>
      </c>
      <c r="D9986" s="228">
        <v>10</v>
      </c>
      <c r="E9986" s="225" t="s">
        <v>8687</v>
      </c>
      <c r="F9986" s="225" t="s">
        <v>6946</v>
      </c>
    </row>
    <row r="9987" spans="2:6" ht="17.25" thickBot="1">
      <c r="B9987" s="226">
        <v>46183</v>
      </c>
      <c r="C9987" s="227">
        <v>0.47945601851851855</v>
      </c>
      <c r="D9987" s="228">
        <v>10</v>
      </c>
      <c r="E9987" s="225" t="s">
        <v>8683</v>
      </c>
      <c r="F9987" s="225" t="s">
        <v>6946</v>
      </c>
    </row>
    <row r="9988" spans="2:6" ht="17.25" thickBot="1">
      <c r="B9988" s="226">
        <v>46183</v>
      </c>
      <c r="C9988" s="227">
        <v>0.50749999999999995</v>
      </c>
      <c r="D9988" s="228">
        <v>10</v>
      </c>
      <c r="E9988" s="225" t="s">
        <v>8688</v>
      </c>
      <c r="F9988" s="225" t="s">
        <v>6946</v>
      </c>
    </row>
    <row r="9989" spans="2:6" ht="17.25" thickBot="1">
      <c r="B9989" s="226">
        <v>46183</v>
      </c>
      <c r="C9989" s="227">
        <v>0.45026620370370374</v>
      </c>
      <c r="D9989" s="228">
        <v>10</v>
      </c>
      <c r="E9989" s="225" t="s">
        <v>8705</v>
      </c>
      <c r="F9989" s="225" t="s">
        <v>6946</v>
      </c>
    </row>
    <row r="9990" spans="2:6" ht="17.25" thickBot="1">
      <c r="B9990" s="226">
        <v>46183</v>
      </c>
      <c r="C9990" s="227">
        <v>0.43012731481481481</v>
      </c>
      <c r="D9990" s="228">
        <v>10</v>
      </c>
      <c r="E9990" s="225" t="s">
        <v>8712</v>
      </c>
      <c r="F9990" s="225" t="s">
        <v>6946</v>
      </c>
    </row>
    <row r="9991" spans="2:6" ht="17.25" thickBot="1">
      <c r="B9991" s="226">
        <v>46183</v>
      </c>
      <c r="C9991" s="227">
        <v>0.63206018518518514</v>
      </c>
      <c r="D9991" s="228">
        <v>10</v>
      </c>
      <c r="E9991" s="225" t="s">
        <v>2761</v>
      </c>
      <c r="F9991" s="225" t="s">
        <v>6946</v>
      </c>
    </row>
    <row r="9992" spans="2:6" ht="17.25" thickBot="1">
      <c r="B9992" s="226">
        <v>46183</v>
      </c>
      <c r="C9992" s="227">
        <v>0.56754629629629627</v>
      </c>
      <c r="D9992" s="228">
        <v>10</v>
      </c>
      <c r="E9992" s="225" t="s">
        <v>8715</v>
      </c>
      <c r="F9992" s="225" t="s">
        <v>6946</v>
      </c>
    </row>
    <row r="9993" spans="2:6" ht="17.25" thickBot="1">
      <c r="B9993" s="226">
        <v>46183</v>
      </c>
      <c r="C9993" s="227">
        <v>0.57108796296296294</v>
      </c>
      <c r="D9993" s="228">
        <v>10</v>
      </c>
      <c r="E9993" s="225" t="s">
        <v>8713</v>
      </c>
      <c r="F9993" s="225" t="s">
        <v>6946</v>
      </c>
    </row>
    <row r="9994" spans="2:6" ht="17.25" thickBot="1">
      <c r="B9994" s="226">
        <v>46183</v>
      </c>
      <c r="C9994" s="227">
        <v>0.57146990740740744</v>
      </c>
      <c r="D9994" s="228">
        <v>10</v>
      </c>
      <c r="E9994" s="225" t="s">
        <v>8714</v>
      </c>
      <c r="F9994" s="225" t="s">
        <v>6946</v>
      </c>
    </row>
    <row r="9995" spans="2:6" ht="17.25" thickBot="1">
      <c r="B9995" s="226">
        <v>46183</v>
      </c>
      <c r="C9995" s="227">
        <v>0.49893518518518515</v>
      </c>
      <c r="D9995" s="228">
        <v>10</v>
      </c>
      <c r="E9995" s="225" t="s">
        <v>8684</v>
      </c>
      <c r="F9995" s="225" t="s">
        <v>6946</v>
      </c>
    </row>
    <row r="9996" spans="2:6" ht="17.25" thickBot="1">
      <c r="B9996" s="226">
        <v>46183</v>
      </c>
      <c r="C9996" s="227">
        <v>0.67562500000000003</v>
      </c>
      <c r="D9996" s="228">
        <v>10</v>
      </c>
      <c r="E9996" s="225" t="s">
        <v>8704</v>
      </c>
      <c r="F9996" s="225" t="s">
        <v>6946</v>
      </c>
    </row>
    <row r="9997" spans="2:6" ht="17.25" thickBot="1">
      <c r="B9997" s="226">
        <v>46183</v>
      </c>
      <c r="C9997" s="227">
        <v>0.44739583333333338</v>
      </c>
      <c r="D9997" s="228">
        <v>10</v>
      </c>
      <c r="E9997" s="225" t="s">
        <v>8716</v>
      </c>
      <c r="F9997" s="225" t="s">
        <v>6946</v>
      </c>
    </row>
    <row r="9998" spans="2:6" ht="17.25" thickBot="1">
      <c r="B9998" s="226">
        <v>46183</v>
      </c>
      <c r="C9998" s="227">
        <v>0.60906249999999995</v>
      </c>
      <c r="D9998" s="228">
        <v>10</v>
      </c>
      <c r="E9998" s="225" t="s">
        <v>8692</v>
      </c>
      <c r="F9998" s="225" t="s">
        <v>6946</v>
      </c>
    </row>
    <row r="9999" spans="2:6" ht="26.25" thickBot="1">
      <c r="B9999" s="226">
        <v>46183</v>
      </c>
      <c r="C9999" s="227">
        <v>0.43103009259259256</v>
      </c>
      <c r="D9999" s="228">
        <v>10</v>
      </c>
      <c r="E9999" s="225" t="s">
        <v>8703</v>
      </c>
      <c r="F9999" s="225" t="s">
        <v>6946</v>
      </c>
    </row>
    <row r="10000" spans="2:6" ht="17.25" thickBot="1">
      <c r="B10000" s="226">
        <v>46182</v>
      </c>
      <c r="C10000" s="227">
        <v>0.64728009259259256</v>
      </c>
      <c r="D10000" s="228">
        <v>10</v>
      </c>
      <c r="E10000" s="225" t="s">
        <v>8749</v>
      </c>
      <c r="F10000" s="225" t="s">
        <v>6946</v>
      </c>
    </row>
    <row r="10001" spans="2:6" ht="17.25" thickBot="1">
      <c r="B10001" s="226">
        <v>46182</v>
      </c>
      <c r="C10001" s="227">
        <v>0.90614583333333332</v>
      </c>
      <c r="D10001" s="228">
        <v>10</v>
      </c>
      <c r="E10001" s="225" t="s">
        <v>8730</v>
      </c>
      <c r="F10001" s="225" t="s">
        <v>6946</v>
      </c>
    </row>
    <row r="10002" spans="2:6" ht="17.25" thickBot="1">
      <c r="B10002" s="226">
        <v>46182</v>
      </c>
      <c r="C10002" s="227">
        <v>0.69365740740740733</v>
      </c>
      <c r="D10002" s="228">
        <v>10</v>
      </c>
      <c r="E10002" s="225" t="s">
        <v>8721</v>
      </c>
      <c r="F10002" s="225" t="s">
        <v>6946</v>
      </c>
    </row>
    <row r="10003" spans="2:6" ht="17.25" thickBot="1">
      <c r="B10003" s="226">
        <v>46182</v>
      </c>
      <c r="C10003" s="227">
        <v>0.7244328703703703</v>
      </c>
      <c r="D10003" s="228">
        <v>10</v>
      </c>
      <c r="E10003" s="225" t="s">
        <v>8747</v>
      </c>
      <c r="F10003" s="225" t="s">
        <v>6946</v>
      </c>
    </row>
    <row r="10004" spans="2:6" ht="17.25" thickBot="1">
      <c r="B10004" s="226">
        <v>46182</v>
      </c>
      <c r="C10004" s="227">
        <v>0.50900462962962967</v>
      </c>
      <c r="D10004" s="228">
        <v>10</v>
      </c>
      <c r="E10004" s="225" t="s">
        <v>8726</v>
      </c>
      <c r="F10004" s="225" t="s">
        <v>6946</v>
      </c>
    </row>
    <row r="10005" spans="2:6" ht="17.25" thickBot="1">
      <c r="B10005" s="226">
        <v>46182</v>
      </c>
      <c r="C10005" s="227">
        <v>0.68922453703703701</v>
      </c>
      <c r="D10005" s="228">
        <v>10</v>
      </c>
      <c r="E10005" s="225" t="s">
        <v>8743</v>
      </c>
      <c r="F10005" s="225" t="s">
        <v>6946</v>
      </c>
    </row>
    <row r="10006" spans="2:6" ht="17.25" thickBot="1">
      <c r="B10006" s="226">
        <v>46182</v>
      </c>
      <c r="C10006" s="227">
        <v>0.73222222222222222</v>
      </c>
      <c r="D10006" s="228">
        <v>10</v>
      </c>
      <c r="E10006" s="225" t="s">
        <v>8729</v>
      </c>
      <c r="F10006" s="225" t="s">
        <v>6946</v>
      </c>
    </row>
    <row r="10007" spans="2:6" ht="17.25" thickBot="1">
      <c r="B10007" s="226">
        <v>46182</v>
      </c>
      <c r="C10007" s="227">
        <v>0.90859953703703711</v>
      </c>
      <c r="D10007" s="228">
        <v>10</v>
      </c>
      <c r="E10007" s="225" t="s">
        <v>8731</v>
      </c>
      <c r="F10007" s="225" t="s">
        <v>6946</v>
      </c>
    </row>
    <row r="10008" spans="2:6" ht="17.25" thickBot="1">
      <c r="B10008" s="226">
        <v>46182</v>
      </c>
      <c r="C10008" s="227">
        <v>0.69748842592592597</v>
      </c>
      <c r="D10008" s="228">
        <v>10</v>
      </c>
      <c r="E10008" s="225" t="s">
        <v>132</v>
      </c>
      <c r="F10008" s="225" t="s">
        <v>6946</v>
      </c>
    </row>
    <row r="10009" spans="2:6" ht="17.25" thickBot="1">
      <c r="B10009" s="226">
        <v>46182</v>
      </c>
      <c r="C10009" s="227">
        <v>0.70160879629629624</v>
      </c>
      <c r="D10009" s="228">
        <v>10</v>
      </c>
      <c r="E10009" s="225" t="s">
        <v>8722</v>
      </c>
      <c r="F10009" s="225" t="s">
        <v>6946</v>
      </c>
    </row>
    <row r="10010" spans="2:6" ht="17.25" thickBot="1">
      <c r="B10010" s="226">
        <v>46182</v>
      </c>
      <c r="C10010" s="227">
        <v>0.69063657407407408</v>
      </c>
      <c r="D10010" s="228">
        <v>10</v>
      </c>
      <c r="E10010" s="225" t="s">
        <v>8740</v>
      </c>
      <c r="F10010" s="225" t="s">
        <v>6946</v>
      </c>
    </row>
    <row r="10011" spans="2:6" ht="17.25" thickBot="1">
      <c r="B10011" s="226">
        <v>46182</v>
      </c>
      <c r="C10011" s="227">
        <v>0.75001157407407415</v>
      </c>
      <c r="D10011" s="228">
        <v>10</v>
      </c>
      <c r="E10011" s="225" t="s">
        <v>8746</v>
      </c>
      <c r="F10011" s="225" t="s">
        <v>6946</v>
      </c>
    </row>
    <row r="10012" spans="2:6" ht="17.25" thickBot="1">
      <c r="B10012" s="226">
        <v>46182</v>
      </c>
      <c r="C10012" s="227">
        <v>0.63129629629629636</v>
      </c>
      <c r="D10012" s="228">
        <v>10</v>
      </c>
      <c r="E10012" s="225" t="s">
        <v>8745</v>
      </c>
      <c r="F10012" s="225" t="s">
        <v>6946</v>
      </c>
    </row>
    <row r="10013" spans="2:6" ht="17.25" thickBot="1">
      <c r="B10013" s="226">
        <v>46182</v>
      </c>
      <c r="C10013" s="227">
        <v>0.73229166666666667</v>
      </c>
      <c r="D10013" s="228">
        <v>10</v>
      </c>
      <c r="E10013" s="225" t="s">
        <v>8717</v>
      </c>
      <c r="F10013" s="225" t="s">
        <v>6946</v>
      </c>
    </row>
    <row r="10014" spans="2:6" ht="17.25" thickBot="1">
      <c r="B10014" s="226">
        <v>46182</v>
      </c>
      <c r="C10014" s="227">
        <v>0.79805555555555552</v>
      </c>
      <c r="D10014" s="228">
        <v>10</v>
      </c>
      <c r="E10014" s="225" t="s">
        <v>132</v>
      </c>
      <c r="F10014" s="225" t="s">
        <v>6946</v>
      </c>
    </row>
    <row r="10015" spans="2:6" ht="17.25" thickBot="1">
      <c r="B10015" s="226">
        <v>46182</v>
      </c>
      <c r="C10015" s="227">
        <v>0.91332175925925929</v>
      </c>
      <c r="D10015" s="228">
        <v>10</v>
      </c>
      <c r="E10015" s="225" t="s">
        <v>8738</v>
      </c>
      <c r="F10015" s="225" t="s">
        <v>6946</v>
      </c>
    </row>
    <row r="10016" spans="2:6" ht="17.25" thickBot="1">
      <c r="B10016" s="226">
        <v>46182</v>
      </c>
      <c r="C10016" s="227">
        <v>0.67688657407407404</v>
      </c>
      <c r="D10016" s="228">
        <v>9</v>
      </c>
      <c r="E10016" s="225" t="s">
        <v>8748</v>
      </c>
      <c r="F10016" s="225" t="s">
        <v>6946</v>
      </c>
    </row>
    <row r="10017" spans="2:6" ht="17.25" thickBot="1">
      <c r="B10017" s="226">
        <v>46182</v>
      </c>
      <c r="C10017" s="227">
        <v>0.68349537037037045</v>
      </c>
      <c r="D10017" s="228">
        <v>10</v>
      </c>
      <c r="E10017" s="225" t="s">
        <v>8744</v>
      </c>
      <c r="F10017" s="225" t="s">
        <v>6946</v>
      </c>
    </row>
    <row r="10018" spans="2:6" ht="17.25" thickBot="1">
      <c r="B10018" s="226">
        <v>46182</v>
      </c>
      <c r="C10018" s="227">
        <v>0.46910879629629632</v>
      </c>
      <c r="D10018" s="228">
        <v>10</v>
      </c>
      <c r="E10018" s="225" t="s">
        <v>448</v>
      </c>
      <c r="F10018" s="225" t="s">
        <v>6946</v>
      </c>
    </row>
    <row r="10019" spans="2:6" ht="17.25" thickBot="1">
      <c r="B10019" s="226">
        <v>46182</v>
      </c>
      <c r="C10019" s="227">
        <v>0.42842592592592593</v>
      </c>
      <c r="D10019" s="228">
        <v>10</v>
      </c>
      <c r="E10019" s="225" t="s">
        <v>8750</v>
      </c>
      <c r="F10019" s="225" t="s">
        <v>6946</v>
      </c>
    </row>
    <row r="10020" spans="2:6" ht="17.25" thickBot="1">
      <c r="B10020" s="226">
        <v>46182</v>
      </c>
      <c r="C10020" s="227">
        <v>0.63284722222222223</v>
      </c>
      <c r="D10020" s="228">
        <v>10</v>
      </c>
      <c r="E10020" s="225" t="s">
        <v>5677</v>
      </c>
      <c r="F10020" s="225" t="s">
        <v>6946</v>
      </c>
    </row>
    <row r="10021" spans="2:6" ht="17.25" thickBot="1">
      <c r="B10021" s="226">
        <v>46182</v>
      </c>
      <c r="C10021" s="227">
        <v>0.69093749999999998</v>
      </c>
      <c r="D10021" s="228">
        <v>10</v>
      </c>
      <c r="E10021" s="225" t="s">
        <v>8742</v>
      </c>
      <c r="F10021" s="225" t="s">
        <v>6946</v>
      </c>
    </row>
    <row r="10022" spans="2:6" ht="17.25" thickBot="1">
      <c r="B10022" s="226">
        <v>46182</v>
      </c>
      <c r="C10022" s="227">
        <v>0.62289351851851849</v>
      </c>
      <c r="D10022" s="228">
        <v>10</v>
      </c>
      <c r="E10022" s="225" t="s">
        <v>8737</v>
      </c>
      <c r="F10022" s="225" t="s">
        <v>6946</v>
      </c>
    </row>
    <row r="10023" spans="2:6" ht="17.25" thickBot="1">
      <c r="B10023" s="226">
        <v>46182</v>
      </c>
      <c r="C10023" s="227">
        <v>0.68119212962962961</v>
      </c>
      <c r="D10023" s="228">
        <v>10</v>
      </c>
      <c r="E10023" s="225" t="s">
        <v>8723</v>
      </c>
      <c r="F10023" s="225" t="s">
        <v>6946</v>
      </c>
    </row>
    <row r="10024" spans="2:6" ht="17.25" thickBot="1">
      <c r="B10024" s="226">
        <v>46182</v>
      </c>
      <c r="C10024" s="227">
        <v>0.67929398148148146</v>
      </c>
      <c r="D10024" s="228">
        <v>10</v>
      </c>
      <c r="E10024" s="225" t="s">
        <v>8733</v>
      </c>
      <c r="F10024" s="225" t="s">
        <v>6946</v>
      </c>
    </row>
    <row r="10025" spans="2:6" ht="17.25" thickBot="1">
      <c r="B10025" s="226">
        <v>46182</v>
      </c>
      <c r="C10025" s="227">
        <v>0.56986111111111104</v>
      </c>
      <c r="D10025" s="228">
        <v>10</v>
      </c>
      <c r="E10025" s="225" t="s">
        <v>8725</v>
      </c>
      <c r="F10025" s="225" t="s">
        <v>6946</v>
      </c>
    </row>
    <row r="10026" spans="2:6" ht="17.25" thickBot="1">
      <c r="B10026" s="226">
        <v>46182</v>
      </c>
      <c r="C10026" s="227">
        <v>0.65209490740740739</v>
      </c>
      <c r="D10026" s="228">
        <v>10</v>
      </c>
      <c r="E10026" s="225" t="s">
        <v>8724</v>
      </c>
      <c r="F10026" s="225" t="s">
        <v>6946</v>
      </c>
    </row>
    <row r="10027" spans="2:6" ht="17.25" thickBot="1">
      <c r="B10027" s="226">
        <v>46182</v>
      </c>
      <c r="C10027" s="227">
        <v>0.56848379629629631</v>
      </c>
      <c r="D10027" s="228">
        <v>10</v>
      </c>
      <c r="E10027" s="225" t="s">
        <v>8718</v>
      </c>
      <c r="F10027" s="225" t="s">
        <v>6946</v>
      </c>
    </row>
    <row r="10028" spans="2:6" ht="17.25" thickBot="1">
      <c r="B10028" s="226">
        <v>46182</v>
      </c>
      <c r="C10028" s="227">
        <v>0.43862268518518516</v>
      </c>
      <c r="D10028" s="228">
        <v>10</v>
      </c>
      <c r="E10028" s="225" t="s">
        <v>8741</v>
      </c>
      <c r="F10028" s="225" t="s">
        <v>6946</v>
      </c>
    </row>
    <row r="10029" spans="2:6" ht="26.25" thickBot="1">
      <c r="B10029" s="226">
        <v>46182</v>
      </c>
      <c r="C10029" s="227">
        <v>0.50885416666666672</v>
      </c>
      <c r="D10029" s="228">
        <v>10</v>
      </c>
      <c r="E10029" s="225" t="s">
        <v>8736</v>
      </c>
      <c r="F10029" s="225" t="s">
        <v>6946</v>
      </c>
    </row>
    <row r="10030" spans="2:6" ht="17.25" thickBot="1">
      <c r="B10030" s="226">
        <v>46182</v>
      </c>
      <c r="C10030" s="227">
        <v>0.62519675925925922</v>
      </c>
      <c r="D10030" s="228">
        <v>9</v>
      </c>
      <c r="E10030" s="225" t="s">
        <v>741</v>
      </c>
      <c r="F10030" s="225" t="s">
        <v>6946</v>
      </c>
    </row>
    <row r="10031" spans="2:6" ht="17.25" thickBot="1">
      <c r="B10031" s="226">
        <v>46182</v>
      </c>
      <c r="C10031" s="227">
        <v>0.61687499999999995</v>
      </c>
      <c r="D10031" s="228">
        <v>10</v>
      </c>
      <c r="E10031" s="225" t="s">
        <v>8720</v>
      </c>
      <c r="F10031" s="225" t="s">
        <v>6946</v>
      </c>
    </row>
    <row r="10032" spans="2:6" ht="17.25" thickBot="1">
      <c r="B10032" s="226">
        <v>46182</v>
      </c>
      <c r="C10032" s="227">
        <v>0.45494212962962965</v>
      </c>
      <c r="D10032" s="228">
        <v>10</v>
      </c>
      <c r="E10032" s="225" t="s">
        <v>8732</v>
      </c>
      <c r="F10032" s="225" t="s">
        <v>6946</v>
      </c>
    </row>
    <row r="10033" spans="2:6" ht="17.25" thickBot="1">
      <c r="B10033" s="226">
        <v>46182</v>
      </c>
      <c r="C10033" s="227">
        <v>0.40415509259259258</v>
      </c>
      <c r="D10033" s="228">
        <v>10</v>
      </c>
      <c r="E10033" s="225" t="s">
        <v>8735</v>
      </c>
      <c r="F10033" s="225" t="s">
        <v>6946</v>
      </c>
    </row>
    <row r="10034" spans="2:6" ht="17.25" thickBot="1">
      <c r="B10034" s="226">
        <v>46182</v>
      </c>
      <c r="C10034" s="227">
        <v>0.47940972222222222</v>
      </c>
      <c r="D10034" s="228">
        <v>10</v>
      </c>
      <c r="E10034" s="225" t="s">
        <v>8728</v>
      </c>
      <c r="F10034" s="225" t="s">
        <v>6946</v>
      </c>
    </row>
    <row r="10035" spans="2:6" ht="17.25" thickBot="1">
      <c r="B10035" s="226">
        <v>46182</v>
      </c>
      <c r="C10035" s="227">
        <v>0.45951388888888894</v>
      </c>
      <c r="D10035" s="228">
        <v>10</v>
      </c>
      <c r="E10035" s="225" t="s">
        <v>8727</v>
      </c>
      <c r="F10035" s="225" t="s">
        <v>6946</v>
      </c>
    </row>
    <row r="10036" spans="2:6" ht="17.25" thickBot="1">
      <c r="B10036" s="226">
        <v>46182</v>
      </c>
      <c r="C10036" s="227">
        <v>0.44224537037037037</v>
      </c>
      <c r="D10036" s="228">
        <v>10</v>
      </c>
      <c r="E10036" s="225" t="s">
        <v>8734</v>
      </c>
      <c r="F10036" s="225" t="s">
        <v>6946</v>
      </c>
    </row>
    <row r="10037" spans="2:6" ht="17.25" thickBot="1">
      <c r="B10037" s="226">
        <v>46182</v>
      </c>
      <c r="C10037" s="227">
        <v>0.44300925925925921</v>
      </c>
      <c r="D10037" s="228">
        <v>10</v>
      </c>
      <c r="E10037" s="225" t="s">
        <v>8719</v>
      </c>
      <c r="F10037" s="225" t="s">
        <v>6946</v>
      </c>
    </row>
    <row r="10038" spans="2:6" ht="17.25" thickBot="1">
      <c r="B10038" s="226">
        <v>46182</v>
      </c>
      <c r="C10038" s="227">
        <v>0.48101851851851851</v>
      </c>
      <c r="D10038" s="228">
        <v>10</v>
      </c>
      <c r="E10038" s="225" t="s">
        <v>479</v>
      </c>
      <c r="F10038" s="225" t="s">
        <v>6946</v>
      </c>
    </row>
    <row r="10039" spans="2:6" ht="17.25" thickBot="1">
      <c r="B10039" s="226">
        <v>46182</v>
      </c>
      <c r="C10039" s="227">
        <v>0.60547453703703702</v>
      </c>
      <c r="D10039" s="228">
        <v>10</v>
      </c>
      <c r="E10039" s="225" t="s">
        <v>2733</v>
      </c>
      <c r="F10039" s="225" t="s">
        <v>6946</v>
      </c>
    </row>
    <row r="10040" spans="2:6" ht="17.25" thickBot="1">
      <c r="B10040" s="226">
        <v>46182</v>
      </c>
      <c r="C10040" s="227">
        <v>0.41002314814814816</v>
      </c>
      <c r="D10040" s="228">
        <v>10</v>
      </c>
      <c r="E10040" s="225" t="s">
        <v>8739</v>
      </c>
      <c r="F10040" s="225" t="s">
        <v>6946</v>
      </c>
    </row>
    <row r="10041" spans="2:6" ht="17.25" thickBot="1">
      <c r="B10041" s="226">
        <v>46182</v>
      </c>
      <c r="C10041" s="227">
        <v>0.47207175925925932</v>
      </c>
      <c r="D10041" s="228">
        <v>10</v>
      </c>
      <c r="E10041" s="225" t="s">
        <v>201</v>
      </c>
      <c r="F10041" s="225" t="s">
        <v>6946</v>
      </c>
    </row>
    <row r="10042" spans="2:6" ht="26.25" thickBot="1">
      <c r="B10042" s="226">
        <v>46181</v>
      </c>
      <c r="C10042" s="227">
        <v>0.90202546296296304</v>
      </c>
      <c r="D10042" s="228">
        <v>10</v>
      </c>
      <c r="E10042" s="225" t="s">
        <v>8793</v>
      </c>
      <c r="F10042" s="225" t="s">
        <v>6946</v>
      </c>
    </row>
    <row r="10043" spans="2:6" ht="17.25" thickBot="1">
      <c r="B10043" s="226">
        <v>46181</v>
      </c>
      <c r="C10043" s="227">
        <v>0.90355324074074073</v>
      </c>
      <c r="D10043" s="228">
        <v>10</v>
      </c>
      <c r="E10043" s="225" t="s">
        <v>8752</v>
      </c>
      <c r="F10043" s="225" t="s">
        <v>6946</v>
      </c>
    </row>
    <row r="10044" spans="2:6" ht="17.25" thickBot="1">
      <c r="B10044" s="226">
        <v>46181</v>
      </c>
      <c r="C10044" s="227">
        <v>0.76812499999999995</v>
      </c>
      <c r="D10044" s="228">
        <v>10</v>
      </c>
      <c r="E10044" s="225" t="s">
        <v>294</v>
      </c>
      <c r="F10044" s="225" t="s">
        <v>6946</v>
      </c>
    </row>
    <row r="10045" spans="2:6" ht="17.25" thickBot="1">
      <c r="B10045" s="226">
        <v>46181</v>
      </c>
      <c r="C10045" s="227">
        <v>0.89407407407407413</v>
      </c>
      <c r="D10045" s="228">
        <v>10</v>
      </c>
      <c r="E10045" s="225" t="s">
        <v>8769</v>
      </c>
      <c r="F10045" s="225" t="s">
        <v>6946</v>
      </c>
    </row>
    <row r="10046" spans="2:6" ht="17.25" thickBot="1">
      <c r="B10046" s="226">
        <v>46181</v>
      </c>
      <c r="C10046" s="227">
        <v>0.75744212962962953</v>
      </c>
      <c r="D10046" s="228">
        <v>10</v>
      </c>
      <c r="E10046" s="225" t="s">
        <v>8796</v>
      </c>
      <c r="F10046" s="225" t="s">
        <v>6946</v>
      </c>
    </row>
    <row r="10047" spans="2:6" ht="17.25" thickBot="1">
      <c r="B10047" s="226">
        <v>46181</v>
      </c>
      <c r="C10047" s="227">
        <v>0.75571759259259252</v>
      </c>
      <c r="D10047" s="228">
        <v>10</v>
      </c>
      <c r="E10047" s="225" t="s">
        <v>198</v>
      </c>
      <c r="F10047" s="225" t="s">
        <v>6946</v>
      </c>
    </row>
    <row r="10048" spans="2:6" ht="17.25" thickBot="1">
      <c r="B10048" s="226">
        <v>46181</v>
      </c>
      <c r="C10048" s="227">
        <v>0.91651620370370368</v>
      </c>
      <c r="D10048" s="228">
        <v>10</v>
      </c>
      <c r="E10048" s="225" t="s">
        <v>8792</v>
      </c>
      <c r="F10048" s="225" t="s">
        <v>6946</v>
      </c>
    </row>
    <row r="10049" spans="2:6" ht="17.25" thickBot="1">
      <c r="B10049" s="226">
        <v>46181</v>
      </c>
      <c r="C10049" s="227">
        <v>0.91260416666666666</v>
      </c>
      <c r="D10049" s="228">
        <v>10</v>
      </c>
      <c r="E10049" s="225" t="s">
        <v>8791</v>
      </c>
      <c r="F10049" s="225" t="s">
        <v>6946</v>
      </c>
    </row>
    <row r="10050" spans="2:6" ht="17.25" thickBot="1">
      <c r="B10050" s="226">
        <v>46181</v>
      </c>
      <c r="C10050" s="227">
        <v>0.73666666666666669</v>
      </c>
      <c r="D10050" s="228">
        <v>10</v>
      </c>
      <c r="E10050" s="225" t="s">
        <v>8779</v>
      </c>
      <c r="F10050" s="225" t="s">
        <v>6946</v>
      </c>
    </row>
    <row r="10051" spans="2:6" ht="17.25" thickBot="1">
      <c r="B10051" s="226">
        <v>46181</v>
      </c>
      <c r="C10051" s="227">
        <v>0.88218750000000001</v>
      </c>
      <c r="D10051" s="228">
        <v>10</v>
      </c>
      <c r="E10051" s="225" t="s">
        <v>8759</v>
      </c>
      <c r="F10051" s="225" t="s">
        <v>6946</v>
      </c>
    </row>
    <row r="10052" spans="2:6" ht="17.25" thickBot="1">
      <c r="B10052" s="226">
        <v>46181</v>
      </c>
      <c r="C10052" s="227">
        <v>0.87126157407407412</v>
      </c>
      <c r="D10052" s="228">
        <v>10</v>
      </c>
      <c r="E10052" s="225" t="s">
        <v>8777</v>
      </c>
      <c r="F10052" s="225" t="s">
        <v>6946</v>
      </c>
    </row>
    <row r="10053" spans="2:6" ht="17.25" thickBot="1">
      <c r="B10053" s="226">
        <v>46181</v>
      </c>
      <c r="C10053" s="227">
        <v>0.42244212962962963</v>
      </c>
      <c r="D10053" s="228">
        <v>10</v>
      </c>
      <c r="E10053" s="225" t="s">
        <v>8775</v>
      </c>
      <c r="F10053" s="225" t="s">
        <v>6946</v>
      </c>
    </row>
    <row r="10054" spans="2:6" ht="17.25" thickBot="1">
      <c r="B10054" s="226">
        <v>46181</v>
      </c>
      <c r="C10054" s="227">
        <v>0.48321759259259256</v>
      </c>
      <c r="D10054" s="228">
        <v>10</v>
      </c>
      <c r="E10054" s="225" t="s">
        <v>8780</v>
      </c>
      <c r="F10054" s="225" t="s">
        <v>6946</v>
      </c>
    </row>
    <row r="10055" spans="2:6" ht="17.25" thickBot="1">
      <c r="B10055" s="226">
        <v>46181</v>
      </c>
      <c r="C10055" s="227">
        <v>0.82708333333333339</v>
      </c>
      <c r="D10055" s="228">
        <v>10</v>
      </c>
      <c r="E10055" s="225" t="s">
        <v>8794</v>
      </c>
      <c r="F10055" s="225" t="s">
        <v>6946</v>
      </c>
    </row>
    <row r="10056" spans="2:6" ht="17.25" thickBot="1">
      <c r="B10056" s="226">
        <v>46181</v>
      </c>
      <c r="C10056" s="227">
        <v>0.53686342592592595</v>
      </c>
      <c r="D10056" s="228">
        <v>10</v>
      </c>
      <c r="E10056" s="225" t="s">
        <v>8788</v>
      </c>
      <c r="F10056" s="225" t="s">
        <v>6946</v>
      </c>
    </row>
    <row r="10057" spans="2:6" ht="17.25" thickBot="1">
      <c r="B10057" s="226">
        <v>46181</v>
      </c>
      <c r="C10057" s="227">
        <v>0.76657407407407396</v>
      </c>
      <c r="D10057" s="228">
        <v>10</v>
      </c>
      <c r="E10057" s="225" t="s">
        <v>8767</v>
      </c>
      <c r="F10057" s="225" t="s">
        <v>6946</v>
      </c>
    </row>
    <row r="10058" spans="2:6" ht="17.25" thickBot="1">
      <c r="B10058" s="226">
        <v>46181</v>
      </c>
      <c r="C10058" s="227">
        <v>0.72391203703703699</v>
      </c>
      <c r="D10058" s="228">
        <v>10</v>
      </c>
      <c r="E10058" s="225" t="s">
        <v>8768</v>
      </c>
      <c r="F10058" s="225" t="s">
        <v>6946</v>
      </c>
    </row>
    <row r="10059" spans="2:6" ht="17.25" thickBot="1">
      <c r="B10059" s="226">
        <v>46181</v>
      </c>
      <c r="C10059" s="227">
        <v>0.74209490740740736</v>
      </c>
      <c r="D10059" s="228">
        <v>10</v>
      </c>
      <c r="E10059" s="225" t="s">
        <v>8778</v>
      </c>
      <c r="F10059" s="225" t="s">
        <v>6946</v>
      </c>
    </row>
    <row r="10060" spans="2:6" ht="17.25" thickBot="1">
      <c r="B10060" s="226">
        <v>46181</v>
      </c>
      <c r="C10060" s="227">
        <v>0.89820601851851845</v>
      </c>
      <c r="D10060" s="228">
        <v>10</v>
      </c>
      <c r="E10060" s="225" t="s">
        <v>8783</v>
      </c>
      <c r="F10060" s="225" t="s">
        <v>6946</v>
      </c>
    </row>
    <row r="10061" spans="2:6" ht="17.25" thickBot="1">
      <c r="B10061" s="226">
        <v>46181</v>
      </c>
      <c r="C10061" s="227">
        <v>0.7131249999999999</v>
      </c>
      <c r="D10061" s="228">
        <v>10</v>
      </c>
      <c r="E10061" s="225" t="s">
        <v>8762</v>
      </c>
      <c r="F10061" s="225" t="s">
        <v>6946</v>
      </c>
    </row>
    <row r="10062" spans="2:6" ht="17.25" thickBot="1">
      <c r="B10062" s="226">
        <v>46181</v>
      </c>
      <c r="C10062" s="227">
        <v>0.81981481481481477</v>
      </c>
      <c r="D10062" s="228">
        <v>10</v>
      </c>
      <c r="E10062" s="225" t="s">
        <v>8795</v>
      </c>
      <c r="F10062" s="225" t="s">
        <v>6946</v>
      </c>
    </row>
    <row r="10063" spans="2:6" ht="17.25" thickBot="1">
      <c r="B10063" s="226">
        <v>46181</v>
      </c>
      <c r="C10063" s="227">
        <v>0.66984953703703709</v>
      </c>
      <c r="D10063" s="228">
        <v>10</v>
      </c>
      <c r="E10063" s="225" t="s">
        <v>8798</v>
      </c>
      <c r="F10063" s="225" t="s">
        <v>6946</v>
      </c>
    </row>
    <row r="10064" spans="2:6" ht="17.25" thickBot="1">
      <c r="B10064" s="226">
        <v>46181</v>
      </c>
      <c r="C10064" s="227">
        <v>0.6931250000000001</v>
      </c>
      <c r="D10064" s="228">
        <v>10</v>
      </c>
      <c r="E10064" s="225" t="s">
        <v>8760</v>
      </c>
      <c r="F10064" s="225" t="s">
        <v>6946</v>
      </c>
    </row>
    <row r="10065" spans="2:6" ht="17.25" thickBot="1">
      <c r="B10065" s="226">
        <v>46181</v>
      </c>
      <c r="C10065" s="227">
        <v>0.81174768518518514</v>
      </c>
      <c r="D10065" s="228">
        <v>10</v>
      </c>
      <c r="E10065" s="225" t="s">
        <v>1678</v>
      </c>
      <c r="F10065" s="225" t="s">
        <v>6946</v>
      </c>
    </row>
    <row r="10066" spans="2:6" ht="17.25" thickBot="1">
      <c r="B10066" s="226">
        <v>46181</v>
      </c>
      <c r="C10066" s="227">
        <v>0.64943287037037034</v>
      </c>
      <c r="D10066" s="228">
        <v>10</v>
      </c>
      <c r="E10066" s="225" t="s">
        <v>8800</v>
      </c>
      <c r="F10066" s="225" t="s">
        <v>6946</v>
      </c>
    </row>
    <row r="10067" spans="2:6" ht="17.25" thickBot="1">
      <c r="B10067" s="226">
        <v>46181</v>
      </c>
      <c r="C10067" s="227">
        <v>0.62893518518518521</v>
      </c>
      <c r="D10067" s="228">
        <v>10</v>
      </c>
      <c r="E10067" s="225" t="s">
        <v>8754</v>
      </c>
      <c r="F10067" s="225" t="s">
        <v>6946</v>
      </c>
    </row>
    <row r="10068" spans="2:6" ht="17.25" thickBot="1">
      <c r="B10068" s="226">
        <v>46181</v>
      </c>
      <c r="C10068" s="227">
        <v>0.70956018518518515</v>
      </c>
      <c r="D10068" s="228">
        <v>10</v>
      </c>
      <c r="E10068" s="225" t="s">
        <v>8797</v>
      </c>
      <c r="F10068" s="225" t="s">
        <v>6946</v>
      </c>
    </row>
    <row r="10069" spans="2:6" ht="17.25" thickBot="1">
      <c r="B10069" s="226">
        <v>46181</v>
      </c>
      <c r="C10069" s="227">
        <v>0.69770833333333337</v>
      </c>
      <c r="D10069" s="228">
        <v>10</v>
      </c>
      <c r="E10069" s="225" t="s">
        <v>8751</v>
      </c>
      <c r="F10069" s="225" t="s">
        <v>6946</v>
      </c>
    </row>
    <row r="10070" spans="2:6" ht="17.25" thickBot="1">
      <c r="B10070" s="226">
        <v>46181</v>
      </c>
      <c r="C10070" s="227">
        <v>0.49903935185185189</v>
      </c>
      <c r="D10070" s="228">
        <v>10</v>
      </c>
      <c r="E10070" s="225" t="s">
        <v>8785</v>
      </c>
      <c r="F10070" s="225" t="s">
        <v>6946</v>
      </c>
    </row>
    <row r="10071" spans="2:6" ht="17.25" thickBot="1">
      <c r="B10071" s="226">
        <v>46181</v>
      </c>
      <c r="C10071" s="227">
        <v>0.65469907407407402</v>
      </c>
      <c r="D10071" s="228">
        <v>10</v>
      </c>
      <c r="E10071" s="225" t="s">
        <v>8790</v>
      </c>
      <c r="F10071" s="225" t="s">
        <v>6946</v>
      </c>
    </row>
    <row r="10072" spans="2:6" ht="17.25" thickBot="1">
      <c r="B10072" s="226">
        <v>46181</v>
      </c>
      <c r="C10072" s="227">
        <v>0.7475925925925927</v>
      </c>
      <c r="D10072" s="228">
        <v>10</v>
      </c>
      <c r="E10072" s="225" t="s">
        <v>8782</v>
      </c>
      <c r="F10072" s="225" t="s">
        <v>6946</v>
      </c>
    </row>
    <row r="10073" spans="2:6" ht="17.25" thickBot="1">
      <c r="B10073" s="226">
        <v>46181</v>
      </c>
      <c r="C10073" s="227">
        <v>0.46832175925925923</v>
      </c>
      <c r="D10073" s="228">
        <v>10</v>
      </c>
      <c r="E10073" s="225" t="s">
        <v>8763</v>
      </c>
      <c r="F10073" s="225" t="s">
        <v>6946</v>
      </c>
    </row>
    <row r="10074" spans="2:6" ht="17.25" thickBot="1">
      <c r="B10074" s="226">
        <v>46181</v>
      </c>
      <c r="C10074" s="227">
        <v>0.70535879629629628</v>
      </c>
      <c r="D10074" s="228">
        <v>10</v>
      </c>
      <c r="E10074" s="225" t="s">
        <v>8758</v>
      </c>
      <c r="F10074" s="225" t="s">
        <v>6946</v>
      </c>
    </row>
    <row r="10075" spans="2:6" ht="17.25" thickBot="1">
      <c r="B10075" s="226">
        <v>46181</v>
      </c>
      <c r="C10075" s="227">
        <v>0.47355324074074073</v>
      </c>
      <c r="D10075" s="228">
        <v>10</v>
      </c>
      <c r="E10075" s="225" t="s">
        <v>8781</v>
      </c>
      <c r="F10075" s="225" t="s">
        <v>6946</v>
      </c>
    </row>
    <row r="10076" spans="2:6" ht="17.25" thickBot="1">
      <c r="B10076" s="226">
        <v>46181</v>
      </c>
      <c r="C10076" s="227">
        <v>0.56083333333333341</v>
      </c>
      <c r="D10076" s="228">
        <v>10</v>
      </c>
      <c r="E10076" s="225" t="s">
        <v>8773</v>
      </c>
      <c r="F10076" s="225" t="s">
        <v>6946</v>
      </c>
    </row>
    <row r="10077" spans="2:6" ht="17.25" thickBot="1">
      <c r="B10077" s="226">
        <v>46181</v>
      </c>
      <c r="C10077" s="227">
        <v>0.50557870370370372</v>
      </c>
      <c r="D10077" s="228">
        <v>10</v>
      </c>
      <c r="E10077" s="225" t="s">
        <v>8789</v>
      </c>
      <c r="F10077" s="225" t="s">
        <v>6946</v>
      </c>
    </row>
    <row r="10078" spans="2:6" ht="17.25" thickBot="1">
      <c r="B10078" s="226">
        <v>46181</v>
      </c>
      <c r="C10078" s="227">
        <v>0.66771990740740739</v>
      </c>
      <c r="D10078" s="228">
        <v>10</v>
      </c>
      <c r="E10078" s="225" t="s">
        <v>8753</v>
      </c>
      <c r="F10078" s="225" t="s">
        <v>6946</v>
      </c>
    </row>
    <row r="10079" spans="2:6" ht="17.25" thickBot="1">
      <c r="B10079" s="226">
        <v>46181</v>
      </c>
      <c r="C10079" s="227">
        <v>0.57156249999999997</v>
      </c>
      <c r="D10079" s="228">
        <v>10</v>
      </c>
      <c r="E10079" s="225" t="s">
        <v>8766</v>
      </c>
      <c r="F10079" s="225" t="s">
        <v>6946</v>
      </c>
    </row>
    <row r="10080" spans="2:6" ht="26.25" thickBot="1">
      <c r="B10080" s="226">
        <v>46181</v>
      </c>
      <c r="C10080" s="227">
        <v>0.57284722222222217</v>
      </c>
      <c r="D10080" s="228">
        <v>10</v>
      </c>
      <c r="E10080" s="225" t="s">
        <v>8801</v>
      </c>
      <c r="F10080" s="225" t="s">
        <v>6946</v>
      </c>
    </row>
    <row r="10081" spans="2:6" ht="17.25" thickBot="1">
      <c r="B10081" s="226">
        <v>46181</v>
      </c>
      <c r="C10081" s="227">
        <v>0.44854166666666667</v>
      </c>
      <c r="D10081" s="228">
        <v>10</v>
      </c>
      <c r="E10081" s="225" t="s">
        <v>8804</v>
      </c>
      <c r="F10081" s="225" t="s">
        <v>6946</v>
      </c>
    </row>
    <row r="10082" spans="2:6" ht="26.25" thickBot="1">
      <c r="B10082" s="226">
        <v>46181</v>
      </c>
      <c r="C10082" s="227">
        <v>0.61913194444444442</v>
      </c>
      <c r="D10082" s="228">
        <v>10</v>
      </c>
      <c r="E10082" s="225" t="s">
        <v>8772</v>
      </c>
      <c r="F10082" s="225" t="s">
        <v>6946</v>
      </c>
    </row>
    <row r="10083" spans="2:6" ht="17.25" thickBot="1">
      <c r="B10083" s="226">
        <v>46181</v>
      </c>
      <c r="C10083" s="227">
        <v>0.58083333333333331</v>
      </c>
      <c r="D10083" s="228">
        <v>10</v>
      </c>
      <c r="E10083" s="225" t="s">
        <v>8461</v>
      </c>
      <c r="F10083" s="225" t="s">
        <v>6946</v>
      </c>
    </row>
    <row r="10084" spans="2:6" ht="17.25" thickBot="1">
      <c r="B10084" s="226">
        <v>46181</v>
      </c>
      <c r="C10084" s="227">
        <v>0.44542824074074078</v>
      </c>
      <c r="D10084" s="228">
        <v>10</v>
      </c>
      <c r="E10084" s="225" t="s">
        <v>8771</v>
      </c>
      <c r="F10084" s="225" t="s">
        <v>6946</v>
      </c>
    </row>
    <row r="10085" spans="2:6" ht="17.25" thickBot="1">
      <c r="B10085" s="226">
        <v>46181</v>
      </c>
      <c r="C10085" s="227">
        <v>0.4904513888888889</v>
      </c>
      <c r="D10085" s="228">
        <v>10</v>
      </c>
      <c r="E10085" s="225" t="s">
        <v>8756</v>
      </c>
      <c r="F10085" s="225" t="s">
        <v>6946</v>
      </c>
    </row>
    <row r="10086" spans="2:6" ht="17.25" thickBot="1">
      <c r="B10086" s="226">
        <v>46181</v>
      </c>
      <c r="C10086" s="227">
        <v>0.46658564814814812</v>
      </c>
      <c r="D10086" s="228">
        <v>10</v>
      </c>
      <c r="E10086" s="225" t="s">
        <v>8803</v>
      </c>
      <c r="F10086" s="225" t="s">
        <v>6946</v>
      </c>
    </row>
    <row r="10087" spans="2:6" ht="17.25" thickBot="1">
      <c r="B10087" s="226">
        <v>46181</v>
      </c>
      <c r="C10087" s="227">
        <v>0.43410879629629634</v>
      </c>
      <c r="D10087" s="228">
        <v>10</v>
      </c>
      <c r="E10087" s="225" t="s">
        <v>8764</v>
      </c>
      <c r="F10087" s="225" t="s">
        <v>6946</v>
      </c>
    </row>
    <row r="10088" spans="2:6" ht="26.25" thickBot="1">
      <c r="B10088" s="226">
        <v>46181</v>
      </c>
      <c r="C10088" s="227">
        <v>0.55686342592592586</v>
      </c>
      <c r="D10088" s="228">
        <v>10</v>
      </c>
      <c r="E10088" s="225" t="s">
        <v>8802</v>
      </c>
      <c r="F10088" s="225" t="s">
        <v>6946</v>
      </c>
    </row>
    <row r="10089" spans="2:6" ht="17.25" thickBot="1">
      <c r="B10089" s="226">
        <v>46181</v>
      </c>
      <c r="C10089" s="227">
        <v>0.41585648148148152</v>
      </c>
      <c r="D10089" s="228">
        <v>10</v>
      </c>
      <c r="E10089" s="225" t="s">
        <v>8765</v>
      </c>
      <c r="F10089" s="225" t="s">
        <v>6946</v>
      </c>
    </row>
    <row r="10090" spans="2:6" ht="17.25" thickBot="1">
      <c r="B10090" s="226">
        <v>46181</v>
      </c>
      <c r="C10090" s="227">
        <v>0.67061342592592599</v>
      </c>
      <c r="D10090" s="228">
        <v>10</v>
      </c>
      <c r="E10090" s="225" t="s">
        <v>8799</v>
      </c>
      <c r="F10090" s="225" t="s">
        <v>6946</v>
      </c>
    </row>
    <row r="10091" spans="2:6" ht="17.25" thickBot="1">
      <c r="B10091" s="226">
        <v>46181</v>
      </c>
      <c r="C10091" s="227">
        <v>0.58829861111111115</v>
      </c>
      <c r="D10091" s="228">
        <v>10</v>
      </c>
      <c r="E10091" s="225" t="s">
        <v>8755</v>
      </c>
      <c r="F10091" s="225" t="s">
        <v>6946</v>
      </c>
    </row>
    <row r="10092" spans="2:6" ht="26.25" thickBot="1">
      <c r="B10092" s="226">
        <v>46181</v>
      </c>
      <c r="C10092" s="227">
        <v>0.42193287037037036</v>
      </c>
      <c r="D10092" s="228">
        <v>10</v>
      </c>
      <c r="E10092" s="225" t="s">
        <v>8786</v>
      </c>
      <c r="F10092" s="225" t="s">
        <v>6946</v>
      </c>
    </row>
    <row r="10093" spans="2:6" ht="17.25" thickBot="1">
      <c r="B10093" s="226">
        <v>46181</v>
      </c>
      <c r="C10093" s="227">
        <v>0.57761574074074074</v>
      </c>
      <c r="D10093" s="228">
        <v>10</v>
      </c>
      <c r="E10093" s="225" t="s">
        <v>8787</v>
      </c>
      <c r="F10093" s="225" t="s">
        <v>6946</v>
      </c>
    </row>
    <row r="10094" spans="2:6" ht="17.25" thickBot="1">
      <c r="B10094" s="226">
        <v>46181</v>
      </c>
      <c r="C10094" s="227">
        <v>0.43515046296296295</v>
      </c>
      <c r="D10094" s="228">
        <v>7</v>
      </c>
      <c r="E10094" s="225" t="s">
        <v>8774</v>
      </c>
      <c r="F10094" s="225" t="s">
        <v>6946</v>
      </c>
    </row>
    <row r="10095" spans="2:6" ht="17.25" thickBot="1">
      <c r="B10095" s="226">
        <v>46181</v>
      </c>
      <c r="C10095" s="227">
        <v>0.55163194444444441</v>
      </c>
      <c r="D10095" s="228">
        <v>10</v>
      </c>
      <c r="E10095" s="225" t="s">
        <v>8784</v>
      </c>
      <c r="F10095" s="225" t="s">
        <v>6946</v>
      </c>
    </row>
    <row r="10096" spans="2:6" ht="17.25" thickBot="1">
      <c r="B10096" s="226">
        <v>46181</v>
      </c>
      <c r="C10096" s="227">
        <v>0.40121527777777777</v>
      </c>
      <c r="D10096" s="228">
        <v>10</v>
      </c>
      <c r="E10096" s="225" t="s">
        <v>8757</v>
      </c>
      <c r="F10096" s="225" t="s">
        <v>6946</v>
      </c>
    </row>
    <row r="10097" spans="2:6" ht="17.25" thickBot="1">
      <c r="B10097" s="226">
        <v>46181</v>
      </c>
      <c r="C10097" s="227">
        <v>0.77925925925925921</v>
      </c>
      <c r="D10097" s="228">
        <v>10</v>
      </c>
      <c r="E10097" s="225" t="s">
        <v>8776</v>
      </c>
      <c r="F10097" s="225" t="s">
        <v>6946</v>
      </c>
    </row>
    <row r="10098" spans="2:6" ht="17.25" thickBot="1">
      <c r="B10098" s="226">
        <v>46181</v>
      </c>
      <c r="C10098" s="227">
        <v>0.71936342592592595</v>
      </c>
      <c r="D10098" s="228">
        <v>10</v>
      </c>
      <c r="E10098" s="225" t="s">
        <v>8761</v>
      </c>
      <c r="F10098" s="225" t="s">
        <v>6946</v>
      </c>
    </row>
    <row r="10099" spans="2:6" ht="17.25" thickBot="1">
      <c r="B10099" s="226">
        <v>46181</v>
      </c>
      <c r="C10099" s="227">
        <v>0.40060185185185188</v>
      </c>
      <c r="D10099" s="228">
        <v>10</v>
      </c>
      <c r="E10099" s="225" t="s">
        <v>8770</v>
      </c>
      <c r="F10099" s="225" t="s">
        <v>6946</v>
      </c>
    </row>
    <row r="10100" spans="2:6" ht="17.25" thickBot="1">
      <c r="B10100" s="226">
        <v>46178</v>
      </c>
      <c r="C10100" s="227">
        <v>0.81236111111111109</v>
      </c>
      <c r="D10100" s="228">
        <v>10</v>
      </c>
      <c r="E10100" s="225" t="s">
        <v>8814</v>
      </c>
      <c r="F10100" s="225" t="s">
        <v>6946</v>
      </c>
    </row>
    <row r="10101" spans="2:6" ht="17.25" thickBot="1">
      <c r="B10101" s="226">
        <v>46178</v>
      </c>
      <c r="C10101" s="227">
        <v>0.65629629629629627</v>
      </c>
      <c r="D10101" s="228">
        <v>10</v>
      </c>
      <c r="E10101" s="225" t="s">
        <v>8818</v>
      </c>
      <c r="F10101" s="225" t="s">
        <v>6946</v>
      </c>
    </row>
    <row r="10102" spans="2:6" ht="17.25" thickBot="1">
      <c r="B10102" s="226">
        <v>46178</v>
      </c>
      <c r="C10102" s="227">
        <v>0.91123842592592597</v>
      </c>
      <c r="D10102" s="228">
        <v>10</v>
      </c>
      <c r="E10102" s="225" t="s">
        <v>8827</v>
      </c>
      <c r="F10102" s="225" t="s">
        <v>6946</v>
      </c>
    </row>
    <row r="10103" spans="2:6" ht="17.25" thickBot="1">
      <c r="B10103" s="226">
        <v>46178</v>
      </c>
      <c r="C10103" s="227">
        <v>0.69108796296296304</v>
      </c>
      <c r="D10103" s="228">
        <v>10</v>
      </c>
      <c r="E10103" s="225" t="s">
        <v>8817</v>
      </c>
      <c r="F10103" s="225" t="s">
        <v>6946</v>
      </c>
    </row>
    <row r="10104" spans="2:6" ht="17.25" thickBot="1">
      <c r="B10104" s="226">
        <v>46178</v>
      </c>
      <c r="C10104" s="227">
        <v>0.57861111111111108</v>
      </c>
      <c r="D10104" s="228">
        <v>10</v>
      </c>
      <c r="E10104" s="225" t="s">
        <v>530</v>
      </c>
      <c r="F10104" s="225" t="s">
        <v>6946</v>
      </c>
    </row>
    <row r="10105" spans="2:6" ht="17.25" thickBot="1">
      <c r="B10105" s="226">
        <v>46178</v>
      </c>
      <c r="C10105" s="227">
        <v>0.78872685185185187</v>
      </c>
      <c r="D10105" s="228">
        <v>10</v>
      </c>
      <c r="E10105" s="225" t="s">
        <v>8807</v>
      </c>
      <c r="F10105" s="225" t="s">
        <v>6946</v>
      </c>
    </row>
    <row r="10106" spans="2:6" ht="17.25" thickBot="1">
      <c r="B10106" s="226">
        <v>46178</v>
      </c>
      <c r="C10106" s="227">
        <v>0.75357638888888889</v>
      </c>
      <c r="D10106" s="228">
        <v>10</v>
      </c>
      <c r="E10106" s="225" t="s">
        <v>8822</v>
      </c>
      <c r="F10106" s="225" t="s">
        <v>6946</v>
      </c>
    </row>
    <row r="10107" spans="2:6" ht="17.25" thickBot="1">
      <c r="B10107" s="226">
        <v>46178</v>
      </c>
      <c r="C10107" s="227">
        <v>0.45710648148148153</v>
      </c>
      <c r="D10107" s="228">
        <v>10</v>
      </c>
      <c r="E10107" s="225" t="s">
        <v>8811</v>
      </c>
      <c r="F10107" s="225" t="s">
        <v>6946</v>
      </c>
    </row>
    <row r="10108" spans="2:6" ht="17.25" thickBot="1">
      <c r="B10108" s="226">
        <v>46178</v>
      </c>
      <c r="C10108" s="227">
        <v>0.66706018518518517</v>
      </c>
      <c r="D10108" s="228">
        <v>10</v>
      </c>
      <c r="E10108" s="225" t="s">
        <v>8816</v>
      </c>
      <c r="F10108" s="225" t="s">
        <v>6946</v>
      </c>
    </row>
    <row r="10109" spans="2:6" ht="17.25" thickBot="1">
      <c r="B10109" s="226">
        <v>46178</v>
      </c>
      <c r="C10109" s="227">
        <v>0.76523148148148146</v>
      </c>
      <c r="D10109" s="228">
        <v>10</v>
      </c>
      <c r="E10109" s="225" t="s">
        <v>8829</v>
      </c>
      <c r="F10109" s="225" t="s">
        <v>6946</v>
      </c>
    </row>
    <row r="10110" spans="2:6" ht="17.25" thickBot="1">
      <c r="B10110" s="226">
        <v>46178</v>
      </c>
      <c r="C10110" s="227">
        <v>0.65965277777777775</v>
      </c>
      <c r="D10110" s="228">
        <v>10</v>
      </c>
      <c r="E10110" s="225" t="s">
        <v>8808</v>
      </c>
      <c r="F10110" s="225" t="s">
        <v>6946</v>
      </c>
    </row>
    <row r="10111" spans="2:6" ht="17.25" thickBot="1">
      <c r="B10111" s="226">
        <v>46178</v>
      </c>
      <c r="C10111" s="227">
        <v>0.68920138888888882</v>
      </c>
      <c r="D10111" s="228">
        <v>10</v>
      </c>
      <c r="E10111" s="225" t="s">
        <v>8834</v>
      </c>
      <c r="F10111" s="225" t="s">
        <v>6946</v>
      </c>
    </row>
    <row r="10112" spans="2:6" ht="17.25" thickBot="1">
      <c r="B10112" s="226">
        <v>46178</v>
      </c>
      <c r="C10112" s="227">
        <v>0.46238425925925924</v>
      </c>
      <c r="D10112" s="228">
        <v>10</v>
      </c>
      <c r="E10112" s="225" t="s">
        <v>8194</v>
      </c>
      <c r="F10112" s="225" t="s">
        <v>6946</v>
      </c>
    </row>
    <row r="10113" spans="2:6" ht="17.25" thickBot="1">
      <c r="B10113" s="226">
        <v>46178</v>
      </c>
      <c r="C10113" s="227">
        <v>0.74974537037037037</v>
      </c>
      <c r="D10113" s="228">
        <v>10</v>
      </c>
      <c r="E10113" s="225" t="s">
        <v>785</v>
      </c>
      <c r="F10113" s="225" t="s">
        <v>6946</v>
      </c>
    </row>
    <row r="10114" spans="2:6" ht="17.25" thickBot="1">
      <c r="B10114" s="226">
        <v>46178</v>
      </c>
      <c r="C10114" s="227">
        <v>0.75626157407407402</v>
      </c>
      <c r="D10114" s="228">
        <v>10</v>
      </c>
      <c r="E10114" s="225" t="s">
        <v>8813</v>
      </c>
      <c r="F10114" s="225" t="s">
        <v>6946</v>
      </c>
    </row>
    <row r="10115" spans="2:6" ht="17.25" thickBot="1">
      <c r="B10115" s="226">
        <v>46178</v>
      </c>
      <c r="C10115" s="227">
        <v>0.43282407407407408</v>
      </c>
      <c r="D10115" s="228">
        <v>10</v>
      </c>
      <c r="E10115" s="225" t="s">
        <v>8815</v>
      </c>
      <c r="F10115" s="225" t="s">
        <v>6946</v>
      </c>
    </row>
    <row r="10116" spans="2:6" ht="17.25" thickBot="1">
      <c r="B10116" s="226">
        <v>46178</v>
      </c>
      <c r="C10116" s="227">
        <v>0.6154398148148148</v>
      </c>
      <c r="D10116" s="228">
        <v>10</v>
      </c>
      <c r="E10116" s="225" t="s">
        <v>8809</v>
      </c>
      <c r="F10116" s="225" t="s">
        <v>6946</v>
      </c>
    </row>
    <row r="10117" spans="2:6" ht="17.25" thickBot="1">
      <c r="B10117" s="226">
        <v>46178</v>
      </c>
      <c r="C10117" s="227">
        <v>0.86806712962962962</v>
      </c>
      <c r="D10117" s="228">
        <v>10</v>
      </c>
      <c r="E10117" s="225" t="s">
        <v>8828</v>
      </c>
      <c r="F10117" s="225" t="s">
        <v>6946</v>
      </c>
    </row>
    <row r="10118" spans="2:6" ht="17.25" thickBot="1">
      <c r="B10118" s="226">
        <v>46178</v>
      </c>
      <c r="C10118" s="227">
        <v>0.7101157407407408</v>
      </c>
      <c r="D10118" s="228">
        <v>10</v>
      </c>
      <c r="E10118" s="225" t="s">
        <v>8805</v>
      </c>
      <c r="F10118" s="225" t="s">
        <v>6946</v>
      </c>
    </row>
    <row r="10119" spans="2:6" ht="17.25" thickBot="1">
      <c r="B10119" s="226">
        <v>46178</v>
      </c>
      <c r="C10119" s="227">
        <v>0.5646296296296297</v>
      </c>
      <c r="D10119" s="228">
        <v>10</v>
      </c>
      <c r="E10119" s="225" t="s">
        <v>8825</v>
      </c>
      <c r="F10119" s="225" t="s">
        <v>6946</v>
      </c>
    </row>
    <row r="10120" spans="2:6" ht="51.75" thickBot="1">
      <c r="B10120" s="226">
        <v>46178</v>
      </c>
      <c r="C10120" s="227">
        <v>0.76591435185185175</v>
      </c>
      <c r="D10120" s="228">
        <v>1</v>
      </c>
      <c r="E10120" s="225" t="s">
        <v>8830</v>
      </c>
      <c r="F10120" s="225" t="s">
        <v>6946</v>
      </c>
    </row>
    <row r="10121" spans="2:6" ht="17.25" thickBot="1">
      <c r="B10121" s="226">
        <v>46178</v>
      </c>
      <c r="C10121" s="227">
        <v>0.59574074074074079</v>
      </c>
      <c r="D10121" s="228">
        <v>10</v>
      </c>
      <c r="E10121" s="225" t="s">
        <v>8820</v>
      </c>
      <c r="F10121" s="225" t="s">
        <v>6946</v>
      </c>
    </row>
    <row r="10122" spans="2:6" ht="17.25" thickBot="1">
      <c r="B10122" s="226">
        <v>46178</v>
      </c>
      <c r="C10122" s="227">
        <v>0.76231481481481478</v>
      </c>
      <c r="D10122" s="228">
        <v>10</v>
      </c>
      <c r="E10122" s="225" t="s">
        <v>8831</v>
      </c>
      <c r="F10122" s="225" t="s">
        <v>6946</v>
      </c>
    </row>
    <row r="10123" spans="2:6" ht="17.25" thickBot="1">
      <c r="B10123" s="226">
        <v>46178</v>
      </c>
      <c r="C10123" s="227">
        <v>0.68225694444444451</v>
      </c>
      <c r="D10123" s="228">
        <v>10</v>
      </c>
      <c r="E10123" s="225" t="s">
        <v>8806</v>
      </c>
      <c r="F10123" s="225" t="s">
        <v>6946</v>
      </c>
    </row>
    <row r="10124" spans="2:6" ht="17.25" thickBot="1">
      <c r="B10124" s="226">
        <v>46178</v>
      </c>
      <c r="C10124" s="227">
        <v>0.73884259259259266</v>
      </c>
      <c r="D10124" s="228">
        <v>10</v>
      </c>
      <c r="E10124" s="225" t="s">
        <v>8832</v>
      </c>
      <c r="F10124" s="225" t="s">
        <v>6946</v>
      </c>
    </row>
    <row r="10125" spans="2:6" ht="17.25" thickBot="1">
      <c r="B10125" s="226">
        <v>46178</v>
      </c>
      <c r="C10125" s="227">
        <v>0.58340277777777783</v>
      </c>
      <c r="D10125" s="228">
        <v>10</v>
      </c>
      <c r="E10125" s="225" t="s">
        <v>8836</v>
      </c>
      <c r="F10125" s="225" t="s">
        <v>6946</v>
      </c>
    </row>
    <row r="10126" spans="2:6" ht="17.25" thickBot="1">
      <c r="B10126" s="226">
        <v>46178</v>
      </c>
      <c r="C10126" s="227">
        <v>0.59373842592592596</v>
      </c>
      <c r="D10126" s="228">
        <v>10</v>
      </c>
      <c r="E10126" s="225" t="s">
        <v>8823</v>
      </c>
      <c r="F10126" s="225" t="s">
        <v>6946</v>
      </c>
    </row>
    <row r="10127" spans="2:6" ht="17.25" thickBot="1">
      <c r="B10127" s="226">
        <v>46178</v>
      </c>
      <c r="C10127" s="227">
        <v>0.42488425925925927</v>
      </c>
      <c r="D10127" s="228">
        <v>10</v>
      </c>
      <c r="E10127" s="225" t="s">
        <v>8812</v>
      </c>
      <c r="F10127" s="225" t="s">
        <v>6946</v>
      </c>
    </row>
    <row r="10128" spans="2:6" ht="17.25" thickBot="1">
      <c r="B10128" s="226">
        <v>46178</v>
      </c>
      <c r="C10128" s="227">
        <v>0.71269675925925924</v>
      </c>
      <c r="D10128" s="228">
        <v>10</v>
      </c>
      <c r="E10128" s="225" t="s">
        <v>8833</v>
      </c>
      <c r="F10128" s="225" t="s">
        <v>6946</v>
      </c>
    </row>
    <row r="10129" spans="2:6" ht="17.25" thickBot="1">
      <c r="B10129" s="226">
        <v>46178</v>
      </c>
      <c r="C10129" s="227">
        <v>0.59160879629629626</v>
      </c>
      <c r="D10129" s="228">
        <v>10</v>
      </c>
      <c r="E10129" s="225" t="s">
        <v>8835</v>
      </c>
      <c r="F10129" s="225" t="s">
        <v>6946</v>
      </c>
    </row>
    <row r="10130" spans="2:6" ht="26.25" thickBot="1">
      <c r="B10130" s="226">
        <v>46178</v>
      </c>
      <c r="C10130" s="227">
        <v>0.57333333333333336</v>
      </c>
      <c r="D10130" s="228">
        <v>10</v>
      </c>
      <c r="E10130" s="225" t="s">
        <v>8810</v>
      </c>
      <c r="F10130" s="225" t="s">
        <v>6946</v>
      </c>
    </row>
    <row r="10131" spans="2:6" ht="17.25" thickBot="1">
      <c r="B10131" s="226">
        <v>46178</v>
      </c>
      <c r="C10131" s="227">
        <v>0.55798611111111118</v>
      </c>
      <c r="D10131" s="228">
        <v>10</v>
      </c>
      <c r="E10131" s="225" t="s">
        <v>8821</v>
      </c>
      <c r="F10131" s="225" t="s">
        <v>6946</v>
      </c>
    </row>
    <row r="10132" spans="2:6" ht="17.25" thickBot="1">
      <c r="B10132" s="226">
        <v>46178</v>
      </c>
      <c r="C10132" s="227">
        <v>0.46658564814814812</v>
      </c>
      <c r="D10132" s="228">
        <v>10</v>
      </c>
      <c r="E10132" s="225" t="s">
        <v>8837</v>
      </c>
      <c r="F10132" s="225" t="s">
        <v>6946</v>
      </c>
    </row>
    <row r="10133" spans="2:6" ht="17.25" thickBot="1">
      <c r="B10133" s="226">
        <v>46178</v>
      </c>
      <c r="C10133" s="227">
        <v>0.4324884259259259</v>
      </c>
      <c r="D10133" s="228">
        <v>10</v>
      </c>
      <c r="E10133" s="225" t="s">
        <v>8824</v>
      </c>
      <c r="F10133" s="225" t="s">
        <v>6946</v>
      </c>
    </row>
    <row r="10134" spans="2:6" ht="17.25" thickBot="1">
      <c r="B10134" s="226">
        <v>46178</v>
      </c>
      <c r="C10134" s="227">
        <v>0.7147337962962963</v>
      </c>
      <c r="D10134" s="228">
        <v>10</v>
      </c>
      <c r="E10134" s="225" t="s">
        <v>7007</v>
      </c>
      <c r="F10134" s="225" t="s">
        <v>6946</v>
      </c>
    </row>
    <row r="10135" spans="2:6" ht="17.25" thickBot="1">
      <c r="B10135" s="226">
        <v>46178</v>
      </c>
      <c r="C10135" s="227">
        <v>0.45453703703703702</v>
      </c>
      <c r="D10135" s="228">
        <v>10</v>
      </c>
      <c r="E10135" s="225" t="s">
        <v>4912</v>
      </c>
      <c r="F10135" s="225" t="s">
        <v>6946</v>
      </c>
    </row>
    <row r="10136" spans="2:6" ht="17.25" thickBot="1">
      <c r="B10136" s="226">
        <v>46178</v>
      </c>
      <c r="C10136" s="227">
        <v>0.42421296296296296</v>
      </c>
      <c r="D10136" s="228">
        <v>10</v>
      </c>
      <c r="E10136" s="225" t="s">
        <v>8826</v>
      </c>
      <c r="F10136" s="225" t="s">
        <v>6946</v>
      </c>
    </row>
    <row r="10137" spans="2:6" ht="17.25" thickBot="1">
      <c r="B10137" s="226">
        <v>46178</v>
      </c>
      <c r="C10137" s="227">
        <v>0.61060185185185178</v>
      </c>
      <c r="D10137" s="228">
        <v>10</v>
      </c>
      <c r="E10137" s="225" t="s">
        <v>8819</v>
      </c>
      <c r="F10137" s="225" t="s">
        <v>6946</v>
      </c>
    </row>
    <row r="10138" spans="2:6" ht="17.25" thickBot="1">
      <c r="B10138" s="226">
        <v>46177</v>
      </c>
      <c r="C10138" s="227">
        <v>0.74443287037037031</v>
      </c>
      <c r="D10138" s="228">
        <v>10</v>
      </c>
      <c r="E10138" s="225" t="s">
        <v>8859</v>
      </c>
      <c r="F10138" s="225" t="s">
        <v>6946</v>
      </c>
    </row>
    <row r="10139" spans="2:6" ht="17.25" thickBot="1">
      <c r="B10139" s="226">
        <v>46177</v>
      </c>
      <c r="C10139" s="227">
        <v>0.75184027777777773</v>
      </c>
      <c r="D10139" s="228">
        <v>10</v>
      </c>
      <c r="E10139" s="225" t="s">
        <v>8848</v>
      </c>
      <c r="F10139" s="225" t="s">
        <v>6946</v>
      </c>
    </row>
    <row r="10140" spans="2:6" ht="17.25" thickBot="1">
      <c r="B10140" s="226">
        <v>46177</v>
      </c>
      <c r="C10140" s="227">
        <v>0.78625</v>
      </c>
      <c r="D10140" s="228">
        <v>10</v>
      </c>
      <c r="E10140" s="225" t="s">
        <v>8857</v>
      </c>
      <c r="F10140" s="225" t="s">
        <v>6946</v>
      </c>
    </row>
    <row r="10141" spans="2:6" ht="17.25" thickBot="1">
      <c r="B10141" s="226">
        <v>46177</v>
      </c>
      <c r="C10141" s="227">
        <v>0.68695601851851851</v>
      </c>
      <c r="D10141" s="228">
        <v>10</v>
      </c>
      <c r="E10141" s="225" t="s">
        <v>8849</v>
      </c>
      <c r="F10141" s="225" t="s">
        <v>6946</v>
      </c>
    </row>
    <row r="10142" spans="2:6" ht="17.25" thickBot="1">
      <c r="B10142" s="226">
        <v>46177</v>
      </c>
      <c r="C10142" s="227">
        <v>0.60883101851851851</v>
      </c>
      <c r="D10142" s="228">
        <v>10</v>
      </c>
      <c r="E10142" s="225" t="s">
        <v>8843</v>
      </c>
      <c r="F10142" s="225" t="s">
        <v>6946</v>
      </c>
    </row>
    <row r="10143" spans="2:6" ht="17.25" thickBot="1">
      <c r="B10143" s="226">
        <v>46177</v>
      </c>
      <c r="C10143" s="227">
        <v>0.89729166666666671</v>
      </c>
      <c r="D10143" s="228">
        <v>10</v>
      </c>
      <c r="E10143" s="225" t="s">
        <v>8501</v>
      </c>
      <c r="F10143" s="225" t="s">
        <v>6946</v>
      </c>
    </row>
    <row r="10144" spans="2:6" ht="26.25" thickBot="1">
      <c r="B10144" s="226">
        <v>46177</v>
      </c>
      <c r="C10144" s="227">
        <v>0.55724537037037036</v>
      </c>
      <c r="D10144" s="228">
        <v>10</v>
      </c>
      <c r="E10144" s="225" t="s">
        <v>8870</v>
      </c>
      <c r="F10144" s="225" t="s">
        <v>6946</v>
      </c>
    </row>
    <row r="10145" spans="2:6" ht="17.25" thickBot="1">
      <c r="B10145" s="226">
        <v>46177</v>
      </c>
      <c r="C10145" s="227">
        <v>0.50402777777777774</v>
      </c>
      <c r="D10145" s="228">
        <v>10</v>
      </c>
      <c r="E10145" s="225" t="s">
        <v>8853</v>
      </c>
      <c r="F10145" s="225" t="s">
        <v>6946</v>
      </c>
    </row>
    <row r="10146" spans="2:6" ht="17.25" thickBot="1">
      <c r="B10146" s="226">
        <v>46177</v>
      </c>
      <c r="C10146" s="227">
        <v>0.49895833333333334</v>
      </c>
      <c r="D10146" s="228">
        <v>10</v>
      </c>
      <c r="E10146" s="225" t="s">
        <v>8873</v>
      </c>
      <c r="F10146" s="225" t="s">
        <v>6946</v>
      </c>
    </row>
    <row r="10147" spans="2:6" ht="17.25" thickBot="1">
      <c r="B10147" s="226">
        <v>46177</v>
      </c>
      <c r="C10147" s="227">
        <v>0.5131944444444444</v>
      </c>
      <c r="D10147" s="228">
        <v>10</v>
      </c>
      <c r="E10147" s="225" t="s">
        <v>8850</v>
      </c>
      <c r="F10147" s="225" t="s">
        <v>6946</v>
      </c>
    </row>
    <row r="10148" spans="2:6" ht="17.25" thickBot="1">
      <c r="B10148" s="226">
        <v>46177</v>
      </c>
      <c r="C10148" s="227">
        <v>0.70464120370370376</v>
      </c>
      <c r="D10148" s="228">
        <v>10</v>
      </c>
      <c r="E10148" s="225" t="s">
        <v>8862</v>
      </c>
      <c r="F10148" s="225" t="s">
        <v>6946</v>
      </c>
    </row>
    <row r="10149" spans="2:6" ht="17.25" thickBot="1">
      <c r="B10149" s="226">
        <v>46177</v>
      </c>
      <c r="C10149" s="227">
        <v>0.67826388888888889</v>
      </c>
      <c r="D10149" s="228">
        <v>10</v>
      </c>
      <c r="E10149" s="225" t="s">
        <v>8842</v>
      </c>
      <c r="F10149" s="225" t="s">
        <v>6946</v>
      </c>
    </row>
    <row r="10150" spans="2:6" ht="17.25" thickBot="1">
      <c r="B10150" s="226">
        <v>46177</v>
      </c>
      <c r="C10150" s="227">
        <v>0.71562500000000007</v>
      </c>
      <c r="D10150" s="228">
        <v>10</v>
      </c>
      <c r="E10150" s="225" t="s">
        <v>8841</v>
      </c>
      <c r="F10150" s="225" t="s">
        <v>6946</v>
      </c>
    </row>
    <row r="10151" spans="2:6" ht="17.25" thickBot="1">
      <c r="B10151" s="226">
        <v>46177</v>
      </c>
      <c r="C10151" s="227">
        <v>0.60406250000000006</v>
      </c>
      <c r="D10151" s="228">
        <v>10</v>
      </c>
      <c r="E10151" s="225" t="s">
        <v>1564</v>
      </c>
      <c r="F10151" s="225" t="s">
        <v>6946</v>
      </c>
    </row>
    <row r="10152" spans="2:6" ht="17.25" thickBot="1">
      <c r="B10152" s="226">
        <v>46177</v>
      </c>
      <c r="C10152" s="227">
        <v>0.60181712962962963</v>
      </c>
      <c r="D10152" s="228">
        <v>10</v>
      </c>
      <c r="E10152" s="225" t="s">
        <v>8868</v>
      </c>
      <c r="F10152" s="225" t="s">
        <v>6946</v>
      </c>
    </row>
    <row r="10153" spans="2:6" ht="17.25" thickBot="1">
      <c r="B10153" s="226">
        <v>46177</v>
      </c>
      <c r="C10153" s="227">
        <v>0.69093749999999998</v>
      </c>
      <c r="D10153" s="228">
        <v>10</v>
      </c>
      <c r="E10153" s="225" t="s">
        <v>8846</v>
      </c>
      <c r="F10153" s="225" t="s">
        <v>6946</v>
      </c>
    </row>
    <row r="10154" spans="2:6" ht="17.25" thickBot="1">
      <c r="B10154" s="226">
        <v>46177</v>
      </c>
      <c r="C10154" s="227">
        <v>0.66662037037037036</v>
      </c>
      <c r="D10154" s="228">
        <v>10</v>
      </c>
      <c r="E10154" s="225" t="s">
        <v>448</v>
      </c>
      <c r="F10154" s="225" t="s">
        <v>6946</v>
      </c>
    </row>
    <row r="10155" spans="2:6" ht="17.25" thickBot="1">
      <c r="B10155" s="226">
        <v>46177</v>
      </c>
      <c r="C10155" s="227">
        <v>0.67724537037037036</v>
      </c>
      <c r="D10155" s="228">
        <v>10</v>
      </c>
      <c r="E10155" s="225" t="s">
        <v>8864</v>
      </c>
      <c r="F10155" s="225" t="s">
        <v>6946</v>
      </c>
    </row>
    <row r="10156" spans="2:6" ht="17.25" thickBot="1">
      <c r="B10156" s="226">
        <v>46177</v>
      </c>
      <c r="C10156" s="227">
        <v>0.57549768518518518</v>
      </c>
      <c r="D10156" s="228">
        <v>10</v>
      </c>
      <c r="E10156" s="225" t="s">
        <v>3514</v>
      </c>
      <c r="F10156" s="225" t="s">
        <v>6946</v>
      </c>
    </row>
    <row r="10157" spans="2:6" ht="17.25" thickBot="1">
      <c r="B10157" s="226">
        <v>46177</v>
      </c>
      <c r="C10157" s="227">
        <v>0.6616319444444444</v>
      </c>
      <c r="D10157" s="228">
        <v>10</v>
      </c>
      <c r="E10157" s="225" t="s">
        <v>8865</v>
      </c>
      <c r="F10157" s="225" t="s">
        <v>6946</v>
      </c>
    </row>
    <row r="10158" spans="2:6" ht="17.25" thickBot="1">
      <c r="B10158" s="226">
        <v>46177</v>
      </c>
      <c r="C10158" s="227">
        <v>0.70190972222222225</v>
      </c>
      <c r="D10158" s="228">
        <v>10</v>
      </c>
      <c r="E10158" s="225" t="s">
        <v>8852</v>
      </c>
      <c r="F10158" s="225" t="s">
        <v>6946</v>
      </c>
    </row>
    <row r="10159" spans="2:6" ht="17.25" thickBot="1">
      <c r="B10159" s="226">
        <v>46177</v>
      </c>
      <c r="C10159" s="227">
        <v>0.76204861111111111</v>
      </c>
      <c r="D10159" s="228">
        <v>10</v>
      </c>
      <c r="E10159" s="225" t="s">
        <v>8847</v>
      </c>
      <c r="F10159" s="225" t="s">
        <v>6946</v>
      </c>
    </row>
    <row r="10160" spans="2:6" ht="17.25" thickBot="1">
      <c r="B10160" s="226">
        <v>46177</v>
      </c>
      <c r="C10160" s="227">
        <v>0.69453703703703706</v>
      </c>
      <c r="D10160" s="228">
        <v>10</v>
      </c>
      <c r="E10160" s="225" t="s">
        <v>8839</v>
      </c>
      <c r="F10160" s="225" t="s">
        <v>6946</v>
      </c>
    </row>
    <row r="10161" spans="2:6" ht="17.25" thickBot="1">
      <c r="B10161" s="226">
        <v>46177</v>
      </c>
      <c r="C10161" s="227">
        <v>0.68685185185185194</v>
      </c>
      <c r="D10161" s="228">
        <v>10</v>
      </c>
      <c r="E10161" s="225" t="s">
        <v>8863</v>
      </c>
      <c r="F10161" s="225" t="s">
        <v>6946</v>
      </c>
    </row>
    <row r="10162" spans="2:6" ht="26.25" thickBot="1">
      <c r="B10162" s="226">
        <v>46177</v>
      </c>
      <c r="C10162" s="227">
        <v>0.80526620370370372</v>
      </c>
      <c r="D10162" s="228">
        <v>10</v>
      </c>
      <c r="E10162" s="225" t="s">
        <v>8856</v>
      </c>
      <c r="F10162" s="225" t="s">
        <v>6946</v>
      </c>
    </row>
    <row r="10163" spans="2:6" ht="17.25" thickBot="1">
      <c r="B10163" s="226">
        <v>46177</v>
      </c>
      <c r="C10163" s="227">
        <v>0.71204861111111117</v>
      </c>
      <c r="D10163" s="228">
        <v>10</v>
      </c>
      <c r="E10163" s="225" t="s">
        <v>8845</v>
      </c>
      <c r="F10163" s="225" t="s">
        <v>6946</v>
      </c>
    </row>
    <row r="10164" spans="2:6" ht="17.25" thickBot="1">
      <c r="B10164" s="226">
        <v>46177</v>
      </c>
      <c r="C10164" s="227">
        <v>0.72980324074074077</v>
      </c>
      <c r="D10164" s="228">
        <v>10</v>
      </c>
      <c r="E10164" s="225" t="s">
        <v>8860</v>
      </c>
      <c r="F10164" s="225" t="s">
        <v>6946</v>
      </c>
    </row>
    <row r="10165" spans="2:6" ht="17.25" thickBot="1">
      <c r="B10165" s="226">
        <v>46177</v>
      </c>
      <c r="C10165" s="227">
        <v>0.64017361111111104</v>
      </c>
      <c r="D10165" s="228">
        <v>10</v>
      </c>
      <c r="E10165" s="225" t="s">
        <v>8854</v>
      </c>
      <c r="F10165" s="225" t="s">
        <v>6946</v>
      </c>
    </row>
    <row r="10166" spans="2:6" ht="17.25" thickBot="1">
      <c r="B10166" s="226">
        <v>46177</v>
      </c>
      <c r="C10166" s="227">
        <v>0.5846527777777778</v>
      </c>
      <c r="D10166" s="228">
        <v>10</v>
      </c>
      <c r="E10166" s="225" t="s">
        <v>8869</v>
      </c>
      <c r="F10166" s="225" t="s">
        <v>6946</v>
      </c>
    </row>
    <row r="10167" spans="2:6" ht="17.25" thickBot="1">
      <c r="B10167" s="226">
        <v>46177</v>
      </c>
      <c r="C10167" s="227">
        <v>0.48245370370370372</v>
      </c>
      <c r="D10167" s="228">
        <v>10</v>
      </c>
      <c r="E10167" s="225" t="s">
        <v>8844</v>
      </c>
      <c r="F10167" s="225" t="s">
        <v>6946</v>
      </c>
    </row>
    <row r="10168" spans="2:6" ht="17.25" thickBot="1">
      <c r="B10168" s="226">
        <v>46177</v>
      </c>
      <c r="C10168" s="227">
        <v>0.68840277777777781</v>
      </c>
      <c r="D10168" s="228">
        <v>10</v>
      </c>
      <c r="E10168" s="225" t="s">
        <v>8840</v>
      </c>
      <c r="F10168" s="225" t="s">
        <v>6946</v>
      </c>
    </row>
    <row r="10169" spans="2:6" ht="17.25" thickBot="1">
      <c r="B10169" s="226">
        <v>46177</v>
      </c>
      <c r="C10169" s="227">
        <v>0.50546296296296289</v>
      </c>
      <c r="D10169" s="228">
        <v>10</v>
      </c>
      <c r="E10169" s="225" t="s">
        <v>8872</v>
      </c>
      <c r="F10169" s="225" t="s">
        <v>6946</v>
      </c>
    </row>
    <row r="10170" spans="2:6" ht="26.25" thickBot="1">
      <c r="B10170" s="226">
        <v>46177</v>
      </c>
      <c r="C10170" s="227">
        <v>0.61796296296296294</v>
      </c>
      <c r="D10170" s="228">
        <v>10</v>
      </c>
      <c r="E10170" s="225" t="s">
        <v>8867</v>
      </c>
      <c r="F10170" s="225" t="s">
        <v>6946</v>
      </c>
    </row>
    <row r="10171" spans="2:6" ht="17.25" thickBot="1">
      <c r="B10171" s="226">
        <v>46177</v>
      </c>
      <c r="C10171" s="227">
        <v>0.50039351851851854</v>
      </c>
      <c r="D10171" s="228">
        <v>10</v>
      </c>
      <c r="E10171" s="225" t="s">
        <v>8874</v>
      </c>
      <c r="F10171" s="225" t="s">
        <v>6946</v>
      </c>
    </row>
    <row r="10172" spans="2:6" ht="17.25" thickBot="1">
      <c r="B10172" s="226">
        <v>46177</v>
      </c>
      <c r="C10172" s="227">
        <v>0.85792824074074081</v>
      </c>
      <c r="D10172" s="228">
        <v>10</v>
      </c>
      <c r="E10172" s="225" t="s">
        <v>8838</v>
      </c>
      <c r="F10172" s="225" t="s">
        <v>6946</v>
      </c>
    </row>
    <row r="10173" spans="2:6" ht="17.25" thickBot="1">
      <c r="B10173" s="226">
        <v>46177</v>
      </c>
      <c r="C10173" s="227">
        <v>0.52752314814814816</v>
      </c>
      <c r="D10173" s="228">
        <v>10</v>
      </c>
      <c r="E10173" s="225" t="s">
        <v>8871</v>
      </c>
      <c r="F10173" s="225" t="s">
        <v>6946</v>
      </c>
    </row>
    <row r="10174" spans="2:6" ht="17.25" thickBot="1">
      <c r="B10174" s="226">
        <v>46177</v>
      </c>
      <c r="C10174" s="227">
        <v>0.7587962962962963</v>
      </c>
      <c r="D10174" s="228">
        <v>10</v>
      </c>
      <c r="E10174" s="225" t="s">
        <v>8858</v>
      </c>
      <c r="F10174" s="225" t="s">
        <v>6946</v>
      </c>
    </row>
    <row r="10175" spans="2:6" ht="17.25" thickBot="1">
      <c r="B10175" s="226">
        <v>46177</v>
      </c>
      <c r="C10175" s="227">
        <v>0.72424768518518512</v>
      </c>
      <c r="D10175" s="228">
        <v>10</v>
      </c>
      <c r="E10175" s="225" t="s">
        <v>8861</v>
      </c>
      <c r="F10175" s="225" t="s">
        <v>6946</v>
      </c>
    </row>
    <row r="10176" spans="2:6" ht="17.25" thickBot="1">
      <c r="B10176" s="226">
        <v>46177</v>
      </c>
      <c r="C10176" s="227">
        <v>0.41561342592592593</v>
      </c>
      <c r="D10176" s="228">
        <v>10</v>
      </c>
      <c r="E10176" s="225" t="s">
        <v>8880</v>
      </c>
      <c r="F10176" s="225" t="s">
        <v>6946</v>
      </c>
    </row>
    <row r="10177" spans="2:6" ht="17.25" thickBot="1">
      <c r="B10177" s="226">
        <v>46177</v>
      </c>
      <c r="C10177" s="227">
        <v>0.42508101851851854</v>
      </c>
      <c r="D10177" s="228">
        <v>10</v>
      </c>
      <c r="E10177" s="225" t="s">
        <v>8879</v>
      </c>
      <c r="F10177" s="225" t="s">
        <v>6946</v>
      </c>
    </row>
    <row r="10178" spans="2:6" ht="17.25" thickBot="1">
      <c r="B10178" s="226">
        <v>46177</v>
      </c>
      <c r="C10178" s="227">
        <v>0.4661689814814815</v>
      </c>
      <c r="D10178" s="228">
        <v>10</v>
      </c>
      <c r="E10178" s="225" t="s">
        <v>8502</v>
      </c>
      <c r="F10178" s="225" t="s">
        <v>6946</v>
      </c>
    </row>
    <row r="10179" spans="2:6" ht="17.25" thickBot="1">
      <c r="B10179" s="226">
        <v>46177</v>
      </c>
      <c r="C10179" s="227">
        <v>0.42182870370370368</v>
      </c>
      <c r="D10179" s="228">
        <v>10</v>
      </c>
      <c r="E10179" s="225" t="s">
        <v>8877</v>
      </c>
      <c r="F10179" s="225" t="s">
        <v>6946</v>
      </c>
    </row>
    <row r="10180" spans="2:6" ht="17.25" thickBot="1">
      <c r="B10180" s="226">
        <v>46177</v>
      </c>
      <c r="C10180" s="227">
        <v>0.47912037037037036</v>
      </c>
      <c r="D10180" s="228">
        <v>10</v>
      </c>
      <c r="E10180" s="225" t="s">
        <v>8875</v>
      </c>
      <c r="F10180" s="225" t="s">
        <v>6946</v>
      </c>
    </row>
    <row r="10181" spans="2:6" ht="17.25" thickBot="1">
      <c r="B10181" s="226">
        <v>46177</v>
      </c>
      <c r="C10181" s="227">
        <v>0.41052083333333328</v>
      </c>
      <c r="D10181" s="228">
        <v>10</v>
      </c>
      <c r="E10181" s="225" t="s">
        <v>8881</v>
      </c>
      <c r="F10181" s="225" t="s">
        <v>6946</v>
      </c>
    </row>
    <row r="10182" spans="2:6" ht="17.25" thickBot="1">
      <c r="B10182" s="226">
        <v>46177</v>
      </c>
      <c r="C10182" s="227">
        <v>0.43459490740740742</v>
      </c>
      <c r="D10182" s="228">
        <v>10</v>
      </c>
      <c r="E10182" s="225" t="s">
        <v>8876</v>
      </c>
      <c r="F10182" s="225" t="s">
        <v>6946</v>
      </c>
    </row>
    <row r="10183" spans="2:6" ht="17.25" thickBot="1">
      <c r="B10183" s="226">
        <v>46177</v>
      </c>
      <c r="C10183" s="227">
        <v>0.43082175925925931</v>
      </c>
      <c r="D10183" s="228">
        <v>10</v>
      </c>
      <c r="E10183" s="225" t="s">
        <v>8878</v>
      </c>
      <c r="F10183" s="225" t="s">
        <v>6946</v>
      </c>
    </row>
    <row r="10184" spans="2:6" ht="17.25" thickBot="1">
      <c r="B10184" s="226">
        <v>46177</v>
      </c>
      <c r="C10184" s="227">
        <v>0.4148958333333333</v>
      </c>
      <c r="D10184" s="228">
        <v>10</v>
      </c>
      <c r="E10184" s="225" t="s">
        <v>8851</v>
      </c>
      <c r="F10184" s="225" t="s">
        <v>6946</v>
      </c>
    </row>
    <row r="10185" spans="2:6" ht="17.25" thickBot="1">
      <c r="B10185" s="226">
        <v>46177</v>
      </c>
      <c r="C10185" s="227">
        <v>0.56209490740740742</v>
      </c>
      <c r="D10185" s="228">
        <v>10</v>
      </c>
      <c r="E10185" s="225" t="s">
        <v>194</v>
      </c>
      <c r="F10185" s="225" t="s">
        <v>6946</v>
      </c>
    </row>
    <row r="10186" spans="2:6" ht="17.25" thickBot="1">
      <c r="B10186" s="226">
        <v>46177</v>
      </c>
      <c r="C10186" s="227">
        <v>0.45230324074074074</v>
      </c>
      <c r="D10186" s="228">
        <v>10</v>
      </c>
      <c r="E10186" s="225" t="s">
        <v>8855</v>
      </c>
      <c r="F10186" s="225" t="s">
        <v>6946</v>
      </c>
    </row>
    <row r="10187" spans="2:6" ht="17.25" thickBot="1">
      <c r="B10187" s="226">
        <v>46177</v>
      </c>
      <c r="C10187" s="227">
        <v>0.66170138888888885</v>
      </c>
      <c r="D10187" s="228">
        <v>10</v>
      </c>
      <c r="E10187" s="225" t="s">
        <v>8866</v>
      </c>
      <c r="F10187" s="225" t="s">
        <v>6946</v>
      </c>
    </row>
    <row r="10188" spans="2:6" ht="17.25" thickBot="1">
      <c r="B10188" s="226">
        <v>46175</v>
      </c>
      <c r="C10188" s="227">
        <v>0.59074074074074068</v>
      </c>
      <c r="D10188" s="228">
        <v>10</v>
      </c>
      <c r="E10188" s="225" t="s">
        <v>8905</v>
      </c>
      <c r="F10188" s="225" t="s">
        <v>6946</v>
      </c>
    </row>
    <row r="10189" spans="2:6" ht="17.25" thickBot="1">
      <c r="B10189" s="226">
        <v>46175</v>
      </c>
      <c r="C10189" s="227">
        <v>0.8467824074074074</v>
      </c>
      <c r="D10189" s="228">
        <v>10</v>
      </c>
      <c r="E10189" s="225" t="s">
        <v>537</v>
      </c>
      <c r="F10189" s="225" t="s">
        <v>6946</v>
      </c>
    </row>
    <row r="10190" spans="2:6" ht="17.25" thickBot="1">
      <c r="B10190" s="226">
        <v>46175</v>
      </c>
      <c r="C10190" s="227">
        <v>0.62008101851851849</v>
      </c>
      <c r="D10190" s="228">
        <v>10</v>
      </c>
      <c r="E10190" s="225" t="s">
        <v>8900</v>
      </c>
      <c r="F10190" s="225" t="s">
        <v>6946</v>
      </c>
    </row>
    <row r="10191" spans="2:6" ht="17.25" thickBot="1">
      <c r="B10191" s="226">
        <v>46175</v>
      </c>
      <c r="C10191" s="227">
        <v>0.48046296296296293</v>
      </c>
      <c r="D10191" s="228">
        <v>10</v>
      </c>
      <c r="E10191" s="225" t="s">
        <v>8911</v>
      </c>
      <c r="F10191" s="225" t="s">
        <v>6946</v>
      </c>
    </row>
    <row r="10192" spans="2:6" ht="17.25" thickBot="1">
      <c r="B10192" s="226">
        <v>46175</v>
      </c>
      <c r="C10192" s="227">
        <v>0.77990740740740738</v>
      </c>
      <c r="D10192" s="228">
        <v>10</v>
      </c>
      <c r="E10192" s="225" t="s">
        <v>8890</v>
      </c>
      <c r="F10192" s="225" t="s">
        <v>6946</v>
      </c>
    </row>
    <row r="10193" spans="2:6" ht="17.25" thickBot="1">
      <c r="B10193" s="226">
        <v>46175</v>
      </c>
      <c r="C10193" s="227">
        <v>0.74859953703703708</v>
      </c>
      <c r="D10193" s="228">
        <v>10</v>
      </c>
      <c r="E10193" s="225" t="s">
        <v>8891</v>
      </c>
      <c r="F10193" s="225" t="s">
        <v>6946</v>
      </c>
    </row>
    <row r="10194" spans="2:6" ht="26.25" thickBot="1">
      <c r="B10194" s="226">
        <v>46175</v>
      </c>
      <c r="C10194" s="227">
        <v>0.73534722222222226</v>
      </c>
      <c r="D10194" s="228">
        <v>10</v>
      </c>
      <c r="E10194" s="225" t="s">
        <v>8883</v>
      </c>
      <c r="F10194" s="225" t="s">
        <v>6946</v>
      </c>
    </row>
    <row r="10195" spans="2:6" ht="17.25" thickBot="1">
      <c r="B10195" s="226">
        <v>46175</v>
      </c>
      <c r="C10195" s="227">
        <v>0.66746527777777775</v>
      </c>
      <c r="D10195" s="228">
        <v>10</v>
      </c>
      <c r="E10195" s="225" t="s">
        <v>8894</v>
      </c>
      <c r="F10195" s="225" t="s">
        <v>6946</v>
      </c>
    </row>
    <row r="10196" spans="2:6" ht="17.25" thickBot="1">
      <c r="B10196" s="226">
        <v>46175</v>
      </c>
      <c r="C10196" s="227">
        <v>0.69049768518518517</v>
      </c>
      <c r="D10196" s="228">
        <v>10</v>
      </c>
      <c r="E10196" s="225" t="s">
        <v>8892</v>
      </c>
      <c r="F10196" s="225" t="s">
        <v>6946</v>
      </c>
    </row>
    <row r="10197" spans="2:6" ht="17.25" thickBot="1">
      <c r="B10197" s="226">
        <v>46175</v>
      </c>
      <c r="C10197" s="227">
        <v>0.61229166666666668</v>
      </c>
      <c r="D10197" s="228">
        <v>10</v>
      </c>
      <c r="E10197" s="225" t="s">
        <v>8901</v>
      </c>
      <c r="F10197" s="225" t="s">
        <v>6946</v>
      </c>
    </row>
    <row r="10198" spans="2:6" ht="17.25" thickBot="1">
      <c r="B10198" s="226">
        <v>46175</v>
      </c>
      <c r="C10198" s="227">
        <v>0.5184375</v>
      </c>
      <c r="D10198" s="228">
        <v>10</v>
      </c>
      <c r="E10198" s="225" t="s">
        <v>8908</v>
      </c>
      <c r="F10198" s="225" t="s">
        <v>6946</v>
      </c>
    </row>
    <row r="10199" spans="2:6" ht="17.25" thickBot="1">
      <c r="B10199" s="226">
        <v>46175</v>
      </c>
      <c r="C10199" s="227">
        <v>0.59655092592592596</v>
      </c>
      <c r="D10199" s="228">
        <v>10</v>
      </c>
      <c r="E10199" s="225" t="s">
        <v>8902</v>
      </c>
      <c r="F10199" s="225" t="s">
        <v>6946</v>
      </c>
    </row>
    <row r="10200" spans="2:6" ht="17.25" thickBot="1">
      <c r="B10200" s="226">
        <v>46175</v>
      </c>
      <c r="C10200" s="227">
        <v>0.60020833333333334</v>
      </c>
      <c r="D10200" s="228">
        <v>10</v>
      </c>
      <c r="E10200" s="225" t="s">
        <v>8904</v>
      </c>
      <c r="F10200" s="225" t="s">
        <v>6946</v>
      </c>
    </row>
    <row r="10201" spans="2:6" ht="17.25" thickBot="1">
      <c r="B10201" s="226">
        <v>46175</v>
      </c>
      <c r="C10201" s="227">
        <v>0.69960648148148152</v>
      </c>
      <c r="D10201" s="228">
        <v>10</v>
      </c>
      <c r="E10201" s="225" t="s">
        <v>8893</v>
      </c>
      <c r="F10201" s="225" t="s">
        <v>6946</v>
      </c>
    </row>
    <row r="10202" spans="2:6" ht="17.25" thickBot="1">
      <c r="B10202" s="226">
        <v>46175</v>
      </c>
      <c r="C10202" s="227">
        <v>0.85187500000000005</v>
      </c>
      <c r="D10202" s="228">
        <v>10</v>
      </c>
      <c r="E10202" s="225" t="s">
        <v>8885</v>
      </c>
      <c r="F10202" s="225" t="s">
        <v>6946</v>
      </c>
    </row>
    <row r="10203" spans="2:6" ht="26.25" thickBot="1">
      <c r="B10203" s="226">
        <v>46175</v>
      </c>
      <c r="C10203" s="227">
        <v>0.65417824074074071</v>
      </c>
      <c r="D10203" s="228">
        <v>10</v>
      </c>
      <c r="E10203" s="225" t="s">
        <v>8896</v>
      </c>
      <c r="F10203" s="225" t="s">
        <v>6946</v>
      </c>
    </row>
    <row r="10204" spans="2:6" ht="17.25" thickBot="1">
      <c r="B10204" s="226">
        <v>46175</v>
      </c>
      <c r="C10204" s="227">
        <v>0.62547453703703704</v>
      </c>
      <c r="D10204" s="228">
        <v>10</v>
      </c>
      <c r="E10204" s="225" t="s">
        <v>8898</v>
      </c>
      <c r="F10204" s="225" t="s">
        <v>6946</v>
      </c>
    </row>
    <row r="10205" spans="2:6" ht="17.25" thickBot="1">
      <c r="B10205" s="226">
        <v>46175</v>
      </c>
      <c r="C10205" s="227">
        <v>0.5881481481481482</v>
      </c>
      <c r="D10205" s="228">
        <v>10</v>
      </c>
      <c r="E10205" s="225" t="s">
        <v>8886</v>
      </c>
      <c r="F10205" s="225" t="s">
        <v>6946</v>
      </c>
    </row>
    <row r="10206" spans="2:6" ht="17.25" thickBot="1">
      <c r="B10206" s="226">
        <v>46175</v>
      </c>
      <c r="C10206" s="227">
        <v>0.59381944444444446</v>
      </c>
      <c r="D10206" s="228">
        <v>10</v>
      </c>
      <c r="E10206" s="225" t="s">
        <v>8906</v>
      </c>
      <c r="F10206" s="225" t="s">
        <v>6946</v>
      </c>
    </row>
    <row r="10207" spans="2:6" ht="17.25" thickBot="1">
      <c r="B10207" s="226">
        <v>46175</v>
      </c>
      <c r="C10207" s="227">
        <v>0.66746527777777775</v>
      </c>
      <c r="D10207" s="228">
        <v>10</v>
      </c>
      <c r="E10207" s="225" t="s">
        <v>1731</v>
      </c>
      <c r="F10207" s="225" t="s">
        <v>6946</v>
      </c>
    </row>
    <row r="10208" spans="2:6" ht="17.25" thickBot="1">
      <c r="B10208" s="226">
        <v>46175</v>
      </c>
      <c r="C10208" s="227">
        <v>0.75778935185185192</v>
      </c>
      <c r="D10208" s="228">
        <v>10</v>
      </c>
      <c r="E10208" s="225" t="s">
        <v>8882</v>
      </c>
      <c r="F10208" s="225" t="s">
        <v>6946</v>
      </c>
    </row>
    <row r="10209" spans="2:6" ht="17.25" thickBot="1">
      <c r="B10209" s="226">
        <v>46175</v>
      </c>
      <c r="C10209" s="227">
        <v>0.59752314814814811</v>
      </c>
      <c r="D10209" s="228">
        <v>10</v>
      </c>
      <c r="E10209" s="225" t="s">
        <v>8903</v>
      </c>
      <c r="F10209" s="225" t="s">
        <v>6946</v>
      </c>
    </row>
    <row r="10210" spans="2:6" ht="17.25" thickBot="1">
      <c r="B10210" s="226">
        <v>46175</v>
      </c>
      <c r="C10210" s="227">
        <v>0.49822916666666667</v>
      </c>
      <c r="D10210" s="228">
        <v>10</v>
      </c>
      <c r="E10210" s="225" t="s">
        <v>5677</v>
      </c>
      <c r="F10210" s="225" t="s">
        <v>6946</v>
      </c>
    </row>
    <row r="10211" spans="2:6" ht="17.25" thickBot="1">
      <c r="B10211" s="226">
        <v>46175</v>
      </c>
      <c r="C10211" s="227">
        <v>0.69521990740740736</v>
      </c>
      <c r="D10211" s="228">
        <v>10</v>
      </c>
      <c r="E10211" s="225" t="s">
        <v>288</v>
      </c>
      <c r="F10211" s="225" t="s">
        <v>6946</v>
      </c>
    </row>
    <row r="10212" spans="2:6" ht="17.25" thickBot="1">
      <c r="B10212" s="226">
        <v>46175</v>
      </c>
      <c r="C10212" s="227">
        <v>0.54998842592592589</v>
      </c>
      <c r="D10212" s="228">
        <v>10</v>
      </c>
      <c r="E10212" s="225" t="s">
        <v>132</v>
      </c>
      <c r="F10212" s="225" t="s">
        <v>6946</v>
      </c>
    </row>
    <row r="10213" spans="2:6" ht="17.25" thickBot="1">
      <c r="B10213" s="226">
        <v>46175</v>
      </c>
      <c r="C10213" s="227">
        <v>0.90233796296296298</v>
      </c>
      <c r="D10213" s="228">
        <v>10</v>
      </c>
      <c r="E10213" s="225" t="s">
        <v>8888</v>
      </c>
      <c r="F10213" s="225" t="s">
        <v>6946</v>
      </c>
    </row>
    <row r="10214" spans="2:6" ht="17.25" thickBot="1">
      <c r="B10214" s="226">
        <v>46175</v>
      </c>
      <c r="C10214" s="227">
        <v>0.63206018518518514</v>
      </c>
      <c r="D10214" s="228">
        <v>10</v>
      </c>
      <c r="E10214" s="225" t="s">
        <v>8897</v>
      </c>
      <c r="F10214" s="225" t="s">
        <v>6946</v>
      </c>
    </row>
    <row r="10215" spans="2:6" ht="17.25" thickBot="1">
      <c r="B10215" s="226">
        <v>46175</v>
      </c>
      <c r="C10215" s="227">
        <v>0.5652314814814815</v>
      </c>
      <c r="D10215" s="228">
        <v>10</v>
      </c>
      <c r="E10215" s="225" t="s">
        <v>8907</v>
      </c>
      <c r="F10215" s="225" t="s">
        <v>6946</v>
      </c>
    </row>
    <row r="10216" spans="2:6" ht="17.25" thickBot="1">
      <c r="B10216" s="226">
        <v>46175</v>
      </c>
      <c r="C10216" s="227">
        <v>0.45410879629629625</v>
      </c>
      <c r="D10216" s="228">
        <v>10</v>
      </c>
      <c r="E10216" s="225" t="s">
        <v>8913</v>
      </c>
      <c r="F10216" s="225" t="s">
        <v>6946</v>
      </c>
    </row>
    <row r="10217" spans="2:6" ht="17.25" thickBot="1">
      <c r="B10217" s="226">
        <v>46175</v>
      </c>
      <c r="C10217" s="227">
        <v>0.86844907407407401</v>
      </c>
      <c r="D10217" s="228">
        <v>10</v>
      </c>
      <c r="E10217" s="225" t="s">
        <v>8884</v>
      </c>
      <c r="F10217" s="225" t="s">
        <v>6946</v>
      </c>
    </row>
    <row r="10218" spans="2:6" ht="17.25" thickBot="1">
      <c r="B10218" s="226">
        <v>46175</v>
      </c>
      <c r="C10218" s="227">
        <v>0.65076388888888892</v>
      </c>
      <c r="D10218" s="228">
        <v>10</v>
      </c>
      <c r="E10218" s="225" t="s">
        <v>8910</v>
      </c>
      <c r="F10218" s="225" t="s">
        <v>6946</v>
      </c>
    </row>
    <row r="10219" spans="2:6" ht="17.25" thickBot="1">
      <c r="B10219" s="226">
        <v>46175</v>
      </c>
      <c r="C10219" s="227">
        <v>0.48372685185185182</v>
      </c>
      <c r="D10219" s="228">
        <v>10</v>
      </c>
      <c r="E10219" s="225" t="s">
        <v>8909</v>
      </c>
      <c r="F10219" s="225" t="s">
        <v>6946</v>
      </c>
    </row>
    <row r="10220" spans="2:6" ht="17.25" thickBot="1">
      <c r="B10220" s="226">
        <v>46175</v>
      </c>
      <c r="C10220" s="227">
        <v>0.4302083333333333</v>
      </c>
      <c r="D10220" s="228">
        <v>10</v>
      </c>
      <c r="E10220" s="225" t="s">
        <v>8917</v>
      </c>
      <c r="F10220" s="225" t="s">
        <v>6946</v>
      </c>
    </row>
    <row r="10221" spans="2:6" ht="17.25" thickBot="1">
      <c r="B10221" s="226">
        <v>46175</v>
      </c>
      <c r="C10221" s="227">
        <v>0.57114583333333335</v>
      </c>
      <c r="D10221" s="228">
        <v>10</v>
      </c>
      <c r="E10221" s="225" t="s">
        <v>8887</v>
      </c>
      <c r="F10221" s="225" t="s">
        <v>6946</v>
      </c>
    </row>
    <row r="10222" spans="2:6" ht="17.25" thickBot="1">
      <c r="B10222" s="226">
        <v>46175</v>
      </c>
      <c r="C10222" s="227">
        <v>0.4091319444444444</v>
      </c>
      <c r="D10222" s="228">
        <v>10</v>
      </c>
      <c r="E10222" s="225" t="s">
        <v>8918</v>
      </c>
      <c r="F10222" s="225" t="s">
        <v>6946</v>
      </c>
    </row>
    <row r="10223" spans="2:6" ht="17.25" thickBot="1">
      <c r="B10223" s="226">
        <v>46175</v>
      </c>
      <c r="C10223" s="227">
        <v>0.46937500000000004</v>
      </c>
      <c r="D10223" s="228">
        <v>10</v>
      </c>
      <c r="E10223" s="225" t="s">
        <v>3662</v>
      </c>
      <c r="F10223" s="225" t="s">
        <v>6946</v>
      </c>
    </row>
    <row r="10224" spans="2:6" ht="17.25" thickBot="1">
      <c r="B10224" s="226">
        <v>46175</v>
      </c>
      <c r="C10224" s="227">
        <v>0.4312037037037037</v>
      </c>
      <c r="D10224" s="228">
        <v>10</v>
      </c>
      <c r="E10224" s="225" t="s">
        <v>8916</v>
      </c>
      <c r="F10224" s="225" t="s">
        <v>6946</v>
      </c>
    </row>
    <row r="10225" spans="2:6" ht="17.25" thickBot="1">
      <c r="B10225" s="226">
        <v>46175</v>
      </c>
      <c r="C10225" s="227">
        <v>0.44423611111111111</v>
      </c>
      <c r="D10225" s="228">
        <v>10</v>
      </c>
      <c r="E10225" s="225" t="s">
        <v>8915</v>
      </c>
      <c r="F10225" s="225" t="s">
        <v>6946</v>
      </c>
    </row>
    <row r="10226" spans="2:6" ht="17.25" thickBot="1">
      <c r="B10226" s="226">
        <v>46175</v>
      </c>
      <c r="C10226" s="227">
        <v>0.45144675925925926</v>
      </c>
      <c r="D10226" s="228">
        <v>10</v>
      </c>
      <c r="E10226" s="225" t="s">
        <v>8914</v>
      </c>
      <c r="F10226" s="225" t="s">
        <v>6946</v>
      </c>
    </row>
    <row r="10227" spans="2:6" ht="17.25" thickBot="1">
      <c r="B10227" s="226">
        <v>46175</v>
      </c>
      <c r="C10227" s="227">
        <v>0.44711805555555556</v>
      </c>
      <c r="D10227" s="228">
        <v>10</v>
      </c>
      <c r="E10227" s="225" t="s">
        <v>201</v>
      </c>
      <c r="F10227" s="225" t="s">
        <v>6946</v>
      </c>
    </row>
    <row r="10228" spans="2:6" ht="17.25" thickBot="1">
      <c r="B10228" s="226">
        <v>46175</v>
      </c>
      <c r="C10228" s="227">
        <v>0.46863425925925922</v>
      </c>
      <c r="D10228" s="228">
        <v>10</v>
      </c>
      <c r="E10228" s="225" t="s">
        <v>8912</v>
      </c>
      <c r="F10228" s="225" t="s">
        <v>6946</v>
      </c>
    </row>
    <row r="10229" spans="2:6" ht="17.25" thickBot="1">
      <c r="B10229" s="226">
        <v>46175</v>
      </c>
      <c r="C10229" s="227">
        <v>0.71974537037037034</v>
      </c>
      <c r="D10229" s="228">
        <v>10</v>
      </c>
      <c r="E10229" s="225" t="s">
        <v>2252</v>
      </c>
      <c r="F10229" s="225" t="s">
        <v>6946</v>
      </c>
    </row>
    <row r="10230" spans="2:6" ht="17.25" thickBot="1">
      <c r="B10230" s="226">
        <v>46175</v>
      </c>
      <c r="C10230" s="227">
        <v>0.81211805555555561</v>
      </c>
      <c r="D10230" s="228">
        <v>10</v>
      </c>
      <c r="E10230" s="225" t="s">
        <v>8889</v>
      </c>
      <c r="F10230" s="225" t="s">
        <v>6946</v>
      </c>
    </row>
    <row r="10231" spans="2:6" ht="17.25" thickBot="1">
      <c r="B10231" s="226">
        <v>46175</v>
      </c>
      <c r="C10231" s="227">
        <v>0.64929398148148143</v>
      </c>
      <c r="D10231" s="228">
        <v>10</v>
      </c>
      <c r="E10231" s="225" t="s">
        <v>8895</v>
      </c>
      <c r="F10231" s="225" t="s">
        <v>6946</v>
      </c>
    </row>
    <row r="10232" spans="2:6" ht="17.25" thickBot="1">
      <c r="B10232" s="226">
        <v>46175</v>
      </c>
      <c r="C10232" s="227">
        <v>0.63090277777777781</v>
      </c>
      <c r="D10232" s="228">
        <v>10</v>
      </c>
      <c r="E10232" s="225" t="s">
        <v>8899</v>
      </c>
      <c r="F10232" s="225" t="s">
        <v>6946</v>
      </c>
    </row>
    <row r="10233" spans="2:6" ht="17.25" thickBot="1">
      <c r="B10233" s="226">
        <v>46174</v>
      </c>
      <c r="C10233" s="227">
        <v>0.73603009259259267</v>
      </c>
      <c r="D10233" s="228">
        <v>10</v>
      </c>
      <c r="E10233" s="225" t="s">
        <v>8924</v>
      </c>
      <c r="F10233" s="225" t="s">
        <v>6946</v>
      </c>
    </row>
    <row r="10234" spans="2:6" ht="17.25" thickBot="1">
      <c r="B10234" s="226">
        <v>46174</v>
      </c>
      <c r="C10234" s="227">
        <v>0.64586805555555549</v>
      </c>
      <c r="D10234" s="228">
        <v>10</v>
      </c>
      <c r="E10234" s="225" t="s">
        <v>8479</v>
      </c>
      <c r="F10234" s="225" t="s">
        <v>6946</v>
      </c>
    </row>
    <row r="10235" spans="2:6" ht="17.25" thickBot="1">
      <c r="B10235" s="226">
        <v>46174</v>
      </c>
      <c r="C10235" s="227">
        <v>0.63438657407407406</v>
      </c>
      <c r="D10235" s="228">
        <v>10</v>
      </c>
      <c r="E10235" s="225" t="s">
        <v>8499</v>
      </c>
      <c r="F10235" s="225" t="s">
        <v>6946</v>
      </c>
    </row>
    <row r="10236" spans="2:6" ht="17.25" thickBot="1">
      <c r="B10236" s="226">
        <v>46174</v>
      </c>
      <c r="C10236" s="227">
        <v>0.69717592592592592</v>
      </c>
      <c r="D10236" s="228">
        <v>10</v>
      </c>
      <c r="E10236" s="225" t="s">
        <v>8475</v>
      </c>
      <c r="F10236" s="225" t="s">
        <v>6946</v>
      </c>
    </row>
    <row r="10237" spans="2:6" ht="17.25" thickBot="1">
      <c r="B10237" s="226">
        <v>46174</v>
      </c>
      <c r="C10237" s="227">
        <v>0.48557870370370365</v>
      </c>
      <c r="D10237" s="228">
        <v>10</v>
      </c>
      <c r="E10237" s="225" t="s">
        <v>8476</v>
      </c>
      <c r="F10237" s="225" t="s">
        <v>6946</v>
      </c>
    </row>
    <row r="10238" spans="2:6" ht="17.25" thickBot="1">
      <c r="B10238" s="226">
        <v>46174</v>
      </c>
      <c r="C10238" s="227">
        <v>0.4490277777777778</v>
      </c>
      <c r="D10238" s="228">
        <v>10</v>
      </c>
      <c r="E10238" s="225" t="s">
        <v>8484</v>
      </c>
      <c r="F10238" s="225" t="s">
        <v>6946</v>
      </c>
    </row>
    <row r="10239" spans="2:6" ht="17.25" thickBot="1">
      <c r="B10239" s="226">
        <v>46174</v>
      </c>
      <c r="C10239" s="227">
        <v>0.63585648148148144</v>
      </c>
      <c r="D10239" s="228">
        <v>10</v>
      </c>
      <c r="E10239" s="225" t="s">
        <v>8483</v>
      </c>
      <c r="F10239" s="225" t="s">
        <v>6946</v>
      </c>
    </row>
    <row r="10240" spans="2:6" ht="17.25" thickBot="1">
      <c r="B10240" s="226">
        <v>46174</v>
      </c>
      <c r="C10240" s="227">
        <v>0.70962962962962972</v>
      </c>
      <c r="D10240" s="228">
        <v>10</v>
      </c>
      <c r="E10240" s="225" t="s">
        <v>8477</v>
      </c>
      <c r="F10240" s="225" t="s">
        <v>6946</v>
      </c>
    </row>
    <row r="10241" spans="2:6" ht="17.25" thickBot="1">
      <c r="B10241" s="226">
        <v>46174</v>
      </c>
      <c r="C10241" s="227">
        <v>0.67993055555555559</v>
      </c>
      <c r="D10241" s="228">
        <v>10</v>
      </c>
      <c r="E10241" s="225" t="s">
        <v>8480</v>
      </c>
      <c r="F10241" s="225" t="s">
        <v>6946</v>
      </c>
    </row>
    <row r="10242" spans="2:6" ht="17.25" thickBot="1">
      <c r="B10242" s="226">
        <v>46174</v>
      </c>
      <c r="C10242" s="227">
        <v>0.61643518518518514</v>
      </c>
      <c r="D10242" s="228">
        <v>10</v>
      </c>
      <c r="E10242" s="225" t="s">
        <v>8496</v>
      </c>
      <c r="F10242" s="225" t="s">
        <v>6946</v>
      </c>
    </row>
    <row r="10243" spans="2:6" ht="17.25" thickBot="1">
      <c r="B10243" s="226">
        <v>46174</v>
      </c>
      <c r="C10243" s="227">
        <v>0.65688657407407403</v>
      </c>
      <c r="D10243" s="228">
        <v>10</v>
      </c>
      <c r="E10243" s="225" t="s">
        <v>8487</v>
      </c>
      <c r="F10243" s="225" t="s">
        <v>6946</v>
      </c>
    </row>
    <row r="10244" spans="2:6" ht="17.25" thickBot="1">
      <c r="B10244" s="226">
        <v>46174</v>
      </c>
      <c r="C10244" s="227">
        <v>0.63364583333333335</v>
      </c>
      <c r="D10244" s="228">
        <v>10</v>
      </c>
      <c r="E10244" s="225" t="s">
        <v>8481</v>
      </c>
      <c r="F10244" s="225" t="s">
        <v>6946</v>
      </c>
    </row>
    <row r="10245" spans="2:6" ht="17.25" thickBot="1">
      <c r="B10245" s="226">
        <v>46174</v>
      </c>
      <c r="C10245" s="227">
        <v>0.69630787037037034</v>
      </c>
      <c r="D10245" s="228">
        <v>10</v>
      </c>
      <c r="E10245" s="225" t="s">
        <v>8478</v>
      </c>
      <c r="F10245" s="225" t="s">
        <v>6946</v>
      </c>
    </row>
    <row r="10246" spans="2:6" ht="17.25" thickBot="1">
      <c r="B10246" s="226">
        <v>46174</v>
      </c>
      <c r="C10246" s="227">
        <v>0.70929398148148148</v>
      </c>
      <c r="D10246" s="228">
        <v>10</v>
      </c>
      <c r="E10246" s="225" t="s">
        <v>2406</v>
      </c>
      <c r="F10246" s="225" t="s">
        <v>6946</v>
      </c>
    </row>
    <row r="10247" spans="2:6" ht="17.25" thickBot="1">
      <c r="B10247" s="226">
        <v>46174</v>
      </c>
      <c r="C10247" s="227">
        <v>0.90771990740740749</v>
      </c>
      <c r="D10247" s="228">
        <v>10</v>
      </c>
      <c r="E10247" s="225" t="s">
        <v>8919</v>
      </c>
      <c r="F10247" s="225" t="s">
        <v>6946</v>
      </c>
    </row>
    <row r="10248" spans="2:6" ht="17.25" thickBot="1">
      <c r="B10248" s="226">
        <v>46174</v>
      </c>
      <c r="C10248" s="227">
        <v>0.61615740740740743</v>
      </c>
      <c r="D10248" s="228">
        <v>10</v>
      </c>
      <c r="E10248" s="225" t="s">
        <v>8495</v>
      </c>
      <c r="F10248" s="225" t="s">
        <v>6946</v>
      </c>
    </row>
    <row r="10249" spans="2:6" ht="17.25" thickBot="1">
      <c r="B10249" s="226">
        <v>46174</v>
      </c>
      <c r="C10249" s="227">
        <v>0.70771990740740742</v>
      </c>
      <c r="D10249" s="228">
        <v>10</v>
      </c>
      <c r="E10249" s="225" t="s">
        <v>3286</v>
      </c>
      <c r="F10249" s="225" t="s">
        <v>6946</v>
      </c>
    </row>
    <row r="10250" spans="2:6" ht="17.25" thickBot="1">
      <c r="B10250" s="226">
        <v>46174</v>
      </c>
      <c r="C10250" s="227">
        <v>0.71206018518518521</v>
      </c>
      <c r="D10250" s="228">
        <v>10</v>
      </c>
      <c r="E10250" s="225" t="s">
        <v>8926</v>
      </c>
      <c r="F10250" s="225" t="s">
        <v>6946</v>
      </c>
    </row>
    <row r="10251" spans="2:6" ht="17.25" thickBot="1">
      <c r="B10251" s="226">
        <v>46174</v>
      </c>
      <c r="C10251" s="227">
        <v>0.65590277777777783</v>
      </c>
      <c r="D10251" s="228">
        <v>10</v>
      </c>
      <c r="E10251" s="225" t="s">
        <v>8485</v>
      </c>
      <c r="F10251" s="225" t="s">
        <v>6946</v>
      </c>
    </row>
    <row r="10252" spans="2:6" ht="17.25" thickBot="1">
      <c r="B10252" s="226">
        <v>46174</v>
      </c>
      <c r="C10252" s="227">
        <v>0.54603009259259261</v>
      </c>
      <c r="D10252" s="228">
        <v>10</v>
      </c>
      <c r="E10252" s="225" t="s">
        <v>8493</v>
      </c>
      <c r="F10252" s="225" t="s">
        <v>6946</v>
      </c>
    </row>
    <row r="10253" spans="2:6" ht="17.25" thickBot="1">
      <c r="B10253" s="226">
        <v>46174</v>
      </c>
      <c r="C10253" s="227">
        <v>0.74827546296296299</v>
      </c>
      <c r="D10253" s="228">
        <v>10</v>
      </c>
      <c r="E10253" s="225" t="s">
        <v>732</v>
      </c>
      <c r="F10253" s="225" t="s">
        <v>6946</v>
      </c>
    </row>
    <row r="10254" spans="2:6" ht="17.25" thickBot="1">
      <c r="B10254" s="226">
        <v>46174</v>
      </c>
      <c r="C10254" s="227">
        <v>0.59498842592592593</v>
      </c>
      <c r="D10254" s="228">
        <v>10</v>
      </c>
      <c r="E10254" s="225" t="s">
        <v>8498</v>
      </c>
      <c r="F10254" s="225" t="s">
        <v>6946</v>
      </c>
    </row>
    <row r="10255" spans="2:6" ht="17.25" thickBot="1">
      <c r="B10255" s="226">
        <v>46174</v>
      </c>
      <c r="C10255" s="227">
        <v>0.50250000000000006</v>
      </c>
      <c r="D10255" s="228">
        <v>10</v>
      </c>
      <c r="E10255" s="225" t="s">
        <v>8491</v>
      </c>
      <c r="F10255" s="225" t="s">
        <v>6946</v>
      </c>
    </row>
    <row r="10256" spans="2:6" ht="26.25" thickBot="1">
      <c r="B10256" s="226">
        <v>46174</v>
      </c>
      <c r="C10256" s="227">
        <v>0.70886574074074071</v>
      </c>
      <c r="D10256" s="228">
        <v>10</v>
      </c>
      <c r="E10256" s="225" t="s">
        <v>8474</v>
      </c>
      <c r="F10256" s="225" t="s">
        <v>6946</v>
      </c>
    </row>
    <row r="10257" spans="2:6" ht="17.25" thickBot="1">
      <c r="B10257" s="226">
        <v>46174</v>
      </c>
      <c r="C10257" s="227">
        <v>0.84146990740740746</v>
      </c>
      <c r="D10257" s="228">
        <v>10</v>
      </c>
      <c r="E10257" s="225" t="s">
        <v>8922</v>
      </c>
      <c r="F10257" s="225" t="s">
        <v>6946</v>
      </c>
    </row>
    <row r="10258" spans="2:6" ht="17.25" thickBot="1">
      <c r="B10258" s="226">
        <v>46174</v>
      </c>
      <c r="C10258" s="227">
        <v>0.45609953703703704</v>
      </c>
      <c r="D10258" s="228">
        <v>10</v>
      </c>
      <c r="E10258" s="225" t="s">
        <v>8500</v>
      </c>
      <c r="F10258" s="225" t="s">
        <v>6946</v>
      </c>
    </row>
    <row r="10259" spans="2:6" ht="17.25" thickBot="1">
      <c r="B10259" s="226">
        <v>46174</v>
      </c>
      <c r="C10259" s="227">
        <v>0.84832175925925923</v>
      </c>
      <c r="D10259" s="228">
        <v>10</v>
      </c>
      <c r="E10259" s="225" t="s">
        <v>8921</v>
      </c>
      <c r="F10259" s="225" t="s">
        <v>6946</v>
      </c>
    </row>
    <row r="10260" spans="2:6" ht="39" thickBot="1">
      <c r="B10260" s="226">
        <v>46174</v>
      </c>
      <c r="C10260" s="227">
        <v>0.90225694444444438</v>
      </c>
      <c r="D10260" s="228">
        <v>10</v>
      </c>
      <c r="E10260" s="225" t="s">
        <v>8920</v>
      </c>
      <c r="F10260" s="225" t="s">
        <v>6946</v>
      </c>
    </row>
    <row r="10261" spans="2:6" ht="17.25" thickBot="1">
      <c r="B10261" s="226">
        <v>46174</v>
      </c>
      <c r="C10261" s="227">
        <v>0.46695601851851848</v>
      </c>
      <c r="D10261" s="228">
        <v>10</v>
      </c>
      <c r="E10261" s="225" t="s">
        <v>8486</v>
      </c>
      <c r="F10261" s="225" t="s">
        <v>6946</v>
      </c>
    </row>
    <row r="10262" spans="2:6" ht="17.25" thickBot="1">
      <c r="B10262" s="226">
        <v>46174</v>
      </c>
      <c r="C10262" s="227">
        <v>0.41798611111111111</v>
      </c>
      <c r="D10262" s="228">
        <v>10</v>
      </c>
      <c r="E10262" s="225" t="s">
        <v>8488</v>
      </c>
      <c r="F10262" s="225" t="s">
        <v>6946</v>
      </c>
    </row>
    <row r="10263" spans="2:6" ht="17.25" thickBot="1">
      <c r="B10263" s="226">
        <v>46174</v>
      </c>
      <c r="C10263" s="227">
        <v>0.7322685185185186</v>
      </c>
      <c r="D10263" s="228">
        <v>10</v>
      </c>
      <c r="E10263" s="225" t="s">
        <v>8925</v>
      </c>
      <c r="F10263" s="225" t="s">
        <v>6946</v>
      </c>
    </row>
    <row r="10264" spans="2:6" ht="17.25" thickBot="1">
      <c r="B10264" s="226">
        <v>46174</v>
      </c>
      <c r="C10264" s="227">
        <v>0.61181712962962964</v>
      </c>
      <c r="D10264" s="228">
        <v>10</v>
      </c>
      <c r="E10264" s="225" t="s">
        <v>8492</v>
      </c>
      <c r="F10264" s="225" t="s">
        <v>6946</v>
      </c>
    </row>
    <row r="10265" spans="2:6" ht="17.25" thickBot="1">
      <c r="B10265" s="226">
        <v>46174</v>
      </c>
      <c r="C10265" s="227">
        <v>0.4947685185185185</v>
      </c>
      <c r="D10265" s="228">
        <v>10</v>
      </c>
      <c r="E10265" s="225" t="s">
        <v>8497</v>
      </c>
      <c r="F10265" s="225" t="s">
        <v>6946</v>
      </c>
    </row>
    <row r="10266" spans="2:6" ht="17.25" thickBot="1">
      <c r="B10266" s="226">
        <v>46174</v>
      </c>
      <c r="C10266" s="227">
        <v>0.74876157407407407</v>
      </c>
      <c r="D10266" s="228">
        <v>10</v>
      </c>
      <c r="E10266" s="225" t="s">
        <v>8923</v>
      </c>
      <c r="F10266" s="225" t="s">
        <v>6946</v>
      </c>
    </row>
    <row r="10267" spans="2:6" ht="17.25" thickBot="1">
      <c r="B10267" s="226">
        <v>46174</v>
      </c>
      <c r="C10267" s="227">
        <v>0.45310185185185187</v>
      </c>
      <c r="D10267" s="228">
        <v>10</v>
      </c>
      <c r="E10267" s="225" t="s">
        <v>8084</v>
      </c>
      <c r="F10267" s="225" t="s">
        <v>6946</v>
      </c>
    </row>
    <row r="10268" spans="2:6" ht="17.25" thickBot="1">
      <c r="B10268" s="226">
        <v>46174</v>
      </c>
      <c r="C10268" s="227">
        <v>0.41239583333333335</v>
      </c>
      <c r="D10268" s="228">
        <v>10</v>
      </c>
      <c r="E10268" s="225" t="s">
        <v>8494</v>
      </c>
      <c r="F10268" s="225" t="s">
        <v>6946</v>
      </c>
    </row>
    <row r="10269" spans="2:6" ht="17.25" thickBot="1">
      <c r="B10269" s="226">
        <v>46174</v>
      </c>
      <c r="C10269" s="227">
        <v>0.50484953703703705</v>
      </c>
      <c r="D10269" s="228">
        <v>10</v>
      </c>
      <c r="E10269" s="225" t="s">
        <v>8482</v>
      </c>
      <c r="F10269" s="225" t="s">
        <v>6946</v>
      </c>
    </row>
    <row r="10270" spans="2:6" ht="17.25" thickBot="1">
      <c r="B10270" s="226">
        <v>46174</v>
      </c>
      <c r="C10270" s="227">
        <v>0.88385416666666661</v>
      </c>
      <c r="D10270" s="228">
        <v>10</v>
      </c>
      <c r="E10270" s="225" t="s">
        <v>3582</v>
      </c>
      <c r="F10270" s="225" t="s">
        <v>6946</v>
      </c>
    </row>
    <row r="10271" spans="2:6" ht="17.25" thickBot="1">
      <c r="B10271" s="226">
        <v>46174</v>
      </c>
      <c r="C10271" s="227">
        <v>0.66116898148148151</v>
      </c>
      <c r="D10271" s="228">
        <v>10</v>
      </c>
      <c r="E10271" s="225" t="s">
        <v>8489</v>
      </c>
      <c r="F10271" s="225" t="s">
        <v>6946</v>
      </c>
    </row>
    <row r="10272" spans="2:6" ht="17.25" thickBot="1">
      <c r="B10272" s="226">
        <v>46174</v>
      </c>
      <c r="C10272" s="227">
        <v>0.38787037037037037</v>
      </c>
      <c r="D10272" s="228">
        <v>10</v>
      </c>
      <c r="E10272" s="225" t="s">
        <v>8490</v>
      </c>
      <c r="F10272" s="225" t="s">
        <v>6946</v>
      </c>
    </row>
    <row r="10273" spans="2:6" ht="17.25" thickBot="1">
      <c r="B10273" s="226">
        <v>46172</v>
      </c>
      <c r="C10273" s="227">
        <v>0.65945601851851854</v>
      </c>
      <c r="D10273" s="228">
        <v>10</v>
      </c>
      <c r="E10273" s="225" t="s">
        <v>8427</v>
      </c>
      <c r="F10273" s="225" t="s">
        <v>6946</v>
      </c>
    </row>
    <row r="10274" spans="2:6" ht="17.25" thickBot="1">
      <c r="B10274" s="226">
        <v>46172</v>
      </c>
      <c r="C10274" s="227">
        <v>0.48341435185185189</v>
      </c>
      <c r="D10274" s="228">
        <v>10</v>
      </c>
      <c r="E10274" s="225" t="s">
        <v>8428</v>
      </c>
      <c r="F10274" s="225" t="s">
        <v>6946</v>
      </c>
    </row>
    <row r="10275" spans="2:6" ht="17.25" thickBot="1">
      <c r="B10275" s="226">
        <v>46172</v>
      </c>
      <c r="C10275" s="227">
        <v>0.4817939814814815</v>
      </c>
      <c r="D10275" s="228">
        <v>10</v>
      </c>
      <c r="E10275" s="225" t="s">
        <v>8429</v>
      </c>
      <c r="F10275" s="225" t="s">
        <v>6946</v>
      </c>
    </row>
    <row r="10276" spans="2:6" ht="17.25" thickBot="1">
      <c r="B10276" s="226">
        <v>46172</v>
      </c>
      <c r="C10276" s="227">
        <v>0.43618055555555557</v>
      </c>
      <c r="D10276" s="228">
        <v>10</v>
      </c>
      <c r="E10276" s="225" t="s">
        <v>8430</v>
      </c>
      <c r="F10276" s="225" t="s">
        <v>6946</v>
      </c>
    </row>
    <row r="10277" spans="2:6" ht="17.25" thickBot="1">
      <c r="B10277" s="226">
        <v>46172</v>
      </c>
      <c r="C10277" s="227">
        <v>0.42935185185185182</v>
      </c>
      <c r="D10277" s="228">
        <v>10</v>
      </c>
      <c r="E10277" s="225" t="s">
        <v>1526</v>
      </c>
      <c r="F10277" s="225" t="s">
        <v>6946</v>
      </c>
    </row>
    <row r="10278" spans="2:6" ht="26.25" thickBot="1">
      <c r="B10278" s="226">
        <v>46172</v>
      </c>
      <c r="C10278" s="227">
        <v>0.47315972222222219</v>
      </c>
      <c r="D10278" s="228">
        <v>10</v>
      </c>
      <c r="E10278" s="225" t="s">
        <v>8431</v>
      </c>
      <c r="F10278" s="225" t="s">
        <v>6946</v>
      </c>
    </row>
    <row r="10279" spans="2:6" ht="17.25" thickBot="1">
      <c r="B10279" s="226">
        <v>46172</v>
      </c>
      <c r="C10279" s="227">
        <v>0.41739583333333335</v>
      </c>
      <c r="D10279" s="228">
        <v>10</v>
      </c>
      <c r="E10279" s="225" t="s">
        <v>8432</v>
      </c>
      <c r="F10279" s="225" t="s">
        <v>6946</v>
      </c>
    </row>
    <row r="10280" spans="2:6" ht="17.25" thickBot="1">
      <c r="B10280" s="226">
        <v>46172</v>
      </c>
      <c r="C10280" s="227">
        <v>0.51513888888888892</v>
      </c>
      <c r="D10280" s="228">
        <v>10</v>
      </c>
      <c r="E10280" s="225" t="s">
        <v>132</v>
      </c>
      <c r="F10280" s="225" t="s">
        <v>6946</v>
      </c>
    </row>
    <row r="10281" spans="2:6" ht="17.25" thickBot="1">
      <c r="B10281" s="226">
        <v>46172</v>
      </c>
      <c r="C10281" s="227">
        <v>0.4283912037037037</v>
      </c>
      <c r="D10281" s="228">
        <v>10</v>
      </c>
      <c r="E10281" s="225" t="s">
        <v>8433</v>
      </c>
      <c r="F10281" s="225" t="s">
        <v>6946</v>
      </c>
    </row>
    <row r="10282" spans="2:6" ht="17.25" thickBot="1">
      <c r="B10282" s="226">
        <v>46172</v>
      </c>
      <c r="C10282" s="227">
        <v>0.71377314814814818</v>
      </c>
      <c r="D10282" s="228">
        <v>10</v>
      </c>
      <c r="E10282" s="225" t="s">
        <v>8434</v>
      </c>
      <c r="F10282" s="225" t="s">
        <v>6946</v>
      </c>
    </row>
    <row r="10283" spans="2:6" ht="17.25" thickBot="1">
      <c r="B10283" s="226">
        <v>46172</v>
      </c>
      <c r="C10283" s="227">
        <v>0.65081018518518519</v>
      </c>
      <c r="D10283" s="228">
        <v>10</v>
      </c>
      <c r="E10283" s="225" t="s">
        <v>8435</v>
      </c>
      <c r="F10283" s="225" t="s">
        <v>6946</v>
      </c>
    </row>
    <row r="10284" spans="2:6" ht="26.25" thickBot="1">
      <c r="B10284" s="226">
        <v>46172</v>
      </c>
      <c r="C10284" s="227">
        <v>0.73728009259259253</v>
      </c>
      <c r="D10284" s="228">
        <v>10</v>
      </c>
      <c r="E10284" s="225" t="s">
        <v>8436</v>
      </c>
      <c r="F10284" s="225" t="s">
        <v>6946</v>
      </c>
    </row>
    <row r="10285" spans="2:6" ht="17.25" thickBot="1">
      <c r="B10285" s="226">
        <v>46172</v>
      </c>
      <c r="C10285" s="227">
        <v>0.50924768518518515</v>
      </c>
      <c r="D10285" s="228">
        <v>10</v>
      </c>
      <c r="E10285" s="225" t="s">
        <v>8437</v>
      </c>
      <c r="F10285" s="225" t="s">
        <v>6946</v>
      </c>
    </row>
    <row r="10286" spans="2:6" ht="17.25" thickBot="1">
      <c r="B10286" s="226">
        <v>46172</v>
      </c>
      <c r="C10286" s="227">
        <v>0.57608796296296294</v>
      </c>
      <c r="D10286" s="228">
        <v>10</v>
      </c>
      <c r="E10286" s="225" t="s">
        <v>8438</v>
      </c>
      <c r="F10286" s="225" t="s">
        <v>6946</v>
      </c>
    </row>
    <row r="10287" spans="2:6" ht="17.25" thickBot="1">
      <c r="B10287" s="226">
        <v>46172</v>
      </c>
      <c r="C10287" s="227">
        <v>0.69218750000000007</v>
      </c>
      <c r="D10287" s="228">
        <v>10</v>
      </c>
      <c r="E10287" s="225" t="s">
        <v>2500</v>
      </c>
      <c r="F10287" s="225" t="s">
        <v>6946</v>
      </c>
    </row>
    <row r="10288" spans="2:6" ht="17.25" thickBot="1">
      <c r="B10288" s="226">
        <v>46172</v>
      </c>
      <c r="C10288" s="227">
        <v>0.61729166666666668</v>
      </c>
      <c r="D10288" s="228">
        <v>10</v>
      </c>
      <c r="E10288" s="225" t="s">
        <v>8439</v>
      </c>
      <c r="F10288" s="225" t="s">
        <v>6946</v>
      </c>
    </row>
    <row r="10289" spans="2:6" ht="17.25" thickBot="1">
      <c r="B10289" s="226">
        <v>46172</v>
      </c>
      <c r="C10289" s="227">
        <v>0.48765046296296299</v>
      </c>
      <c r="D10289" s="228">
        <v>10</v>
      </c>
      <c r="E10289" s="225" t="s">
        <v>8440</v>
      </c>
      <c r="F10289" s="225" t="s">
        <v>6946</v>
      </c>
    </row>
    <row r="10290" spans="2:6" ht="17.25" thickBot="1">
      <c r="B10290" s="226">
        <v>46172</v>
      </c>
      <c r="C10290" s="227">
        <v>0.43030092592592589</v>
      </c>
      <c r="D10290" s="228">
        <v>10</v>
      </c>
      <c r="E10290" s="225" t="s">
        <v>8441</v>
      </c>
      <c r="F10290" s="225" t="s">
        <v>6946</v>
      </c>
    </row>
    <row r="10291" spans="2:6" ht="17.25" thickBot="1">
      <c r="B10291" s="226">
        <v>46172</v>
      </c>
      <c r="C10291" s="227">
        <v>0.4782986111111111</v>
      </c>
      <c r="D10291" s="228">
        <v>10</v>
      </c>
      <c r="E10291" s="225" t="s">
        <v>4234</v>
      </c>
      <c r="F10291" s="225" t="s">
        <v>6946</v>
      </c>
    </row>
    <row r="10292" spans="2:6" ht="17.25" thickBot="1">
      <c r="B10292" s="226">
        <v>46171</v>
      </c>
      <c r="C10292" s="227">
        <v>0.64320601851851855</v>
      </c>
      <c r="D10292" s="228">
        <v>10</v>
      </c>
      <c r="E10292" s="225" t="s">
        <v>8461</v>
      </c>
      <c r="F10292" s="225" t="s">
        <v>6946</v>
      </c>
    </row>
    <row r="10293" spans="2:6" ht="17.25" thickBot="1">
      <c r="B10293" s="226">
        <v>46171</v>
      </c>
      <c r="C10293" s="227">
        <v>0.84881944444444446</v>
      </c>
      <c r="D10293" s="228">
        <v>10</v>
      </c>
      <c r="E10293" s="225" t="s">
        <v>8442</v>
      </c>
      <c r="F10293" s="225" t="s">
        <v>6946</v>
      </c>
    </row>
    <row r="10294" spans="2:6" ht="17.25" thickBot="1">
      <c r="B10294" s="226">
        <v>46171</v>
      </c>
      <c r="C10294" s="227">
        <v>0.81712962962962965</v>
      </c>
      <c r="D10294" s="228">
        <v>10</v>
      </c>
      <c r="E10294" s="225" t="s">
        <v>6355</v>
      </c>
      <c r="F10294" s="225" t="s">
        <v>6946</v>
      </c>
    </row>
    <row r="10295" spans="2:6" ht="17.25" thickBot="1">
      <c r="B10295" s="226">
        <v>46171</v>
      </c>
      <c r="C10295" s="227">
        <v>0.81704861111111116</v>
      </c>
      <c r="D10295" s="228">
        <v>10</v>
      </c>
      <c r="E10295" s="225" t="s">
        <v>1291</v>
      </c>
      <c r="F10295" s="225" t="s">
        <v>6946</v>
      </c>
    </row>
    <row r="10296" spans="2:6" ht="17.25" thickBot="1">
      <c r="B10296" s="226">
        <v>46171</v>
      </c>
      <c r="C10296" s="227">
        <v>0.68606481481481485</v>
      </c>
      <c r="D10296" s="228">
        <v>10</v>
      </c>
      <c r="E10296" s="225" t="s">
        <v>8451</v>
      </c>
      <c r="F10296" s="225" t="s">
        <v>6946</v>
      </c>
    </row>
    <row r="10297" spans="2:6" ht="17.25" thickBot="1">
      <c r="B10297" s="226">
        <v>46171</v>
      </c>
      <c r="C10297" s="227">
        <v>0.74078703703703708</v>
      </c>
      <c r="D10297" s="228">
        <v>10</v>
      </c>
      <c r="E10297" s="225" t="s">
        <v>8443</v>
      </c>
      <c r="F10297" s="225" t="s">
        <v>6946</v>
      </c>
    </row>
    <row r="10298" spans="2:6" ht="17.25" thickBot="1">
      <c r="B10298" s="226">
        <v>46171</v>
      </c>
      <c r="C10298" s="227">
        <v>0.74202546296296301</v>
      </c>
      <c r="D10298" s="228">
        <v>10</v>
      </c>
      <c r="E10298" s="225" t="s">
        <v>8445</v>
      </c>
      <c r="F10298" s="225" t="s">
        <v>6946</v>
      </c>
    </row>
    <row r="10299" spans="2:6" ht="17.25" thickBot="1">
      <c r="B10299" s="226">
        <v>46171</v>
      </c>
      <c r="C10299" s="227">
        <v>0.74825231481481491</v>
      </c>
      <c r="D10299" s="228">
        <v>10</v>
      </c>
      <c r="E10299" s="225" t="s">
        <v>1042</v>
      </c>
      <c r="F10299" s="225" t="s">
        <v>6946</v>
      </c>
    </row>
    <row r="10300" spans="2:6" ht="17.25" thickBot="1">
      <c r="B10300" s="226">
        <v>46171</v>
      </c>
      <c r="C10300" s="227">
        <v>0.78711805555555558</v>
      </c>
      <c r="D10300" s="228">
        <v>10</v>
      </c>
      <c r="E10300" s="225" t="s">
        <v>8446</v>
      </c>
      <c r="F10300" s="225" t="s">
        <v>6946</v>
      </c>
    </row>
    <row r="10301" spans="2:6" ht="17.25" thickBot="1">
      <c r="B10301" s="226">
        <v>46171</v>
      </c>
      <c r="C10301" s="227">
        <v>0.86284722222222221</v>
      </c>
      <c r="D10301" s="228">
        <v>10</v>
      </c>
      <c r="E10301" s="225" t="s">
        <v>8447</v>
      </c>
      <c r="F10301" s="225" t="s">
        <v>6946</v>
      </c>
    </row>
    <row r="10302" spans="2:6" ht="17.25" thickBot="1">
      <c r="B10302" s="226">
        <v>46171</v>
      </c>
      <c r="C10302" s="227">
        <v>0.74372685185185183</v>
      </c>
      <c r="D10302" s="228">
        <v>10</v>
      </c>
      <c r="E10302" s="225" t="s">
        <v>8450</v>
      </c>
      <c r="F10302" s="225" t="s">
        <v>6946</v>
      </c>
    </row>
    <row r="10303" spans="2:6" ht="17.25" thickBot="1">
      <c r="B10303" s="226">
        <v>46171</v>
      </c>
      <c r="C10303" s="227">
        <v>0.69243055555555555</v>
      </c>
      <c r="D10303" s="228">
        <v>10</v>
      </c>
      <c r="E10303" s="225" t="s">
        <v>8460</v>
      </c>
      <c r="F10303" s="225" t="s">
        <v>6946</v>
      </c>
    </row>
    <row r="10304" spans="2:6" ht="17.25" thickBot="1">
      <c r="B10304" s="226">
        <v>46171</v>
      </c>
      <c r="C10304" s="227">
        <v>0.60506944444444444</v>
      </c>
      <c r="D10304" s="228">
        <v>10</v>
      </c>
      <c r="E10304" s="225" t="s">
        <v>8448</v>
      </c>
      <c r="F10304" s="225" t="s">
        <v>6946</v>
      </c>
    </row>
    <row r="10305" spans="2:6" ht="17.25" thickBot="1">
      <c r="B10305" s="226">
        <v>46171</v>
      </c>
      <c r="C10305" s="227">
        <v>0.62807870370370367</v>
      </c>
      <c r="D10305" s="228">
        <v>10</v>
      </c>
      <c r="E10305" s="225" t="s">
        <v>2385</v>
      </c>
      <c r="F10305" s="225" t="s">
        <v>6946</v>
      </c>
    </row>
    <row r="10306" spans="2:6" ht="17.25" thickBot="1">
      <c r="B10306" s="226">
        <v>46171</v>
      </c>
      <c r="C10306" s="227">
        <v>0.74100694444444448</v>
      </c>
      <c r="D10306" s="228">
        <v>10</v>
      </c>
      <c r="E10306" s="225" t="s">
        <v>8453</v>
      </c>
      <c r="F10306" s="225" t="s">
        <v>6946</v>
      </c>
    </row>
    <row r="10307" spans="2:6" ht="17.25" thickBot="1">
      <c r="B10307" s="226">
        <v>46171</v>
      </c>
      <c r="C10307" s="227">
        <v>0.62002314814814818</v>
      </c>
      <c r="D10307" s="228">
        <v>10</v>
      </c>
      <c r="E10307" s="225" t="s">
        <v>8458</v>
      </c>
      <c r="F10307" s="225" t="s">
        <v>6946</v>
      </c>
    </row>
    <row r="10308" spans="2:6" ht="17.25" thickBot="1">
      <c r="B10308" s="226">
        <v>46171</v>
      </c>
      <c r="C10308" s="227">
        <v>0.57290509259259259</v>
      </c>
      <c r="D10308" s="228">
        <v>10</v>
      </c>
      <c r="E10308" s="225" t="s">
        <v>8449</v>
      </c>
      <c r="F10308" s="225" t="s">
        <v>6946</v>
      </c>
    </row>
    <row r="10309" spans="2:6" ht="17.25" thickBot="1">
      <c r="B10309" s="226">
        <v>46171</v>
      </c>
      <c r="C10309" s="227">
        <v>0.62646990740740738</v>
      </c>
      <c r="D10309" s="228">
        <v>10</v>
      </c>
      <c r="E10309" s="225" t="s">
        <v>739</v>
      </c>
      <c r="F10309" s="225" t="s">
        <v>6946</v>
      </c>
    </row>
    <row r="10310" spans="2:6" ht="17.25" thickBot="1">
      <c r="B10310" s="226">
        <v>46171</v>
      </c>
      <c r="C10310" s="227">
        <v>0.75006944444444434</v>
      </c>
      <c r="D10310" s="228">
        <v>10</v>
      </c>
      <c r="E10310" s="225" t="s">
        <v>8454</v>
      </c>
      <c r="F10310" s="225" t="s">
        <v>6946</v>
      </c>
    </row>
    <row r="10311" spans="2:6" ht="17.25" thickBot="1">
      <c r="B10311" s="226">
        <v>46171</v>
      </c>
      <c r="C10311" s="227">
        <v>0.67539351851851848</v>
      </c>
      <c r="D10311" s="228">
        <v>10</v>
      </c>
      <c r="E10311" s="225" t="s">
        <v>8452</v>
      </c>
      <c r="F10311" s="225" t="s">
        <v>6946</v>
      </c>
    </row>
    <row r="10312" spans="2:6" ht="17.25" thickBot="1">
      <c r="B10312" s="226">
        <v>46171</v>
      </c>
      <c r="C10312" s="227">
        <v>0.58724537037037039</v>
      </c>
      <c r="D10312" s="228">
        <v>10</v>
      </c>
      <c r="E10312" s="225" t="s">
        <v>8444</v>
      </c>
      <c r="F10312" s="225" t="s">
        <v>6946</v>
      </c>
    </row>
    <row r="10313" spans="2:6" ht="17.25" thickBot="1">
      <c r="B10313" s="226">
        <v>46171</v>
      </c>
      <c r="C10313" s="227">
        <v>0.80303240740740733</v>
      </c>
      <c r="D10313" s="228">
        <v>10</v>
      </c>
      <c r="E10313" s="225" t="s">
        <v>8456</v>
      </c>
      <c r="F10313" s="225" t="s">
        <v>6946</v>
      </c>
    </row>
    <row r="10314" spans="2:6" ht="17.25" thickBot="1">
      <c r="B10314" s="226">
        <v>46171</v>
      </c>
      <c r="C10314" s="227">
        <v>0.59627314814814814</v>
      </c>
      <c r="D10314" s="228">
        <v>10</v>
      </c>
      <c r="E10314" s="225" t="s">
        <v>1434</v>
      </c>
      <c r="F10314" s="225" t="s">
        <v>6946</v>
      </c>
    </row>
    <row r="10315" spans="2:6" ht="17.25" thickBot="1">
      <c r="B10315" s="226">
        <v>46171</v>
      </c>
      <c r="C10315" s="227">
        <v>0.75116898148148159</v>
      </c>
      <c r="D10315" s="228">
        <v>10</v>
      </c>
      <c r="E10315" s="225" t="s">
        <v>246</v>
      </c>
      <c r="F10315" s="225" t="s">
        <v>6946</v>
      </c>
    </row>
    <row r="10316" spans="2:6" ht="17.25" thickBot="1">
      <c r="B10316" s="226">
        <v>46171</v>
      </c>
      <c r="C10316" s="227">
        <v>0.53160879629629632</v>
      </c>
      <c r="D10316" s="228">
        <v>10</v>
      </c>
      <c r="E10316" s="225" t="s">
        <v>8455</v>
      </c>
      <c r="F10316" s="225" t="s">
        <v>6946</v>
      </c>
    </row>
    <row r="10317" spans="2:6" ht="17.25" thickBot="1">
      <c r="B10317" s="226">
        <v>46171</v>
      </c>
      <c r="C10317" s="227">
        <v>0.6778819444444445</v>
      </c>
      <c r="D10317" s="228">
        <v>10</v>
      </c>
      <c r="E10317" s="225" t="s">
        <v>8457</v>
      </c>
      <c r="F10317" s="225" t="s">
        <v>6946</v>
      </c>
    </row>
    <row r="10318" spans="2:6" ht="17.25" thickBot="1">
      <c r="B10318" s="226">
        <v>46171</v>
      </c>
      <c r="C10318" s="227">
        <v>0.7208564814814814</v>
      </c>
      <c r="D10318" s="228">
        <v>10</v>
      </c>
      <c r="E10318" s="225" t="s">
        <v>132</v>
      </c>
      <c r="F10318" s="225" t="s">
        <v>6946</v>
      </c>
    </row>
    <row r="10319" spans="2:6" ht="17.25" thickBot="1">
      <c r="B10319" s="226">
        <v>46171</v>
      </c>
      <c r="C10319" s="227">
        <v>0.69856481481481481</v>
      </c>
      <c r="D10319" s="228">
        <v>10</v>
      </c>
      <c r="E10319" s="225" t="s">
        <v>8462</v>
      </c>
      <c r="F10319" s="225" t="s">
        <v>6946</v>
      </c>
    </row>
    <row r="10320" spans="2:6" ht="17.25" thickBot="1">
      <c r="B10320" s="226">
        <v>46171</v>
      </c>
      <c r="C10320" s="227">
        <v>0.72406250000000005</v>
      </c>
      <c r="D10320" s="228">
        <v>10</v>
      </c>
      <c r="E10320" s="225" t="s">
        <v>132</v>
      </c>
      <c r="F10320" s="225" t="s">
        <v>6946</v>
      </c>
    </row>
    <row r="10321" spans="2:6" ht="17.25" thickBot="1">
      <c r="B10321" s="226">
        <v>46171</v>
      </c>
      <c r="C10321" s="227">
        <v>0.51935185185185184</v>
      </c>
      <c r="D10321" s="228">
        <v>10</v>
      </c>
      <c r="E10321" s="225"/>
      <c r="F10321" s="225" t="s">
        <v>6946</v>
      </c>
    </row>
    <row r="10322" spans="2:6" ht="17.25" thickBot="1">
      <c r="B10322" s="226">
        <v>46171</v>
      </c>
      <c r="C10322" s="227">
        <v>0.46383101851851855</v>
      </c>
      <c r="D10322" s="228">
        <v>10</v>
      </c>
      <c r="E10322" s="225" t="s">
        <v>690</v>
      </c>
      <c r="F10322" s="225" t="s">
        <v>6946</v>
      </c>
    </row>
    <row r="10323" spans="2:6" ht="17.25" thickBot="1">
      <c r="B10323" s="226">
        <v>46171</v>
      </c>
      <c r="C10323" s="227">
        <v>0.49856481481481479</v>
      </c>
      <c r="D10323" s="228">
        <v>10</v>
      </c>
      <c r="E10323" s="225" t="s">
        <v>8464</v>
      </c>
      <c r="F10323" s="225" t="s">
        <v>6946</v>
      </c>
    </row>
    <row r="10324" spans="2:6" ht="39" thickBot="1">
      <c r="B10324" s="226">
        <v>46171</v>
      </c>
      <c r="C10324" s="227">
        <v>0.52143518518518517</v>
      </c>
      <c r="D10324" s="228">
        <v>10</v>
      </c>
      <c r="E10324" s="225" t="s">
        <v>8471</v>
      </c>
      <c r="F10324" s="225" t="s">
        <v>6946</v>
      </c>
    </row>
    <row r="10325" spans="2:6" ht="17.25" thickBot="1">
      <c r="B10325" s="226">
        <v>46171</v>
      </c>
      <c r="C10325" s="227">
        <v>0.4450115740740741</v>
      </c>
      <c r="D10325" s="228">
        <v>10</v>
      </c>
      <c r="E10325" s="225" t="s">
        <v>8469</v>
      </c>
      <c r="F10325" s="225" t="s">
        <v>6946</v>
      </c>
    </row>
    <row r="10326" spans="2:6" ht="17.25" thickBot="1">
      <c r="B10326" s="226">
        <v>46171</v>
      </c>
      <c r="C10326" s="227">
        <v>0.51314814814814813</v>
      </c>
      <c r="D10326" s="228">
        <v>10</v>
      </c>
      <c r="E10326" s="225" t="s">
        <v>8465</v>
      </c>
      <c r="F10326" s="225" t="s">
        <v>6946</v>
      </c>
    </row>
    <row r="10327" spans="2:6" ht="17.25" thickBot="1">
      <c r="B10327" s="226">
        <v>46171</v>
      </c>
      <c r="C10327" s="227">
        <v>0.46361111111111114</v>
      </c>
      <c r="D10327" s="228">
        <v>10</v>
      </c>
      <c r="E10327" s="225" t="s">
        <v>2584</v>
      </c>
      <c r="F10327" s="225" t="s">
        <v>6946</v>
      </c>
    </row>
    <row r="10328" spans="2:6" ht="17.25" thickBot="1">
      <c r="B10328" s="226">
        <v>46171</v>
      </c>
      <c r="C10328" s="227">
        <v>0.47740740740740745</v>
      </c>
      <c r="D10328" s="228">
        <v>10</v>
      </c>
      <c r="E10328" s="225" t="s">
        <v>8467</v>
      </c>
      <c r="F10328" s="225" t="s">
        <v>6946</v>
      </c>
    </row>
    <row r="10329" spans="2:6" ht="17.25" thickBot="1">
      <c r="B10329" s="226">
        <v>46171</v>
      </c>
      <c r="C10329" s="227">
        <v>0.46089120370370368</v>
      </c>
      <c r="D10329" s="228">
        <v>10</v>
      </c>
      <c r="E10329" s="225" t="s">
        <v>8468</v>
      </c>
      <c r="F10329" s="225" t="s">
        <v>6946</v>
      </c>
    </row>
    <row r="10330" spans="2:6" ht="17.25" thickBot="1">
      <c r="B10330" s="226">
        <v>46171</v>
      </c>
      <c r="C10330" s="227">
        <v>0.50474537037037037</v>
      </c>
      <c r="D10330" s="228">
        <v>10</v>
      </c>
      <c r="E10330" s="225" t="s">
        <v>8466</v>
      </c>
      <c r="F10330" s="225" t="s">
        <v>6946</v>
      </c>
    </row>
    <row r="10331" spans="2:6" ht="17.25" thickBot="1">
      <c r="B10331" s="226">
        <v>46171</v>
      </c>
      <c r="C10331" s="227">
        <v>0.4450810185185185</v>
      </c>
      <c r="D10331" s="228">
        <v>10</v>
      </c>
      <c r="E10331" s="225" t="s">
        <v>288</v>
      </c>
      <c r="F10331" s="225" t="s">
        <v>6946</v>
      </c>
    </row>
    <row r="10332" spans="2:6" ht="17.25" thickBot="1">
      <c r="B10332" s="226">
        <v>46171</v>
      </c>
      <c r="C10332" s="227">
        <v>0.44200231481481483</v>
      </c>
      <c r="D10332" s="228">
        <v>10</v>
      </c>
      <c r="E10332" s="225" t="s">
        <v>8463</v>
      </c>
      <c r="F10332" s="225" t="s">
        <v>6946</v>
      </c>
    </row>
    <row r="10333" spans="2:6" ht="17.25" thickBot="1">
      <c r="B10333" s="226">
        <v>46171</v>
      </c>
      <c r="C10333" s="227">
        <v>0.41172453703703704</v>
      </c>
      <c r="D10333" s="228">
        <v>10</v>
      </c>
      <c r="E10333" s="225" t="s">
        <v>8472</v>
      </c>
      <c r="F10333" s="225" t="s">
        <v>6946</v>
      </c>
    </row>
    <row r="10334" spans="2:6" ht="17.25" thickBot="1">
      <c r="B10334" s="226">
        <v>46171</v>
      </c>
      <c r="C10334" s="227">
        <v>0.4324305555555556</v>
      </c>
      <c r="D10334" s="228">
        <v>10</v>
      </c>
      <c r="E10334" s="225" t="s">
        <v>8470</v>
      </c>
      <c r="F10334" s="225" t="s">
        <v>6946</v>
      </c>
    </row>
    <row r="10335" spans="2:6" ht="17.25" thickBot="1">
      <c r="B10335" s="226">
        <v>46171</v>
      </c>
      <c r="C10335" s="227">
        <v>0.43605324074074076</v>
      </c>
      <c r="D10335" s="228">
        <v>10</v>
      </c>
      <c r="E10335" s="225" t="s">
        <v>8473</v>
      </c>
      <c r="F10335" s="225" t="s">
        <v>6946</v>
      </c>
    </row>
    <row r="10336" spans="2:6" ht="17.25" thickBot="1">
      <c r="B10336" s="226">
        <v>46171</v>
      </c>
      <c r="C10336" s="227">
        <v>0.52243055555555562</v>
      </c>
      <c r="D10336" s="228">
        <v>10</v>
      </c>
      <c r="E10336" s="225" t="s">
        <v>8459</v>
      </c>
      <c r="F10336" s="225" t="s">
        <v>6946</v>
      </c>
    </row>
    <row r="10337" spans="2:6" ht="17.25" thickBot="1">
      <c r="B10337" s="226">
        <v>46170</v>
      </c>
      <c r="C10337" s="227">
        <v>0.66543981481481485</v>
      </c>
      <c r="D10337" s="228">
        <v>10</v>
      </c>
      <c r="E10337" s="225" t="s">
        <v>8404</v>
      </c>
      <c r="F10337" s="225" t="s">
        <v>6946</v>
      </c>
    </row>
    <row r="10338" spans="2:6" ht="17.25" thickBot="1">
      <c r="B10338" s="226">
        <v>46170</v>
      </c>
      <c r="C10338" s="227">
        <v>0.70317129629629627</v>
      </c>
      <c r="D10338" s="228">
        <v>10</v>
      </c>
      <c r="E10338" s="225" t="s">
        <v>8417</v>
      </c>
      <c r="F10338" s="225" t="s">
        <v>6946</v>
      </c>
    </row>
    <row r="10339" spans="2:6" ht="17.25" thickBot="1">
      <c r="B10339" s="226">
        <v>46170</v>
      </c>
      <c r="C10339" s="227">
        <v>0.71741898148148142</v>
      </c>
      <c r="D10339" s="228">
        <v>10</v>
      </c>
      <c r="E10339" s="225" t="s">
        <v>288</v>
      </c>
      <c r="F10339" s="225" t="s">
        <v>6946</v>
      </c>
    </row>
    <row r="10340" spans="2:6" ht="17.25" thickBot="1">
      <c r="B10340" s="226">
        <v>46170</v>
      </c>
      <c r="C10340" s="227">
        <v>0.81996527777777783</v>
      </c>
      <c r="D10340" s="228">
        <v>10</v>
      </c>
      <c r="E10340" s="225" t="s">
        <v>8396</v>
      </c>
      <c r="F10340" s="225" t="s">
        <v>6946</v>
      </c>
    </row>
    <row r="10341" spans="2:6" ht="17.25" thickBot="1">
      <c r="B10341" s="226">
        <v>46170</v>
      </c>
      <c r="C10341" s="227">
        <v>0.74870370370370365</v>
      </c>
      <c r="D10341" s="228">
        <v>10</v>
      </c>
      <c r="E10341" s="225" t="s">
        <v>8387</v>
      </c>
      <c r="F10341" s="225" t="s">
        <v>6946</v>
      </c>
    </row>
    <row r="10342" spans="2:6" ht="17.25" thickBot="1">
      <c r="B10342" s="226">
        <v>46170</v>
      </c>
      <c r="C10342" s="227">
        <v>0.70815972222222223</v>
      </c>
      <c r="D10342" s="228">
        <v>10</v>
      </c>
      <c r="E10342" s="225" t="s">
        <v>132</v>
      </c>
      <c r="F10342" s="225" t="s">
        <v>6946</v>
      </c>
    </row>
    <row r="10343" spans="2:6" ht="17.25" thickBot="1">
      <c r="B10343" s="226">
        <v>46170</v>
      </c>
      <c r="C10343" s="227">
        <v>0.75351851851851848</v>
      </c>
      <c r="D10343" s="228">
        <v>10</v>
      </c>
      <c r="E10343" s="225" t="s">
        <v>8397</v>
      </c>
      <c r="F10343" s="225" t="s">
        <v>6946</v>
      </c>
    </row>
    <row r="10344" spans="2:6" ht="17.25" thickBot="1">
      <c r="B10344" s="226">
        <v>46170</v>
      </c>
      <c r="C10344" s="227">
        <v>0.58456018518518515</v>
      </c>
      <c r="D10344" s="228">
        <v>10</v>
      </c>
      <c r="E10344" s="225" t="s">
        <v>8394</v>
      </c>
      <c r="F10344" s="225" t="s">
        <v>6946</v>
      </c>
    </row>
    <row r="10345" spans="2:6" ht="26.25" thickBot="1">
      <c r="B10345" s="226">
        <v>46170</v>
      </c>
      <c r="C10345" s="227">
        <v>0.76310185185185186</v>
      </c>
      <c r="D10345" s="228">
        <v>10</v>
      </c>
      <c r="E10345" s="225" t="s">
        <v>8412</v>
      </c>
      <c r="F10345" s="225" t="s">
        <v>6946</v>
      </c>
    </row>
    <row r="10346" spans="2:6" ht="17.25" thickBot="1">
      <c r="B10346" s="226">
        <v>46170</v>
      </c>
      <c r="C10346" s="227">
        <v>0.70918981481481491</v>
      </c>
      <c r="D10346" s="228">
        <v>10</v>
      </c>
      <c r="E10346" s="225" t="s">
        <v>8402</v>
      </c>
      <c r="F10346" s="225" t="s">
        <v>6946</v>
      </c>
    </row>
    <row r="10347" spans="2:6" ht="17.25" thickBot="1">
      <c r="B10347" s="226">
        <v>46170</v>
      </c>
      <c r="C10347" s="227">
        <v>0.64945601851851853</v>
      </c>
      <c r="D10347" s="228">
        <v>10</v>
      </c>
      <c r="E10347" s="225" t="s">
        <v>8400</v>
      </c>
      <c r="F10347" s="225" t="s">
        <v>6946</v>
      </c>
    </row>
    <row r="10348" spans="2:6" ht="17.25" thickBot="1">
      <c r="B10348" s="226">
        <v>46170</v>
      </c>
      <c r="C10348" s="227">
        <v>0.72401620370370379</v>
      </c>
      <c r="D10348" s="228">
        <v>10</v>
      </c>
      <c r="E10348" s="225" t="s">
        <v>8388</v>
      </c>
      <c r="F10348" s="225" t="s">
        <v>6946</v>
      </c>
    </row>
    <row r="10349" spans="2:6" ht="17.25" thickBot="1">
      <c r="B10349" s="226">
        <v>46170</v>
      </c>
      <c r="C10349" s="227">
        <v>0.58879629629629626</v>
      </c>
      <c r="D10349" s="228">
        <v>10</v>
      </c>
      <c r="E10349" s="225" t="s">
        <v>3286</v>
      </c>
      <c r="F10349" s="225" t="s">
        <v>6946</v>
      </c>
    </row>
    <row r="10350" spans="2:6" ht="17.25" thickBot="1">
      <c r="B10350" s="226">
        <v>46170</v>
      </c>
      <c r="C10350" s="227">
        <v>0.72017361111111111</v>
      </c>
      <c r="D10350" s="228">
        <v>10</v>
      </c>
      <c r="E10350" s="225" t="s">
        <v>8389</v>
      </c>
      <c r="F10350" s="225" t="s">
        <v>6946</v>
      </c>
    </row>
    <row r="10351" spans="2:6" ht="17.25" thickBot="1">
      <c r="B10351" s="226">
        <v>46170</v>
      </c>
      <c r="C10351" s="227">
        <v>0.63537037037037036</v>
      </c>
      <c r="D10351" s="228">
        <v>10</v>
      </c>
      <c r="E10351" s="225" t="s">
        <v>8422</v>
      </c>
      <c r="F10351" s="225" t="s">
        <v>6946</v>
      </c>
    </row>
    <row r="10352" spans="2:6" ht="17.25" thickBot="1">
      <c r="B10352" s="226">
        <v>46170</v>
      </c>
      <c r="C10352" s="227">
        <v>0.81587962962962957</v>
      </c>
      <c r="D10352" s="228">
        <v>10</v>
      </c>
      <c r="E10352" s="225" t="s">
        <v>8408</v>
      </c>
      <c r="F10352" s="225" t="s">
        <v>6946</v>
      </c>
    </row>
    <row r="10353" spans="2:6" ht="17.25" thickBot="1">
      <c r="B10353" s="226">
        <v>46170</v>
      </c>
      <c r="C10353" s="227">
        <v>0.59854166666666664</v>
      </c>
      <c r="D10353" s="228">
        <v>10</v>
      </c>
      <c r="E10353" s="225" t="s">
        <v>8425</v>
      </c>
      <c r="F10353" s="225" t="s">
        <v>6946</v>
      </c>
    </row>
    <row r="10354" spans="2:6" ht="17.25" thickBot="1">
      <c r="B10354" s="226">
        <v>46170</v>
      </c>
      <c r="C10354" s="227">
        <v>0.75260416666666663</v>
      </c>
      <c r="D10354" s="228">
        <v>10</v>
      </c>
      <c r="E10354" s="225" t="s">
        <v>8398</v>
      </c>
      <c r="F10354" s="225" t="s">
        <v>6946</v>
      </c>
    </row>
    <row r="10355" spans="2:6" ht="17.25" thickBot="1">
      <c r="B10355" s="226">
        <v>46170</v>
      </c>
      <c r="C10355" s="227">
        <v>0.57181712962962961</v>
      </c>
      <c r="D10355" s="228">
        <v>10</v>
      </c>
      <c r="E10355" s="225" t="s">
        <v>8423</v>
      </c>
      <c r="F10355" s="225" t="s">
        <v>6946</v>
      </c>
    </row>
    <row r="10356" spans="2:6" ht="17.25" thickBot="1">
      <c r="B10356" s="226">
        <v>46170</v>
      </c>
      <c r="C10356" s="227">
        <v>0.8656018518518519</v>
      </c>
      <c r="D10356" s="228">
        <v>10</v>
      </c>
      <c r="E10356" s="225" t="s">
        <v>8391</v>
      </c>
      <c r="F10356" s="225" t="s">
        <v>6946</v>
      </c>
    </row>
    <row r="10357" spans="2:6" ht="17.25" thickBot="1">
      <c r="B10357" s="226">
        <v>46170</v>
      </c>
      <c r="C10357" s="227">
        <v>0.69429398148148147</v>
      </c>
      <c r="D10357" s="228">
        <v>10</v>
      </c>
      <c r="E10357" s="225" t="s">
        <v>8392</v>
      </c>
      <c r="F10357" s="225" t="s">
        <v>6946</v>
      </c>
    </row>
    <row r="10358" spans="2:6" ht="17.25" thickBot="1">
      <c r="B10358" s="226">
        <v>46170</v>
      </c>
      <c r="C10358" s="227">
        <v>0.73643518518518514</v>
      </c>
      <c r="D10358" s="228">
        <v>10</v>
      </c>
      <c r="E10358" s="225" t="s">
        <v>1291</v>
      </c>
      <c r="F10358" s="225" t="s">
        <v>6946</v>
      </c>
    </row>
    <row r="10359" spans="2:6" ht="17.25" thickBot="1">
      <c r="B10359" s="226">
        <v>46170</v>
      </c>
      <c r="C10359" s="227">
        <v>0.6517708333333333</v>
      </c>
      <c r="D10359" s="228">
        <v>10</v>
      </c>
      <c r="E10359" s="225" t="s">
        <v>8410</v>
      </c>
      <c r="F10359" s="225" t="s">
        <v>6946</v>
      </c>
    </row>
    <row r="10360" spans="2:6" ht="17.25" thickBot="1">
      <c r="B10360" s="226">
        <v>46170</v>
      </c>
      <c r="C10360" s="227">
        <v>0.78797453703703713</v>
      </c>
      <c r="D10360" s="228">
        <v>10</v>
      </c>
      <c r="E10360" s="225" t="s">
        <v>8395</v>
      </c>
      <c r="F10360" s="225" t="s">
        <v>6946</v>
      </c>
    </row>
    <row r="10361" spans="2:6" ht="17.25" thickBot="1">
      <c r="B10361" s="226">
        <v>46170</v>
      </c>
      <c r="C10361" s="227">
        <v>0.75004629629629627</v>
      </c>
      <c r="D10361" s="228">
        <v>10</v>
      </c>
      <c r="E10361" s="225" t="s">
        <v>6735</v>
      </c>
      <c r="F10361" s="225" t="s">
        <v>6946</v>
      </c>
    </row>
    <row r="10362" spans="2:6" ht="26.25" thickBot="1">
      <c r="B10362" s="226">
        <v>46170</v>
      </c>
      <c r="C10362" s="227">
        <v>0.51940972222222215</v>
      </c>
      <c r="D10362" s="228">
        <v>10</v>
      </c>
      <c r="E10362" s="225" t="s">
        <v>8411</v>
      </c>
      <c r="F10362" s="225" t="s">
        <v>6946</v>
      </c>
    </row>
    <row r="10363" spans="2:6" ht="17.25" thickBot="1">
      <c r="B10363" s="226">
        <v>46170</v>
      </c>
      <c r="C10363" s="227">
        <v>0.64927083333333335</v>
      </c>
      <c r="D10363" s="228">
        <v>10</v>
      </c>
      <c r="E10363" s="225" t="s">
        <v>8405</v>
      </c>
      <c r="F10363" s="225" t="s">
        <v>6946</v>
      </c>
    </row>
    <row r="10364" spans="2:6" ht="17.25" thickBot="1">
      <c r="B10364" s="226">
        <v>46170</v>
      </c>
      <c r="C10364" s="227">
        <v>0.71406249999999993</v>
      </c>
      <c r="D10364" s="228">
        <v>10</v>
      </c>
      <c r="E10364" s="225" t="s">
        <v>448</v>
      </c>
      <c r="F10364" s="225" t="s">
        <v>6946</v>
      </c>
    </row>
    <row r="10365" spans="2:6" ht="17.25" thickBot="1">
      <c r="B10365" s="226">
        <v>46170</v>
      </c>
      <c r="C10365" s="227">
        <v>0.5549074074074074</v>
      </c>
      <c r="D10365" s="228">
        <v>10</v>
      </c>
      <c r="E10365" s="225" t="s">
        <v>8415</v>
      </c>
      <c r="F10365" s="225" t="s">
        <v>6946</v>
      </c>
    </row>
    <row r="10366" spans="2:6" ht="17.25" thickBot="1">
      <c r="B10366" s="226">
        <v>46170</v>
      </c>
      <c r="C10366" s="227">
        <v>0.56341435185185185</v>
      </c>
      <c r="D10366" s="228">
        <v>10</v>
      </c>
      <c r="E10366" s="225" t="s">
        <v>8413</v>
      </c>
      <c r="F10366" s="225" t="s">
        <v>6946</v>
      </c>
    </row>
    <row r="10367" spans="2:6" ht="17.25" thickBot="1">
      <c r="B10367" s="226">
        <v>46170</v>
      </c>
      <c r="C10367" s="227">
        <v>0.5950347222222222</v>
      </c>
      <c r="D10367" s="228">
        <v>10</v>
      </c>
      <c r="E10367" s="225" t="s">
        <v>8393</v>
      </c>
      <c r="F10367" s="225" t="s">
        <v>6946</v>
      </c>
    </row>
    <row r="10368" spans="2:6" ht="17.25" thickBot="1">
      <c r="B10368" s="226">
        <v>46170</v>
      </c>
      <c r="C10368" s="227">
        <v>0.55443287037037037</v>
      </c>
      <c r="D10368" s="228">
        <v>10</v>
      </c>
      <c r="E10368" s="225" t="s">
        <v>8406</v>
      </c>
      <c r="F10368" s="225" t="s">
        <v>6946</v>
      </c>
    </row>
    <row r="10369" spans="2:6" ht="17.25" thickBot="1">
      <c r="B10369" s="226">
        <v>46170</v>
      </c>
      <c r="C10369" s="227">
        <v>0.7456828703703704</v>
      </c>
      <c r="D10369" s="228">
        <v>10</v>
      </c>
      <c r="E10369" s="225" t="s">
        <v>8399</v>
      </c>
      <c r="F10369" s="225" t="s">
        <v>6946</v>
      </c>
    </row>
    <row r="10370" spans="2:6" ht="17.25" thickBot="1">
      <c r="B10370" s="226">
        <v>46170</v>
      </c>
      <c r="C10370" s="227">
        <v>0.69802083333333342</v>
      </c>
      <c r="D10370" s="228">
        <v>10</v>
      </c>
      <c r="E10370" s="225" t="s">
        <v>8414</v>
      </c>
      <c r="F10370" s="225" t="s">
        <v>6946</v>
      </c>
    </row>
    <row r="10371" spans="2:6" ht="17.25" thickBot="1">
      <c r="B10371" s="226">
        <v>46170</v>
      </c>
      <c r="C10371" s="227">
        <v>0.65415509259259264</v>
      </c>
      <c r="D10371" s="228">
        <v>10</v>
      </c>
      <c r="E10371" s="225" t="s">
        <v>8409</v>
      </c>
      <c r="F10371" s="225" t="s">
        <v>6946</v>
      </c>
    </row>
    <row r="10372" spans="2:6" ht="17.25" thickBot="1">
      <c r="B10372" s="226">
        <v>46170</v>
      </c>
      <c r="C10372" s="227">
        <v>0.62981481481481483</v>
      </c>
      <c r="D10372" s="228">
        <v>10</v>
      </c>
      <c r="E10372" s="225" t="s">
        <v>8407</v>
      </c>
      <c r="F10372" s="225" t="s">
        <v>6946</v>
      </c>
    </row>
    <row r="10373" spans="2:6" ht="17.25" thickBot="1">
      <c r="B10373" s="226">
        <v>46170</v>
      </c>
      <c r="C10373" s="227">
        <v>0.82936342592592593</v>
      </c>
      <c r="D10373" s="228">
        <v>10</v>
      </c>
      <c r="E10373" s="225" t="s">
        <v>8420</v>
      </c>
      <c r="F10373" s="225" t="s">
        <v>6946</v>
      </c>
    </row>
    <row r="10374" spans="2:6" ht="17.25" thickBot="1">
      <c r="B10374" s="226">
        <v>46170</v>
      </c>
      <c r="C10374" s="227">
        <v>0.52688657407407413</v>
      </c>
      <c r="D10374" s="228">
        <v>10</v>
      </c>
      <c r="E10374" s="225" t="s">
        <v>8416</v>
      </c>
      <c r="F10374" s="225" t="s">
        <v>6946</v>
      </c>
    </row>
    <row r="10375" spans="2:6" ht="17.25" thickBot="1">
      <c r="B10375" s="226">
        <v>46170</v>
      </c>
      <c r="C10375" s="227">
        <v>0.67682870370370374</v>
      </c>
      <c r="D10375" s="228">
        <v>10</v>
      </c>
      <c r="E10375" s="225" t="s">
        <v>132</v>
      </c>
      <c r="F10375" s="225" t="s">
        <v>6946</v>
      </c>
    </row>
    <row r="10376" spans="2:6" ht="17.25" thickBot="1">
      <c r="B10376" s="226">
        <v>46170</v>
      </c>
      <c r="C10376" s="227">
        <v>0.48266203703703708</v>
      </c>
      <c r="D10376" s="228">
        <v>10</v>
      </c>
      <c r="E10376" s="225" t="s">
        <v>8390</v>
      </c>
      <c r="F10376" s="225" t="s">
        <v>6946</v>
      </c>
    </row>
    <row r="10377" spans="2:6" ht="17.25" thickBot="1">
      <c r="B10377" s="226">
        <v>46170</v>
      </c>
      <c r="C10377" s="227">
        <v>0.57778935185185187</v>
      </c>
      <c r="D10377" s="228">
        <v>10</v>
      </c>
      <c r="E10377" s="225" t="s">
        <v>179</v>
      </c>
      <c r="F10377" s="225" t="s">
        <v>6946</v>
      </c>
    </row>
    <row r="10378" spans="2:6" ht="17.25" thickBot="1">
      <c r="B10378" s="226">
        <v>46170</v>
      </c>
      <c r="C10378" s="227">
        <v>0.52017361111111116</v>
      </c>
      <c r="D10378" s="228">
        <v>10</v>
      </c>
      <c r="E10378" s="225" t="s">
        <v>8418</v>
      </c>
      <c r="F10378" s="225" t="s">
        <v>6946</v>
      </c>
    </row>
    <row r="10379" spans="2:6" ht="17.25" thickBot="1">
      <c r="B10379" s="226">
        <v>46170</v>
      </c>
      <c r="C10379" s="227">
        <v>0.4723148148148148</v>
      </c>
      <c r="D10379" s="228">
        <v>10</v>
      </c>
      <c r="E10379" s="225" t="s">
        <v>8419</v>
      </c>
      <c r="F10379" s="225" t="s">
        <v>6946</v>
      </c>
    </row>
    <row r="10380" spans="2:6" ht="17.25" thickBot="1">
      <c r="B10380" s="226">
        <v>46170</v>
      </c>
      <c r="C10380" s="227">
        <v>0.4841435185185185</v>
      </c>
      <c r="D10380" s="228">
        <v>10</v>
      </c>
      <c r="E10380" s="225" t="s">
        <v>8421</v>
      </c>
      <c r="F10380" s="225" t="s">
        <v>6946</v>
      </c>
    </row>
    <row r="10381" spans="2:6" ht="17.25" thickBot="1">
      <c r="B10381" s="226">
        <v>46170</v>
      </c>
      <c r="C10381" s="227">
        <v>0.44865740740740739</v>
      </c>
      <c r="D10381" s="228">
        <v>10</v>
      </c>
      <c r="E10381" s="225" t="s">
        <v>8403</v>
      </c>
      <c r="F10381" s="225" t="s">
        <v>6946</v>
      </c>
    </row>
    <row r="10382" spans="2:6" ht="17.25" thickBot="1">
      <c r="B10382" s="226">
        <v>46170</v>
      </c>
      <c r="C10382" s="227">
        <v>0.40791666666666665</v>
      </c>
      <c r="D10382" s="228">
        <v>10</v>
      </c>
      <c r="E10382" s="225" t="s">
        <v>8426</v>
      </c>
      <c r="F10382" s="225" t="s">
        <v>6946</v>
      </c>
    </row>
    <row r="10383" spans="2:6" ht="17.25" thickBot="1">
      <c r="B10383" s="226">
        <v>46170</v>
      </c>
      <c r="C10383" s="227">
        <v>0.4581944444444444</v>
      </c>
      <c r="D10383" s="228">
        <v>10</v>
      </c>
      <c r="E10383" s="225" t="s">
        <v>6340</v>
      </c>
      <c r="F10383" s="225" t="s">
        <v>6946</v>
      </c>
    </row>
    <row r="10384" spans="2:6" ht="17.25" thickBot="1">
      <c r="B10384" s="226">
        <v>46170</v>
      </c>
      <c r="C10384" s="227">
        <v>0.45718750000000002</v>
      </c>
      <c r="D10384" s="228">
        <v>10</v>
      </c>
      <c r="E10384" s="225" t="s">
        <v>8401</v>
      </c>
      <c r="F10384" s="225" t="s">
        <v>6946</v>
      </c>
    </row>
    <row r="10385" spans="2:6" ht="17.25" thickBot="1">
      <c r="B10385" s="226">
        <v>46170</v>
      </c>
      <c r="C10385" s="227">
        <v>0.426724537037037</v>
      </c>
      <c r="D10385" s="228">
        <v>10</v>
      </c>
      <c r="E10385" s="225" t="s">
        <v>1564</v>
      </c>
      <c r="F10385" s="225" t="s">
        <v>6946</v>
      </c>
    </row>
    <row r="10386" spans="2:6" ht="17.25" thickBot="1">
      <c r="B10386" s="226">
        <v>46170</v>
      </c>
      <c r="C10386" s="227">
        <v>0.46972222222222221</v>
      </c>
      <c r="D10386" s="228">
        <v>10</v>
      </c>
      <c r="E10386" s="225" t="s">
        <v>1206</v>
      </c>
      <c r="F10386" s="225" t="s">
        <v>6946</v>
      </c>
    </row>
    <row r="10387" spans="2:6" ht="17.25" thickBot="1">
      <c r="B10387" s="226">
        <v>46170</v>
      </c>
      <c r="C10387" s="227">
        <v>0.45081018518518517</v>
      </c>
      <c r="D10387" s="228">
        <v>10</v>
      </c>
      <c r="E10387" s="225" t="s">
        <v>8424</v>
      </c>
      <c r="F10387" s="225" t="s">
        <v>6946</v>
      </c>
    </row>
    <row r="10388" spans="2:6" ht="17.25" thickBot="1">
      <c r="B10388" s="226">
        <v>46170</v>
      </c>
      <c r="C10388" s="227">
        <v>0.39634259259259258</v>
      </c>
      <c r="D10388" s="228">
        <v>10</v>
      </c>
      <c r="E10388" s="225" t="s">
        <v>7808</v>
      </c>
      <c r="F10388" s="225" t="s">
        <v>6946</v>
      </c>
    </row>
    <row r="10389" spans="2:6" ht="17.25" thickBot="1">
      <c r="B10389" s="226">
        <v>46169</v>
      </c>
      <c r="C10389" s="227">
        <v>0.54790509259259257</v>
      </c>
      <c r="D10389" s="228">
        <v>10</v>
      </c>
      <c r="E10389" s="225" t="s">
        <v>8373</v>
      </c>
      <c r="F10389" s="225" t="s">
        <v>6946</v>
      </c>
    </row>
    <row r="10390" spans="2:6" ht="17.25" thickBot="1">
      <c r="B10390" s="226">
        <v>46169</v>
      </c>
      <c r="C10390" s="227">
        <v>0.6396412037037037</v>
      </c>
      <c r="D10390" s="228">
        <v>10</v>
      </c>
      <c r="E10390" s="225" t="s">
        <v>8364</v>
      </c>
      <c r="F10390" s="225" t="s">
        <v>6946</v>
      </c>
    </row>
    <row r="10391" spans="2:6" ht="17.25" thickBot="1">
      <c r="B10391" s="226">
        <v>46169</v>
      </c>
      <c r="C10391" s="227">
        <v>0.63081018518518517</v>
      </c>
      <c r="D10391" s="228">
        <v>10</v>
      </c>
      <c r="E10391" s="225" t="s">
        <v>925</v>
      </c>
      <c r="F10391" s="225" t="s">
        <v>6946</v>
      </c>
    </row>
    <row r="10392" spans="2:6" ht="17.25" thickBot="1">
      <c r="B10392" s="226">
        <v>46169</v>
      </c>
      <c r="C10392" s="227">
        <v>0.73336805555555562</v>
      </c>
      <c r="D10392" s="228">
        <v>10</v>
      </c>
      <c r="E10392" s="225" t="s">
        <v>288</v>
      </c>
      <c r="F10392" s="225" t="s">
        <v>6946</v>
      </c>
    </row>
    <row r="10393" spans="2:6" ht="17.25" thickBot="1">
      <c r="B10393" s="226">
        <v>46169</v>
      </c>
      <c r="C10393" s="227">
        <v>0.71372685185185192</v>
      </c>
      <c r="D10393" s="228">
        <v>10</v>
      </c>
      <c r="E10393" s="225" t="s">
        <v>291</v>
      </c>
      <c r="F10393" s="225" t="s">
        <v>6946</v>
      </c>
    </row>
    <row r="10394" spans="2:6" ht="17.25" thickBot="1">
      <c r="B10394" s="226">
        <v>46169</v>
      </c>
      <c r="C10394" s="227">
        <v>0.63098379629629631</v>
      </c>
      <c r="D10394" s="228">
        <v>10</v>
      </c>
      <c r="E10394" s="225" t="s">
        <v>8358</v>
      </c>
      <c r="F10394" s="225" t="s">
        <v>6946</v>
      </c>
    </row>
    <row r="10395" spans="2:6" ht="17.25" thickBot="1">
      <c r="B10395" s="226">
        <v>46169</v>
      </c>
      <c r="C10395" s="227">
        <v>0.47245370370370371</v>
      </c>
      <c r="D10395" s="228">
        <v>10</v>
      </c>
      <c r="E10395" s="225" t="s">
        <v>1917</v>
      </c>
      <c r="F10395" s="225" t="s">
        <v>6946</v>
      </c>
    </row>
    <row r="10396" spans="2:6" ht="17.25" thickBot="1">
      <c r="B10396" s="226">
        <v>46169</v>
      </c>
      <c r="C10396" s="227">
        <v>0.74042824074074076</v>
      </c>
      <c r="D10396" s="228">
        <v>10</v>
      </c>
      <c r="E10396" s="225" t="s">
        <v>8356</v>
      </c>
      <c r="F10396" s="225" t="s">
        <v>6946</v>
      </c>
    </row>
    <row r="10397" spans="2:6" ht="17.25" thickBot="1">
      <c r="B10397" s="226">
        <v>46169</v>
      </c>
      <c r="C10397" s="227">
        <v>0.61850694444444443</v>
      </c>
      <c r="D10397" s="228">
        <v>10</v>
      </c>
      <c r="E10397" s="225" t="s">
        <v>8362</v>
      </c>
      <c r="F10397" s="225" t="s">
        <v>6946</v>
      </c>
    </row>
    <row r="10398" spans="2:6" ht="26.25" thickBot="1">
      <c r="B10398" s="226">
        <v>46169</v>
      </c>
      <c r="C10398" s="227">
        <v>0.56508101851851855</v>
      </c>
      <c r="D10398" s="228">
        <v>10</v>
      </c>
      <c r="E10398" s="225" t="s">
        <v>8366</v>
      </c>
      <c r="F10398" s="225" t="s">
        <v>6946</v>
      </c>
    </row>
    <row r="10399" spans="2:6" ht="17.25" thickBot="1">
      <c r="B10399" s="226">
        <v>46169</v>
      </c>
      <c r="C10399" s="227">
        <v>0.55660879629629634</v>
      </c>
      <c r="D10399" s="228">
        <v>10</v>
      </c>
      <c r="E10399" s="225" t="s">
        <v>132</v>
      </c>
      <c r="F10399" s="225" t="s">
        <v>6946</v>
      </c>
    </row>
    <row r="10400" spans="2:6" ht="17.25" thickBot="1">
      <c r="B10400" s="226">
        <v>46169</v>
      </c>
      <c r="C10400" s="227">
        <v>0.88859953703703709</v>
      </c>
      <c r="D10400" s="228">
        <v>10</v>
      </c>
      <c r="E10400" s="225" t="s">
        <v>8346</v>
      </c>
      <c r="F10400" s="225" t="s">
        <v>6946</v>
      </c>
    </row>
    <row r="10401" spans="2:6" ht="17.25" thickBot="1">
      <c r="B10401" s="226">
        <v>46169</v>
      </c>
      <c r="C10401" s="227">
        <v>0.69954861111111111</v>
      </c>
      <c r="D10401" s="228">
        <v>10</v>
      </c>
      <c r="E10401" s="225" t="s">
        <v>8345</v>
      </c>
      <c r="F10401" s="225" t="s">
        <v>6946</v>
      </c>
    </row>
    <row r="10402" spans="2:6" ht="17.25" thickBot="1">
      <c r="B10402" s="226">
        <v>46169</v>
      </c>
      <c r="C10402" s="227">
        <v>0.75270833333333342</v>
      </c>
      <c r="D10402" s="228">
        <v>10</v>
      </c>
      <c r="E10402" s="225" t="s">
        <v>8349</v>
      </c>
      <c r="F10402" s="225" t="s">
        <v>6946</v>
      </c>
    </row>
    <row r="10403" spans="2:6" ht="17.25" thickBot="1">
      <c r="B10403" s="226">
        <v>46169</v>
      </c>
      <c r="C10403" s="227">
        <v>0.75053240740740745</v>
      </c>
      <c r="D10403" s="228">
        <v>8</v>
      </c>
      <c r="E10403" s="225" t="s">
        <v>132</v>
      </c>
      <c r="F10403" s="225" t="s">
        <v>6946</v>
      </c>
    </row>
    <row r="10404" spans="2:6" ht="17.25" thickBot="1">
      <c r="B10404" s="226">
        <v>46169</v>
      </c>
      <c r="C10404" s="227">
        <v>0.66310185185185189</v>
      </c>
      <c r="D10404" s="228">
        <v>10</v>
      </c>
      <c r="E10404" s="225" t="s">
        <v>8359</v>
      </c>
      <c r="F10404" s="225" t="s">
        <v>6946</v>
      </c>
    </row>
    <row r="10405" spans="2:6" ht="17.25" thickBot="1">
      <c r="B10405" s="226">
        <v>46169</v>
      </c>
      <c r="C10405" s="227">
        <v>0.69965277777777779</v>
      </c>
      <c r="D10405" s="228">
        <v>10</v>
      </c>
      <c r="E10405" s="225" t="s">
        <v>8342</v>
      </c>
      <c r="F10405" s="225" t="s">
        <v>6946</v>
      </c>
    </row>
    <row r="10406" spans="2:6" ht="17.25" thickBot="1">
      <c r="B10406" s="226">
        <v>46169</v>
      </c>
      <c r="C10406" s="227">
        <v>0.69751157407407405</v>
      </c>
      <c r="D10406" s="228">
        <v>10</v>
      </c>
      <c r="E10406" s="225" t="s">
        <v>8357</v>
      </c>
      <c r="F10406" s="225" t="s">
        <v>6946</v>
      </c>
    </row>
    <row r="10407" spans="2:6" ht="17.25" thickBot="1">
      <c r="B10407" s="226">
        <v>46169</v>
      </c>
      <c r="C10407" s="227">
        <v>0.58935185185185179</v>
      </c>
      <c r="D10407" s="228">
        <v>10</v>
      </c>
      <c r="E10407" s="225" t="s">
        <v>8385</v>
      </c>
      <c r="F10407" s="225" t="s">
        <v>6946</v>
      </c>
    </row>
    <row r="10408" spans="2:6" ht="17.25" thickBot="1">
      <c r="B10408" s="226">
        <v>46169</v>
      </c>
      <c r="C10408" s="227">
        <v>0.70163194444444443</v>
      </c>
      <c r="D10408" s="228">
        <v>10</v>
      </c>
      <c r="E10408" s="225" t="s">
        <v>8341</v>
      </c>
      <c r="F10408" s="225" t="s">
        <v>6946</v>
      </c>
    </row>
    <row r="10409" spans="2:6" ht="17.25" thickBot="1">
      <c r="B10409" s="226">
        <v>46169</v>
      </c>
      <c r="C10409" s="227">
        <v>0.61361111111111111</v>
      </c>
      <c r="D10409" s="228">
        <v>10</v>
      </c>
      <c r="E10409" s="225" t="s">
        <v>8363</v>
      </c>
      <c r="F10409" s="225" t="s">
        <v>6946</v>
      </c>
    </row>
    <row r="10410" spans="2:6" ht="17.25" thickBot="1">
      <c r="B10410" s="226">
        <v>46169</v>
      </c>
      <c r="C10410" s="227">
        <v>0.577662037037037</v>
      </c>
      <c r="D10410" s="228">
        <v>10</v>
      </c>
      <c r="E10410" s="225" t="s">
        <v>8383</v>
      </c>
      <c r="F10410" s="225" t="s">
        <v>6946</v>
      </c>
    </row>
    <row r="10411" spans="2:6" ht="17.25" thickBot="1">
      <c r="B10411" s="226">
        <v>46169</v>
      </c>
      <c r="C10411" s="227">
        <v>0.80450231481481482</v>
      </c>
      <c r="D10411" s="228">
        <v>10</v>
      </c>
      <c r="E10411" s="225" t="s">
        <v>8347</v>
      </c>
      <c r="F10411" s="225" t="s">
        <v>6946</v>
      </c>
    </row>
    <row r="10412" spans="2:6" ht="17.25" thickBot="1">
      <c r="B10412" s="226">
        <v>46169</v>
      </c>
      <c r="C10412" s="227">
        <v>0.87506944444444434</v>
      </c>
      <c r="D10412" s="228">
        <v>10</v>
      </c>
      <c r="E10412" s="225" t="s">
        <v>8353</v>
      </c>
      <c r="F10412" s="225" t="s">
        <v>6946</v>
      </c>
    </row>
    <row r="10413" spans="2:6" ht="17.25" thickBot="1">
      <c r="B10413" s="226">
        <v>46169</v>
      </c>
      <c r="C10413" s="227">
        <v>0.60561342592592593</v>
      </c>
      <c r="D10413" s="228">
        <v>10</v>
      </c>
      <c r="E10413" s="225" t="s">
        <v>8380</v>
      </c>
      <c r="F10413" s="225" t="s">
        <v>6946</v>
      </c>
    </row>
    <row r="10414" spans="2:6" ht="17.25" thickBot="1">
      <c r="B10414" s="226">
        <v>46169</v>
      </c>
      <c r="C10414" s="227">
        <v>0.87013888888888891</v>
      </c>
      <c r="D10414" s="228">
        <v>10</v>
      </c>
      <c r="E10414" s="225" t="s">
        <v>8351</v>
      </c>
      <c r="F10414" s="225" t="s">
        <v>6946</v>
      </c>
    </row>
    <row r="10415" spans="2:6" ht="17.25" thickBot="1">
      <c r="B10415" s="226">
        <v>46169</v>
      </c>
      <c r="C10415" s="227">
        <v>0.68321759259259263</v>
      </c>
      <c r="D10415" s="228">
        <v>10</v>
      </c>
      <c r="E10415" s="225" t="s">
        <v>8343</v>
      </c>
      <c r="F10415" s="225" t="s">
        <v>6946</v>
      </c>
    </row>
    <row r="10416" spans="2:6" ht="17.25" thickBot="1">
      <c r="B10416" s="226">
        <v>46169</v>
      </c>
      <c r="C10416" s="227">
        <v>0.85863425925925929</v>
      </c>
      <c r="D10416" s="228">
        <v>10</v>
      </c>
      <c r="E10416" s="225" t="s">
        <v>4774</v>
      </c>
      <c r="F10416" s="225" t="s">
        <v>6946</v>
      </c>
    </row>
    <row r="10417" spans="2:6" ht="17.25" thickBot="1">
      <c r="B10417" s="226">
        <v>46169</v>
      </c>
      <c r="C10417" s="227">
        <v>0.85643518518518524</v>
      </c>
      <c r="D10417" s="228">
        <v>10</v>
      </c>
      <c r="E10417" s="225" t="s">
        <v>479</v>
      </c>
      <c r="F10417" s="225" t="s">
        <v>6946</v>
      </c>
    </row>
    <row r="10418" spans="2:6" ht="17.25" thickBot="1">
      <c r="B10418" s="226">
        <v>46169</v>
      </c>
      <c r="C10418" s="227">
        <v>0.66511574074074076</v>
      </c>
      <c r="D10418" s="228">
        <v>10</v>
      </c>
      <c r="E10418" s="225" t="s">
        <v>8361</v>
      </c>
      <c r="F10418" s="225" t="s">
        <v>6946</v>
      </c>
    </row>
    <row r="10419" spans="2:6" ht="17.25" thickBot="1">
      <c r="B10419" s="226">
        <v>46169</v>
      </c>
      <c r="C10419" s="227">
        <v>0.56229166666666663</v>
      </c>
      <c r="D10419" s="228">
        <v>10</v>
      </c>
      <c r="E10419" s="225" t="s">
        <v>132</v>
      </c>
      <c r="F10419" s="225" t="s">
        <v>6946</v>
      </c>
    </row>
    <row r="10420" spans="2:6" ht="17.25" thickBot="1">
      <c r="B10420" s="226">
        <v>46169</v>
      </c>
      <c r="C10420" s="227">
        <v>0.58685185185185185</v>
      </c>
      <c r="D10420" s="228">
        <v>10</v>
      </c>
      <c r="E10420" s="225" t="s">
        <v>448</v>
      </c>
      <c r="F10420" s="225" t="s">
        <v>6946</v>
      </c>
    </row>
    <row r="10421" spans="2:6" ht="17.25" thickBot="1">
      <c r="B10421" s="226">
        <v>46169</v>
      </c>
      <c r="C10421" s="227">
        <v>0.64768518518518514</v>
      </c>
      <c r="D10421" s="228">
        <v>10</v>
      </c>
      <c r="E10421" s="225" t="s">
        <v>8368</v>
      </c>
      <c r="F10421" s="225" t="s">
        <v>6946</v>
      </c>
    </row>
    <row r="10422" spans="2:6" ht="17.25" thickBot="1">
      <c r="B10422" s="226">
        <v>46169</v>
      </c>
      <c r="C10422" s="227">
        <v>0.62673611111111105</v>
      </c>
      <c r="D10422" s="228">
        <v>10</v>
      </c>
      <c r="E10422" s="225" t="s">
        <v>8367</v>
      </c>
      <c r="F10422" s="225" t="s">
        <v>6946</v>
      </c>
    </row>
    <row r="10423" spans="2:6" ht="17.25" thickBot="1">
      <c r="B10423" s="226">
        <v>46169</v>
      </c>
      <c r="C10423" s="227">
        <v>0.60842592592592593</v>
      </c>
      <c r="D10423" s="228">
        <v>10</v>
      </c>
      <c r="E10423" s="225" t="s">
        <v>8384</v>
      </c>
      <c r="F10423" s="225" t="s">
        <v>6946</v>
      </c>
    </row>
    <row r="10424" spans="2:6" ht="17.25" thickBot="1">
      <c r="B10424" s="226">
        <v>46169</v>
      </c>
      <c r="C10424" s="227">
        <v>0.55813657407407413</v>
      </c>
      <c r="D10424" s="228">
        <v>10</v>
      </c>
      <c r="E10424" s="225" t="s">
        <v>8372</v>
      </c>
      <c r="F10424" s="225" t="s">
        <v>6946</v>
      </c>
    </row>
    <row r="10425" spans="2:6" ht="17.25" thickBot="1">
      <c r="B10425" s="226">
        <v>46169</v>
      </c>
      <c r="C10425" s="227">
        <v>0.4685300925925926</v>
      </c>
      <c r="D10425" s="228">
        <v>10</v>
      </c>
      <c r="E10425" s="225" t="s">
        <v>8352</v>
      </c>
      <c r="F10425" s="225" t="s">
        <v>6946</v>
      </c>
    </row>
    <row r="10426" spans="2:6" ht="17.25" thickBot="1">
      <c r="B10426" s="226">
        <v>46169</v>
      </c>
      <c r="C10426" s="227">
        <v>0.68114583333333334</v>
      </c>
      <c r="D10426" s="228">
        <v>10</v>
      </c>
      <c r="E10426" s="225" t="s">
        <v>8344</v>
      </c>
      <c r="F10426" s="225" t="s">
        <v>6946</v>
      </c>
    </row>
    <row r="10427" spans="2:6" ht="17.25" thickBot="1">
      <c r="B10427" s="226">
        <v>46169</v>
      </c>
      <c r="C10427" s="227">
        <v>0.61083333333333334</v>
      </c>
      <c r="D10427" s="228">
        <v>10</v>
      </c>
      <c r="E10427" s="225" t="s">
        <v>8376</v>
      </c>
      <c r="F10427" s="225" t="s">
        <v>6946</v>
      </c>
    </row>
    <row r="10428" spans="2:6" ht="17.25" thickBot="1">
      <c r="B10428" s="226">
        <v>46169</v>
      </c>
      <c r="C10428" s="227">
        <v>0.58142361111111118</v>
      </c>
      <c r="D10428" s="228">
        <v>10</v>
      </c>
      <c r="E10428" s="225" t="s">
        <v>8378</v>
      </c>
      <c r="F10428" s="225" t="s">
        <v>6946</v>
      </c>
    </row>
    <row r="10429" spans="2:6" ht="17.25" thickBot="1">
      <c r="B10429" s="226">
        <v>46169</v>
      </c>
      <c r="C10429" s="227">
        <v>0.69327546296296294</v>
      </c>
      <c r="D10429" s="228">
        <v>10</v>
      </c>
      <c r="E10429" s="225" t="s">
        <v>8374</v>
      </c>
      <c r="F10429" s="225" t="s">
        <v>6946</v>
      </c>
    </row>
    <row r="10430" spans="2:6" ht="17.25" thickBot="1">
      <c r="B10430" s="226">
        <v>46169</v>
      </c>
      <c r="C10430" s="227">
        <v>0.57944444444444443</v>
      </c>
      <c r="D10430" s="228">
        <v>10</v>
      </c>
      <c r="E10430" s="225" t="s">
        <v>132</v>
      </c>
      <c r="F10430" s="225" t="s">
        <v>6946</v>
      </c>
    </row>
    <row r="10431" spans="2:6" ht="17.25" thickBot="1">
      <c r="B10431" s="226">
        <v>46169</v>
      </c>
      <c r="C10431" s="227">
        <v>0.57636574074074076</v>
      </c>
      <c r="D10431" s="228">
        <v>10</v>
      </c>
      <c r="E10431" s="225" t="s">
        <v>8365</v>
      </c>
      <c r="F10431" s="225" t="s">
        <v>6946</v>
      </c>
    </row>
    <row r="10432" spans="2:6" ht="17.25" thickBot="1">
      <c r="B10432" s="226">
        <v>46169</v>
      </c>
      <c r="C10432" s="227">
        <v>0.49417824074074074</v>
      </c>
      <c r="D10432" s="228">
        <v>10</v>
      </c>
      <c r="E10432" s="225" t="s">
        <v>8369</v>
      </c>
      <c r="F10432" s="225" t="s">
        <v>6946</v>
      </c>
    </row>
    <row r="10433" spans="2:6" ht="26.25" thickBot="1">
      <c r="B10433" s="226">
        <v>46169</v>
      </c>
      <c r="C10433" s="227">
        <v>0.50532407407407409</v>
      </c>
      <c r="D10433" s="228">
        <v>10</v>
      </c>
      <c r="E10433" s="225" t="s">
        <v>8350</v>
      </c>
      <c r="F10433" s="225" t="s">
        <v>6946</v>
      </c>
    </row>
    <row r="10434" spans="2:6" ht="17.25" thickBot="1">
      <c r="B10434" s="226">
        <v>46169</v>
      </c>
      <c r="C10434" s="227">
        <v>0.43459490740740742</v>
      </c>
      <c r="D10434" s="228">
        <v>10</v>
      </c>
      <c r="E10434" s="225" t="s">
        <v>8360</v>
      </c>
      <c r="F10434" s="225" t="s">
        <v>6946</v>
      </c>
    </row>
    <row r="10435" spans="2:6" ht="17.25" thickBot="1">
      <c r="B10435" s="226">
        <v>46169</v>
      </c>
      <c r="C10435" s="227">
        <v>0.50476851851851856</v>
      </c>
      <c r="D10435" s="228">
        <v>10</v>
      </c>
      <c r="E10435" s="225" t="s">
        <v>8375</v>
      </c>
      <c r="F10435" s="225" t="s">
        <v>6946</v>
      </c>
    </row>
    <row r="10436" spans="2:6" ht="17.25" thickBot="1">
      <c r="B10436" s="226">
        <v>46169</v>
      </c>
      <c r="C10436" s="227">
        <v>0.41005787037037034</v>
      </c>
      <c r="D10436" s="228">
        <v>10</v>
      </c>
      <c r="E10436" s="225" t="s">
        <v>8386</v>
      </c>
      <c r="F10436" s="225" t="s">
        <v>6946</v>
      </c>
    </row>
    <row r="10437" spans="2:6" ht="17.25" thickBot="1">
      <c r="B10437" s="226">
        <v>46169</v>
      </c>
      <c r="C10437" s="227">
        <v>0.6696875000000001</v>
      </c>
      <c r="D10437" s="228">
        <v>10</v>
      </c>
      <c r="E10437" s="225" t="s">
        <v>364</v>
      </c>
      <c r="F10437" s="225" t="s">
        <v>6946</v>
      </c>
    </row>
    <row r="10438" spans="2:6" ht="17.25" thickBot="1">
      <c r="B10438" s="226">
        <v>46169</v>
      </c>
      <c r="C10438" s="227">
        <v>0.43042824074074071</v>
      </c>
      <c r="D10438" s="228">
        <v>10</v>
      </c>
      <c r="E10438" s="225" t="s">
        <v>8371</v>
      </c>
      <c r="F10438" s="225" t="s">
        <v>6946</v>
      </c>
    </row>
    <row r="10439" spans="2:6" ht="17.25" thickBot="1">
      <c r="B10439" s="226">
        <v>46169</v>
      </c>
      <c r="C10439" s="227">
        <v>0.43950231481481478</v>
      </c>
      <c r="D10439" s="228">
        <v>10</v>
      </c>
      <c r="E10439" s="225" t="s">
        <v>8379</v>
      </c>
      <c r="F10439" s="225" t="s">
        <v>6946</v>
      </c>
    </row>
    <row r="10440" spans="2:6" ht="17.25" thickBot="1">
      <c r="B10440" s="226">
        <v>46169</v>
      </c>
      <c r="C10440" s="227">
        <v>0.56303240740740745</v>
      </c>
      <c r="D10440" s="228">
        <v>10</v>
      </c>
      <c r="E10440" s="225" t="s">
        <v>8355</v>
      </c>
      <c r="F10440" s="225" t="s">
        <v>6946</v>
      </c>
    </row>
    <row r="10441" spans="2:6" ht="17.25" thickBot="1">
      <c r="B10441" s="226">
        <v>46169</v>
      </c>
      <c r="C10441" s="227">
        <v>0.44314814814814812</v>
      </c>
      <c r="D10441" s="228">
        <v>10</v>
      </c>
      <c r="E10441" s="225" t="s">
        <v>8370</v>
      </c>
      <c r="F10441" s="225" t="s">
        <v>6946</v>
      </c>
    </row>
    <row r="10442" spans="2:6" ht="17.25" thickBot="1">
      <c r="B10442" s="226">
        <v>46169</v>
      </c>
      <c r="C10442" s="227">
        <v>0.3979861111111111</v>
      </c>
      <c r="D10442" s="228">
        <v>10</v>
      </c>
      <c r="E10442" s="225" t="s">
        <v>8377</v>
      </c>
      <c r="F10442" s="225" t="s">
        <v>6946</v>
      </c>
    </row>
    <row r="10443" spans="2:6" ht="17.25" thickBot="1">
      <c r="B10443" s="226">
        <v>46169</v>
      </c>
      <c r="C10443" s="227">
        <v>0.39094907407407403</v>
      </c>
      <c r="D10443" s="228">
        <v>10</v>
      </c>
      <c r="E10443" s="225" t="s">
        <v>8382</v>
      </c>
      <c r="F10443" s="225" t="s">
        <v>6946</v>
      </c>
    </row>
    <row r="10444" spans="2:6" ht="17.25" thickBot="1">
      <c r="B10444" s="226">
        <v>46169</v>
      </c>
      <c r="C10444" s="227">
        <v>0.72781250000000008</v>
      </c>
      <c r="D10444" s="228">
        <v>10</v>
      </c>
      <c r="E10444" s="225" t="s">
        <v>8348</v>
      </c>
      <c r="F10444" s="225" t="s">
        <v>6946</v>
      </c>
    </row>
    <row r="10445" spans="2:6" ht="17.25" thickBot="1">
      <c r="B10445" s="226">
        <v>46169</v>
      </c>
      <c r="C10445" s="227">
        <v>0.83195601851851853</v>
      </c>
      <c r="D10445" s="228">
        <v>10</v>
      </c>
      <c r="E10445" s="225" t="s">
        <v>8354</v>
      </c>
      <c r="F10445" s="225" t="s">
        <v>6946</v>
      </c>
    </row>
    <row r="10446" spans="2:6" ht="17.25" thickBot="1">
      <c r="B10446" s="226">
        <v>46169</v>
      </c>
      <c r="C10446" s="227">
        <v>0.40167824074074071</v>
      </c>
      <c r="D10446" s="228">
        <v>10</v>
      </c>
      <c r="E10446" s="225" t="s">
        <v>8381</v>
      </c>
      <c r="F10446" s="225" t="s">
        <v>6946</v>
      </c>
    </row>
    <row r="10447" spans="2:6" ht="17.25" thickBot="1">
      <c r="B10447" s="226">
        <v>46168</v>
      </c>
      <c r="C10447" s="227">
        <v>0.77545138888888887</v>
      </c>
      <c r="D10447" s="228">
        <v>10</v>
      </c>
      <c r="E10447" s="225" t="s">
        <v>8297</v>
      </c>
      <c r="F10447" s="225" t="s">
        <v>6946</v>
      </c>
    </row>
    <row r="10448" spans="2:6" ht="17.25" thickBot="1">
      <c r="B10448" s="226">
        <v>46168</v>
      </c>
      <c r="C10448" s="227">
        <v>0.62780092592592596</v>
      </c>
      <c r="D10448" s="228">
        <v>10</v>
      </c>
      <c r="E10448" s="225" t="s">
        <v>244</v>
      </c>
      <c r="F10448" s="225" t="s">
        <v>6946</v>
      </c>
    </row>
    <row r="10449" spans="2:6" ht="17.25" thickBot="1">
      <c r="B10449" s="226">
        <v>46168</v>
      </c>
      <c r="C10449" s="227">
        <v>0.40848379629629633</v>
      </c>
      <c r="D10449" s="228">
        <v>10</v>
      </c>
      <c r="E10449" s="225" t="s">
        <v>8339</v>
      </c>
      <c r="F10449" s="225" t="s">
        <v>6946</v>
      </c>
    </row>
    <row r="10450" spans="2:6" ht="17.25" thickBot="1">
      <c r="B10450" s="226">
        <v>46168</v>
      </c>
      <c r="C10450" s="227">
        <v>0.57261574074074073</v>
      </c>
      <c r="D10450" s="228">
        <v>5</v>
      </c>
      <c r="E10450" s="225" t="s">
        <v>311</v>
      </c>
      <c r="F10450" s="225" t="s">
        <v>6946</v>
      </c>
    </row>
    <row r="10451" spans="2:6" ht="17.25" thickBot="1">
      <c r="B10451" s="226">
        <v>46168</v>
      </c>
      <c r="C10451" s="227">
        <v>0.71268518518518509</v>
      </c>
      <c r="D10451" s="228">
        <v>10</v>
      </c>
      <c r="E10451" s="225" t="s">
        <v>406</v>
      </c>
      <c r="F10451" s="225" t="s">
        <v>6946</v>
      </c>
    </row>
    <row r="10452" spans="2:6" ht="17.25" thickBot="1">
      <c r="B10452" s="226">
        <v>46168</v>
      </c>
      <c r="C10452" s="227">
        <v>0.58253472222222225</v>
      </c>
      <c r="D10452" s="228">
        <v>10</v>
      </c>
      <c r="E10452" s="225" t="s">
        <v>8315</v>
      </c>
      <c r="F10452" s="225" t="s">
        <v>6946</v>
      </c>
    </row>
    <row r="10453" spans="2:6" ht="17.25" thickBot="1">
      <c r="B10453" s="226">
        <v>46168</v>
      </c>
      <c r="C10453" s="227">
        <v>0.63832175925925927</v>
      </c>
      <c r="D10453" s="228">
        <v>10</v>
      </c>
      <c r="E10453" s="225" t="s">
        <v>8323</v>
      </c>
      <c r="F10453" s="225" t="s">
        <v>6946</v>
      </c>
    </row>
    <row r="10454" spans="2:6" ht="17.25" thickBot="1">
      <c r="B10454" s="226">
        <v>46168</v>
      </c>
      <c r="C10454" s="227">
        <v>0.6619328703703703</v>
      </c>
      <c r="D10454" s="228">
        <v>10</v>
      </c>
      <c r="E10454" s="225" t="s">
        <v>8314</v>
      </c>
      <c r="F10454" s="225" t="s">
        <v>6946</v>
      </c>
    </row>
    <row r="10455" spans="2:6" ht="17.25" thickBot="1">
      <c r="B10455" s="226">
        <v>46168</v>
      </c>
      <c r="C10455" s="227">
        <v>0.56449074074074079</v>
      </c>
      <c r="D10455" s="228">
        <v>10</v>
      </c>
      <c r="E10455" s="225" t="s">
        <v>8316</v>
      </c>
      <c r="F10455" s="225" t="s">
        <v>6946</v>
      </c>
    </row>
    <row r="10456" spans="2:6" ht="17.25" thickBot="1">
      <c r="B10456" s="226">
        <v>46168</v>
      </c>
      <c r="C10456" s="227">
        <v>0.69496527777777783</v>
      </c>
      <c r="D10456" s="228">
        <v>10</v>
      </c>
      <c r="E10456" s="225" t="s">
        <v>8296</v>
      </c>
      <c r="F10456" s="225" t="s">
        <v>6946</v>
      </c>
    </row>
    <row r="10457" spans="2:6" ht="17.25" thickBot="1">
      <c r="B10457" s="226">
        <v>46168</v>
      </c>
      <c r="C10457" s="227">
        <v>0.59211805555555552</v>
      </c>
      <c r="D10457" s="228">
        <v>10</v>
      </c>
      <c r="E10457" s="225" t="s">
        <v>8325</v>
      </c>
      <c r="F10457" s="225" t="s">
        <v>6946</v>
      </c>
    </row>
    <row r="10458" spans="2:6" ht="17.25" thickBot="1">
      <c r="B10458" s="226">
        <v>46168</v>
      </c>
      <c r="C10458" s="227">
        <v>0.56174768518518514</v>
      </c>
      <c r="D10458" s="228">
        <v>10</v>
      </c>
      <c r="E10458" s="225" t="s">
        <v>8320</v>
      </c>
      <c r="F10458" s="225" t="s">
        <v>6946</v>
      </c>
    </row>
    <row r="10459" spans="2:6" ht="17.25" thickBot="1">
      <c r="B10459" s="226">
        <v>46168</v>
      </c>
      <c r="C10459" s="227">
        <v>0.69809027777777777</v>
      </c>
      <c r="D10459" s="228">
        <v>10</v>
      </c>
      <c r="E10459" s="225" t="s">
        <v>8292</v>
      </c>
      <c r="F10459" s="225" t="s">
        <v>6946</v>
      </c>
    </row>
    <row r="10460" spans="2:6" ht="17.25" thickBot="1">
      <c r="B10460" s="226">
        <v>46168</v>
      </c>
      <c r="C10460" s="227">
        <v>0.68556712962962962</v>
      </c>
      <c r="D10460" s="228">
        <v>10</v>
      </c>
      <c r="E10460" s="225" t="s">
        <v>8293</v>
      </c>
      <c r="F10460" s="225" t="s">
        <v>6946</v>
      </c>
    </row>
    <row r="10461" spans="2:6" ht="17.25" thickBot="1">
      <c r="B10461" s="226">
        <v>46168</v>
      </c>
      <c r="C10461" s="227">
        <v>0.68920138888888882</v>
      </c>
      <c r="D10461" s="228">
        <v>10</v>
      </c>
      <c r="E10461" s="225" t="s">
        <v>8308</v>
      </c>
      <c r="F10461" s="225" t="s">
        <v>6946</v>
      </c>
    </row>
    <row r="10462" spans="2:6" ht="17.25" thickBot="1">
      <c r="B10462" s="226">
        <v>46168</v>
      </c>
      <c r="C10462" s="227">
        <v>0.81309027777777787</v>
      </c>
      <c r="D10462" s="228">
        <v>10</v>
      </c>
      <c r="E10462" s="225" t="s">
        <v>8305</v>
      </c>
      <c r="F10462" s="225" t="s">
        <v>6946</v>
      </c>
    </row>
    <row r="10463" spans="2:6" ht="17.25" thickBot="1">
      <c r="B10463" s="226">
        <v>46168</v>
      </c>
      <c r="C10463" s="227">
        <v>0.68112268518518515</v>
      </c>
      <c r="D10463" s="228">
        <v>10</v>
      </c>
      <c r="E10463" s="225" t="s">
        <v>8294</v>
      </c>
      <c r="F10463" s="225" t="s">
        <v>6946</v>
      </c>
    </row>
    <row r="10464" spans="2:6" ht="17.25" thickBot="1">
      <c r="B10464" s="226">
        <v>46168</v>
      </c>
      <c r="C10464" s="227">
        <v>0.74920138888888888</v>
      </c>
      <c r="D10464" s="228">
        <v>10</v>
      </c>
      <c r="E10464" s="225" t="s">
        <v>8319</v>
      </c>
      <c r="F10464" s="225" t="s">
        <v>6946</v>
      </c>
    </row>
    <row r="10465" spans="2:6" ht="17.25" thickBot="1">
      <c r="B10465" s="226">
        <v>46168</v>
      </c>
      <c r="C10465" s="227">
        <v>0.8182060185185186</v>
      </c>
      <c r="D10465" s="228">
        <v>10</v>
      </c>
      <c r="E10465" s="225" t="s">
        <v>8290</v>
      </c>
      <c r="F10465" s="225" t="s">
        <v>6946</v>
      </c>
    </row>
    <row r="10466" spans="2:6" ht="17.25" thickBot="1">
      <c r="B10466" s="226">
        <v>46168</v>
      </c>
      <c r="C10466" s="227">
        <v>0.67740740740740746</v>
      </c>
      <c r="D10466" s="228">
        <v>10</v>
      </c>
      <c r="E10466" s="225" t="s">
        <v>618</v>
      </c>
      <c r="F10466" s="225" t="s">
        <v>6946</v>
      </c>
    </row>
    <row r="10467" spans="2:6" ht="17.25" thickBot="1">
      <c r="B10467" s="226">
        <v>46168</v>
      </c>
      <c r="C10467" s="227">
        <v>0.6353240740740741</v>
      </c>
      <c r="D10467" s="228">
        <v>10</v>
      </c>
      <c r="E10467" s="225" t="s">
        <v>8301</v>
      </c>
      <c r="F10467" s="225" t="s">
        <v>6946</v>
      </c>
    </row>
    <row r="10468" spans="2:6" ht="17.25" thickBot="1">
      <c r="B10468" s="226">
        <v>46168</v>
      </c>
      <c r="C10468" s="227">
        <v>0.75093750000000004</v>
      </c>
      <c r="D10468" s="228">
        <v>10</v>
      </c>
      <c r="E10468" s="225" t="s">
        <v>8300</v>
      </c>
      <c r="F10468" s="225" t="s">
        <v>6946</v>
      </c>
    </row>
    <row r="10469" spans="2:6" ht="17.25" thickBot="1">
      <c r="B10469" s="226">
        <v>46168</v>
      </c>
      <c r="C10469" s="227">
        <v>0.75302083333333336</v>
      </c>
      <c r="D10469" s="228">
        <v>10</v>
      </c>
      <c r="E10469" s="225" t="s">
        <v>8298</v>
      </c>
      <c r="F10469" s="225" t="s">
        <v>6946</v>
      </c>
    </row>
    <row r="10470" spans="2:6" ht="17.25" thickBot="1">
      <c r="B10470" s="226">
        <v>46168</v>
      </c>
      <c r="C10470" s="227">
        <v>0.58302083333333332</v>
      </c>
      <c r="D10470" s="228">
        <v>10</v>
      </c>
      <c r="E10470" s="225" t="s">
        <v>8302</v>
      </c>
      <c r="F10470" s="225" t="s">
        <v>6946</v>
      </c>
    </row>
    <row r="10471" spans="2:6" ht="17.25" thickBot="1">
      <c r="B10471" s="226">
        <v>46168</v>
      </c>
      <c r="C10471" s="227">
        <v>0.64418981481481474</v>
      </c>
      <c r="D10471" s="228">
        <v>10</v>
      </c>
      <c r="E10471" s="225" t="s">
        <v>8257</v>
      </c>
      <c r="F10471" s="225" t="s">
        <v>6946</v>
      </c>
    </row>
    <row r="10472" spans="2:6" ht="17.25" thickBot="1">
      <c r="B10472" s="226">
        <v>46168</v>
      </c>
      <c r="C10472" s="227">
        <v>0.90957175925925926</v>
      </c>
      <c r="D10472" s="228">
        <v>10</v>
      </c>
      <c r="E10472" s="225" t="s">
        <v>8295</v>
      </c>
      <c r="F10472" s="225" t="s">
        <v>6946</v>
      </c>
    </row>
    <row r="10473" spans="2:6" ht="17.25" thickBot="1">
      <c r="B10473" s="226">
        <v>46168</v>
      </c>
      <c r="C10473" s="227">
        <v>0.7819328703703704</v>
      </c>
      <c r="D10473" s="228">
        <v>10</v>
      </c>
      <c r="E10473" s="225" t="s">
        <v>8303</v>
      </c>
      <c r="F10473" s="225" t="s">
        <v>6946</v>
      </c>
    </row>
    <row r="10474" spans="2:6" ht="17.25" thickBot="1">
      <c r="B10474" s="226">
        <v>46168</v>
      </c>
      <c r="C10474" s="227">
        <v>0.74943287037037043</v>
      </c>
      <c r="D10474" s="228">
        <v>10</v>
      </c>
      <c r="E10474" s="225" t="s">
        <v>8307</v>
      </c>
      <c r="F10474" s="225" t="s">
        <v>6946</v>
      </c>
    </row>
    <row r="10475" spans="2:6" ht="17.25" thickBot="1">
      <c r="B10475" s="226">
        <v>46168</v>
      </c>
      <c r="C10475" s="227">
        <v>0.73421296296296301</v>
      </c>
      <c r="D10475" s="228">
        <v>10</v>
      </c>
      <c r="E10475" s="225" t="s">
        <v>8310</v>
      </c>
      <c r="F10475" s="225" t="s">
        <v>6946</v>
      </c>
    </row>
    <row r="10476" spans="2:6" ht="26.25" thickBot="1">
      <c r="B10476" s="226">
        <v>46168</v>
      </c>
      <c r="C10476" s="227">
        <v>0.74964120370370368</v>
      </c>
      <c r="D10476" s="228">
        <v>10</v>
      </c>
      <c r="E10476" s="225" t="s">
        <v>8306</v>
      </c>
      <c r="F10476" s="225" t="s">
        <v>6946</v>
      </c>
    </row>
    <row r="10477" spans="2:6" ht="17.25" thickBot="1">
      <c r="B10477" s="226">
        <v>46168</v>
      </c>
      <c r="C10477" s="227">
        <v>0.86592592592592599</v>
      </c>
      <c r="D10477" s="228">
        <v>10</v>
      </c>
      <c r="E10477" s="225" t="s">
        <v>8328</v>
      </c>
      <c r="F10477" s="225" t="s">
        <v>6946</v>
      </c>
    </row>
    <row r="10478" spans="2:6" ht="17.25" thickBot="1">
      <c r="B10478" s="226">
        <v>46168</v>
      </c>
      <c r="C10478" s="227">
        <v>0.73243055555555558</v>
      </c>
      <c r="D10478" s="228">
        <v>10</v>
      </c>
      <c r="E10478" s="225" t="s">
        <v>8291</v>
      </c>
      <c r="F10478" s="225" t="s">
        <v>6946</v>
      </c>
    </row>
    <row r="10479" spans="2:6" ht="17.25" thickBot="1">
      <c r="B10479" s="226">
        <v>46168</v>
      </c>
      <c r="C10479" s="227">
        <v>0.74965277777777783</v>
      </c>
      <c r="D10479" s="228">
        <v>10</v>
      </c>
      <c r="E10479" s="225" t="s">
        <v>8304</v>
      </c>
      <c r="F10479" s="225" t="s">
        <v>6946</v>
      </c>
    </row>
    <row r="10480" spans="2:6" ht="17.25" thickBot="1">
      <c r="B10480" s="226">
        <v>46168</v>
      </c>
      <c r="C10480" s="227">
        <v>0.73184027777777771</v>
      </c>
      <c r="D10480" s="228">
        <v>10</v>
      </c>
      <c r="E10480" s="225" t="s">
        <v>8313</v>
      </c>
      <c r="F10480" s="225" t="s">
        <v>6946</v>
      </c>
    </row>
    <row r="10481" spans="2:6" ht="17.25" thickBot="1">
      <c r="B10481" s="226">
        <v>46168</v>
      </c>
      <c r="C10481" s="227">
        <v>0.57991898148148147</v>
      </c>
      <c r="D10481" s="228">
        <v>10</v>
      </c>
      <c r="E10481" s="225" t="s">
        <v>244</v>
      </c>
      <c r="F10481" s="225" t="s">
        <v>6946</v>
      </c>
    </row>
    <row r="10482" spans="2:6" ht="17.25" thickBot="1">
      <c r="B10482" s="226">
        <v>46168</v>
      </c>
      <c r="C10482" s="227">
        <v>0.6229513888888889</v>
      </c>
      <c r="D10482" s="228">
        <v>10</v>
      </c>
      <c r="E10482" s="225" t="s">
        <v>8317</v>
      </c>
      <c r="F10482" s="225" t="s">
        <v>6946</v>
      </c>
    </row>
    <row r="10483" spans="2:6" ht="17.25" thickBot="1">
      <c r="B10483" s="226">
        <v>46168</v>
      </c>
      <c r="C10483" s="227">
        <v>0.6855902777777777</v>
      </c>
      <c r="D10483" s="228">
        <v>10</v>
      </c>
      <c r="E10483" s="225" t="s">
        <v>284</v>
      </c>
      <c r="F10483" s="225" t="s">
        <v>6946</v>
      </c>
    </row>
    <row r="10484" spans="2:6" ht="17.25" thickBot="1">
      <c r="B10484" s="226">
        <v>46168</v>
      </c>
      <c r="C10484" s="227">
        <v>0.48046296296296293</v>
      </c>
      <c r="D10484" s="228">
        <v>10</v>
      </c>
      <c r="E10484" s="225" t="s">
        <v>8324</v>
      </c>
      <c r="F10484" s="225" t="s">
        <v>6946</v>
      </c>
    </row>
    <row r="10485" spans="2:6" ht="17.25" thickBot="1">
      <c r="B10485" s="226">
        <v>46168</v>
      </c>
      <c r="C10485" s="227">
        <v>0.57384259259259263</v>
      </c>
      <c r="D10485" s="228">
        <v>10</v>
      </c>
      <c r="E10485" s="225" t="s">
        <v>8318</v>
      </c>
      <c r="F10485" s="225" t="s">
        <v>6946</v>
      </c>
    </row>
    <row r="10486" spans="2:6" ht="17.25" thickBot="1">
      <c r="B10486" s="226">
        <v>46168</v>
      </c>
      <c r="C10486" s="227">
        <v>0.59922453703703704</v>
      </c>
      <c r="D10486" s="228">
        <v>10</v>
      </c>
      <c r="E10486" s="225" t="s">
        <v>8333</v>
      </c>
      <c r="F10486" s="225" t="s">
        <v>6946</v>
      </c>
    </row>
    <row r="10487" spans="2:6" ht="17.25" thickBot="1">
      <c r="B10487" s="226">
        <v>46168</v>
      </c>
      <c r="C10487" s="227">
        <v>0.56350694444444438</v>
      </c>
      <c r="D10487" s="228">
        <v>10</v>
      </c>
      <c r="E10487" s="225" t="s">
        <v>1662</v>
      </c>
      <c r="F10487" s="225" t="s">
        <v>6946</v>
      </c>
    </row>
    <row r="10488" spans="2:6" ht="17.25" thickBot="1">
      <c r="B10488" s="226">
        <v>46168</v>
      </c>
      <c r="C10488" s="227">
        <v>0.70113425925925921</v>
      </c>
      <c r="D10488" s="228">
        <v>10</v>
      </c>
      <c r="E10488" s="225" t="s">
        <v>288</v>
      </c>
      <c r="F10488" s="225" t="s">
        <v>6946</v>
      </c>
    </row>
    <row r="10489" spans="2:6" ht="17.25" thickBot="1">
      <c r="B10489" s="226">
        <v>46168</v>
      </c>
      <c r="C10489" s="227">
        <v>0.73318287037037033</v>
      </c>
      <c r="D10489" s="228">
        <v>10</v>
      </c>
      <c r="E10489" s="225" t="s">
        <v>8299</v>
      </c>
      <c r="F10489" s="225" t="s">
        <v>6946</v>
      </c>
    </row>
    <row r="10490" spans="2:6" ht="17.25" thickBot="1">
      <c r="B10490" s="226">
        <v>46168</v>
      </c>
      <c r="C10490" s="227">
        <v>0.6445833333333334</v>
      </c>
      <c r="D10490" s="228">
        <v>10</v>
      </c>
      <c r="E10490" s="225" t="s">
        <v>244</v>
      </c>
      <c r="F10490" s="225" t="s">
        <v>6946</v>
      </c>
    </row>
    <row r="10491" spans="2:6" ht="17.25" thickBot="1">
      <c r="B10491" s="226">
        <v>46168</v>
      </c>
      <c r="C10491" s="227">
        <v>0.74043981481481491</v>
      </c>
      <c r="D10491" s="228">
        <v>10</v>
      </c>
      <c r="E10491" s="225" t="s">
        <v>8327</v>
      </c>
      <c r="F10491" s="225" t="s">
        <v>6946</v>
      </c>
    </row>
    <row r="10492" spans="2:6" ht="17.25" thickBot="1">
      <c r="B10492" s="226">
        <v>46168</v>
      </c>
      <c r="C10492" s="227">
        <v>0.89844907407407415</v>
      </c>
      <c r="D10492" s="228">
        <v>10</v>
      </c>
      <c r="E10492" s="225" t="s">
        <v>132</v>
      </c>
      <c r="F10492" s="225" t="s">
        <v>6946</v>
      </c>
    </row>
    <row r="10493" spans="2:6" ht="17.25" thickBot="1">
      <c r="B10493" s="226">
        <v>46168</v>
      </c>
      <c r="C10493" s="227">
        <v>0.49120370370370375</v>
      </c>
      <c r="D10493" s="228">
        <v>10</v>
      </c>
      <c r="E10493" s="225" t="s">
        <v>8309</v>
      </c>
      <c r="F10493" s="225" t="s">
        <v>6946</v>
      </c>
    </row>
    <row r="10494" spans="2:6" ht="17.25" thickBot="1">
      <c r="B10494" s="226">
        <v>46168</v>
      </c>
      <c r="C10494" s="227">
        <v>0.48405092592592597</v>
      </c>
      <c r="D10494" s="228">
        <v>10</v>
      </c>
      <c r="E10494" s="225" t="s">
        <v>8322</v>
      </c>
      <c r="F10494" s="225" t="s">
        <v>6946</v>
      </c>
    </row>
    <row r="10495" spans="2:6" ht="17.25" thickBot="1">
      <c r="B10495" s="226">
        <v>46168</v>
      </c>
      <c r="C10495" s="227">
        <v>0.50407407407407401</v>
      </c>
      <c r="D10495" s="228">
        <v>10</v>
      </c>
      <c r="E10495" s="225" t="s">
        <v>8312</v>
      </c>
      <c r="F10495" s="225" t="s">
        <v>6946</v>
      </c>
    </row>
    <row r="10496" spans="2:6" ht="17.25" thickBot="1">
      <c r="B10496" s="226">
        <v>46168</v>
      </c>
      <c r="C10496" s="227">
        <v>0.48688657407407404</v>
      </c>
      <c r="D10496" s="228">
        <v>10</v>
      </c>
      <c r="E10496" s="225" t="s">
        <v>8340</v>
      </c>
      <c r="F10496" s="225" t="s">
        <v>6946</v>
      </c>
    </row>
    <row r="10497" spans="2:6" ht="17.25" thickBot="1">
      <c r="B10497" s="226">
        <v>46168</v>
      </c>
      <c r="C10497" s="227">
        <v>0.49440972222222218</v>
      </c>
      <c r="D10497" s="228">
        <v>10</v>
      </c>
      <c r="E10497" s="225" t="s">
        <v>8332</v>
      </c>
      <c r="F10497" s="225" t="s">
        <v>6946</v>
      </c>
    </row>
    <row r="10498" spans="2:6" ht="17.25" thickBot="1">
      <c r="B10498" s="226">
        <v>46168</v>
      </c>
      <c r="C10498" s="227">
        <v>0.69826388888888891</v>
      </c>
      <c r="D10498" s="228">
        <v>10</v>
      </c>
      <c r="E10498" s="225" t="s">
        <v>698</v>
      </c>
      <c r="F10498" s="225" t="s">
        <v>6946</v>
      </c>
    </row>
    <row r="10499" spans="2:6" ht="17.25" thickBot="1">
      <c r="B10499" s="226">
        <v>46168</v>
      </c>
      <c r="C10499" s="227">
        <v>0.45482638888888888</v>
      </c>
      <c r="D10499" s="228">
        <v>10</v>
      </c>
      <c r="E10499" s="225" t="s">
        <v>8338</v>
      </c>
      <c r="F10499" s="225" t="s">
        <v>6946</v>
      </c>
    </row>
    <row r="10500" spans="2:6" ht="26.25" thickBot="1">
      <c r="B10500" s="226">
        <v>46168</v>
      </c>
      <c r="C10500" s="227">
        <v>0.49504629629629626</v>
      </c>
      <c r="D10500" s="228">
        <v>10</v>
      </c>
      <c r="E10500" s="225" t="s">
        <v>8311</v>
      </c>
      <c r="F10500" s="225" t="s">
        <v>6946</v>
      </c>
    </row>
    <row r="10501" spans="2:6" ht="17.25" thickBot="1">
      <c r="B10501" s="226">
        <v>46168</v>
      </c>
      <c r="C10501" s="227">
        <v>0.48429398148148151</v>
      </c>
      <c r="D10501" s="228">
        <v>10</v>
      </c>
      <c r="E10501" s="225" t="s">
        <v>8326</v>
      </c>
      <c r="F10501" s="225" t="s">
        <v>6946</v>
      </c>
    </row>
    <row r="10502" spans="2:6" ht="17.25" thickBot="1">
      <c r="B10502" s="226">
        <v>46168</v>
      </c>
      <c r="C10502" s="227">
        <v>0.47295138888888894</v>
      </c>
      <c r="D10502" s="228">
        <v>10</v>
      </c>
      <c r="E10502" s="225" t="s">
        <v>8321</v>
      </c>
      <c r="F10502" s="225" t="s">
        <v>6946</v>
      </c>
    </row>
    <row r="10503" spans="2:6" ht="17.25" thickBot="1">
      <c r="B10503" s="226">
        <v>46168</v>
      </c>
      <c r="C10503" s="227">
        <v>0.61822916666666672</v>
      </c>
      <c r="D10503" s="228">
        <v>10</v>
      </c>
      <c r="E10503" s="225" t="s">
        <v>8276</v>
      </c>
      <c r="F10503" s="225" t="s">
        <v>6946</v>
      </c>
    </row>
    <row r="10504" spans="2:6" ht="17.25" thickBot="1">
      <c r="B10504" s="226">
        <v>46168</v>
      </c>
      <c r="C10504" s="227">
        <v>0.61746527777777771</v>
      </c>
      <c r="D10504" s="228">
        <v>10</v>
      </c>
      <c r="E10504" s="225" t="s">
        <v>8250</v>
      </c>
      <c r="F10504" s="225" t="s">
        <v>6946</v>
      </c>
    </row>
    <row r="10505" spans="2:6" ht="17.25" thickBot="1">
      <c r="B10505" s="226">
        <v>46168</v>
      </c>
      <c r="C10505" s="227">
        <v>0.62216435185185182</v>
      </c>
      <c r="D10505" s="228">
        <v>10</v>
      </c>
      <c r="E10505" s="225" t="s">
        <v>425</v>
      </c>
      <c r="F10505" s="225" t="s">
        <v>6946</v>
      </c>
    </row>
    <row r="10506" spans="2:6" ht="17.25" thickBot="1">
      <c r="B10506" s="226">
        <v>46168</v>
      </c>
      <c r="C10506" s="227">
        <v>0.4494097222222222</v>
      </c>
      <c r="D10506" s="228">
        <v>10</v>
      </c>
      <c r="E10506" s="225" t="s">
        <v>8329</v>
      </c>
      <c r="F10506" s="225" t="s">
        <v>6946</v>
      </c>
    </row>
    <row r="10507" spans="2:6" ht="17.25" thickBot="1">
      <c r="B10507" s="226">
        <v>46168</v>
      </c>
      <c r="C10507" s="227">
        <v>0.64388888888888884</v>
      </c>
      <c r="D10507" s="228">
        <v>10</v>
      </c>
      <c r="E10507" s="225" t="s">
        <v>8268</v>
      </c>
      <c r="F10507" s="225" t="s">
        <v>6946</v>
      </c>
    </row>
    <row r="10508" spans="2:6" ht="17.25" thickBot="1">
      <c r="B10508" s="226">
        <v>46168</v>
      </c>
      <c r="C10508" s="227">
        <v>0.42062500000000003</v>
      </c>
      <c r="D10508" s="228">
        <v>10</v>
      </c>
      <c r="E10508" s="225" t="s">
        <v>8336</v>
      </c>
      <c r="F10508" s="225" t="s">
        <v>6946</v>
      </c>
    </row>
    <row r="10509" spans="2:6" ht="17.25" thickBot="1">
      <c r="B10509" s="226">
        <v>46168</v>
      </c>
      <c r="C10509" s="227">
        <v>0.62156250000000002</v>
      </c>
      <c r="D10509" s="228">
        <v>10</v>
      </c>
      <c r="E10509" s="225" t="s">
        <v>8265</v>
      </c>
      <c r="F10509" s="225" t="s">
        <v>6946</v>
      </c>
    </row>
    <row r="10510" spans="2:6" ht="26.25" thickBot="1">
      <c r="B10510" s="226">
        <v>46168</v>
      </c>
      <c r="C10510" s="227">
        <v>0.62201388888888887</v>
      </c>
      <c r="D10510" s="228">
        <v>10</v>
      </c>
      <c r="E10510" s="225" t="s">
        <v>8271</v>
      </c>
      <c r="F10510" s="225" t="s">
        <v>6946</v>
      </c>
    </row>
    <row r="10511" spans="2:6" ht="17.25" thickBot="1">
      <c r="B10511" s="226">
        <v>46168</v>
      </c>
      <c r="C10511" s="227">
        <v>0.61924768518518525</v>
      </c>
      <c r="D10511" s="228">
        <v>10</v>
      </c>
      <c r="E10511" s="225" t="s">
        <v>8281</v>
      </c>
      <c r="F10511" s="225" t="s">
        <v>6946</v>
      </c>
    </row>
    <row r="10512" spans="2:6" ht="17.25" thickBot="1">
      <c r="B10512" s="226">
        <v>46168</v>
      </c>
      <c r="C10512" s="227">
        <v>0.42690972222222223</v>
      </c>
      <c r="D10512" s="228">
        <v>10</v>
      </c>
      <c r="E10512" s="225" t="s">
        <v>8330</v>
      </c>
      <c r="F10512" s="225" t="s">
        <v>6946</v>
      </c>
    </row>
    <row r="10513" spans="2:6" ht="17.25" thickBot="1">
      <c r="B10513" s="226">
        <v>46168</v>
      </c>
      <c r="C10513" s="227">
        <v>0.62118055555555551</v>
      </c>
      <c r="D10513" s="228">
        <v>10</v>
      </c>
      <c r="E10513" s="225" t="s">
        <v>8254</v>
      </c>
      <c r="F10513" s="225" t="s">
        <v>6946</v>
      </c>
    </row>
    <row r="10514" spans="2:6" ht="17.25" thickBot="1">
      <c r="B10514" s="226">
        <v>46168</v>
      </c>
      <c r="C10514" s="227">
        <v>0.41981481481481481</v>
      </c>
      <c r="D10514" s="228">
        <v>10</v>
      </c>
      <c r="E10514" s="225" t="s">
        <v>8337</v>
      </c>
      <c r="F10514" s="225" t="s">
        <v>6946</v>
      </c>
    </row>
    <row r="10515" spans="2:6" ht="17.25" thickBot="1">
      <c r="B10515" s="226">
        <v>46168</v>
      </c>
      <c r="C10515" s="227">
        <v>0.62050925925925926</v>
      </c>
      <c r="D10515" s="228">
        <v>10</v>
      </c>
      <c r="E10515" s="225" t="s">
        <v>8252</v>
      </c>
      <c r="F10515" s="225" t="s">
        <v>6946</v>
      </c>
    </row>
    <row r="10516" spans="2:6" ht="17.25" thickBot="1">
      <c r="B10516" s="226">
        <v>46168</v>
      </c>
      <c r="C10516" s="227">
        <v>0.40204861111111106</v>
      </c>
      <c r="D10516" s="228">
        <v>10</v>
      </c>
      <c r="E10516" s="225" t="s">
        <v>8334</v>
      </c>
      <c r="F10516" s="225" t="s">
        <v>6946</v>
      </c>
    </row>
    <row r="10517" spans="2:6" ht="26.25" thickBot="1">
      <c r="B10517" s="226">
        <v>46168</v>
      </c>
      <c r="C10517" s="227">
        <v>0.4011805555555556</v>
      </c>
      <c r="D10517" s="228">
        <v>10</v>
      </c>
      <c r="E10517" s="225" t="s">
        <v>8335</v>
      </c>
      <c r="F10517" s="225" t="s">
        <v>6946</v>
      </c>
    </row>
    <row r="10518" spans="2:6" ht="17.25" thickBot="1">
      <c r="B10518" s="226">
        <v>46168</v>
      </c>
      <c r="C10518" s="227">
        <v>0.39550925925925928</v>
      </c>
      <c r="D10518" s="228">
        <v>10</v>
      </c>
      <c r="E10518" s="225" t="s">
        <v>8331</v>
      </c>
      <c r="F10518" s="225" t="s">
        <v>6946</v>
      </c>
    </row>
    <row r="10519" spans="2:6" ht="17.25" thickBot="1">
      <c r="B10519" s="226">
        <v>46168</v>
      </c>
      <c r="C10519" s="227">
        <v>0.6207407407407407</v>
      </c>
      <c r="D10519" s="228">
        <v>10</v>
      </c>
      <c r="E10519" s="225" t="s">
        <v>8251</v>
      </c>
      <c r="F10519" s="225" t="s">
        <v>6946</v>
      </c>
    </row>
    <row r="10520" spans="2:6" ht="17.25" thickBot="1">
      <c r="B10520" s="226">
        <v>46168</v>
      </c>
      <c r="C10520" s="227">
        <v>0.62030092592592589</v>
      </c>
      <c r="D10520" s="228">
        <v>10</v>
      </c>
      <c r="E10520" s="225" t="s">
        <v>214</v>
      </c>
      <c r="F10520" s="225" t="s">
        <v>6946</v>
      </c>
    </row>
    <row r="10521" spans="2:6" ht="17.25" thickBot="1">
      <c r="B10521" s="226">
        <v>46168</v>
      </c>
      <c r="C10521" s="227">
        <v>0.64182870370370371</v>
      </c>
      <c r="D10521" s="228">
        <v>10</v>
      </c>
      <c r="E10521" s="225" t="s">
        <v>8277</v>
      </c>
      <c r="F10521" s="225" t="s">
        <v>6946</v>
      </c>
    </row>
    <row r="10522" spans="2:6" ht="17.25" thickBot="1">
      <c r="B10522" s="226">
        <v>46168</v>
      </c>
      <c r="C10522" s="227">
        <v>0.62119212962962966</v>
      </c>
      <c r="D10522" s="228">
        <v>10</v>
      </c>
      <c r="E10522" s="225" t="s">
        <v>8267</v>
      </c>
      <c r="F10522" s="225" t="s">
        <v>6946</v>
      </c>
    </row>
    <row r="10523" spans="2:6" ht="17.25" thickBot="1">
      <c r="B10523" s="226">
        <v>46168</v>
      </c>
      <c r="C10523" s="227">
        <v>0.64217592592592598</v>
      </c>
      <c r="D10523" s="228">
        <v>10</v>
      </c>
      <c r="E10523" s="225" t="s">
        <v>8259</v>
      </c>
      <c r="F10523" s="225" t="s">
        <v>6946</v>
      </c>
    </row>
    <row r="10524" spans="2:6" ht="17.25" thickBot="1">
      <c r="B10524" s="226">
        <v>46168</v>
      </c>
      <c r="C10524" s="227">
        <v>0.64446759259259256</v>
      </c>
      <c r="D10524" s="228">
        <v>10</v>
      </c>
      <c r="E10524" s="225" t="s">
        <v>8258</v>
      </c>
      <c r="F10524" s="225" t="s">
        <v>6946</v>
      </c>
    </row>
    <row r="10525" spans="2:6" ht="17.25" thickBot="1">
      <c r="B10525" s="226">
        <v>46168</v>
      </c>
      <c r="C10525" s="227">
        <v>0.62030092592592589</v>
      </c>
      <c r="D10525" s="228">
        <v>10</v>
      </c>
      <c r="E10525" s="225" t="s">
        <v>8282</v>
      </c>
      <c r="F10525" s="225" t="s">
        <v>6946</v>
      </c>
    </row>
    <row r="10526" spans="2:6" ht="17.25" thickBot="1">
      <c r="B10526" s="226">
        <v>46168</v>
      </c>
      <c r="C10526" s="227">
        <v>0.64474537037037039</v>
      </c>
      <c r="D10526" s="228">
        <v>10</v>
      </c>
      <c r="E10526" s="225" t="s">
        <v>8266</v>
      </c>
      <c r="F10526" s="225" t="s">
        <v>6946</v>
      </c>
    </row>
    <row r="10527" spans="2:6" ht="17.25" thickBot="1">
      <c r="B10527" s="226">
        <v>46168</v>
      </c>
      <c r="C10527" s="227">
        <v>0.64498842592592587</v>
      </c>
      <c r="D10527" s="228">
        <v>10</v>
      </c>
      <c r="E10527" s="225" t="s">
        <v>8275</v>
      </c>
      <c r="F10527" s="225" t="s">
        <v>6946</v>
      </c>
    </row>
    <row r="10528" spans="2:6" ht="17.25" thickBot="1">
      <c r="B10528" s="226">
        <v>46168</v>
      </c>
      <c r="C10528" s="227">
        <v>0.62076388888888889</v>
      </c>
      <c r="D10528" s="228">
        <v>10</v>
      </c>
      <c r="E10528" s="225" t="s">
        <v>8273</v>
      </c>
      <c r="F10528" s="225" t="s">
        <v>6946</v>
      </c>
    </row>
    <row r="10529" spans="2:6" ht="17.25" thickBot="1">
      <c r="B10529" s="226">
        <v>46168</v>
      </c>
      <c r="C10529" s="227">
        <v>0.61958333333333326</v>
      </c>
      <c r="D10529" s="228">
        <v>10</v>
      </c>
      <c r="E10529" s="225" t="s">
        <v>8260</v>
      </c>
      <c r="F10529" s="225" t="s">
        <v>6946</v>
      </c>
    </row>
    <row r="10530" spans="2:6" ht="17.25" thickBot="1">
      <c r="B10530" s="226">
        <v>46168</v>
      </c>
      <c r="C10530" s="227">
        <v>0.62203703703703705</v>
      </c>
      <c r="D10530" s="228">
        <v>10</v>
      </c>
      <c r="E10530" s="225" t="s">
        <v>8274</v>
      </c>
      <c r="F10530" s="225" t="s">
        <v>6946</v>
      </c>
    </row>
    <row r="10531" spans="2:6" ht="26.25" thickBot="1">
      <c r="B10531" s="226">
        <v>46168</v>
      </c>
      <c r="C10531" s="227">
        <v>0.64527777777777773</v>
      </c>
      <c r="D10531" s="228">
        <v>10</v>
      </c>
      <c r="E10531" s="225" t="s">
        <v>8288</v>
      </c>
      <c r="F10531" s="225" t="s">
        <v>6946</v>
      </c>
    </row>
    <row r="10532" spans="2:6" ht="17.25" thickBot="1">
      <c r="B10532" s="226">
        <v>46165</v>
      </c>
      <c r="C10532" s="227">
        <v>0.5977662037037037</v>
      </c>
      <c r="D10532" s="228">
        <v>10</v>
      </c>
      <c r="E10532" s="225" t="s">
        <v>6820</v>
      </c>
      <c r="F10532" s="225" t="s">
        <v>6946</v>
      </c>
    </row>
    <row r="10533" spans="2:6" ht="17.25" thickBot="1">
      <c r="B10533" s="226">
        <v>46165</v>
      </c>
      <c r="C10533" s="227">
        <v>0.74262731481481481</v>
      </c>
      <c r="D10533" s="228">
        <v>10</v>
      </c>
      <c r="E10533" s="225" t="s">
        <v>8245</v>
      </c>
      <c r="F10533" s="225" t="s">
        <v>6946</v>
      </c>
    </row>
    <row r="10534" spans="2:6" ht="17.25" thickBot="1">
      <c r="B10534" s="226">
        <v>46165</v>
      </c>
      <c r="C10534" s="227">
        <v>0.67100694444444453</v>
      </c>
      <c r="D10534" s="228">
        <v>10</v>
      </c>
      <c r="E10534" s="225" t="s">
        <v>8244</v>
      </c>
      <c r="F10534" s="225" t="s">
        <v>6946</v>
      </c>
    </row>
    <row r="10535" spans="2:6" ht="17.25" thickBot="1">
      <c r="B10535" s="226">
        <v>46165</v>
      </c>
      <c r="C10535" s="227">
        <v>0.46180555555555558</v>
      </c>
      <c r="D10535" s="228">
        <v>10</v>
      </c>
      <c r="E10535" s="225" t="s">
        <v>8241</v>
      </c>
      <c r="F10535" s="225" t="s">
        <v>6946</v>
      </c>
    </row>
    <row r="10536" spans="2:6" ht="17.25" thickBot="1">
      <c r="B10536" s="226">
        <v>46165</v>
      </c>
      <c r="C10536" s="227">
        <v>0.69226851851851856</v>
      </c>
      <c r="D10536" s="228">
        <v>10</v>
      </c>
      <c r="E10536" s="225" t="s">
        <v>6360</v>
      </c>
      <c r="F10536" s="225" t="s">
        <v>6946</v>
      </c>
    </row>
    <row r="10537" spans="2:6" ht="17.25" thickBot="1">
      <c r="B10537" s="226">
        <v>46165</v>
      </c>
      <c r="C10537" s="227">
        <v>0.58763888888888893</v>
      </c>
      <c r="D10537" s="228">
        <v>10</v>
      </c>
      <c r="E10537" s="225" t="s">
        <v>8237</v>
      </c>
      <c r="F10537" s="225" t="s">
        <v>6946</v>
      </c>
    </row>
    <row r="10538" spans="2:6" ht="17.25" thickBot="1">
      <c r="B10538" s="226">
        <v>46165</v>
      </c>
      <c r="C10538" s="227">
        <v>0.65827546296296291</v>
      </c>
      <c r="D10538" s="228">
        <v>10</v>
      </c>
      <c r="E10538" s="225" t="s">
        <v>448</v>
      </c>
      <c r="F10538" s="225" t="s">
        <v>6946</v>
      </c>
    </row>
    <row r="10539" spans="2:6" ht="17.25" thickBot="1">
      <c r="B10539" s="226">
        <v>46165</v>
      </c>
      <c r="C10539" s="227">
        <v>0.40218749999999998</v>
      </c>
      <c r="D10539" s="228">
        <v>10</v>
      </c>
      <c r="E10539" s="225" t="s">
        <v>8240</v>
      </c>
      <c r="F10539" s="225" t="s">
        <v>6946</v>
      </c>
    </row>
    <row r="10540" spans="2:6" ht="17.25" thickBot="1">
      <c r="B10540" s="226">
        <v>46165</v>
      </c>
      <c r="C10540" s="227">
        <v>0.53883101851851845</v>
      </c>
      <c r="D10540" s="228">
        <v>10</v>
      </c>
      <c r="E10540" s="225" t="s">
        <v>5601</v>
      </c>
      <c r="F10540" s="225" t="s">
        <v>6946</v>
      </c>
    </row>
    <row r="10541" spans="2:6" ht="17.25" thickBot="1">
      <c r="B10541" s="226">
        <v>46165</v>
      </c>
      <c r="C10541" s="227">
        <v>0.41053240740740743</v>
      </c>
      <c r="D10541" s="228">
        <v>10</v>
      </c>
      <c r="E10541" s="225" t="s">
        <v>8239</v>
      </c>
      <c r="F10541" s="225" t="s">
        <v>6946</v>
      </c>
    </row>
    <row r="10542" spans="2:6" ht="26.25" thickBot="1">
      <c r="B10542" s="226">
        <v>46165</v>
      </c>
      <c r="C10542" s="227">
        <v>0.72747685185185185</v>
      </c>
      <c r="D10542" s="228">
        <v>10</v>
      </c>
      <c r="E10542" s="225" t="s">
        <v>8242</v>
      </c>
      <c r="F10542" s="225" t="s">
        <v>6946</v>
      </c>
    </row>
    <row r="10543" spans="2:6" ht="17.25" thickBot="1">
      <c r="B10543" s="226">
        <v>46165</v>
      </c>
      <c r="C10543" s="227">
        <v>0.51215277777777779</v>
      </c>
      <c r="D10543" s="228">
        <v>10</v>
      </c>
      <c r="E10543" s="225" t="s">
        <v>8238</v>
      </c>
      <c r="F10543" s="225" t="s">
        <v>6946</v>
      </c>
    </row>
    <row r="10544" spans="2:6" ht="17.25" thickBot="1">
      <c r="B10544" s="226">
        <v>46165</v>
      </c>
      <c r="C10544" s="227">
        <v>0.73849537037037039</v>
      </c>
      <c r="D10544" s="228">
        <v>10</v>
      </c>
      <c r="E10544" s="225" t="s">
        <v>406</v>
      </c>
      <c r="F10544" s="225" t="s">
        <v>6946</v>
      </c>
    </row>
    <row r="10545" spans="2:6" ht="17.25" thickBot="1">
      <c r="B10545" s="226">
        <v>46165</v>
      </c>
      <c r="C10545" s="227">
        <v>0.68611111111111101</v>
      </c>
      <c r="D10545" s="228">
        <v>10</v>
      </c>
      <c r="E10545" s="225" t="s">
        <v>8246</v>
      </c>
      <c r="F10545" s="225" t="s">
        <v>6946</v>
      </c>
    </row>
    <row r="10546" spans="2:6" ht="17.25" thickBot="1">
      <c r="B10546" s="226">
        <v>46165</v>
      </c>
      <c r="C10546" s="227">
        <v>0.67215277777777782</v>
      </c>
      <c r="D10546" s="228">
        <v>10</v>
      </c>
      <c r="E10546" s="225" t="s">
        <v>8247</v>
      </c>
      <c r="F10546" s="225" t="s">
        <v>6946</v>
      </c>
    </row>
    <row r="10547" spans="2:6" ht="17.25" thickBot="1">
      <c r="B10547" s="226">
        <v>46165</v>
      </c>
      <c r="C10547" s="227">
        <v>0.63475694444444442</v>
      </c>
      <c r="D10547" s="228">
        <v>10</v>
      </c>
      <c r="E10547" s="225" t="s">
        <v>8248</v>
      </c>
      <c r="F10547" s="225" t="s">
        <v>6946</v>
      </c>
    </row>
    <row r="10548" spans="2:6" ht="17.25" thickBot="1">
      <c r="B10548" s="226">
        <v>46165</v>
      </c>
      <c r="C10548" s="227">
        <v>0.5811574074074074</v>
      </c>
      <c r="D10548" s="228">
        <v>10</v>
      </c>
      <c r="E10548" s="225" t="s">
        <v>179</v>
      </c>
      <c r="F10548" s="225" t="s">
        <v>6946</v>
      </c>
    </row>
    <row r="10549" spans="2:6" ht="26.25" thickBot="1">
      <c r="B10549" s="226">
        <v>46165</v>
      </c>
      <c r="C10549" s="227">
        <v>0.69694444444444448</v>
      </c>
      <c r="D10549" s="228">
        <v>10</v>
      </c>
      <c r="E10549" s="225" t="s">
        <v>8243</v>
      </c>
      <c r="F10549" s="225" t="s">
        <v>6946</v>
      </c>
    </row>
    <row r="10550" spans="2:6" ht="17.25" thickBot="1">
      <c r="B10550" s="226">
        <v>46165</v>
      </c>
      <c r="C10550" s="227">
        <v>0.52648148148148144</v>
      </c>
      <c r="D10550" s="228">
        <v>10</v>
      </c>
      <c r="E10550" s="225" t="s">
        <v>1700</v>
      </c>
      <c r="F10550" s="225" t="s">
        <v>6946</v>
      </c>
    </row>
    <row r="10551" spans="2:6" ht="17.25" thickBot="1">
      <c r="B10551" s="226">
        <v>46165</v>
      </c>
      <c r="C10551" s="227">
        <v>0.63916666666666666</v>
      </c>
      <c r="D10551" s="228">
        <v>10</v>
      </c>
      <c r="E10551" s="225" t="s">
        <v>8249</v>
      </c>
      <c r="F10551" s="225" t="s">
        <v>6946</v>
      </c>
    </row>
    <row r="10552" spans="2:6" ht="17.25" thickBot="1">
      <c r="B10552" s="226">
        <v>46165</v>
      </c>
      <c r="C10552" s="227">
        <v>0.64498842592592587</v>
      </c>
      <c r="D10552" s="228">
        <v>10</v>
      </c>
      <c r="E10552" s="225" t="s">
        <v>244</v>
      </c>
      <c r="F10552" s="225" t="s">
        <v>6946</v>
      </c>
    </row>
    <row r="10553" spans="2:6" ht="17.25" thickBot="1">
      <c r="B10553" s="226">
        <v>46164</v>
      </c>
      <c r="C10553" s="227">
        <v>0.66261574074074081</v>
      </c>
      <c r="D10553" s="228">
        <v>10</v>
      </c>
      <c r="E10553" s="225" t="s">
        <v>8278</v>
      </c>
      <c r="F10553" s="225" t="s">
        <v>6946</v>
      </c>
    </row>
    <row r="10554" spans="2:6" ht="17.25" thickBot="1">
      <c r="B10554" s="226">
        <v>46164</v>
      </c>
      <c r="C10554" s="227">
        <v>0.75783564814814808</v>
      </c>
      <c r="D10554" s="228">
        <v>10</v>
      </c>
      <c r="E10554" s="225" t="s">
        <v>8263</v>
      </c>
      <c r="F10554" s="225" t="s">
        <v>6946</v>
      </c>
    </row>
    <row r="10555" spans="2:6" ht="17.25" thickBot="1">
      <c r="B10555" s="226">
        <v>46164</v>
      </c>
      <c r="C10555" s="227">
        <v>0.63869212962962962</v>
      </c>
      <c r="D10555" s="228">
        <v>10</v>
      </c>
      <c r="E10555" s="225" t="s">
        <v>8270</v>
      </c>
      <c r="F10555" s="225" t="s">
        <v>6946</v>
      </c>
    </row>
    <row r="10556" spans="2:6" ht="17.25" thickBot="1">
      <c r="B10556" s="226">
        <v>46164</v>
      </c>
      <c r="C10556" s="227">
        <v>0.6381944444444444</v>
      </c>
      <c r="D10556" s="228">
        <v>10</v>
      </c>
      <c r="E10556" s="225" t="s">
        <v>8269</v>
      </c>
      <c r="F10556" s="225" t="s">
        <v>6946</v>
      </c>
    </row>
    <row r="10557" spans="2:6" ht="17.25" thickBot="1">
      <c r="B10557" s="226">
        <v>46164</v>
      </c>
      <c r="C10557" s="227">
        <v>0.7313425925925926</v>
      </c>
      <c r="D10557" s="228">
        <v>10</v>
      </c>
      <c r="E10557" s="225" t="s">
        <v>8255</v>
      </c>
      <c r="F10557" s="225" t="s">
        <v>6946</v>
      </c>
    </row>
    <row r="10558" spans="2:6" ht="17.25" thickBot="1">
      <c r="B10558" s="226">
        <v>46164</v>
      </c>
      <c r="C10558" s="227">
        <v>0.7446990740740741</v>
      </c>
      <c r="D10558" s="228">
        <v>10</v>
      </c>
      <c r="E10558" s="225" t="s">
        <v>8262</v>
      </c>
      <c r="F10558" s="225" t="s">
        <v>6946</v>
      </c>
    </row>
    <row r="10559" spans="2:6" ht="17.25" thickBot="1">
      <c r="B10559" s="226">
        <v>46164</v>
      </c>
      <c r="C10559" s="227">
        <v>0.68390046296296303</v>
      </c>
      <c r="D10559" s="228">
        <v>10</v>
      </c>
      <c r="E10559" s="225" t="s">
        <v>7034</v>
      </c>
      <c r="F10559" s="225" t="s">
        <v>6946</v>
      </c>
    </row>
    <row r="10560" spans="2:6" ht="17.25" thickBot="1">
      <c r="B10560" s="226">
        <v>46164</v>
      </c>
      <c r="C10560" s="227">
        <v>0.65164351851851854</v>
      </c>
      <c r="D10560" s="228">
        <v>10</v>
      </c>
      <c r="E10560" s="225" t="s">
        <v>872</v>
      </c>
      <c r="F10560" s="225" t="s">
        <v>6946</v>
      </c>
    </row>
    <row r="10561" spans="2:6" ht="17.25" thickBot="1">
      <c r="B10561" s="226">
        <v>46164</v>
      </c>
      <c r="C10561" s="227">
        <v>0.66266203703703697</v>
      </c>
      <c r="D10561" s="228">
        <v>10</v>
      </c>
      <c r="E10561" s="225" t="s">
        <v>8256</v>
      </c>
      <c r="F10561" s="225" t="s">
        <v>6946</v>
      </c>
    </row>
    <row r="10562" spans="2:6" ht="17.25" thickBot="1">
      <c r="B10562" s="226">
        <v>46164</v>
      </c>
      <c r="C10562" s="227">
        <v>0.66439814814814813</v>
      </c>
      <c r="D10562" s="228">
        <v>10</v>
      </c>
      <c r="E10562" s="225" t="s">
        <v>7276</v>
      </c>
      <c r="F10562" s="225" t="s">
        <v>6946</v>
      </c>
    </row>
    <row r="10563" spans="2:6" ht="17.25" thickBot="1">
      <c r="B10563" s="226">
        <v>46164</v>
      </c>
      <c r="C10563" s="227">
        <v>0.66204861111111113</v>
      </c>
      <c r="D10563" s="228">
        <v>10</v>
      </c>
      <c r="E10563" s="225" t="s">
        <v>8264</v>
      </c>
      <c r="F10563" s="225" t="s">
        <v>6946</v>
      </c>
    </row>
    <row r="10564" spans="2:6" ht="17.25" thickBot="1">
      <c r="B10564" s="226">
        <v>46164</v>
      </c>
      <c r="C10564" s="227">
        <v>0.66274305555555557</v>
      </c>
      <c r="D10564" s="228">
        <v>10</v>
      </c>
      <c r="E10564" s="225" t="s">
        <v>8279</v>
      </c>
      <c r="F10564" s="225" t="s">
        <v>6946</v>
      </c>
    </row>
    <row r="10565" spans="2:6" ht="17.25" thickBot="1">
      <c r="B10565" s="226">
        <v>46164</v>
      </c>
      <c r="C10565" s="227">
        <v>0.77467592592592593</v>
      </c>
      <c r="D10565" s="228">
        <v>10</v>
      </c>
      <c r="E10565" s="225" t="s">
        <v>8253</v>
      </c>
      <c r="F10565" s="225" t="s">
        <v>6946</v>
      </c>
    </row>
    <row r="10566" spans="2:6" ht="17.25" thickBot="1">
      <c r="B10566" s="226">
        <v>46164</v>
      </c>
      <c r="C10566" s="227">
        <v>0.6022453703703704</v>
      </c>
      <c r="D10566" s="228">
        <v>10</v>
      </c>
      <c r="E10566" s="225" t="s">
        <v>8261</v>
      </c>
      <c r="F10566" s="225" t="s">
        <v>6946</v>
      </c>
    </row>
    <row r="10567" spans="2:6" ht="17.25" thickBot="1">
      <c r="B10567" s="226">
        <v>46164</v>
      </c>
      <c r="C10567" s="227">
        <v>0.61685185185185187</v>
      </c>
      <c r="D10567" s="228">
        <v>10</v>
      </c>
      <c r="E10567" s="225" t="s">
        <v>8272</v>
      </c>
      <c r="F10567" s="225" t="s">
        <v>6946</v>
      </c>
    </row>
    <row r="10568" spans="2:6" ht="17.25" thickBot="1">
      <c r="B10568" s="226">
        <v>46164</v>
      </c>
      <c r="C10568" s="227">
        <v>0.41936342592592596</v>
      </c>
      <c r="D10568" s="228">
        <v>10</v>
      </c>
      <c r="E10568" s="225" t="s">
        <v>8285</v>
      </c>
      <c r="F10568" s="225" t="s">
        <v>6946</v>
      </c>
    </row>
    <row r="10569" spans="2:6" ht="26.25" thickBot="1">
      <c r="B10569" s="226">
        <v>46164</v>
      </c>
      <c r="C10569" s="227">
        <v>0.42810185185185184</v>
      </c>
      <c r="D10569" s="228">
        <v>10</v>
      </c>
      <c r="E10569" s="225" t="s">
        <v>8284</v>
      </c>
      <c r="F10569" s="225" t="s">
        <v>6946</v>
      </c>
    </row>
    <row r="10570" spans="2:6" ht="17.25" thickBot="1">
      <c r="B10570" s="226">
        <v>46164</v>
      </c>
      <c r="C10570" s="227">
        <v>0.50291666666666668</v>
      </c>
      <c r="D10570" s="228">
        <v>10</v>
      </c>
      <c r="E10570" s="225" t="s">
        <v>8283</v>
      </c>
      <c r="F10570" s="225" t="s">
        <v>6946</v>
      </c>
    </row>
    <row r="10571" spans="2:6" ht="17.25" thickBot="1">
      <c r="B10571" s="226">
        <v>46164</v>
      </c>
      <c r="C10571" s="227">
        <v>0.43364583333333334</v>
      </c>
      <c r="D10571" s="228">
        <v>10</v>
      </c>
      <c r="E10571" s="225" t="s">
        <v>8287</v>
      </c>
      <c r="F10571" s="225" t="s">
        <v>6946</v>
      </c>
    </row>
    <row r="10572" spans="2:6" ht="17.25" thickBot="1">
      <c r="B10572" s="226">
        <v>46164</v>
      </c>
      <c r="C10572" s="227">
        <v>0.40211805555555552</v>
      </c>
      <c r="D10572" s="228">
        <v>10</v>
      </c>
      <c r="E10572" s="225" t="s">
        <v>1094</v>
      </c>
      <c r="F10572" s="225" t="s">
        <v>6946</v>
      </c>
    </row>
    <row r="10573" spans="2:6" ht="17.25" thickBot="1">
      <c r="B10573" s="226">
        <v>46164</v>
      </c>
      <c r="C10573" s="227">
        <v>0.47054398148148152</v>
      </c>
      <c r="D10573" s="228">
        <v>10</v>
      </c>
      <c r="E10573" s="225" t="s">
        <v>8280</v>
      </c>
      <c r="F10573" s="225" t="s">
        <v>6946</v>
      </c>
    </row>
    <row r="10574" spans="2:6" ht="17.25" thickBot="1">
      <c r="B10574" s="226">
        <v>46164</v>
      </c>
      <c r="C10574" s="227">
        <v>0.39893518518518517</v>
      </c>
      <c r="D10574" s="228">
        <v>10</v>
      </c>
      <c r="E10574" s="225" t="s">
        <v>8286</v>
      </c>
      <c r="F10574" s="225" t="s">
        <v>6946</v>
      </c>
    </row>
    <row r="10575" spans="2:6" ht="17.25" thickBot="1">
      <c r="B10575" s="226">
        <v>46164</v>
      </c>
      <c r="C10575" s="227">
        <v>0.41663194444444446</v>
      </c>
      <c r="D10575" s="228">
        <v>10</v>
      </c>
      <c r="E10575" s="225" t="s">
        <v>8289</v>
      </c>
      <c r="F10575" s="225" t="s">
        <v>6946</v>
      </c>
    </row>
    <row r="10576" spans="2:6" ht="17.25" thickBot="1">
      <c r="B10576" s="226">
        <v>46163</v>
      </c>
      <c r="C10576" s="227">
        <v>0.69680555555555557</v>
      </c>
      <c r="D10576" s="228">
        <v>10</v>
      </c>
      <c r="E10576" s="225" t="s">
        <v>8207</v>
      </c>
      <c r="F10576" s="225" t="s">
        <v>6946</v>
      </c>
    </row>
    <row r="10577" spans="2:6" ht="17.25" thickBot="1">
      <c r="B10577" s="226">
        <v>46163</v>
      </c>
      <c r="C10577" s="227">
        <v>0.71862268518518524</v>
      </c>
      <c r="D10577" s="228">
        <v>10</v>
      </c>
      <c r="E10577" s="225" t="s">
        <v>8235</v>
      </c>
      <c r="F10577" s="225" t="s">
        <v>6946</v>
      </c>
    </row>
    <row r="10578" spans="2:6" ht="17.25" thickBot="1">
      <c r="B10578" s="226">
        <v>46163</v>
      </c>
      <c r="C10578" s="227">
        <v>0.69843749999999993</v>
      </c>
      <c r="D10578" s="228">
        <v>10</v>
      </c>
      <c r="E10578" s="225" t="s">
        <v>8216</v>
      </c>
      <c r="F10578" s="225" t="s">
        <v>6946</v>
      </c>
    </row>
    <row r="10579" spans="2:6" ht="17.25" thickBot="1">
      <c r="B10579" s="226">
        <v>46163</v>
      </c>
      <c r="C10579" s="227">
        <v>0.75304398148148144</v>
      </c>
      <c r="D10579" s="228">
        <v>10</v>
      </c>
      <c r="E10579" s="225" t="s">
        <v>8226</v>
      </c>
      <c r="F10579" s="225" t="s">
        <v>6946</v>
      </c>
    </row>
    <row r="10580" spans="2:6" ht="17.25" thickBot="1">
      <c r="B10580" s="226">
        <v>46163</v>
      </c>
      <c r="C10580" s="227">
        <v>0.75204861111111121</v>
      </c>
      <c r="D10580" s="228">
        <v>10</v>
      </c>
      <c r="E10580" s="225" t="s">
        <v>194</v>
      </c>
      <c r="F10580" s="225" t="s">
        <v>6946</v>
      </c>
    </row>
    <row r="10581" spans="2:6" ht="17.25" thickBot="1">
      <c r="B10581" s="226">
        <v>46163</v>
      </c>
      <c r="C10581" s="227">
        <v>0.70944444444444443</v>
      </c>
      <c r="D10581" s="228">
        <v>10</v>
      </c>
      <c r="E10581" s="225" t="s">
        <v>8234</v>
      </c>
      <c r="F10581" s="225" t="s">
        <v>6946</v>
      </c>
    </row>
    <row r="10582" spans="2:6" ht="17.25" thickBot="1">
      <c r="B10582" s="226">
        <v>46163</v>
      </c>
      <c r="C10582" s="227">
        <v>0.69386574074074081</v>
      </c>
      <c r="D10582" s="228">
        <v>10</v>
      </c>
      <c r="E10582" s="225" t="s">
        <v>7034</v>
      </c>
      <c r="F10582" s="225" t="s">
        <v>6946</v>
      </c>
    </row>
    <row r="10583" spans="2:6" ht="17.25" thickBot="1">
      <c r="B10583" s="226">
        <v>46163</v>
      </c>
      <c r="C10583" s="227">
        <v>0.73741898148148144</v>
      </c>
      <c r="D10583" s="228">
        <v>10</v>
      </c>
      <c r="E10583" s="225" t="s">
        <v>8220</v>
      </c>
      <c r="F10583" s="225" t="s">
        <v>6946</v>
      </c>
    </row>
    <row r="10584" spans="2:6" ht="17.25" thickBot="1">
      <c r="B10584" s="226">
        <v>46163</v>
      </c>
      <c r="C10584" s="227">
        <v>0.75659722222222225</v>
      </c>
      <c r="D10584" s="228">
        <v>10</v>
      </c>
      <c r="E10584" s="225" t="s">
        <v>8227</v>
      </c>
      <c r="F10584" s="225" t="s">
        <v>6946</v>
      </c>
    </row>
    <row r="10585" spans="2:6" ht="17.25" thickBot="1">
      <c r="B10585" s="226">
        <v>46163</v>
      </c>
      <c r="C10585" s="227">
        <v>0.8575462962962962</v>
      </c>
      <c r="D10585" s="228">
        <v>10</v>
      </c>
      <c r="E10585" s="225" t="s">
        <v>8214</v>
      </c>
      <c r="F10585" s="225" t="s">
        <v>6946</v>
      </c>
    </row>
    <row r="10586" spans="2:6" ht="17.25" thickBot="1">
      <c r="B10586" s="226">
        <v>46163</v>
      </c>
      <c r="C10586" s="227">
        <v>0.61248842592592589</v>
      </c>
      <c r="D10586" s="228">
        <v>10</v>
      </c>
      <c r="E10586" s="225"/>
      <c r="F10586" s="225" t="s">
        <v>6946</v>
      </c>
    </row>
    <row r="10587" spans="2:6" ht="17.25" thickBot="1">
      <c r="B10587" s="226">
        <v>46163</v>
      </c>
      <c r="C10587" s="227">
        <v>0.73006944444444455</v>
      </c>
      <c r="D10587" s="228">
        <v>10</v>
      </c>
      <c r="E10587" s="225" t="s">
        <v>8206</v>
      </c>
      <c r="F10587" s="225" t="s">
        <v>6946</v>
      </c>
    </row>
    <row r="10588" spans="2:6" ht="17.25" thickBot="1">
      <c r="B10588" s="226">
        <v>46163</v>
      </c>
      <c r="C10588" s="227">
        <v>0.61109953703703701</v>
      </c>
      <c r="D10588" s="228">
        <v>10</v>
      </c>
      <c r="E10588" s="225" t="s">
        <v>8221</v>
      </c>
      <c r="F10588" s="225" t="s">
        <v>6946</v>
      </c>
    </row>
    <row r="10589" spans="2:6" ht="17.25" thickBot="1">
      <c r="B10589" s="226">
        <v>46163</v>
      </c>
      <c r="C10589" s="227">
        <v>0.60085648148148152</v>
      </c>
      <c r="D10589" s="228">
        <v>10</v>
      </c>
      <c r="E10589" s="225" t="s">
        <v>8230</v>
      </c>
      <c r="F10589" s="225" t="s">
        <v>6946</v>
      </c>
    </row>
    <row r="10590" spans="2:6" ht="17.25" thickBot="1">
      <c r="B10590" s="226">
        <v>46163</v>
      </c>
      <c r="C10590" s="227">
        <v>0.75744212962962953</v>
      </c>
      <c r="D10590" s="228">
        <v>10</v>
      </c>
      <c r="E10590" s="225" t="s">
        <v>8205</v>
      </c>
      <c r="F10590" s="225" t="s">
        <v>6946</v>
      </c>
    </row>
    <row r="10591" spans="2:6" ht="17.25" thickBot="1">
      <c r="B10591" s="226">
        <v>46163</v>
      </c>
      <c r="C10591" s="227">
        <v>0.67375000000000007</v>
      </c>
      <c r="D10591" s="228">
        <v>10</v>
      </c>
      <c r="E10591" s="225" t="s">
        <v>8208</v>
      </c>
      <c r="F10591" s="225" t="s">
        <v>6946</v>
      </c>
    </row>
    <row r="10592" spans="2:6" ht="17.25" thickBot="1">
      <c r="B10592" s="226">
        <v>46163</v>
      </c>
      <c r="C10592" s="227">
        <v>0.60321759259259256</v>
      </c>
      <c r="D10592" s="228">
        <v>10</v>
      </c>
      <c r="E10592" s="225" t="s">
        <v>8215</v>
      </c>
      <c r="F10592" s="225" t="s">
        <v>6946</v>
      </c>
    </row>
    <row r="10593" spans="2:6" ht="17.25" thickBot="1">
      <c r="B10593" s="226">
        <v>46163</v>
      </c>
      <c r="C10593" s="227">
        <v>0.76857638888888891</v>
      </c>
      <c r="D10593" s="228">
        <v>10</v>
      </c>
      <c r="E10593" s="225" t="s">
        <v>8223</v>
      </c>
      <c r="F10593" s="225" t="s">
        <v>6946</v>
      </c>
    </row>
    <row r="10594" spans="2:6" ht="17.25" thickBot="1">
      <c r="B10594" s="226">
        <v>46163</v>
      </c>
      <c r="C10594" s="227">
        <v>0.60780092592592594</v>
      </c>
      <c r="D10594" s="228">
        <v>10</v>
      </c>
      <c r="E10594" s="225" t="s">
        <v>8213</v>
      </c>
      <c r="F10594" s="225" t="s">
        <v>6946</v>
      </c>
    </row>
    <row r="10595" spans="2:6" ht="17.25" thickBot="1">
      <c r="B10595" s="226">
        <v>46163</v>
      </c>
      <c r="C10595" s="227">
        <v>0.67821759259259251</v>
      </c>
      <c r="D10595" s="228">
        <v>10</v>
      </c>
      <c r="E10595" s="225" t="s">
        <v>313</v>
      </c>
      <c r="F10595" s="225" t="s">
        <v>6946</v>
      </c>
    </row>
    <row r="10596" spans="2:6" ht="17.25" thickBot="1">
      <c r="B10596" s="226">
        <v>46163</v>
      </c>
      <c r="C10596" s="227">
        <v>0.66728009259259258</v>
      </c>
      <c r="D10596" s="228">
        <v>10</v>
      </c>
      <c r="E10596" s="225" t="s">
        <v>8211</v>
      </c>
      <c r="F10596" s="225" t="s">
        <v>6946</v>
      </c>
    </row>
    <row r="10597" spans="2:6" ht="17.25" thickBot="1">
      <c r="B10597" s="226">
        <v>46163</v>
      </c>
      <c r="C10597" s="227">
        <v>0.80329861111111101</v>
      </c>
      <c r="D10597" s="228">
        <v>10</v>
      </c>
      <c r="E10597" s="225" t="s">
        <v>8236</v>
      </c>
      <c r="F10597" s="225" t="s">
        <v>6946</v>
      </c>
    </row>
    <row r="10598" spans="2:6" ht="17.25" thickBot="1">
      <c r="B10598" s="226">
        <v>46163</v>
      </c>
      <c r="C10598" s="227">
        <v>0.67116898148148152</v>
      </c>
      <c r="D10598" s="228">
        <v>10</v>
      </c>
      <c r="E10598" s="225" t="s">
        <v>8209</v>
      </c>
      <c r="F10598" s="225" t="s">
        <v>6946</v>
      </c>
    </row>
    <row r="10599" spans="2:6" ht="17.25" thickBot="1">
      <c r="B10599" s="226">
        <v>46163</v>
      </c>
      <c r="C10599" s="227">
        <v>0.8933564814814815</v>
      </c>
      <c r="D10599" s="228">
        <v>10</v>
      </c>
      <c r="E10599" s="225" t="s">
        <v>8210</v>
      </c>
      <c r="F10599" s="225" t="s">
        <v>6946</v>
      </c>
    </row>
    <row r="10600" spans="2:6" ht="17.25" thickBot="1">
      <c r="B10600" s="226">
        <v>46163</v>
      </c>
      <c r="C10600" s="227">
        <v>0.78008101851851863</v>
      </c>
      <c r="D10600" s="228">
        <v>10</v>
      </c>
      <c r="E10600" s="225" t="s">
        <v>8217</v>
      </c>
      <c r="F10600" s="225" t="s">
        <v>6946</v>
      </c>
    </row>
    <row r="10601" spans="2:6" ht="17.25" thickBot="1">
      <c r="B10601" s="226">
        <v>46163</v>
      </c>
      <c r="C10601" s="227">
        <v>0.91820601851851846</v>
      </c>
      <c r="D10601" s="228">
        <v>10</v>
      </c>
      <c r="E10601" s="225" t="s">
        <v>8219</v>
      </c>
      <c r="F10601" s="225" t="s">
        <v>6946</v>
      </c>
    </row>
    <row r="10602" spans="2:6" ht="17.25" thickBot="1">
      <c r="B10602" s="226">
        <v>46163</v>
      </c>
      <c r="C10602" s="227">
        <v>0.58559027777777783</v>
      </c>
      <c r="D10602" s="228">
        <v>10</v>
      </c>
      <c r="E10602" s="225" t="s">
        <v>8224</v>
      </c>
      <c r="F10602" s="225" t="s">
        <v>6946</v>
      </c>
    </row>
    <row r="10603" spans="2:6" ht="17.25" thickBot="1">
      <c r="B10603" s="226">
        <v>46163</v>
      </c>
      <c r="C10603" s="227">
        <v>0.7518055555555555</v>
      </c>
      <c r="D10603" s="228">
        <v>10</v>
      </c>
      <c r="E10603" s="225" t="s">
        <v>3687</v>
      </c>
      <c r="F10603" s="225" t="s">
        <v>6946</v>
      </c>
    </row>
    <row r="10604" spans="2:6" ht="17.25" thickBot="1">
      <c r="B10604" s="226">
        <v>46163</v>
      </c>
      <c r="C10604" s="227">
        <v>0.49958333333333332</v>
      </c>
      <c r="D10604" s="228">
        <v>10</v>
      </c>
      <c r="E10604" s="225" t="s">
        <v>8231</v>
      </c>
      <c r="F10604" s="225" t="s">
        <v>6946</v>
      </c>
    </row>
    <row r="10605" spans="2:6" ht="17.25" thickBot="1">
      <c r="B10605" s="226">
        <v>46163</v>
      </c>
      <c r="C10605" s="227">
        <v>0.7462847222222222</v>
      </c>
      <c r="D10605" s="228">
        <v>10</v>
      </c>
      <c r="E10605" s="225" t="s">
        <v>8228</v>
      </c>
      <c r="F10605" s="225" t="s">
        <v>6946</v>
      </c>
    </row>
    <row r="10606" spans="2:6" ht="17.25" thickBot="1">
      <c r="B10606" s="226">
        <v>46163</v>
      </c>
      <c r="C10606" s="227">
        <v>0.65192129629629625</v>
      </c>
      <c r="D10606" s="228">
        <v>10</v>
      </c>
      <c r="E10606" s="225" t="s">
        <v>1480</v>
      </c>
      <c r="F10606" s="225" t="s">
        <v>6946</v>
      </c>
    </row>
    <row r="10607" spans="2:6" ht="17.25" thickBot="1">
      <c r="B10607" s="226">
        <v>46163</v>
      </c>
      <c r="C10607" s="227">
        <v>0.60788194444444443</v>
      </c>
      <c r="D10607" s="228">
        <v>10</v>
      </c>
      <c r="E10607" s="225" t="s">
        <v>8212</v>
      </c>
      <c r="F10607" s="225" t="s">
        <v>6946</v>
      </c>
    </row>
    <row r="10608" spans="2:6" ht="17.25" thickBot="1">
      <c r="B10608" s="226">
        <v>46163</v>
      </c>
      <c r="C10608" s="227">
        <v>0.52939814814814812</v>
      </c>
      <c r="D10608" s="228">
        <v>10</v>
      </c>
      <c r="E10608" s="225"/>
      <c r="F10608" s="225" t="s">
        <v>6946</v>
      </c>
    </row>
    <row r="10609" spans="2:6" ht="17.25" thickBot="1">
      <c r="B10609" s="226">
        <v>46163</v>
      </c>
      <c r="C10609" s="227">
        <v>0.72894675925925922</v>
      </c>
      <c r="D10609" s="228">
        <v>10</v>
      </c>
      <c r="E10609" s="225" t="s">
        <v>8222</v>
      </c>
      <c r="F10609" s="225" t="s">
        <v>6946</v>
      </c>
    </row>
    <row r="10610" spans="2:6" ht="17.25" thickBot="1">
      <c r="B10610" s="226">
        <v>46163</v>
      </c>
      <c r="C10610" s="227">
        <v>0.55334490740740738</v>
      </c>
      <c r="D10610" s="228">
        <v>10</v>
      </c>
      <c r="E10610" s="225" t="s">
        <v>8229</v>
      </c>
      <c r="F10610" s="225" t="s">
        <v>6946</v>
      </c>
    </row>
    <row r="10611" spans="2:6" ht="17.25" thickBot="1">
      <c r="B10611" s="226">
        <v>46163</v>
      </c>
      <c r="C10611" s="227">
        <v>0.61101851851851852</v>
      </c>
      <c r="D10611" s="228">
        <v>10</v>
      </c>
      <c r="E10611" s="225" t="s">
        <v>4375</v>
      </c>
      <c r="F10611" s="225" t="s">
        <v>6946</v>
      </c>
    </row>
    <row r="10612" spans="2:6" ht="17.25" thickBot="1">
      <c r="B10612" s="226">
        <v>46163</v>
      </c>
      <c r="C10612" s="227">
        <v>0.47094907407407405</v>
      </c>
      <c r="D10612" s="228">
        <v>10</v>
      </c>
      <c r="E10612" s="225" t="s">
        <v>8232</v>
      </c>
      <c r="F10612" s="225" t="s">
        <v>6946</v>
      </c>
    </row>
    <row r="10613" spans="2:6" ht="17.25" thickBot="1">
      <c r="B10613" s="226">
        <v>46163</v>
      </c>
      <c r="C10613" s="227">
        <v>0.46292824074074074</v>
      </c>
      <c r="D10613" s="228">
        <v>10</v>
      </c>
      <c r="E10613" s="225" t="s">
        <v>8218</v>
      </c>
      <c r="F10613" s="225" t="s">
        <v>6946</v>
      </c>
    </row>
    <row r="10614" spans="2:6" ht="17.25" thickBot="1">
      <c r="B10614" s="226">
        <v>46163</v>
      </c>
      <c r="C10614" s="227">
        <v>0.50844907407407403</v>
      </c>
      <c r="D10614" s="228">
        <v>10</v>
      </c>
      <c r="E10614" s="225" t="s">
        <v>179</v>
      </c>
      <c r="F10614" s="225" t="s">
        <v>6946</v>
      </c>
    </row>
    <row r="10615" spans="2:6" ht="17.25" thickBot="1">
      <c r="B10615" s="226">
        <v>46163</v>
      </c>
      <c r="C10615" s="227">
        <v>0.43579861111111112</v>
      </c>
      <c r="D10615" s="228">
        <v>10</v>
      </c>
      <c r="E10615" s="225" t="s">
        <v>1563</v>
      </c>
      <c r="F10615" s="225" t="s">
        <v>6946</v>
      </c>
    </row>
    <row r="10616" spans="2:6" ht="17.25" thickBot="1">
      <c r="B10616" s="226">
        <v>46163</v>
      </c>
      <c r="C10616" s="227">
        <v>0.40991898148148148</v>
      </c>
      <c r="D10616" s="228">
        <v>10</v>
      </c>
      <c r="E10616" s="225" t="s">
        <v>8225</v>
      </c>
      <c r="F10616" s="225" t="s">
        <v>6946</v>
      </c>
    </row>
    <row r="10617" spans="2:6" ht="17.25" thickBot="1">
      <c r="B10617" s="226">
        <v>46163</v>
      </c>
      <c r="C10617" s="227">
        <v>0.44689814814814816</v>
      </c>
      <c r="D10617" s="228">
        <v>10</v>
      </c>
      <c r="E10617" s="225" t="s">
        <v>273</v>
      </c>
      <c r="F10617" s="225" t="s">
        <v>6946</v>
      </c>
    </row>
    <row r="10618" spans="2:6" ht="17.25" thickBot="1">
      <c r="B10618" s="226">
        <v>46163</v>
      </c>
      <c r="C10618" s="227">
        <v>0.43692129629629628</v>
      </c>
      <c r="D10618" s="228">
        <v>10</v>
      </c>
      <c r="E10618" s="225" t="s">
        <v>7031</v>
      </c>
      <c r="F10618" s="225" t="s">
        <v>6946</v>
      </c>
    </row>
    <row r="10619" spans="2:6" ht="17.25" thickBot="1">
      <c r="B10619" s="226">
        <v>46163</v>
      </c>
      <c r="C10619" s="227">
        <v>0.39321759259259265</v>
      </c>
      <c r="D10619" s="228">
        <v>10</v>
      </c>
      <c r="E10619" s="225" t="s">
        <v>132</v>
      </c>
      <c r="F10619" s="225" t="s">
        <v>6946</v>
      </c>
    </row>
    <row r="10620" spans="2:6" ht="17.25" thickBot="1">
      <c r="B10620" s="226">
        <v>46163</v>
      </c>
      <c r="C10620" s="227">
        <v>0.4846064814814815</v>
      </c>
      <c r="D10620" s="228">
        <v>10</v>
      </c>
      <c r="E10620" s="225" t="s">
        <v>8233</v>
      </c>
      <c r="F10620" s="225" t="s">
        <v>6946</v>
      </c>
    </row>
    <row r="10621" spans="2:6" ht="17.25" thickBot="1">
      <c r="B10621" s="226">
        <v>46162</v>
      </c>
      <c r="C10621" s="227">
        <v>0.60010416666666666</v>
      </c>
      <c r="D10621" s="228">
        <v>10</v>
      </c>
      <c r="E10621" s="225" t="s">
        <v>8161</v>
      </c>
      <c r="F10621" s="225" t="s">
        <v>6946</v>
      </c>
    </row>
    <row r="10622" spans="2:6" ht="17.25" thickBot="1">
      <c r="B10622" s="226">
        <v>46162</v>
      </c>
      <c r="C10622" s="227">
        <v>0.81944444444444453</v>
      </c>
      <c r="D10622" s="228">
        <v>10</v>
      </c>
      <c r="E10622" s="225" t="s">
        <v>8140</v>
      </c>
      <c r="F10622" s="225" t="s">
        <v>6946</v>
      </c>
    </row>
    <row r="10623" spans="2:6" ht="17.25" thickBot="1">
      <c r="B10623" s="226">
        <v>46162</v>
      </c>
      <c r="C10623" s="227">
        <v>0.70924768518518511</v>
      </c>
      <c r="D10623" s="228">
        <v>10</v>
      </c>
      <c r="E10623" s="225" t="s">
        <v>8137</v>
      </c>
      <c r="F10623" s="225" t="s">
        <v>6946</v>
      </c>
    </row>
    <row r="10624" spans="2:6" ht="17.25" thickBot="1">
      <c r="B10624" s="226">
        <v>46162</v>
      </c>
      <c r="C10624" s="227">
        <v>0.73192129629629632</v>
      </c>
      <c r="D10624" s="228">
        <v>10</v>
      </c>
      <c r="E10624" s="225" t="s">
        <v>8149</v>
      </c>
      <c r="F10624" s="225" t="s">
        <v>6946</v>
      </c>
    </row>
    <row r="10625" spans="2:6" ht="17.25" thickBot="1">
      <c r="B10625" s="226">
        <v>46162</v>
      </c>
      <c r="C10625" s="227">
        <v>0.75599537037037035</v>
      </c>
      <c r="D10625" s="228">
        <v>10</v>
      </c>
      <c r="E10625" s="225" t="s">
        <v>1340</v>
      </c>
      <c r="F10625" s="225" t="s">
        <v>6946</v>
      </c>
    </row>
    <row r="10626" spans="2:6" ht="17.25" thickBot="1">
      <c r="B10626" s="226">
        <v>46162</v>
      </c>
      <c r="C10626" s="227">
        <v>0.67974537037037042</v>
      </c>
      <c r="D10626" s="228">
        <v>10</v>
      </c>
      <c r="E10626" s="225" t="s">
        <v>8134</v>
      </c>
      <c r="F10626" s="225" t="s">
        <v>6946</v>
      </c>
    </row>
    <row r="10627" spans="2:6" ht="17.25" thickBot="1">
      <c r="B10627" s="226">
        <v>46162</v>
      </c>
      <c r="C10627" s="227">
        <v>0.70548611111111104</v>
      </c>
      <c r="D10627" s="228">
        <v>10</v>
      </c>
      <c r="E10627" s="225" t="s">
        <v>8133</v>
      </c>
      <c r="F10627" s="225" t="s">
        <v>6946</v>
      </c>
    </row>
    <row r="10628" spans="2:6" ht="17.25" thickBot="1">
      <c r="B10628" s="226">
        <v>46162</v>
      </c>
      <c r="C10628" s="227">
        <v>0.74743055555555549</v>
      </c>
      <c r="D10628" s="228">
        <v>10</v>
      </c>
      <c r="E10628" s="225" t="s">
        <v>8146</v>
      </c>
      <c r="F10628" s="225" t="s">
        <v>6946</v>
      </c>
    </row>
    <row r="10629" spans="2:6" ht="17.25" thickBot="1">
      <c r="B10629" s="226">
        <v>46162</v>
      </c>
      <c r="C10629" s="227">
        <v>0.74458333333333337</v>
      </c>
      <c r="D10629" s="228">
        <v>10</v>
      </c>
      <c r="E10629" s="225" t="s">
        <v>8154</v>
      </c>
      <c r="F10629" s="225" t="s">
        <v>6946</v>
      </c>
    </row>
    <row r="10630" spans="2:6" ht="17.25" thickBot="1">
      <c r="B10630" s="226">
        <v>46162</v>
      </c>
      <c r="C10630" s="227">
        <v>0.66778935185185195</v>
      </c>
      <c r="D10630" s="228">
        <v>10</v>
      </c>
      <c r="E10630" s="225" t="s">
        <v>8151</v>
      </c>
      <c r="F10630" s="225" t="s">
        <v>6946</v>
      </c>
    </row>
    <row r="10631" spans="2:6" ht="17.25" thickBot="1">
      <c r="B10631" s="226">
        <v>46162</v>
      </c>
      <c r="C10631" s="227">
        <v>0.71677083333333336</v>
      </c>
      <c r="D10631" s="228">
        <v>10</v>
      </c>
      <c r="E10631" s="225" t="s">
        <v>1579</v>
      </c>
      <c r="F10631" s="225" t="s">
        <v>6946</v>
      </c>
    </row>
    <row r="10632" spans="2:6" ht="17.25" thickBot="1">
      <c r="B10632" s="226">
        <v>46162</v>
      </c>
      <c r="C10632" s="227">
        <v>0.70018518518518524</v>
      </c>
      <c r="D10632" s="228">
        <v>10</v>
      </c>
      <c r="E10632" s="225" t="s">
        <v>8143</v>
      </c>
      <c r="F10632" s="225" t="s">
        <v>6946</v>
      </c>
    </row>
    <row r="10633" spans="2:6" ht="17.25" thickBot="1">
      <c r="B10633" s="226">
        <v>46162</v>
      </c>
      <c r="C10633" s="227">
        <v>0.72321759259259266</v>
      </c>
      <c r="D10633" s="228">
        <v>10</v>
      </c>
      <c r="E10633" s="225" t="s">
        <v>8145</v>
      </c>
      <c r="F10633" s="225" t="s">
        <v>6946</v>
      </c>
    </row>
    <row r="10634" spans="2:6" ht="17.25" thickBot="1">
      <c r="B10634" s="226">
        <v>46162</v>
      </c>
      <c r="C10634" s="227">
        <v>0.6068634259259259</v>
      </c>
      <c r="D10634" s="228">
        <v>10</v>
      </c>
      <c r="E10634" s="225" t="s">
        <v>8152</v>
      </c>
      <c r="F10634" s="225" t="s">
        <v>6946</v>
      </c>
    </row>
    <row r="10635" spans="2:6" ht="17.25" thickBot="1">
      <c r="B10635" s="226">
        <v>46162</v>
      </c>
      <c r="C10635" s="227">
        <v>0.44481481481481483</v>
      </c>
      <c r="D10635" s="228">
        <v>10</v>
      </c>
      <c r="E10635" s="225" t="s">
        <v>8144</v>
      </c>
      <c r="F10635" s="225" t="s">
        <v>6946</v>
      </c>
    </row>
    <row r="10636" spans="2:6" ht="17.25" thickBot="1">
      <c r="B10636" s="226">
        <v>46162</v>
      </c>
      <c r="C10636" s="227">
        <v>0.62515046296296295</v>
      </c>
      <c r="D10636" s="228">
        <v>10</v>
      </c>
      <c r="E10636" s="225" t="s">
        <v>8138</v>
      </c>
      <c r="F10636" s="225" t="s">
        <v>6946</v>
      </c>
    </row>
    <row r="10637" spans="2:6" ht="17.25" thickBot="1">
      <c r="B10637" s="226">
        <v>46162</v>
      </c>
      <c r="C10637" s="227">
        <v>0.79424768518518529</v>
      </c>
      <c r="D10637" s="228">
        <v>10</v>
      </c>
      <c r="E10637" s="225" t="s">
        <v>179</v>
      </c>
      <c r="F10637" s="225" t="s">
        <v>6946</v>
      </c>
    </row>
    <row r="10638" spans="2:6" ht="17.25" thickBot="1">
      <c r="B10638" s="226">
        <v>46162</v>
      </c>
      <c r="C10638" s="227">
        <v>0.45677083333333335</v>
      </c>
      <c r="D10638" s="228">
        <v>10</v>
      </c>
      <c r="E10638" s="225" t="s">
        <v>4275</v>
      </c>
      <c r="F10638" s="225" t="s">
        <v>6946</v>
      </c>
    </row>
    <row r="10639" spans="2:6" ht="17.25" thickBot="1">
      <c r="B10639" s="226">
        <v>46162</v>
      </c>
      <c r="C10639" s="227">
        <v>0.55672453703703706</v>
      </c>
      <c r="D10639" s="228">
        <v>10</v>
      </c>
      <c r="E10639" s="225" t="s">
        <v>406</v>
      </c>
      <c r="F10639" s="225" t="s">
        <v>6946</v>
      </c>
    </row>
    <row r="10640" spans="2:6" ht="26.25" thickBot="1">
      <c r="B10640" s="226">
        <v>46162</v>
      </c>
      <c r="C10640" s="227">
        <v>0.61981481481481482</v>
      </c>
      <c r="D10640" s="228">
        <v>10</v>
      </c>
      <c r="E10640" s="225" t="s">
        <v>8159</v>
      </c>
      <c r="F10640" s="225" t="s">
        <v>6946</v>
      </c>
    </row>
    <row r="10641" spans="2:6" ht="17.25" thickBot="1">
      <c r="B10641" s="226">
        <v>46162</v>
      </c>
      <c r="C10641" s="227">
        <v>0.56517361111111108</v>
      </c>
      <c r="D10641" s="228">
        <v>10</v>
      </c>
      <c r="E10641" s="225" t="s">
        <v>8139</v>
      </c>
      <c r="F10641" s="225" t="s">
        <v>6946</v>
      </c>
    </row>
    <row r="10642" spans="2:6" ht="17.25" thickBot="1">
      <c r="B10642" s="226">
        <v>46162</v>
      </c>
      <c r="C10642" s="227">
        <v>0.42960648148148151</v>
      </c>
      <c r="D10642" s="228">
        <v>10</v>
      </c>
      <c r="E10642" s="225" t="s">
        <v>8163</v>
      </c>
      <c r="F10642" s="225" t="s">
        <v>6946</v>
      </c>
    </row>
    <row r="10643" spans="2:6" ht="17.25" thickBot="1">
      <c r="B10643" s="226">
        <v>46162</v>
      </c>
      <c r="C10643" s="227">
        <v>0.6035300925925926</v>
      </c>
      <c r="D10643" s="228">
        <v>10</v>
      </c>
      <c r="E10643" s="225" t="s">
        <v>8142</v>
      </c>
      <c r="F10643" s="225" t="s">
        <v>6946</v>
      </c>
    </row>
    <row r="10644" spans="2:6" ht="17.25" thickBot="1">
      <c r="B10644" s="226">
        <v>46162</v>
      </c>
      <c r="C10644" s="227">
        <v>0.4611574074074074</v>
      </c>
      <c r="D10644" s="228">
        <v>10</v>
      </c>
      <c r="E10644" s="225" t="s">
        <v>8160</v>
      </c>
      <c r="F10644" s="225" t="s">
        <v>6946</v>
      </c>
    </row>
    <row r="10645" spans="2:6" ht="17.25" thickBot="1">
      <c r="B10645" s="226">
        <v>46162</v>
      </c>
      <c r="C10645" s="227">
        <v>0.66756944444444455</v>
      </c>
      <c r="D10645" s="228">
        <v>10</v>
      </c>
      <c r="E10645" s="225" t="s">
        <v>8135</v>
      </c>
      <c r="F10645" s="225" t="s">
        <v>6946</v>
      </c>
    </row>
    <row r="10646" spans="2:6" ht="17.25" thickBot="1">
      <c r="B10646" s="226">
        <v>46162</v>
      </c>
      <c r="C10646" s="227">
        <v>0.54265046296296293</v>
      </c>
      <c r="D10646" s="228">
        <v>10</v>
      </c>
      <c r="E10646" s="225" t="s">
        <v>406</v>
      </c>
      <c r="F10646" s="225" t="s">
        <v>6946</v>
      </c>
    </row>
    <row r="10647" spans="2:6" ht="17.25" thickBot="1">
      <c r="B10647" s="226">
        <v>46162</v>
      </c>
      <c r="C10647" s="227">
        <v>0.44991898148148146</v>
      </c>
      <c r="D10647" s="228">
        <v>10</v>
      </c>
      <c r="E10647" s="225" t="s">
        <v>8158</v>
      </c>
      <c r="F10647" s="225" t="s">
        <v>6946</v>
      </c>
    </row>
    <row r="10648" spans="2:6" ht="17.25" thickBot="1">
      <c r="B10648" s="226">
        <v>46162</v>
      </c>
      <c r="C10648" s="227">
        <v>0.44734953703703706</v>
      </c>
      <c r="D10648" s="228">
        <v>9</v>
      </c>
      <c r="E10648" s="225" t="s">
        <v>8155</v>
      </c>
      <c r="F10648" s="225" t="s">
        <v>6946</v>
      </c>
    </row>
    <row r="10649" spans="2:6" ht="17.25" thickBot="1">
      <c r="B10649" s="226">
        <v>46162</v>
      </c>
      <c r="C10649" s="227">
        <v>0.46388888888888885</v>
      </c>
      <c r="D10649" s="228">
        <v>10</v>
      </c>
      <c r="E10649" s="225" t="s">
        <v>8136</v>
      </c>
      <c r="F10649" s="225" t="s">
        <v>6946</v>
      </c>
    </row>
    <row r="10650" spans="2:6" ht="17.25" thickBot="1">
      <c r="B10650" s="226">
        <v>46162</v>
      </c>
      <c r="C10650" s="227">
        <v>0.46452546296296293</v>
      </c>
      <c r="D10650" s="228">
        <v>10</v>
      </c>
      <c r="E10650" s="225" t="s">
        <v>8147</v>
      </c>
      <c r="F10650" s="225" t="s">
        <v>6946</v>
      </c>
    </row>
    <row r="10651" spans="2:6" ht="17.25" thickBot="1">
      <c r="B10651" s="226">
        <v>46162</v>
      </c>
      <c r="C10651" s="227">
        <v>0.42111111111111116</v>
      </c>
      <c r="D10651" s="228">
        <v>10</v>
      </c>
      <c r="E10651" s="225" t="s">
        <v>8156</v>
      </c>
      <c r="F10651" s="225" t="s">
        <v>6946</v>
      </c>
    </row>
    <row r="10652" spans="2:6" ht="17.25" thickBot="1">
      <c r="B10652" s="226">
        <v>46162</v>
      </c>
      <c r="C10652" s="227">
        <v>0.46684027777777781</v>
      </c>
      <c r="D10652" s="228">
        <v>10</v>
      </c>
      <c r="E10652" s="225" t="s">
        <v>132</v>
      </c>
      <c r="F10652" s="225" t="s">
        <v>6946</v>
      </c>
    </row>
    <row r="10653" spans="2:6" ht="17.25" thickBot="1">
      <c r="B10653" s="226">
        <v>46162</v>
      </c>
      <c r="C10653" s="227">
        <v>0.48980324074074072</v>
      </c>
      <c r="D10653" s="228">
        <v>10</v>
      </c>
      <c r="E10653" s="225" t="s">
        <v>2146</v>
      </c>
      <c r="F10653" s="225" t="s">
        <v>6946</v>
      </c>
    </row>
    <row r="10654" spans="2:6" ht="17.25" thickBot="1">
      <c r="B10654" s="226">
        <v>46162</v>
      </c>
      <c r="C10654" s="227">
        <v>0.54204861111111113</v>
      </c>
      <c r="D10654" s="228">
        <v>10</v>
      </c>
      <c r="E10654" s="225" t="s">
        <v>8150</v>
      </c>
      <c r="F10654" s="225" t="s">
        <v>6946</v>
      </c>
    </row>
    <row r="10655" spans="2:6" ht="17.25" thickBot="1">
      <c r="B10655" s="226">
        <v>46162</v>
      </c>
      <c r="C10655" s="227">
        <v>0.47908564814814819</v>
      </c>
      <c r="D10655" s="228">
        <v>10</v>
      </c>
      <c r="E10655" s="225" t="s">
        <v>8153</v>
      </c>
      <c r="F10655" s="225" t="s">
        <v>6946</v>
      </c>
    </row>
    <row r="10656" spans="2:6" ht="17.25" thickBot="1">
      <c r="B10656" s="226">
        <v>46162</v>
      </c>
      <c r="C10656" s="227">
        <v>0.46200231481481485</v>
      </c>
      <c r="D10656" s="228">
        <v>10</v>
      </c>
      <c r="E10656" s="225" t="s">
        <v>8141</v>
      </c>
      <c r="F10656" s="225" t="s">
        <v>6946</v>
      </c>
    </row>
    <row r="10657" spans="2:6" ht="17.25" thickBot="1">
      <c r="B10657" s="226">
        <v>46162</v>
      </c>
      <c r="C10657" s="227">
        <v>0.59788194444444442</v>
      </c>
      <c r="D10657" s="228">
        <v>10</v>
      </c>
      <c r="E10657" s="225" t="s">
        <v>570</v>
      </c>
      <c r="F10657" s="225" t="s">
        <v>6946</v>
      </c>
    </row>
    <row r="10658" spans="2:6" ht="17.25" thickBot="1">
      <c r="B10658" s="226">
        <v>46162</v>
      </c>
      <c r="C10658" s="227">
        <v>0.5809375</v>
      </c>
      <c r="D10658" s="228">
        <v>10</v>
      </c>
      <c r="E10658" s="225" t="s">
        <v>8162</v>
      </c>
      <c r="F10658" s="225" t="s">
        <v>6946</v>
      </c>
    </row>
    <row r="10659" spans="2:6" ht="17.25" thickBot="1">
      <c r="B10659" s="226">
        <v>46162</v>
      </c>
      <c r="C10659" s="227">
        <v>0.4145138888888889</v>
      </c>
      <c r="D10659" s="228">
        <v>10</v>
      </c>
      <c r="E10659" s="225" t="s">
        <v>8148</v>
      </c>
      <c r="F10659" s="225" t="s">
        <v>6946</v>
      </c>
    </row>
    <row r="10660" spans="2:6" ht="17.25" thickBot="1">
      <c r="B10660" s="226">
        <v>46162</v>
      </c>
      <c r="C10660" s="227">
        <v>0.40608796296296296</v>
      </c>
      <c r="D10660" s="228">
        <v>10</v>
      </c>
      <c r="E10660" s="225" t="s">
        <v>8157</v>
      </c>
      <c r="F10660" s="225" t="s">
        <v>6946</v>
      </c>
    </row>
    <row r="10661" spans="2:6" ht="17.25" thickBot="1">
      <c r="B10661" s="226">
        <v>46162</v>
      </c>
      <c r="C10661" s="227">
        <v>0.4067708333333333</v>
      </c>
      <c r="D10661" s="228">
        <v>10</v>
      </c>
      <c r="E10661" s="225" t="s">
        <v>2149</v>
      </c>
      <c r="F10661" s="225" t="s">
        <v>6946</v>
      </c>
    </row>
    <row r="10662" spans="2:6" ht="17.25" thickBot="1">
      <c r="B10662" s="226">
        <v>46161</v>
      </c>
      <c r="C10662" s="227">
        <v>0.64590277777777783</v>
      </c>
      <c r="D10662" s="228">
        <v>10</v>
      </c>
      <c r="E10662" s="225" t="s">
        <v>8175</v>
      </c>
      <c r="F10662" s="225" t="s">
        <v>6946</v>
      </c>
    </row>
    <row r="10663" spans="2:6" ht="17.25" thickBot="1">
      <c r="B10663" s="226">
        <v>46161</v>
      </c>
      <c r="C10663" s="227">
        <v>0.75737268518518519</v>
      </c>
      <c r="D10663" s="228">
        <v>10</v>
      </c>
      <c r="E10663" s="225" t="s">
        <v>8171</v>
      </c>
      <c r="F10663" s="225" t="s">
        <v>6946</v>
      </c>
    </row>
    <row r="10664" spans="2:6" ht="17.25" thickBot="1">
      <c r="B10664" s="226">
        <v>46161</v>
      </c>
      <c r="C10664" s="227">
        <v>0.43760416666666663</v>
      </c>
      <c r="D10664" s="228">
        <v>10</v>
      </c>
      <c r="E10664" s="225" t="s">
        <v>8202</v>
      </c>
      <c r="F10664" s="225" t="s">
        <v>6946</v>
      </c>
    </row>
    <row r="10665" spans="2:6" ht="17.25" thickBot="1">
      <c r="B10665" s="226">
        <v>46161</v>
      </c>
      <c r="C10665" s="227">
        <v>0.50988425925925929</v>
      </c>
      <c r="D10665" s="228">
        <v>10</v>
      </c>
      <c r="E10665" s="225" t="s">
        <v>8200</v>
      </c>
      <c r="F10665" s="225" t="s">
        <v>6946</v>
      </c>
    </row>
    <row r="10666" spans="2:6" ht="17.25" thickBot="1">
      <c r="B10666" s="226">
        <v>46161</v>
      </c>
      <c r="C10666" s="227">
        <v>0.78609953703703705</v>
      </c>
      <c r="D10666" s="228">
        <v>10</v>
      </c>
      <c r="E10666" s="225" t="s">
        <v>8192</v>
      </c>
      <c r="F10666" s="225" t="s">
        <v>6946</v>
      </c>
    </row>
    <row r="10667" spans="2:6" ht="17.25" thickBot="1">
      <c r="B10667" s="226">
        <v>46161</v>
      </c>
      <c r="C10667" s="227">
        <v>0.73887731481481478</v>
      </c>
      <c r="D10667" s="228">
        <v>10</v>
      </c>
      <c r="E10667" s="225" t="s">
        <v>8177</v>
      </c>
      <c r="F10667" s="225" t="s">
        <v>6946</v>
      </c>
    </row>
    <row r="10668" spans="2:6" ht="17.25" thickBot="1">
      <c r="B10668" s="226">
        <v>46161</v>
      </c>
      <c r="C10668" s="227">
        <v>0.83211805555555562</v>
      </c>
      <c r="D10668" s="228">
        <v>10</v>
      </c>
      <c r="E10668" s="225" t="s">
        <v>8166</v>
      </c>
      <c r="F10668" s="225" t="s">
        <v>6946</v>
      </c>
    </row>
    <row r="10669" spans="2:6" ht="17.25" thickBot="1">
      <c r="B10669" s="226">
        <v>46161</v>
      </c>
      <c r="C10669" s="227">
        <v>0.83146990740740734</v>
      </c>
      <c r="D10669" s="228">
        <v>10</v>
      </c>
      <c r="E10669" s="225" t="s">
        <v>8184</v>
      </c>
      <c r="F10669" s="225" t="s">
        <v>6946</v>
      </c>
    </row>
    <row r="10670" spans="2:6" ht="17.25" thickBot="1">
      <c r="B10670" s="226">
        <v>46161</v>
      </c>
      <c r="C10670" s="227">
        <v>0.43791666666666668</v>
      </c>
      <c r="D10670" s="228">
        <v>10</v>
      </c>
      <c r="E10670" s="225" t="s">
        <v>5677</v>
      </c>
      <c r="F10670" s="225" t="s">
        <v>6946</v>
      </c>
    </row>
    <row r="10671" spans="2:6" ht="17.25" thickBot="1">
      <c r="B10671" s="226">
        <v>46161</v>
      </c>
      <c r="C10671" s="227">
        <v>0.79997685185185186</v>
      </c>
      <c r="D10671" s="228">
        <v>10</v>
      </c>
      <c r="E10671" s="225" t="s">
        <v>8167</v>
      </c>
      <c r="F10671" s="225" t="s">
        <v>6946</v>
      </c>
    </row>
    <row r="10672" spans="2:6" ht="17.25" thickBot="1">
      <c r="B10672" s="226">
        <v>46161</v>
      </c>
      <c r="C10672" s="227">
        <v>0.61887731481481478</v>
      </c>
      <c r="D10672" s="228">
        <v>10</v>
      </c>
      <c r="E10672" s="225" t="s">
        <v>8183</v>
      </c>
      <c r="F10672" s="225" t="s">
        <v>6946</v>
      </c>
    </row>
    <row r="10673" spans="2:6" ht="17.25" thickBot="1">
      <c r="B10673" s="226">
        <v>46161</v>
      </c>
      <c r="C10673" s="227">
        <v>0.81236111111111109</v>
      </c>
      <c r="D10673" s="228">
        <v>10</v>
      </c>
      <c r="E10673" s="225" t="s">
        <v>8164</v>
      </c>
      <c r="F10673" s="225" t="s">
        <v>6946</v>
      </c>
    </row>
    <row r="10674" spans="2:6" ht="17.25" thickBot="1">
      <c r="B10674" s="226">
        <v>46161</v>
      </c>
      <c r="C10674" s="227">
        <v>0.6880208333333333</v>
      </c>
      <c r="D10674" s="228">
        <v>10</v>
      </c>
      <c r="E10674" s="225" t="s">
        <v>8201</v>
      </c>
      <c r="F10674" s="225" t="s">
        <v>6946</v>
      </c>
    </row>
    <row r="10675" spans="2:6" ht="17.25" thickBot="1">
      <c r="B10675" s="226">
        <v>46161</v>
      </c>
      <c r="C10675" s="227">
        <v>0.65900462962962958</v>
      </c>
      <c r="D10675" s="228">
        <v>10</v>
      </c>
      <c r="E10675" s="225" t="s">
        <v>8193</v>
      </c>
      <c r="F10675" s="225" t="s">
        <v>6946</v>
      </c>
    </row>
    <row r="10676" spans="2:6" ht="17.25" thickBot="1">
      <c r="B10676" s="226">
        <v>46161</v>
      </c>
      <c r="C10676" s="227">
        <v>0.67469907407407403</v>
      </c>
      <c r="D10676" s="228">
        <v>10</v>
      </c>
      <c r="E10676" s="225" t="s">
        <v>8189</v>
      </c>
      <c r="F10676" s="225" t="s">
        <v>6946</v>
      </c>
    </row>
    <row r="10677" spans="2:6" ht="17.25" thickBot="1">
      <c r="B10677" s="226">
        <v>46161</v>
      </c>
      <c r="C10677" s="227">
        <v>0.4533449074074074</v>
      </c>
      <c r="D10677" s="228">
        <v>10</v>
      </c>
      <c r="E10677" s="225" t="s">
        <v>8176</v>
      </c>
      <c r="F10677" s="225" t="s">
        <v>6946</v>
      </c>
    </row>
    <row r="10678" spans="2:6" ht="17.25" thickBot="1">
      <c r="B10678" s="226">
        <v>46161</v>
      </c>
      <c r="C10678" s="227">
        <v>0.71557870370370369</v>
      </c>
      <c r="D10678" s="228">
        <v>10</v>
      </c>
      <c r="E10678" s="225" t="s">
        <v>8173</v>
      </c>
      <c r="F10678" s="225" t="s">
        <v>6946</v>
      </c>
    </row>
    <row r="10679" spans="2:6" ht="17.25" thickBot="1">
      <c r="B10679" s="226">
        <v>46161</v>
      </c>
      <c r="C10679" s="227">
        <v>0.43971064814814814</v>
      </c>
      <c r="D10679" s="228">
        <v>10</v>
      </c>
      <c r="E10679" s="225" t="s">
        <v>8188</v>
      </c>
      <c r="F10679" s="225" t="s">
        <v>6946</v>
      </c>
    </row>
    <row r="10680" spans="2:6" ht="17.25" thickBot="1">
      <c r="B10680" s="226">
        <v>46161</v>
      </c>
      <c r="C10680" s="227">
        <v>0.72651620370370373</v>
      </c>
      <c r="D10680" s="228">
        <v>10</v>
      </c>
      <c r="E10680" s="225" t="s">
        <v>6516</v>
      </c>
      <c r="F10680" s="225" t="s">
        <v>6946</v>
      </c>
    </row>
    <row r="10681" spans="2:6" ht="17.25" thickBot="1">
      <c r="B10681" s="226">
        <v>46161</v>
      </c>
      <c r="C10681" s="227">
        <v>0.65442129629629631</v>
      </c>
      <c r="D10681" s="228">
        <v>10</v>
      </c>
      <c r="E10681" s="225" t="s">
        <v>8178</v>
      </c>
      <c r="F10681" s="225" t="s">
        <v>6946</v>
      </c>
    </row>
    <row r="10682" spans="2:6" ht="17.25" thickBot="1">
      <c r="B10682" s="226">
        <v>46161</v>
      </c>
      <c r="C10682" s="227">
        <v>0.75951388888888882</v>
      </c>
      <c r="D10682" s="228">
        <v>10</v>
      </c>
      <c r="E10682" s="225" t="s">
        <v>8182</v>
      </c>
      <c r="F10682" s="225" t="s">
        <v>6946</v>
      </c>
    </row>
    <row r="10683" spans="2:6" ht="17.25" thickBot="1">
      <c r="B10683" s="226">
        <v>46161</v>
      </c>
      <c r="C10683" s="227">
        <v>0.81631944444444438</v>
      </c>
      <c r="D10683" s="228">
        <v>10</v>
      </c>
      <c r="E10683" s="225" t="s">
        <v>8204</v>
      </c>
      <c r="F10683" s="225" t="s">
        <v>6946</v>
      </c>
    </row>
    <row r="10684" spans="2:6" ht="17.25" thickBot="1">
      <c r="B10684" s="226">
        <v>46161</v>
      </c>
      <c r="C10684" s="227">
        <v>0.61865740740740738</v>
      </c>
      <c r="D10684" s="228">
        <v>10</v>
      </c>
      <c r="E10684" s="225" t="s">
        <v>132</v>
      </c>
      <c r="F10684" s="225" t="s">
        <v>6946</v>
      </c>
    </row>
    <row r="10685" spans="2:6" ht="17.25" thickBot="1">
      <c r="B10685" s="226">
        <v>46161</v>
      </c>
      <c r="C10685" s="227">
        <v>0.4982523148148148</v>
      </c>
      <c r="D10685" s="228">
        <v>10</v>
      </c>
      <c r="E10685" s="225" t="s">
        <v>8194</v>
      </c>
      <c r="F10685" s="225" t="s">
        <v>6946</v>
      </c>
    </row>
    <row r="10686" spans="2:6" ht="17.25" thickBot="1">
      <c r="B10686" s="226">
        <v>46161</v>
      </c>
      <c r="C10686" s="227">
        <v>0.72244212962962961</v>
      </c>
      <c r="D10686" s="228">
        <v>10</v>
      </c>
      <c r="E10686" s="225" t="s">
        <v>8170</v>
      </c>
      <c r="F10686" s="225" t="s">
        <v>6946</v>
      </c>
    </row>
    <row r="10687" spans="2:6" ht="17.25" thickBot="1">
      <c r="B10687" s="226">
        <v>46161</v>
      </c>
      <c r="C10687" s="227">
        <v>0.6542013888888889</v>
      </c>
      <c r="D10687" s="228">
        <v>10</v>
      </c>
      <c r="E10687" s="225" t="s">
        <v>8180</v>
      </c>
      <c r="F10687" s="225" t="s">
        <v>6946</v>
      </c>
    </row>
    <row r="10688" spans="2:6" ht="17.25" thickBot="1">
      <c r="B10688" s="226">
        <v>46161</v>
      </c>
      <c r="C10688" s="227">
        <v>0.50962962962962965</v>
      </c>
      <c r="D10688" s="228">
        <v>10</v>
      </c>
      <c r="E10688" s="225" t="s">
        <v>8203</v>
      </c>
      <c r="F10688" s="225" t="s">
        <v>6946</v>
      </c>
    </row>
    <row r="10689" spans="2:6" ht="17.25" thickBot="1">
      <c r="B10689" s="226">
        <v>46161</v>
      </c>
      <c r="C10689" s="227">
        <v>0.66489583333333335</v>
      </c>
      <c r="D10689" s="228">
        <v>10</v>
      </c>
      <c r="E10689" s="225" t="s">
        <v>132</v>
      </c>
      <c r="F10689" s="225" t="s">
        <v>6946</v>
      </c>
    </row>
    <row r="10690" spans="2:6" ht="17.25" thickBot="1">
      <c r="B10690" s="226">
        <v>46161</v>
      </c>
      <c r="C10690" s="227">
        <v>0.71594907407407404</v>
      </c>
      <c r="D10690" s="228">
        <v>10</v>
      </c>
      <c r="E10690" s="225" t="s">
        <v>8190</v>
      </c>
      <c r="F10690" s="225" t="s">
        <v>6946</v>
      </c>
    </row>
    <row r="10691" spans="2:6" ht="17.25" thickBot="1">
      <c r="B10691" s="226">
        <v>46161</v>
      </c>
      <c r="C10691" s="227">
        <v>0.68789351851851854</v>
      </c>
      <c r="D10691" s="228">
        <v>10</v>
      </c>
      <c r="E10691" s="225" t="s">
        <v>8168</v>
      </c>
      <c r="F10691" s="225" t="s">
        <v>6946</v>
      </c>
    </row>
    <row r="10692" spans="2:6" ht="17.25" thickBot="1">
      <c r="B10692" s="226">
        <v>46161</v>
      </c>
      <c r="C10692" s="227">
        <v>0.75241898148148145</v>
      </c>
      <c r="D10692" s="228">
        <v>10</v>
      </c>
      <c r="E10692" s="225" t="s">
        <v>8185</v>
      </c>
      <c r="F10692" s="225" t="s">
        <v>6946</v>
      </c>
    </row>
    <row r="10693" spans="2:6" ht="17.25" thickBot="1">
      <c r="B10693" s="226">
        <v>46161</v>
      </c>
      <c r="C10693" s="227">
        <v>0.59423611111111108</v>
      </c>
      <c r="D10693" s="228">
        <v>10</v>
      </c>
      <c r="E10693" s="225" t="s">
        <v>132</v>
      </c>
      <c r="F10693" s="225" t="s">
        <v>6946</v>
      </c>
    </row>
    <row r="10694" spans="2:6" ht="17.25" thickBot="1">
      <c r="B10694" s="226">
        <v>46161</v>
      </c>
      <c r="C10694" s="227">
        <v>0.74395833333333339</v>
      </c>
      <c r="D10694" s="228">
        <v>10</v>
      </c>
      <c r="E10694" s="225" t="s">
        <v>8181</v>
      </c>
      <c r="F10694" s="225" t="s">
        <v>6946</v>
      </c>
    </row>
    <row r="10695" spans="2:6" ht="17.25" thickBot="1">
      <c r="B10695" s="226">
        <v>46161</v>
      </c>
      <c r="C10695" s="227">
        <v>0.69393518518518515</v>
      </c>
      <c r="D10695" s="228">
        <v>10</v>
      </c>
      <c r="E10695" s="225" t="s">
        <v>8169</v>
      </c>
      <c r="F10695" s="225" t="s">
        <v>6946</v>
      </c>
    </row>
    <row r="10696" spans="2:6" ht="39" thickBot="1">
      <c r="B10696" s="226">
        <v>46161</v>
      </c>
      <c r="C10696" s="227">
        <v>0.72512731481481485</v>
      </c>
      <c r="D10696" s="228">
        <v>10</v>
      </c>
      <c r="E10696" s="225" t="s">
        <v>8165</v>
      </c>
      <c r="F10696" s="225" t="s">
        <v>6946</v>
      </c>
    </row>
    <row r="10697" spans="2:6" ht="17.25" thickBot="1">
      <c r="B10697" s="226">
        <v>46161</v>
      </c>
      <c r="C10697" s="227">
        <v>0.75001157407407415</v>
      </c>
      <c r="D10697" s="228">
        <v>10</v>
      </c>
      <c r="E10697" s="225" t="s">
        <v>8172</v>
      </c>
      <c r="F10697" s="225" t="s">
        <v>6946</v>
      </c>
    </row>
    <row r="10698" spans="2:6" ht="17.25" thickBot="1">
      <c r="B10698" s="226">
        <v>46161</v>
      </c>
      <c r="C10698" s="227">
        <v>0.41032407407407406</v>
      </c>
      <c r="D10698" s="228">
        <v>10</v>
      </c>
      <c r="E10698" s="225" t="s">
        <v>8199</v>
      </c>
      <c r="F10698" s="225" t="s">
        <v>6946</v>
      </c>
    </row>
    <row r="10699" spans="2:6" ht="17.25" thickBot="1">
      <c r="B10699" s="226">
        <v>46161</v>
      </c>
      <c r="C10699" s="227">
        <v>0.62518518518518518</v>
      </c>
      <c r="D10699" s="228">
        <v>10</v>
      </c>
      <c r="E10699" s="225" t="s">
        <v>313</v>
      </c>
      <c r="F10699" s="225" t="s">
        <v>6946</v>
      </c>
    </row>
    <row r="10700" spans="2:6" ht="17.25" thickBot="1">
      <c r="B10700" s="226">
        <v>46161</v>
      </c>
      <c r="C10700" s="227">
        <v>0.75329861111111107</v>
      </c>
      <c r="D10700" s="228">
        <v>10</v>
      </c>
      <c r="E10700" s="225" t="s">
        <v>8196</v>
      </c>
      <c r="F10700" s="225" t="s">
        <v>6946</v>
      </c>
    </row>
    <row r="10701" spans="2:6" ht="17.25" thickBot="1">
      <c r="B10701" s="226">
        <v>46161</v>
      </c>
      <c r="C10701" s="227">
        <v>0.68210648148148145</v>
      </c>
      <c r="D10701" s="228">
        <v>10</v>
      </c>
      <c r="E10701" s="225" t="s">
        <v>8191</v>
      </c>
      <c r="F10701" s="225" t="s">
        <v>6946</v>
      </c>
    </row>
    <row r="10702" spans="2:6" ht="17.25" thickBot="1">
      <c r="B10702" s="226">
        <v>46161</v>
      </c>
      <c r="C10702" s="227">
        <v>0.48841435185185184</v>
      </c>
      <c r="D10702" s="228">
        <v>10</v>
      </c>
      <c r="E10702" s="225" t="s">
        <v>8195</v>
      </c>
      <c r="F10702" s="225" t="s">
        <v>6946</v>
      </c>
    </row>
    <row r="10703" spans="2:6" ht="17.25" thickBot="1">
      <c r="B10703" s="226">
        <v>46161</v>
      </c>
      <c r="C10703" s="227">
        <v>0.73237268518518517</v>
      </c>
      <c r="D10703" s="228">
        <v>10</v>
      </c>
      <c r="E10703" s="225" t="s">
        <v>8174</v>
      </c>
      <c r="F10703" s="225" t="s">
        <v>6946</v>
      </c>
    </row>
    <row r="10704" spans="2:6" ht="17.25" thickBot="1">
      <c r="B10704" s="226">
        <v>46161</v>
      </c>
      <c r="C10704" s="227">
        <v>0.47980324074074071</v>
      </c>
      <c r="D10704" s="228">
        <v>10</v>
      </c>
      <c r="E10704" s="225" t="s">
        <v>8198</v>
      </c>
      <c r="F10704" s="225" t="s">
        <v>6946</v>
      </c>
    </row>
    <row r="10705" spans="2:6" ht="17.25" thickBot="1">
      <c r="B10705" s="226">
        <v>46161</v>
      </c>
      <c r="C10705" s="227">
        <v>0.64124999999999999</v>
      </c>
      <c r="D10705" s="228">
        <v>10</v>
      </c>
      <c r="E10705" s="225" t="s">
        <v>8179</v>
      </c>
      <c r="F10705" s="225" t="s">
        <v>6946</v>
      </c>
    </row>
    <row r="10706" spans="2:6" ht="17.25" thickBot="1">
      <c r="B10706" s="226">
        <v>46161</v>
      </c>
      <c r="C10706" s="227">
        <v>0.39968749999999997</v>
      </c>
      <c r="D10706" s="228">
        <v>10</v>
      </c>
      <c r="E10706" s="225" t="s">
        <v>2397</v>
      </c>
      <c r="F10706" s="225" t="s">
        <v>6946</v>
      </c>
    </row>
    <row r="10707" spans="2:6" ht="17.25" thickBot="1">
      <c r="B10707" s="226">
        <v>46161</v>
      </c>
      <c r="C10707" s="227">
        <v>0.47115740740740741</v>
      </c>
      <c r="D10707" s="228">
        <v>10</v>
      </c>
      <c r="E10707" s="225" t="s">
        <v>8187</v>
      </c>
      <c r="F10707" s="225" t="s">
        <v>6946</v>
      </c>
    </row>
    <row r="10708" spans="2:6" ht="17.25" thickBot="1">
      <c r="B10708" s="226">
        <v>46161</v>
      </c>
      <c r="C10708" s="227">
        <v>0.41341435185185182</v>
      </c>
      <c r="D10708" s="228">
        <v>10</v>
      </c>
      <c r="E10708" s="225" t="s">
        <v>8197</v>
      </c>
      <c r="F10708" s="225" t="s">
        <v>6946</v>
      </c>
    </row>
    <row r="10709" spans="2:6" ht="17.25" thickBot="1">
      <c r="B10709" s="226">
        <v>46161</v>
      </c>
      <c r="C10709" s="227">
        <v>0.47067129629629628</v>
      </c>
      <c r="D10709" s="228">
        <v>10</v>
      </c>
      <c r="E10709" s="225" t="s">
        <v>8186</v>
      </c>
      <c r="F10709" s="225" t="s">
        <v>6946</v>
      </c>
    </row>
    <row r="10710" spans="2:6" ht="17.25" thickBot="1">
      <c r="B10710" s="226">
        <v>46161</v>
      </c>
      <c r="C10710" s="227">
        <v>0.38623842592592594</v>
      </c>
      <c r="D10710" s="228">
        <v>5</v>
      </c>
      <c r="E10710" s="225" t="s">
        <v>8006</v>
      </c>
      <c r="F10710" s="225" t="s">
        <v>6946</v>
      </c>
    </row>
    <row r="10711" spans="2:6" ht="17.25" thickBot="1">
      <c r="B10711" s="226">
        <v>46161</v>
      </c>
      <c r="C10711" s="227">
        <v>0.38657407407407413</v>
      </c>
      <c r="D10711" s="228">
        <v>10</v>
      </c>
      <c r="E10711" s="225" t="s">
        <v>8080</v>
      </c>
      <c r="F10711" s="225" t="s">
        <v>6946</v>
      </c>
    </row>
    <row r="10712" spans="2:6" ht="17.25" thickBot="1">
      <c r="B10712" s="226">
        <v>46160</v>
      </c>
      <c r="C10712" s="227">
        <v>0.86989583333333342</v>
      </c>
      <c r="D10712" s="228">
        <v>10</v>
      </c>
      <c r="E10712" s="225" t="s">
        <v>7032</v>
      </c>
      <c r="F10712" s="225" t="s">
        <v>6946</v>
      </c>
    </row>
    <row r="10713" spans="2:6" ht="17.25" thickBot="1">
      <c r="B10713" s="226">
        <v>46160</v>
      </c>
      <c r="C10713" s="227">
        <v>0.46505787037037033</v>
      </c>
      <c r="D10713" s="228">
        <v>10</v>
      </c>
      <c r="E10713" s="225" t="s">
        <v>8132</v>
      </c>
      <c r="F10713" s="225" t="s">
        <v>6946</v>
      </c>
    </row>
    <row r="10714" spans="2:6" ht="17.25" thickBot="1">
      <c r="B10714" s="226">
        <v>46160</v>
      </c>
      <c r="C10714" s="227">
        <v>0.91052083333333333</v>
      </c>
      <c r="D10714" s="228">
        <v>10</v>
      </c>
      <c r="E10714" s="225" t="s">
        <v>8095</v>
      </c>
      <c r="F10714" s="225" t="s">
        <v>6946</v>
      </c>
    </row>
    <row r="10715" spans="2:6" ht="17.25" thickBot="1">
      <c r="B10715" s="226">
        <v>46160</v>
      </c>
      <c r="C10715" s="227">
        <v>0.78372685185185187</v>
      </c>
      <c r="D10715" s="228">
        <v>10</v>
      </c>
      <c r="E10715" s="225" t="s">
        <v>6735</v>
      </c>
      <c r="F10715" s="225" t="s">
        <v>6946</v>
      </c>
    </row>
    <row r="10716" spans="2:6" ht="17.25" thickBot="1">
      <c r="B10716" s="226">
        <v>46160</v>
      </c>
      <c r="C10716" s="227">
        <v>0.82325231481481476</v>
      </c>
      <c r="D10716" s="228">
        <v>10</v>
      </c>
      <c r="E10716" s="225" t="s">
        <v>179</v>
      </c>
      <c r="F10716" s="225" t="s">
        <v>6946</v>
      </c>
    </row>
    <row r="10717" spans="2:6" ht="17.25" thickBot="1">
      <c r="B10717" s="226">
        <v>46160</v>
      </c>
      <c r="C10717" s="227">
        <v>0.75459490740740742</v>
      </c>
      <c r="D10717" s="228">
        <v>10</v>
      </c>
      <c r="E10717" s="225" t="s">
        <v>8119</v>
      </c>
      <c r="F10717" s="225" t="s">
        <v>6946</v>
      </c>
    </row>
    <row r="10718" spans="2:6" ht="17.25" thickBot="1">
      <c r="B10718" s="226">
        <v>46160</v>
      </c>
      <c r="C10718" s="227">
        <v>0.8743171296296296</v>
      </c>
      <c r="D10718" s="228">
        <v>10</v>
      </c>
      <c r="E10718" s="225" t="s">
        <v>8107</v>
      </c>
      <c r="F10718" s="225" t="s">
        <v>6946</v>
      </c>
    </row>
    <row r="10719" spans="2:6" ht="17.25" thickBot="1">
      <c r="B10719" s="226">
        <v>46160</v>
      </c>
      <c r="C10719" s="227">
        <v>0.75130787037037028</v>
      </c>
      <c r="D10719" s="228">
        <v>10</v>
      </c>
      <c r="E10719" s="225" t="s">
        <v>8089</v>
      </c>
      <c r="F10719" s="225" t="s">
        <v>6946</v>
      </c>
    </row>
    <row r="10720" spans="2:6" ht="17.25" thickBot="1">
      <c r="B10720" s="226">
        <v>46160</v>
      </c>
      <c r="C10720" s="227">
        <v>0.86563657407407402</v>
      </c>
      <c r="D10720" s="228">
        <v>10</v>
      </c>
      <c r="E10720" s="225" t="s">
        <v>8108</v>
      </c>
      <c r="F10720" s="225" t="s">
        <v>6946</v>
      </c>
    </row>
    <row r="10721" spans="2:6" ht="17.25" thickBot="1">
      <c r="B10721" s="226">
        <v>46160</v>
      </c>
      <c r="C10721" s="227">
        <v>0.58018518518518525</v>
      </c>
      <c r="D10721" s="228">
        <v>10</v>
      </c>
      <c r="E10721" s="225" t="s">
        <v>132</v>
      </c>
      <c r="F10721" s="225" t="s">
        <v>6946</v>
      </c>
    </row>
    <row r="10722" spans="2:6" ht="17.25" thickBot="1">
      <c r="B10722" s="226">
        <v>46160</v>
      </c>
      <c r="C10722" s="227">
        <v>0.85741898148148143</v>
      </c>
      <c r="D10722" s="228">
        <v>10</v>
      </c>
      <c r="E10722" s="225" t="s">
        <v>8105</v>
      </c>
      <c r="F10722" s="225" t="s">
        <v>6946</v>
      </c>
    </row>
    <row r="10723" spans="2:6" ht="17.25" thickBot="1">
      <c r="B10723" s="226">
        <v>46160</v>
      </c>
      <c r="C10723" s="227">
        <v>0.77813657407407411</v>
      </c>
      <c r="D10723" s="228">
        <v>10</v>
      </c>
      <c r="E10723" s="225" t="s">
        <v>8111</v>
      </c>
      <c r="F10723" s="225" t="s">
        <v>6946</v>
      </c>
    </row>
    <row r="10724" spans="2:6" ht="17.25" thickBot="1">
      <c r="B10724" s="226">
        <v>46160</v>
      </c>
      <c r="C10724" s="227">
        <v>0.4588888888888889</v>
      </c>
      <c r="D10724" s="228">
        <v>10</v>
      </c>
      <c r="E10724" s="225" t="s">
        <v>8115</v>
      </c>
      <c r="F10724" s="225" t="s">
        <v>6946</v>
      </c>
    </row>
    <row r="10725" spans="2:6" ht="17.25" thickBot="1">
      <c r="B10725" s="226">
        <v>46160</v>
      </c>
      <c r="C10725" s="227">
        <v>0.46034722222222224</v>
      </c>
      <c r="D10725" s="228">
        <v>10</v>
      </c>
      <c r="E10725" s="225" t="s">
        <v>8109</v>
      </c>
      <c r="F10725" s="225" t="s">
        <v>6946</v>
      </c>
    </row>
    <row r="10726" spans="2:6" ht="17.25" thickBot="1">
      <c r="B10726" s="226">
        <v>46160</v>
      </c>
      <c r="C10726" s="227">
        <v>0.73667824074074073</v>
      </c>
      <c r="D10726" s="228">
        <v>10</v>
      </c>
      <c r="E10726" s="225" t="s">
        <v>8106</v>
      </c>
      <c r="F10726" s="225" t="s">
        <v>6946</v>
      </c>
    </row>
    <row r="10727" spans="2:6" ht="17.25" thickBot="1">
      <c r="B10727" s="226">
        <v>46160</v>
      </c>
      <c r="C10727" s="227">
        <v>0.86667824074074085</v>
      </c>
      <c r="D10727" s="228">
        <v>10</v>
      </c>
      <c r="E10727" s="225" t="s">
        <v>8098</v>
      </c>
      <c r="F10727" s="225" t="s">
        <v>6946</v>
      </c>
    </row>
    <row r="10728" spans="2:6" ht="17.25" thickBot="1">
      <c r="B10728" s="226">
        <v>46160</v>
      </c>
      <c r="C10728" s="227">
        <v>0.75061342592592595</v>
      </c>
      <c r="D10728" s="228">
        <v>10</v>
      </c>
      <c r="E10728" s="225" t="s">
        <v>1179</v>
      </c>
      <c r="F10728" s="225" t="s">
        <v>6946</v>
      </c>
    </row>
    <row r="10729" spans="2:6" ht="17.25" thickBot="1">
      <c r="B10729" s="226">
        <v>46160</v>
      </c>
      <c r="C10729" s="227">
        <v>0.65118055555555554</v>
      </c>
      <c r="D10729" s="228">
        <v>9</v>
      </c>
      <c r="E10729" s="225" t="s">
        <v>8110</v>
      </c>
      <c r="F10729" s="225" t="s">
        <v>6946</v>
      </c>
    </row>
    <row r="10730" spans="2:6" ht="17.25" thickBot="1">
      <c r="B10730" s="226">
        <v>46160</v>
      </c>
      <c r="C10730" s="227">
        <v>0.83881944444444445</v>
      </c>
      <c r="D10730" s="228">
        <v>10</v>
      </c>
      <c r="E10730" s="225" t="s">
        <v>8116</v>
      </c>
      <c r="F10730" s="225" t="s">
        <v>6946</v>
      </c>
    </row>
    <row r="10731" spans="2:6" ht="17.25" thickBot="1">
      <c r="B10731" s="226">
        <v>46160</v>
      </c>
      <c r="C10731" s="227">
        <v>0.48060185185185184</v>
      </c>
      <c r="D10731" s="228">
        <v>10</v>
      </c>
      <c r="E10731" s="225" t="s">
        <v>244</v>
      </c>
      <c r="F10731" s="225" t="s">
        <v>6946</v>
      </c>
    </row>
    <row r="10732" spans="2:6" ht="17.25" thickBot="1">
      <c r="B10732" s="226">
        <v>46160</v>
      </c>
      <c r="C10732" s="227">
        <v>0.68812499999999999</v>
      </c>
      <c r="D10732" s="228">
        <v>10</v>
      </c>
      <c r="E10732" s="225" t="s">
        <v>8093</v>
      </c>
      <c r="F10732" s="225" t="s">
        <v>6946</v>
      </c>
    </row>
    <row r="10733" spans="2:6" ht="17.25" thickBot="1">
      <c r="B10733" s="226">
        <v>46160</v>
      </c>
      <c r="C10733" s="227">
        <v>0.47800925925925924</v>
      </c>
      <c r="D10733" s="228">
        <v>10</v>
      </c>
      <c r="E10733" s="225" t="s">
        <v>565</v>
      </c>
      <c r="F10733" s="225" t="s">
        <v>6946</v>
      </c>
    </row>
    <row r="10734" spans="2:6" ht="17.25" thickBot="1">
      <c r="B10734" s="226">
        <v>46160</v>
      </c>
      <c r="C10734" s="227">
        <v>0.74805555555555558</v>
      </c>
      <c r="D10734" s="228">
        <v>10</v>
      </c>
      <c r="E10734" s="225" t="s">
        <v>1407</v>
      </c>
      <c r="F10734" s="225" t="s">
        <v>6946</v>
      </c>
    </row>
    <row r="10735" spans="2:6" ht="17.25" thickBot="1">
      <c r="B10735" s="226">
        <v>46160</v>
      </c>
      <c r="C10735" s="227">
        <v>0.48122685185185188</v>
      </c>
      <c r="D10735" s="228">
        <v>10</v>
      </c>
      <c r="E10735" s="225" t="s">
        <v>8124</v>
      </c>
      <c r="F10735" s="225" t="s">
        <v>6946</v>
      </c>
    </row>
    <row r="10736" spans="2:6" ht="17.25" thickBot="1">
      <c r="B10736" s="226">
        <v>46160</v>
      </c>
      <c r="C10736" s="227">
        <v>0.55591435185185178</v>
      </c>
      <c r="D10736" s="228">
        <v>10</v>
      </c>
      <c r="E10736" s="225" t="s">
        <v>8123</v>
      </c>
      <c r="F10736" s="225" t="s">
        <v>6946</v>
      </c>
    </row>
    <row r="10737" spans="2:6" ht="17.25" thickBot="1">
      <c r="B10737" s="226">
        <v>46160</v>
      </c>
      <c r="C10737" s="227">
        <v>0.74384259259259267</v>
      </c>
      <c r="D10737" s="228">
        <v>10</v>
      </c>
      <c r="E10737" s="225" t="s">
        <v>8090</v>
      </c>
      <c r="F10737" s="225" t="s">
        <v>6946</v>
      </c>
    </row>
    <row r="10738" spans="2:6" ht="17.25" thickBot="1">
      <c r="B10738" s="226">
        <v>46160</v>
      </c>
      <c r="C10738" s="227">
        <v>0.39270833333333338</v>
      </c>
      <c r="D10738" s="228">
        <v>10</v>
      </c>
      <c r="E10738" s="225" t="s">
        <v>8126</v>
      </c>
      <c r="F10738" s="225" t="s">
        <v>6946</v>
      </c>
    </row>
    <row r="10739" spans="2:6" ht="17.25" thickBot="1">
      <c r="B10739" s="226">
        <v>46160</v>
      </c>
      <c r="C10739" s="227">
        <v>0.56641203703703702</v>
      </c>
      <c r="D10739" s="228">
        <v>10</v>
      </c>
      <c r="E10739" s="225" t="s">
        <v>8099</v>
      </c>
      <c r="F10739" s="225" t="s">
        <v>6946</v>
      </c>
    </row>
    <row r="10740" spans="2:6" ht="17.25" thickBot="1">
      <c r="B10740" s="226">
        <v>46160</v>
      </c>
      <c r="C10740" s="227">
        <v>0.57905092592592589</v>
      </c>
      <c r="D10740" s="228">
        <v>10</v>
      </c>
      <c r="E10740" s="225" t="s">
        <v>8120</v>
      </c>
      <c r="F10740" s="225" t="s">
        <v>6946</v>
      </c>
    </row>
    <row r="10741" spans="2:6" ht="17.25" thickBot="1">
      <c r="B10741" s="226">
        <v>46160</v>
      </c>
      <c r="C10741" s="227">
        <v>0.61335648148148147</v>
      </c>
      <c r="D10741" s="228">
        <v>10</v>
      </c>
      <c r="E10741" s="225" t="s">
        <v>8130</v>
      </c>
      <c r="F10741" s="225" t="s">
        <v>6946</v>
      </c>
    </row>
    <row r="10742" spans="2:6" ht="17.25" thickBot="1">
      <c r="B10742" s="226">
        <v>46160</v>
      </c>
      <c r="C10742" s="227">
        <v>0.76226851851851851</v>
      </c>
      <c r="D10742" s="228">
        <v>10</v>
      </c>
      <c r="E10742" s="225" t="s">
        <v>8114</v>
      </c>
      <c r="F10742" s="225" t="s">
        <v>6946</v>
      </c>
    </row>
    <row r="10743" spans="2:6" ht="17.25" thickBot="1">
      <c r="B10743" s="226">
        <v>46160</v>
      </c>
      <c r="C10743" s="227">
        <v>0.69</v>
      </c>
      <c r="D10743" s="228">
        <v>10</v>
      </c>
      <c r="E10743" s="225" t="s">
        <v>8092</v>
      </c>
      <c r="F10743" s="225" t="s">
        <v>6946</v>
      </c>
    </row>
    <row r="10744" spans="2:6" ht="17.25" thickBot="1">
      <c r="B10744" s="226">
        <v>46160</v>
      </c>
      <c r="C10744" s="227">
        <v>0.61402777777777773</v>
      </c>
      <c r="D10744" s="228">
        <v>10</v>
      </c>
      <c r="E10744" s="225" t="s">
        <v>8103</v>
      </c>
      <c r="F10744" s="225" t="s">
        <v>6946</v>
      </c>
    </row>
    <row r="10745" spans="2:6" ht="17.25" thickBot="1">
      <c r="B10745" s="226">
        <v>46160</v>
      </c>
      <c r="C10745" s="227">
        <v>0.695775462962963</v>
      </c>
      <c r="D10745" s="228">
        <v>10</v>
      </c>
      <c r="E10745" s="225" t="s">
        <v>8121</v>
      </c>
      <c r="F10745" s="225" t="s">
        <v>6946</v>
      </c>
    </row>
    <row r="10746" spans="2:6" ht="17.25" thickBot="1">
      <c r="B10746" s="226">
        <v>46160</v>
      </c>
      <c r="C10746" s="227">
        <v>0.5050810185185185</v>
      </c>
      <c r="D10746" s="228">
        <v>10</v>
      </c>
      <c r="E10746" s="225" t="s">
        <v>8100</v>
      </c>
      <c r="F10746" s="225" t="s">
        <v>6946</v>
      </c>
    </row>
    <row r="10747" spans="2:6" ht="17.25" thickBot="1">
      <c r="B10747" s="226">
        <v>46160</v>
      </c>
      <c r="C10747" s="227">
        <v>0.67206018518518518</v>
      </c>
      <c r="D10747" s="228">
        <v>10</v>
      </c>
      <c r="E10747" s="225" t="s">
        <v>8094</v>
      </c>
      <c r="F10747" s="225" t="s">
        <v>6946</v>
      </c>
    </row>
    <row r="10748" spans="2:6" ht="17.25" thickBot="1">
      <c r="B10748" s="226">
        <v>46160</v>
      </c>
      <c r="C10748" s="227">
        <v>0.74962962962962953</v>
      </c>
      <c r="D10748" s="228">
        <v>10</v>
      </c>
      <c r="E10748" s="225" t="s">
        <v>8129</v>
      </c>
      <c r="F10748" s="225" t="s">
        <v>6946</v>
      </c>
    </row>
    <row r="10749" spans="2:6" ht="17.25" thickBot="1">
      <c r="B10749" s="226">
        <v>46160</v>
      </c>
      <c r="C10749" s="227">
        <v>0.49603009259259262</v>
      </c>
      <c r="D10749" s="228">
        <v>10</v>
      </c>
      <c r="E10749" s="225" t="s">
        <v>7093</v>
      </c>
      <c r="F10749" s="225" t="s">
        <v>6946</v>
      </c>
    </row>
    <row r="10750" spans="2:6" ht="26.25" thickBot="1">
      <c r="B10750" s="226">
        <v>46160</v>
      </c>
      <c r="C10750" s="227">
        <v>0.71929398148148149</v>
      </c>
      <c r="D10750" s="228">
        <v>10</v>
      </c>
      <c r="E10750" s="225" t="s">
        <v>8101</v>
      </c>
      <c r="F10750" s="225" t="s">
        <v>6946</v>
      </c>
    </row>
    <row r="10751" spans="2:6" ht="17.25" thickBot="1">
      <c r="B10751" s="226">
        <v>46160</v>
      </c>
      <c r="C10751" s="227">
        <v>0.69155092592592593</v>
      </c>
      <c r="D10751" s="228">
        <v>10</v>
      </c>
      <c r="E10751" s="225" t="s">
        <v>8096</v>
      </c>
      <c r="F10751" s="225" t="s">
        <v>6946</v>
      </c>
    </row>
    <row r="10752" spans="2:6" ht="17.25" thickBot="1">
      <c r="B10752" s="226">
        <v>46160</v>
      </c>
      <c r="C10752" s="227">
        <v>0.7228472222222222</v>
      </c>
      <c r="D10752" s="228">
        <v>10</v>
      </c>
      <c r="E10752" s="225" t="s">
        <v>8091</v>
      </c>
      <c r="F10752" s="225" t="s">
        <v>6946</v>
      </c>
    </row>
    <row r="10753" spans="2:6" ht="17.25" thickBot="1">
      <c r="B10753" s="226">
        <v>46160</v>
      </c>
      <c r="C10753" s="227">
        <v>0.73319444444444448</v>
      </c>
      <c r="D10753" s="228">
        <v>10</v>
      </c>
      <c r="E10753" s="225" t="s">
        <v>8097</v>
      </c>
      <c r="F10753" s="225" t="s">
        <v>6946</v>
      </c>
    </row>
    <row r="10754" spans="2:6" ht="17.25" thickBot="1">
      <c r="B10754" s="226">
        <v>46160</v>
      </c>
      <c r="C10754" s="227">
        <v>0.66648148148148145</v>
      </c>
      <c r="D10754" s="228">
        <v>10</v>
      </c>
      <c r="E10754" s="225" t="s">
        <v>8102</v>
      </c>
      <c r="F10754" s="225" t="s">
        <v>6946</v>
      </c>
    </row>
    <row r="10755" spans="2:6" ht="17.25" thickBot="1">
      <c r="B10755" s="226">
        <v>46160</v>
      </c>
      <c r="C10755" s="227">
        <v>0.44603009259259258</v>
      </c>
      <c r="D10755" s="228">
        <v>10</v>
      </c>
      <c r="E10755" s="225" t="s">
        <v>8112</v>
      </c>
      <c r="F10755" s="225" t="s">
        <v>6946</v>
      </c>
    </row>
    <row r="10756" spans="2:6" ht="17.25" thickBot="1">
      <c r="B10756" s="226">
        <v>46160</v>
      </c>
      <c r="C10756" s="227">
        <v>0.4745949074074074</v>
      </c>
      <c r="D10756" s="228">
        <v>10</v>
      </c>
      <c r="E10756" s="225" t="s">
        <v>8118</v>
      </c>
      <c r="F10756" s="225" t="s">
        <v>6946</v>
      </c>
    </row>
    <row r="10757" spans="2:6" ht="17.25" thickBot="1">
      <c r="B10757" s="226">
        <v>46160</v>
      </c>
      <c r="C10757" s="227">
        <v>0.45349537037037035</v>
      </c>
      <c r="D10757" s="228">
        <v>10</v>
      </c>
      <c r="E10757" s="225" t="s">
        <v>8125</v>
      </c>
      <c r="F10757" s="225" t="s">
        <v>6946</v>
      </c>
    </row>
    <row r="10758" spans="2:6" ht="17.25" thickBot="1">
      <c r="B10758" s="226">
        <v>46160</v>
      </c>
      <c r="C10758" s="227">
        <v>0.50903935185185178</v>
      </c>
      <c r="D10758" s="228">
        <v>10</v>
      </c>
      <c r="E10758" s="225" t="s">
        <v>8131</v>
      </c>
      <c r="F10758" s="225" t="s">
        <v>6946</v>
      </c>
    </row>
    <row r="10759" spans="2:6" ht="17.25" thickBot="1">
      <c r="B10759" s="226">
        <v>46160</v>
      </c>
      <c r="C10759" s="227">
        <v>0.42812500000000003</v>
      </c>
      <c r="D10759" s="228">
        <v>10</v>
      </c>
      <c r="E10759" s="225" t="s">
        <v>8117</v>
      </c>
      <c r="F10759" s="225" t="s">
        <v>6946</v>
      </c>
    </row>
    <row r="10760" spans="2:6" ht="17.25" thickBot="1">
      <c r="B10760" s="226">
        <v>46160</v>
      </c>
      <c r="C10760" s="227">
        <v>0.43929398148148152</v>
      </c>
      <c r="D10760" s="228">
        <v>10</v>
      </c>
      <c r="E10760" s="225" t="s">
        <v>8122</v>
      </c>
      <c r="F10760" s="225" t="s">
        <v>6946</v>
      </c>
    </row>
    <row r="10761" spans="2:6" ht="17.25" thickBot="1">
      <c r="B10761" s="226">
        <v>46160</v>
      </c>
      <c r="C10761" s="227">
        <v>0.60414351851851855</v>
      </c>
      <c r="D10761" s="228">
        <v>10</v>
      </c>
      <c r="E10761" s="225" t="s">
        <v>565</v>
      </c>
      <c r="F10761" s="225" t="s">
        <v>6946</v>
      </c>
    </row>
    <row r="10762" spans="2:6" ht="17.25" thickBot="1">
      <c r="B10762" s="226">
        <v>46160</v>
      </c>
      <c r="C10762" s="227">
        <v>0.41737268518518517</v>
      </c>
      <c r="D10762" s="228">
        <v>10</v>
      </c>
      <c r="E10762" s="225" t="s">
        <v>8113</v>
      </c>
      <c r="F10762" s="225" t="s">
        <v>6946</v>
      </c>
    </row>
    <row r="10763" spans="2:6" ht="17.25" thickBot="1">
      <c r="B10763" s="226">
        <v>46160</v>
      </c>
      <c r="C10763" s="227">
        <v>0.45814814814814814</v>
      </c>
      <c r="D10763" s="228">
        <v>10</v>
      </c>
      <c r="E10763" s="225" t="s">
        <v>8104</v>
      </c>
      <c r="F10763" s="225" t="s">
        <v>6946</v>
      </c>
    </row>
    <row r="10764" spans="2:6" ht="17.25" thickBot="1">
      <c r="B10764" s="226">
        <v>46160</v>
      </c>
      <c r="C10764" s="227">
        <v>0.41114583333333332</v>
      </c>
      <c r="D10764" s="228">
        <v>10</v>
      </c>
      <c r="E10764" s="225" t="s">
        <v>8127</v>
      </c>
      <c r="F10764" s="225" t="s">
        <v>6946</v>
      </c>
    </row>
    <row r="10765" spans="2:6" ht="17.25" thickBot="1">
      <c r="B10765" s="226">
        <v>46160</v>
      </c>
      <c r="C10765" s="227">
        <v>0.41799768518518521</v>
      </c>
      <c r="D10765" s="228">
        <v>10</v>
      </c>
      <c r="E10765" s="225" t="s">
        <v>8128</v>
      </c>
      <c r="F10765" s="225" t="s">
        <v>6946</v>
      </c>
    </row>
    <row r="10766" spans="2:6" ht="17.25" thickBot="1">
      <c r="B10766" s="226">
        <v>46158</v>
      </c>
      <c r="C10766" s="227">
        <v>0.38729166666666665</v>
      </c>
      <c r="D10766" s="228">
        <v>10</v>
      </c>
      <c r="E10766" s="225" t="s">
        <v>8045</v>
      </c>
      <c r="F10766" s="225" t="s">
        <v>6946</v>
      </c>
    </row>
    <row r="10767" spans="2:6" ht="17.25" thickBot="1">
      <c r="B10767" s="226">
        <v>46158</v>
      </c>
      <c r="C10767" s="227">
        <v>0.73925925925925917</v>
      </c>
      <c r="D10767" s="228">
        <v>10</v>
      </c>
      <c r="E10767" s="225" t="s">
        <v>8042</v>
      </c>
      <c r="F10767" s="225" t="s">
        <v>6946</v>
      </c>
    </row>
    <row r="10768" spans="2:6" ht="17.25" thickBot="1">
      <c r="B10768" s="226">
        <v>46158</v>
      </c>
      <c r="C10768" s="227">
        <v>0.74157407407407405</v>
      </c>
      <c r="D10768" s="228">
        <v>10</v>
      </c>
      <c r="E10768" s="225" t="s">
        <v>8043</v>
      </c>
      <c r="F10768" s="225" t="s">
        <v>6946</v>
      </c>
    </row>
    <row r="10769" spans="2:6" ht="17.25" thickBot="1">
      <c r="B10769" s="226">
        <v>46158</v>
      </c>
      <c r="C10769" s="227">
        <v>0.71401620370370367</v>
      </c>
      <c r="D10769" s="228">
        <v>10</v>
      </c>
      <c r="E10769" s="225" t="s">
        <v>8048</v>
      </c>
      <c r="F10769" s="225" t="s">
        <v>6946</v>
      </c>
    </row>
    <row r="10770" spans="2:6" ht="17.25" thickBot="1">
      <c r="B10770" s="226">
        <v>46158</v>
      </c>
      <c r="C10770" s="227">
        <v>0.69724537037037038</v>
      </c>
      <c r="D10770" s="228">
        <v>10</v>
      </c>
      <c r="E10770" s="225" t="s">
        <v>8049</v>
      </c>
      <c r="F10770" s="225" t="s">
        <v>6946</v>
      </c>
    </row>
    <row r="10771" spans="2:6" ht="17.25" thickBot="1">
      <c r="B10771" s="226">
        <v>46158</v>
      </c>
      <c r="C10771" s="227">
        <v>0.47505787037037034</v>
      </c>
      <c r="D10771" s="228">
        <v>10</v>
      </c>
      <c r="E10771" s="225" t="s">
        <v>8051</v>
      </c>
      <c r="F10771" s="225" t="s">
        <v>6946</v>
      </c>
    </row>
    <row r="10772" spans="2:6" ht="17.25" thickBot="1">
      <c r="B10772" s="226">
        <v>46158</v>
      </c>
      <c r="C10772" s="227">
        <v>0.74818287037037035</v>
      </c>
      <c r="D10772" s="228">
        <v>10</v>
      </c>
      <c r="E10772" s="225" t="s">
        <v>4293</v>
      </c>
      <c r="F10772" s="225" t="s">
        <v>6946</v>
      </c>
    </row>
    <row r="10773" spans="2:6" ht="17.25" thickBot="1">
      <c r="B10773" s="226">
        <v>46158</v>
      </c>
      <c r="C10773" s="227">
        <v>0.62364583333333334</v>
      </c>
      <c r="D10773" s="228">
        <v>10</v>
      </c>
      <c r="E10773" s="225" t="s">
        <v>8039</v>
      </c>
      <c r="F10773" s="225" t="s">
        <v>6946</v>
      </c>
    </row>
    <row r="10774" spans="2:6" ht="17.25" thickBot="1">
      <c r="B10774" s="226">
        <v>46158</v>
      </c>
      <c r="C10774" s="227">
        <v>0.56275462962962963</v>
      </c>
      <c r="D10774" s="228">
        <v>10</v>
      </c>
      <c r="E10774" s="225" t="s">
        <v>8052</v>
      </c>
      <c r="F10774" s="225" t="s">
        <v>6946</v>
      </c>
    </row>
    <row r="10775" spans="2:6" ht="17.25" thickBot="1">
      <c r="B10775" s="226">
        <v>46158</v>
      </c>
      <c r="C10775" s="227">
        <v>0.48898148148148146</v>
      </c>
      <c r="D10775" s="228">
        <v>10</v>
      </c>
      <c r="E10775" s="225" t="s">
        <v>8040</v>
      </c>
      <c r="F10775" s="225" t="s">
        <v>6946</v>
      </c>
    </row>
    <row r="10776" spans="2:6" ht="17.25" thickBot="1">
      <c r="B10776" s="226">
        <v>46158</v>
      </c>
      <c r="C10776" s="227">
        <v>0.61215277777777777</v>
      </c>
      <c r="D10776" s="228">
        <v>10</v>
      </c>
      <c r="E10776" s="225" t="s">
        <v>7200</v>
      </c>
      <c r="F10776" s="225" t="s">
        <v>6946</v>
      </c>
    </row>
    <row r="10777" spans="2:6" ht="17.25" thickBot="1">
      <c r="B10777" s="226">
        <v>46158</v>
      </c>
      <c r="C10777" s="227">
        <v>0.43866898148148148</v>
      </c>
      <c r="D10777" s="228">
        <v>10</v>
      </c>
      <c r="E10777" s="225" t="s">
        <v>8041</v>
      </c>
      <c r="F10777" s="225" t="s">
        <v>6946</v>
      </c>
    </row>
    <row r="10778" spans="2:6" ht="17.25" thickBot="1">
      <c r="B10778" s="226">
        <v>46158</v>
      </c>
      <c r="C10778" s="227">
        <v>0.45401620370370371</v>
      </c>
      <c r="D10778" s="228">
        <v>10</v>
      </c>
      <c r="E10778" s="225" t="s">
        <v>8046</v>
      </c>
      <c r="F10778" s="225" t="s">
        <v>6946</v>
      </c>
    </row>
    <row r="10779" spans="2:6" ht="17.25" thickBot="1">
      <c r="B10779" s="226">
        <v>46158</v>
      </c>
      <c r="C10779" s="227">
        <v>0.43100694444444443</v>
      </c>
      <c r="D10779" s="228">
        <v>10</v>
      </c>
      <c r="E10779" s="225" t="s">
        <v>537</v>
      </c>
      <c r="F10779" s="225" t="s">
        <v>6946</v>
      </c>
    </row>
    <row r="10780" spans="2:6" ht="17.25" thickBot="1">
      <c r="B10780" s="226">
        <v>46158</v>
      </c>
      <c r="C10780" s="227">
        <v>0.42756944444444445</v>
      </c>
      <c r="D10780" s="228">
        <v>10</v>
      </c>
      <c r="E10780" s="225" t="s">
        <v>8044</v>
      </c>
      <c r="F10780" s="225" t="s">
        <v>6946</v>
      </c>
    </row>
    <row r="10781" spans="2:6" ht="17.25" thickBot="1">
      <c r="B10781" s="226">
        <v>46158</v>
      </c>
      <c r="C10781" s="227">
        <v>0.46869212962962964</v>
      </c>
      <c r="D10781" s="228">
        <v>10</v>
      </c>
      <c r="E10781" s="225" t="s">
        <v>8047</v>
      </c>
      <c r="F10781" s="225" t="s">
        <v>6946</v>
      </c>
    </row>
    <row r="10782" spans="2:6" ht="17.25" thickBot="1">
      <c r="B10782" s="226">
        <v>46158</v>
      </c>
      <c r="C10782" s="227">
        <v>0.44915509259259262</v>
      </c>
      <c r="D10782" s="228">
        <v>10</v>
      </c>
      <c r="E10782" s="225" t="s">
        <v>8050</v>
      </c>
      <c r="F10782" s="225" t="s">
        <v>6946</v>
      </c>
    </row>
    <row r="10783" spans="2:6" ht="17.25" thickBot="1">
      <c r="B10783" s="226">
        <v>46157</v>
      </c>
      <c r="C10783" s="227">
        <v>0.56178240740740737</v>
      </c>
      <c r="D10783" s="228">
        <v>10</v>
      </c>
      <c r="E10783" s="225" t="s">
        <v>8077</v>
      </c>
      <c r="F10783" s="225" t="s">
        <v>6946</v>
      </c>
    </row>
    <row r="10784" spans="2:6" ht="51.75" thickBot="1">
      <c r="B10784" s="226">
        <v>46157</v>
      </c>
      <c r="C10784" s="227">
        <v>0.75739583333333327</v>
      </c>
      <c r="D10784" s="228">
        <v>10</v>
      </c>
      <c r="E10784" s="225" t="s">
        <v>8067</v>
      </c>
      <c r="F10784" s="225" t="s">
        <v>6946</v>
      </c>
    </row>
    <row r="10785" spans="2:6" ht="17.25" thickBot="1">
      <c r="B10785" s="226">
        <v>46157</v>
      </c>
      <c r="C10785" s="227">
        <v>0.69028935185185192</v>
      </c>
      <c r="D10785" s="228">
        <v>10</v>
      </c>
      <c r="E10785" s="225" t="s">
        <v>1487</v>
      </c>
      <c r="F10785" s="225" t="s">
        <v>6946</v>
      </c>
    </row>
    <row r="10786" spans="2:6" ht="17.25" thickBot="1">
      <c r="B10786" s="226">
        <v>46157</v>
      </c>
      <c r="C10786" s="227">
        <v>0.59521990740740738</v>
      </c>
      <c r="D10786" s="228">
        <v>10</v>
      </c>
      <c r="E10786" s="225" t="s">
        <v>8087</v>
      </c>
      <c r="F10786" s="225" t="s">
        <v>6946</v>
      </c>
    </row>
    <row r="10787" spans="2:6" ht="17.25" thickBot="1">
      <c r="B10787" s="226">
        <v>46157</v>
      </c>
      <c r="C10787" s="227">
        <v>0.68866898148148159</v>
      </c>
      <c r="D10787" s="228">
        <v>10</v>
      </c>
      <c r="E10787" s="225" t="s">
        <v>8086</v>
      </c>
      <c r="F10787" s="225" t="s">
        <v>6946</v>
      </c>
    </row>
    <row r="10788" spans="2:6" ht="17.25" thickBot="1">
      <c r="B10788" s="226">
        <v>46157</v>
      </c>
      <c r="C10788" s="227">
        <v>0.72461805555555558</v>
      </c>
      <c r="D10788" s="228">
        <v>10</v>
      </c>
      <c r="E10788" s="225" t="s">
        <v>8059</v>
      </c>
      <c r="F10788" s="225" t="s">
        <v>6946</v>
      </c>
    </row>
    <row r="10789" spans="2:6" ht="17.25" thickBot="1">
      <c r="B10789" s="226">
        <v>46157</v>
      </c>
      <c r="C10789" s="227">
        <v>0.5550694444444445</v>
      </c>
      <c r="D10789" s="228">
        <v>10</v>
      </c>
      <c r="E10789" s="225" t="s">
        <v>8075</v>
      </c>
      <c r="F10789" s="225" t="s">
        <v>6946</v>
      </c>
    </row>
    <row r="10790" spans="2:6" ht="17.25" thickBot="1">
      <c r="B10790" s="226">
        <v>46157</v>
      </c>
      <c r="C10790" s="227">
        <v>0.68152777777777773</v>
      </c>
      <c r="D10790" s="228">
        <v>10</v>
      </c>
      <c r="E10790" s="225" t="s">
        <v>8074</v>
      </c>
      <c r="F10790" s="225" t="s">
        <v>6946</v>
      </c>
    </row>
    <row r="10791" spans="2:6" ht="17.25" thickBot="1">
      <c r="B10791" s="226">
        <v>46157</v>
      </c>
      <c r="C10791" s="227">
        <v>0.65890046296296301</v>
      </c>
      <c r="D10791" s="228">
        <v>10</v>
      </c>
      <c r="E10791" s="225" t="s">
        <v>8061</v>
      </c>
      <c r="F10791" s="225" t="s">
        <v>6946</v>
      </c>
    </row>
    <row r="10792" spans="2:6" ht="17.25" thickBot="1">
      <c r="B10792" s="226">
        <v>46157</v>
      </c>
      <c r="C10792" s="227">
        <v>0.60715277777777776</v>
      </c>
      <c r="D10792" s="228">
        <v>10</v>
      </c>
      <c r="E10792" s="225" t="s">
        <v>2197</v>
      </c>
      <c r="F10792" s="225" t="s">
        <v>6946</v>
      </c>
    </row>
    <row r="10793" spans="2:6" ht="17.25" thickBot="1">
      <c r="B10793" s="226">
        <v>46157</v>
      </c>
      <c r="C10793" s="227">
        <v>0.77090277777777771</v>
      </c>
      <c r="D10793" s="228">
        <v>10</v>
      </c>
      <c r="E10793" s="225" t="s">
        <v>2500</v>
      </c>
      <c r="F10793" s="225" t="s">
        <v>6946</v>
      </c>
    </row>
    <row r="10794" spans="2:6" ht="17.25" thickBot="1">
      <c r="B10794" s="226">
        <v>46157</v>
      </c>
      <c r="C10794" s="227">
        <v>0.57459490740740737</v>
      </c>
      <c r="D10794" s="228">
        <v>10</v>
      </c>
      <c r="E10794" s="225" t="s">
        <v>8058</v>
      </c>
      <c r="F10794" s="225" t="s">
        <v>6946</v>
      </c>
    </row>
    <row r="10795" spans="2:6" ht="17.25" thickBot="1">
      <c r="B10795" s="226">
        <v>46157</v>
      </c>
      <c r="C10795" s="227">
        <v>0.77869212962962964</v>
      </c>
      <c r="D10795" s="228">
        <v>10</v>
      </c>
      <c r="E10795" s="225" t="s">
        <v>8064</v>
      </c>
      <c r="F10795" s="225" t="s">
        <v>6946</v>
      </c>
    </row>
    <row r="10796" spans="2:6" ht="17.25" thickBot="1">
      <c r="B10796" s="226">
        <v>46157</v>
      </c>
      <c r="C10796" s="227">
        <v>0.4878703703703704</v>
      </c>
      <c r="D10796" s="228">
        <v>10</v>
      </c>
      <c r="E10796" s="225" t="s">
        <v>8083</v>
      </c>
      <c r="F10796" s="225" t="s">
        <v>6946</v>
      </c>
    </row>
    <row r="10797" spans="2:6" ht="17.25" thickBot="1">
      <c r="B10797" s="226">
        <v>46157</v>
      </c>
      <c r="C10797" s="227">
        <v>0.68732638888888886</v>
      </c>
      <c r="D10797" s="228">
        <v>10</v>
      </c>
      <c r="E10797" s="225" t="s">
        <v>8060</v>
      </c>
      <c r="F10797" s="225" t="s">
        <v>6946</v>
      </c>
    </row>
    <row r="10798" spans="2:6" ht="17.25" thickBot="1">
      <c r="B10798" s="226">
        <v>46157</v>
      </c>
      <c r="C10798" s="227">
        <v>0.73481481481481481</v>
      </c>
      <c r="D10798" s="228">
        <v>10</v>
      </c>
      <c r="E10798" s="225" t="s">
        <v>8071</v>
      </c>
      <c r="F10798" s="225" t="s">
        <v>6946</v>
      </c>
    </row>
    <row r="10799" spans="2:6" ht="17.25" thickBot="1">
      <c r="B10799" s="226">
        <v>46157</v>
      </c>
      <c r="C10799" s="227">
        <v>0.75446759259259266</v>
      </c>
      <c r="D10799" s="228">
        <v>10</v>
      </c>
      <c r="E10799" s="225" t="s">
        <v>8056</v>
      </c>
      <c r="F10799" s="225" t="s">
        <v>6946</v>
      </c>
    </row>
    <row r="10800" spans="2:6" ht="17.25" thickBot="1">
      <c r="B10800" s="226">
        <v>46157</v>
      </c>
      <c r="C10800" s="227">
        <v>0.7540162037037037</v>
      </c>
      <c r="D10800" s="228">
        <v>10</v>
      </c>
      <c r="E10800" s="225" t="s">
        <v>8055</v>
      </c>
      <c r="F10800" s="225" t="s">
        <v>6946</v>
      </c>
    </row>
    <row r="10801" spans="2:6" ht="17.25" thickBot="1">
      <c r="B10801" s="226">
        <v>46157</v>
      </c>
      <c r="C10801" s="227">
        <v>0.64182870370370371</v>
      </c>
      <c r="D10801" s="228">
        <v>10</v>
      </c>
      <c r="E10801" s="225" t="s">
        <v>8069</v>
      </c>
      <c r="F10801" s="225" t="s">
        <v>6946</v>
      </c>
    </row>
    <row r="10802" spans="2:6" ht="17.25" thickBot="1">
      <c r="B10802" s="226">
        <v>46157</v>
      </c>
      <c r="C10802" s="227">
        <v>0.79465277777777776</v>
      </c>
      <c r="D10802" s="228">
        <v>10</v>
      </c>
      <c r="E10802" s="225" t="s">
        <v>8054</v>
      </c>
      <c r="F10802" s="225" t="s">
        <v>6946</v>
      </c>
    </row>
    <row r="10803" spans="2:6" ht="17.25" thickBot="1">
      <c r="B10803" s="226">
        <v>46157</v>
      </c>
      <c r="C10803" s="227">
        <v>0.69687500000000002</v>
      </c>
      <c r="D10803" s="228">
        <v>10</v>
      </c>
      <c r="E10803" s="225" t="s">
        <v>8070</v>
      </c>
      <c r="F10803" s="225" t="s">
        <v>6946</v>
      </c>
    </row>
    <row r="10804" spans="2:6" ht="17.25" thickBot="1">
      <c r="B10804" s="226">
        <v>46157</v>
      </c>
      <c r="C10804" s="227">
        <v>0.88114583333333341</v>
      </c>
      <c r="D10804" s="228">
        <v>10</v>
      </c>
      <c r="E10804" s="225" t="s">
        <v>8053</v>
      </c>
      <c r="F10804" s="225" t="s">
        <v>6946</v>
      </c>
    </row>
    <row r="10805" spans="2:6" ht="17.25" thickBot="1">
      <c r="B10805" s="226">
        <v>46157</v>
      </c>
      <c r="C10805" s="227">
        <v>0.60122685185185187</v>
      </c>
      <c r="D10805" s="228">
        <v>10</v>
      </c>
      <c r="E10805" s="225" t="s">
        <v>8068</v>
      </c>
      <c r="F10805" s="225" t="s">
        <v>6946</v>
      </c>
    </row>
    <row r="10806" spans="2:6" ht="17.25" thickBot="1">
      <c r="B10806" s="226">
        <v>46157</v>
      </c>
      <c r="C10806" s="227">
        <v>0.5699305555555555</v>
      </c>
      <c r="D10806" s="228">
        <v>10</v>
      </c>
      <c r="E10806" s="225" t="s">
        <v>8057</v>
      </c>
      <c r="F10806" s="225" t="s">
        <v>6946</v>
      </c>
    </row>
    <row r="10807" spans="2:6" ht="17.25" thickBot="1">
      <c r="B10807" s="226">
        <v>46157</v>
      </c>
      <c r="C10807" s="227">
        <v>0.63075231481481475</v>
      </c>
      <c r="D10807" s="228">
        <v>10</v>
      </c>
      <c r="E10807" s="225" t="s">
        <v>8063</v>
      </c>
      <c r="F10807" s="225" t="s">
        <v>6946</v>
      </c>
    </row>
    <row r="10808" spans="2:6" ht="17.25" thickBot="1">
      <c r="B10808" s="226">
        <v>46157</v>
      </c>
      <c r="C10808" s="227">
        <v>0.61658564814814809</v>
      </c>
      <c r="D10808" s="228">
        <v>10</v>
      </c>
      <c r="E10808" s="225" t="s">
        <v>448</v>
      </c>
      <c r="F10808" s="225" t="s">
        <v>6946</v>
      </c>
    </row>
    <row r="10809" spans="2:6" ht="17.25" thickBot="1">
      <c r="B10809" s="226">
        <v>46157</v>
      </c>
      <c r="C10809" s="227">
        <v>0.72650462962962958</v>
      </c>
      <c r="D10809" s="228">
        <v>10</v>
      </c>
      <c r="E10809" s="225" t="s">
        <v>690</v>
      </c>
      <c r="F10809" s="225" t="s">
        <v>6946</v>
      </c>
    </row>
    <row r="10810" spans="2:6" ht="17.25" thickBot="1">
      <c r="B10810" s="226">
        <v>46157</v>
      </c>
      <c r="C10810" s="227">
        <v>0.6213657407407408</v>
      </c>
      <c r="D10810" s="228">
        <v>10</v>
      </c>
      <c r="E10810" s="225" t="s">
        <v>8065</v>
      </c>
      <c r="F10810" s="225" t="s">
        <v>6946</v>
      </c>
    </row>
    <row r="10811" spans="2:6" ht="17.25" thickBot="1">
      <c r="B10811" s="226">
        <v>46157</v>
      </c>
      <c r="C10811" s="227">
        <v>0.63616898148148149</v>
      </c>
      <c r="D10811" s="228">
        <v>10</v>
      </c>
      <c r="E10811" s="225" t="s">
        <v>8062</v>
      </c>
      <c r="F10811" s="225" t="s">
        <v>6946</v>
      </c>
    </row>
    <row r="10812" spans="2:6" ht="17.25" thickBot="1">
      <c r="B10812" s="226">
        <v>46157</v>
      </c>
      <c r="C10812" s="227">
        <v>0.47599537037037037</v>
      </c>
      <c r="D10812" s="228">
        <v>10</v>
      </c>
      <c r="E10812" s="225" t="s">
        <v>8084</v>
      </c>
      <c r="F10812" s="225" t="s">
        <v>6946</v>
      </c>
    </row>
    <row r="10813" spans="2:6" ht="17.25" thickBot="1">
      <c r="B10813" s="226">
        <v>46157</v>
      </c>
      <c r="C10813" s="227">
        <v>0.41105324074074073</v>
      </c>
      <c r="D10813" s="228">
        <v>10</v>
      </c>
      <c r="E10813" s="225" t="s">
        <v>8081</v>
      </c>
      <c r="F10813" s="225" t="s">
        <v>6946</v>
      </c>
    </row>
    <row r="10814" spans="2:6" ht="17.25" thickBot="1">
      <c r="B10814" s="226">
        <v>46157</v>
      </c>
      <c r="C10814" s="227">
        <v>0.69570601851851854</v>
      </c>
      <c r="D10814" s="228">
        <v>10</v>
      </c>
      <c r="E10814" s="225" t="s">
        <v>8072</v>
      </c>
      <c r="F10814" s="225" t="s">
        <v>6946</v>
      </c>
    </row>
    <row r="10815" spans="2:6" ht="17.25" thickBot="1">
      <c r="B10815" s="226">
        <v>46157</v>
      </c>
      <c r="C10815" s="227">
        <v>0.62026620370370367</v>
      </c>
      <c r="D10815" s="228">
        <v>10</v>
      </c>
      <c r="E10815" s="225" t="s">
        <v>246</v>
      </c>
      <c r="F10815" s="225" t="s">
        <v>6946</v>
      </c>
    </row>
    <row r="10816" spans="2:6" ht="17.25" thickBot="1">
      <c r="B10816" s="226">
        <v>46157</v>
      </c>
      <c r="C10816" s="227">
        <v>0.45541666666666664</v>
      </c>
      <c r="D10816" s="228">
        <v>10</v>
      </c>
      <c r="E10816" s="225" t="s">
        <v>246</v>
      </c>
      <c r="F10816" s="225" t="s">
        <v>6946</v>
      </c>
    </row>
    <row r="10817" spans="2:6" ht="17.25" thickBot="1">
      <c r="B10817" s="226">
        <v>46157</v>
      </c>
      <c r="C10817" s="227">
        <v>0.42659722222222224</v>
      </c>
      <c r="D10817" s="228">
        <v>10</v>
      </c>
      <c r="E10817" s="225" t="s">
        <v>8078</v>
      </c>
      <c r="F10817" s="225" t="s">
        <v>6946</v>
      </c>
    </row>
    <row r="10818" spans="2:6" ht="17.25" thickBot="1">
      <c r="B10818" s="226">
        <v>46157</v>
      </c>
      <c r="C10818" s="227">
        <v>0.44784722222222223</v>
      </c>
      <c r="D10818" s="228">
        <v>10</v>
      </c>
      <c r="E10818" s="225" t="s">
        <v>8082</v>
      </c>
      <c r="F10818" s="225" t="s">
        <v>6946</v>
      </c>
    </row>
    <row r="10819" spans="2:6" ht="17.25" thickBot="1">
      <c r="B10819" s="226">
        <v>46157</v>
      </c>
      <c r="C10819" s="227">
        <v>0.47956018518518517</v>
      </c>
      <c r="D10819" s="228">
        <v>10</v>
      </c>
      <c r="E10819" s="225" t="s">
        <v>8076</v>
      </c>
      <c r="F10819" s="225" t="s">
        <v>6946</v>
      </c>
    </row>
    <row r="10820" spans="2:6" ht="17.25" thickBot="1">
      <c r="B10820" s="226">
        <v>46157</v>
      </c>
      <c r="C10820" s="227">
        <v>0.44454861111111116</v>
      </c>
      <c r="D10820" s="228">
        <v>10</v>
      </c>
      <c r="E10820" s="225" t="s">
        <v>8085</v>
      </c>
      <c r="F10820" s="225" t="s">
        <v>6946</v>
      </c>
    </row>
    <row r="10821" spans="2:6" ht="17.25" thickBot="1">
      <c r="B10821" s="226">
        <v>46157</v>
      </c>
      <c r="C10821" s="227">
        <v>0.48246527777777781</v>
      </c>
      <c r="D10821" s="228">
        <v>10</v>
      </c>
      <c r="E10821" s="225" t="s">
        <v>201</v>
      </c>
      <c r="F10821" s="225" t="s">
        <v>6946</v>
      </c>
    </row>
    <row r="10822" spans="2:6" ht="17.25" thickBot="1">
      <c r="B10822" s="226">
        <v>46157</v>
      </c>
      <c r="C10822" s="227">
        <v>0.47009259259259256</v>
      </c>
      <c r="D10822" s="228">
        <v>10</v>
      </c>
      <c r="E10822" s="225" t="s">
        <v>8073</v>
      </c>
      <c r="F10822" s="225" t="s">
        <v>6946</v>
      </c>
    </row>
    <row r="10823" spans="2:6" ht="17.25" thickBot="1">
      <c r="B10823" s="226">
        <v>46157</v>
      </c>
      <c r="C10823" s="227">
        <v>0.41032407407407406</v>
      </c>
      <c r="D10823" s="228">
        <v>10</v>
      </c>
      <c r="E10823" s="225" t="s">
        <v>8079</v>
      </c>
      <c r="F10823" s="225" t="s">
        <v>6946</v>
      </c>
    </row>
    <row r="10824" spans="2:6" ht="17.25" thickBot="1">
      <c r="B10824" s="226">
        <v>46157</v>
      </c>
      <c r="C10824" s="227">
        <v>0.39439814814814816</v>
      </c>
      <c r="D10824" s="228">
        <v>10</v>
      </c>
      <c r="E10824" s="225" t="s">
        <v>8088</v>
      </c>
      <c r="F10824" s="225" t="s">
        <v>6946</v>
      </c>
    </row>
    <row r="10825" spans="2:6" ht="17.25" thickBot="1">
      <c r="B10825" s="226">
        <v>46157</v>
      </c>
      <c r="C10825" s="227">
        <v>0.41285879629629635</v>
      </c>
      <c r="D10825" s="228">
        <v>10</v>
      </c>
      <c r="E10825" s="225" t="s">
        <v>1627</v>
      </c>
      <c r="F10825" s="225" t="s">
        <v>6946</v>
      </c>
    </row>
    <row r="10826" spans="2:6" ht="17.25" thickBot="1">
      <c r="B10826" s="226">
        <v>46157</v>
      </c>
      <c r="C10826" s="227">
        <v>0.65414351851851849</v>
      </c>
      <c r="D10826" s="228">
        <v>10</v>
      </c>
      <c r="E10826" s="225" t="s">
        <v>8066</v>
      </c>
      <c r="F10826" s="225" t="s">
        <v>6946</v>
      </c>
    </row>
    <row r="10827" spans="2:6" ht="17.25" thickBot="1">
      <c r="B10827" s="226">
        <v>46156</v>
      </c>
      <c r="C10827" s="227">
        <v>0.46333333333333332</v>
      </c>
      <c r="D10827" s="228">
        <v>8</v>
      </c>
      <c r="E10827" s="225" t="s">
        <v>8035</v>
      </c>
      <c r="F10827" s="225" t="s">
        <v>6946</v>
      </c>
    </row>
    <row r="10828" spans="2:6" ht="17.25" thickBot="1">
      <c r="B10828" s="226">
        <v>46156</v>
      </c>
      <c r="C10828" s="227">
        <v>0.6953125</v>
      </c>
      <c r="D10828" s="228">
        <v>10</v>
      </c>
      <c r="E10828" s="225" t="s">
        <v>8033</v>
      </c>
      <c r="F10828" s="225" t="s">
        <v>6946</v>
      </c>
    </row>
    <row r="10829" spans="2:6" ht="17.25" thickBot="1">
      <c r="B10829" s="226">
        <v>46156</v>
      </c>
      <c r="C10829" s="227">
        <v>0.68995370370370368</v>
      </c>
      <c r="D10829" s="228">
        <v>10</v>
      </c>
      <c r="E10829" s="225" t="s">
        <v>8004</v>
      </c>
      <c r="F10829" s="225" t="s">
        <v>6946</v>
      </c>
    </row>
    <row r="10830" spans="2:6" ht="17.25" thickBot="1">
      <c r="B10830" s="226">
        <v>46156</v>
      </c>
      <c r="C10830" s="227">
        <v>0.9002430555555555</v>
      </c>
      <c r="D10830" s="228">
        <v>10</v>
      </c>
      <c r="E10830" s="225" t="s">
        <v>8016</v>
      </c>
      <c r="F10830" s="225" t="s">
        <v>6946</v>
      </c>
    </row>
    <row r="10831" spans="2:6" ht="17.25" thickBot="1">
      <c r="B10831" s="226">
        <v>46156</v>
      </c>
      <c r="C10831" s="227">
        <v>0.55868055555555551</v>
      </c>
      <c r="D10831" s="228">
        <v>10</v>
      </c>
      <c r="E10831" s="225" t="s">
        <v>448</v>
      </c>
      <c r="F10831" s="225" t="s">
        <v>6946</v>
      </c>
    </row>
    <row r="10832" spans="2:6" ht="17.25" thickBot="1">
      <c r="B10832" s="226">
        <v>46156</v>
      </c>
      <c r="C10832" s="227">
        <v>0.64158564814814811</v>
      </c>
      <c r="D10832" s="228">
        <v>10</v>
      </c>
      <c r="E10832" s="225" t="s">
        <v>8007</v>
      </c>
      <c r="F10832" s="225" t="s">
        <v>6946</v>
      </c>
    </row>
    <row r="10833" spans="2:6" ht="17.25" thickBot="1">
      <c r="B10833" s="226">
        <v>46156</v>
      </c>
      <c r="C10833" s="227">
        <v>0.755925925925926</v>
      </c>
      <c r="D10833" s="228">
        <v>10</v>
      </c>
      <c r="E10833" s="225" t="s">
        <v>8036</v>
      </c>
      <c r="F10833" s="225" t="s">
        <v>6946</v>
      </c>
    </row>
    <row r="10834" spans="2:6" ht="17.25" thickBot="1">
      <c r="B10834" s="226">
        <v>46156</v>
      </c>
      <c r="C10834" s="227">
        <v>0.68891203703703707</v>
      </c>
      <c r="D10834" s="228">
        <v>10</v>
      </c>
      <c r="E10834" s="225" t="s">
        <v>1668</v>
      </c>
      <c r="F10834" s="225" t="s">
        <v>6946</v>
      </c>
    </row>
    <row r="10835" spans="2:6" ht="17.25" thickBot="1">
      <c r="B10835" s="226">
        <v>46156</v>
      </c>
      <c r="C10835" s="227">
        <v>0.50300925925925932</v>
      </c>
      <c r="D10835" s="228">
        <v>10</v>
      </c>
      <c r="E10835" s="225" t="s">
        <v>8020</v>
      </c>
      <c r="F10835" s="225" t="s">
        <v>6946</v>
      </c>
    </row>
    <row r="10836" spans="2:6" ht="17.25" thickBot="1">
      <c r="B10836" s="226">
        <v>46156</v>
      </c>
      <c r="C10836" s="227">
        <v>0.73637731481481483</v>
      </c>
      <c r="D10836" s="228">
        <v>10</v>
      </c>
      <c r="E10836" s="225" t="s">
        <v>8026</v>
      </c>
      <c r="F10836" s="225" t="s">
        <v>6946</v>
      </c>
    </row>
    <row r="10837" spans="2:6" ht="17.25" thickBot="1">
      <c r="B10837" s="226">
        <v>46156</v>
      </c>
      <c r="C10837" s="227">
        <v>0.68160879629629623</v>
      </c>
      <c r="D10837" s="228">
        <v>10</v>
      </c>
      <c r="E10837" s="225" t="s">
        <v>8019</v>
      </c>
      <c r="F10837" s="225" t="s">
        <v>6946</v>
      </c>
    </row>
    <row r="10838" spans="2:6" ht="17.25" thickBot="1">
      <c r="B10838" s="226">
        <v>46156</v>
      </c>
      <c r="C10838" s="227">
        <v>0.75075231481481486</v>
      </c>
      <c r="D10838" s="228">
        <v>10</v>
      </c>
      <c r="E10838" s="225" t="s">
        <v>8002</v>
      </c>
      <c r="F10838" s="225" t="s">
        <v>6946</v>
      </c>
    </row>
    <row r="10839" spans="2:6" ht="17.25" thickBot="1">
      <c r="B10839" s="226">
        <v>46156</v>
      </c>
      <c r="C10839" s="227">
        <v>0.58564814814814814</v>
      </c>
      <c r="D10839" s="228">
        <v>10</v>
      </c>
      <c r="E10839" s="225" t="s">
        <v>288</v>
      </c>
      <c r="F10839" s="225" t="s">
        <v>6946</v>
      </c>
    </row>
    <row r="10840" spans="2:6" ht="17.25" thickBot="1">
      <c r="B10840" s="226">
        <v>46156</v>
      </c>
      <c r="C10840" s="227">
        <v>0.74826388888888884</v>
      </c>
      <c r="D10840" s="228">
        <v>10</v>
      </c>
      <c r="E10840" s="225" t="s">
        <v>8032</v>
      </c>
      <c r="F10840" s="225" t="s">
        <v>6946</v>
      </c>
    </row>
    <row r="10841" spans="2:6" ht="17.25" thickBot="1">
      <c r="B10841" s="226">
        <v>46156</v>
      </c>
      <c r="C10841" s="227">
        <v>0.91184027777777776</v>
      </c>
      <c r="D10841" s="228">
        <v>10</v>
      </c>
      <c r="E10841" s="225" t="s">
        <v>8014</v>
      </c>
      <c r="F10841" s="225" t="s">
        <v>6946</v>
      </c>
    </row>
    <row r="10842" spans="2:6" ht="17.25" thickBot="1">
      <c r="B10842" s="226">
        <v>46156</v>
      </c>
      <c r="C10842" s="227">
        <v>0.63675925925925925</v>
      </c>
      <c r="D10842" s="228">
        <v>10</v>
      </c>
      <c r="E10842" s="225" t="s">
        <v>8009</v>
      </c>
      <c r="F10842" s="225" t="s">
        <v>6946</v>
      </c>
    </row>
    <row r="10843" spans="2:6" ht="17.25" thickBot="1">
      <c r="B10843" s="226">
        <v>46156</v>
      </c>
      <c r="C10843" s="227">
        <v>0.74929398148148152</v>
      </c>
      <c r="D10843" s="228">
        <v>10</v>
      </c>
      <c r="E10843" s="225" t="s">
        <v>8022</v>
      </c>
      <c r="F10843" s="225" t="s">
        <v>6946</v>
      </c>
    </row>
    <row r="10844" spans="2:6" ht="17.25" thickBot="1">
      <c r="B10844" s="226">
        <v>46156</v>
      </c>
      <c r="C10844" s="227">
        <v>0.76606481481481481</v>
      </c>
      <c r="D10844" s="228">
        <v>10</v>
      </c>
      <c r="E10844" s="225" t="s">
        <v>8021</v>
      </c>
      <c r="F10844" s="225" t="s">
        <v>6946</v>
      </c>
    </row>
    <row r="10845" spans="2:6" ht="17.25" thickBot="1">
      <c r="B10845" s="226">
        <v>46156</v>
      </c>
      <c r="C10845" s="227">
        <v>0.7489351851851852</v>
      </c>
      <c r="D10845" s="228">
        <v>10</v>
      </c>
      <c r="E10845" s="225" t="s">
        <v>8018</v>
      </c>
      <c r="F10845" s="225" t="s">
        <v>6946</v>
      </c>
    </row>
    <row r="10846" spans="2:6" ht="17.25" thickBot="1">
      <c r="B10846" s="226">
        <v>46156</v>
      </c>
      <c r="C10846" s="227">
        <v>0.88973379629629623</v>
      </c>
      <c r="D10846" s="228">
        <v>10</v>
      </c>
      <c r="E10846" s="225" t="s">
        <v>4348</v>
      </c>
      <c r="F10846" s="225" t="s">
        <v>6946</v>
      </c>
    </row>
    <row r="10847" spans="2:6" ht="17.25" thickBot="1">
      <c r="B10847" s="226">
        <v>46156</v>
      </c>
      <c r="C10847" s="227">
        <v>0.74003472222222222</v>
      </c>
      <c r="D10847" s="228">
        <v>10</v>
      </c>
      <c r="E10847" s="225" t="s">
        <v>8024</v>
      </c>
      <c r="F10847" s="225" t="s">
        <v>6946</v>
      </c>
    </row>
    <row r="10848" spans="2:6" ht="17.25" thickBot="1">
      <c r="B10848" s="226">
        <v>46156</v>
      </c>
      <c r="C10848" s="227">
        <v>0.46062500000000001</v>
      </c>
      <c r="D10848" s="228">
        <v>10</v>
      </c>
      <c r="E10848" s="225" t="s">
        <v>8015</v>
      </c>
      <c r="F10848" s="225" t="s">
        <v>6946</v>
      </c>
    </row>
    <row r="10849" spans="2:6" ht="17.25" thickBot="1">
      <c r="B10849" s="226">
        <v>46156</v>
      </c>
      <c r="C10849" s="227">
        <v>0.64111111111111108</v>
      </c>
      <c r="D10849" s="228">
        <v>10</v>
      </c>
      <c r="E10849" s="225" t="s">
        <v>8025</v>
      </c>
      <c r="F10849" s="225" t="s">
        <v>6946</v>
      </c>
    </row>
    <row r="10850" spans="2:6" ht="17.25" thickBot="1">
      <c r="B10850" s="226">
        <v>46156</v>
      </c>
      <c r="C10850" s="227">
        <v>0.69128472222222215</v>
      </c>
      <c r="D10850" s="228">
        <v>10</v>
      </c>
      <c r="E10850" s="225" t="s">
        <v>8003</v>
      </c>
      <c r="F10850" s="225" t="s">
        <v>6946</v>
      </c>
    </row>
    <row r="10851" spans="2:6" ht="17.25" thickBot="1">
      <c r="B10851" s="226">
        <v>46156</v>
      </c>
      <c r="C10851" s="227">
        <v>0.7457407407407407</v>
      </c>
      <c r="D10851" s="228">
        <v>10</v>
      </c>
      <c r="E10851" s="225" t="s">
        <v>8005</v>
      </c>
      <c r="F10851" s="225" t="s">
        <v>6946</v>
      </c>
    </row>
    <row r="10852" spans="2:6" ht="17.25" thickBot="1">
      <c r="B10852" s="226">
        <v>46156</v>
      </c>
      <c r="C10852" s="227">
        <v>0.63020833333333337</v>
      </c>
      <c r="D10852" s="228">
        <v>10</v>
      </c>
      <c r="E10852" s="225" t="s">
        <v>8017</v>
      </c>
      <c r="F10852" s="225" t="s">
        <v>6946</v>
      </c>
    </row>
    <row r="10853" spans="2:6" ht="17.25" thickBot="1">
      <c r="B10853" s="226">
        <v>46156</v>
      </c>
      <c r="C10853" s="227">
        <v>0.61453703703703699</v>
      </c>
      <c r="D10853" s="228">
        <v>10</v>
      </c>
      <c r="E10853" s="225" t="s">
        <v>8034</v>
      </c>
      <c r="F10853" s="225" t="s">
        <v>6946</v>
      </c>
    </row>
    <row r="10854" spans="2:6" ht="17.25" thickBot="1">
      <c r="B10854" s="226">
        <v>46156</v>
      </c>
      <c r="C10854" s="227">
        <v>0.67570601851851853</v>
      </c>
      <c r="D10854" s="228">
        <v>10</v>
      </c>
      <c r="E10854" s="225" t="s">
        <v>8023</v>
      </c>
      <c r="F10854" s="225" t="s">
        <v>6946</v>
      </c>
    </row>
    <row r="10855" spans="2:6" ht="17.25" thickBot="1">
      <c r="B10855" s="226">
        <v>46156</v>
      </c>
      <c r="C10855" s="227">
        <v>0.755</v>
      </c>
      <c r="D10855" s="228">
        <v>10</v>
      </c>
      <c r="E10855" s="225" t="s">
        <v>495</v>
      </c>
      <c r="F10855" s="225" t="s">
        <v>6946</v>
      </c>
    </row>
    <row r="10856" spans="2:6" ht="17.25" thickBot="1">
      <c r="B10856" s="226">
        <v>46156</v>
      </c>
      <c r="C10856" s="227">
        <v>0.70810185185185182</v>
      </c>
      <c r="D10856" s="228">
        <v>10</v>
      </c>
      <c r="E10856" s="225" t="s">
        <v>8027</v>
      </c>
      <c r="F10856" s="225" t="s">
        <v>6946</v>
      </c>
    </row>
    <row r="10857" spans="2:6" ht="17.25" thickBot="1">
      <c r="B10857" s="226">
        <v>46156</v>
      </c>
      <c r="C10857" s="227">
        <v>0.55993055555555549</v>
      </c>
      <c r="D10857" s="228">
        <v>10</v>
      </c>
      <c r="E10857" s="225" t="s">
        <v>8037</v>
      </c>
      <c r="F10857" s="225" t="s">
        <v>6946</v>
      </c>
    </row>
    <row r="10858" spans="2:6" ht="17.25" thickBot="1">
      <c r="B10858" s="226">
        <v>46156</v>
      </c>
      <c r="C10858" s="227">
        <v>0.46832175925925923</v>
      </c>
      <c r="D10858" s="228">
        <v>10</v>
      </c>
      <c r="E10858" s="225" t="s">
        <v>8038</v>
      </c>
      <c r="F10858" s="225" t="s">
        <v>6946</v>
      </c>
    </row>
    <row r="10859" spans="2:6" ht="17.25" thickBot="1">
      <c r="B10859" s="226">
        <v>46156</v>
      </c>
      <c r="C10859" s="227">
        <v>0.53776620370370376</v>
      </c>
      <c r="D10859" s="228">
        <v>10</v>
      </c>
      <c r="E10859" s="225" t="s">
        <v>8011</v>
      </c>
      <c r="F10859" s="225" t="s">
        <v>6946</v>
      </c>
    </row>
    <row r="10860" spans="2:6" ht="17.25" thickBot="1">
      <c r="B10860" s="226">
        <v>46156</v>
      </c>
      <c r="C10860" s="227">
        <v>0.5142592592592593</v>
      </c>
      <c r="D10860" s="228">
        <v>10</v>
      </c>
      <c r="E10860" s="225" t="s">
        <v>690</v>
      </c>
      <c r="F10860" s="225" t="s">
        <v>6946</v>
      </c>
    </row>
    <row r="10861" spans="2:6" ht="17.25" thickBot="1">
      <c r="B10861" s="226">
        <v>46156</v>
      </c>
      <c r="C10861" s="227">
        <v>0.77895833333333331</v>
      </c>
      <c r="D10861" s="228">
        <v>10</v>
      </c>
      <c r="E10861" s="225" t="s">
        <v>8031</v>
      </c>
      <c r="F10861" s="225" t="s">
        <v>6946</v>
      </c>
    </row>
    <row r="10862" spans="2:6" ht="17.25" thickBot="1">
      <c r="B10862" s="226">
        <v>46156</v>
      </c>
      <c r="C10862" s="227">
        <v>0.46788194444444442</v>
      </c>
      <c r="D10862" s="228">
        <v>10</v>
      </c>
      <c r="E10862" s="225" t="s">
        <v>8008</v>
      </c>
      <c r="F10862" s="225" t="s">
        <v>6946</v>
      </c>
    </row>
    <row r="10863" spans="2:6" ht="17.25" thickBot="1">
      <c r="B10863" s="226">
        <v>46156</v>
      </c>
      <c r="C10863" s="227">
        <v>0.46979166666666666</v>
      </c>
      <c r="D10863" s="228">
        <v>10</v>
      </c>
      <c r="E10863" s="225" t="s">
        <v>8013</v>
      </c>
      <c r="F10863" s="225" t="s">
        <v>6946</v>
      </c>
    </row>
    <row r="10864" spans="2:6" ht="17.25" thickBot="1">
      <c r="B10864" s="226">
        <v>46156</v>
      </c>
      <c r="C10864" s="227">
        <v>0.47037037037037038</v>
      </c>
      <c r="D10864" s="228">
        <v>10</v>
      </c>
      <c r="E10864" s="225" t="s">
        <v>8028</v>
      </c>
      <c r="F10864" s="225" t="s">
        <v>6946</v>
      </c>
    </row>
    <row r="10865" spans="2:6" ht="17.25" thickBot="1">
      <c r="B10865" s="226">
        <v>46156</v>
      </c>
      <c r="C10865" s="227">
        <v>0.6253819444444445</v>
      </c>
      <c r="D10865" s="228">
        <v>10</v>
      </c>
      <c r="E10865" s="225" t="s">
        <v>8010</v>
      </c>
      <c r="F10865" s="225" t="s">
        <v>6946</v>
      </c>
    </row>
    <row r="10866" spans="2:6" ht="17.25" thickBot="1">
      <c r="B10866" s="226">
        <v>46156</v>
      </c>
      <c r="C10866" s="227">
        <v>0.43390046296296297</v>
      </c>
      <c r="D10866" s="228">
        <v>10</v>
      </c>
      <c r="E10866" s="225"/>
      <c r="F10866" s="225" t="s">
        <v>6946</v>
      </c>
    </row>
    <row r="10867" spans="2:6" ht="26.25" thickBot="1">
      <c r="B10867" s="226">
        <v>46156</v>
      </c>
      <c r="C10867" s="227">
        <v>0.47255787037037034</v>
      </c>
      <c r="D10867" s="228">
        <v>10</v>
      </c>
      <c r="E10867" s="225" t="s">
        <v>8012</v>
      </c>
      <c r="F10867" s="225" t="s">
        <v>6946</v>
      </c>
    </row>
    <row r="10868" spans="2:6" ht="26.25" thickBot="1">
      <c r="B10868" s="226">
        <v>46156</v>
      </c>
      <c r="C10868" s="227">
        <v>0.4488078703703704</v>
      </c>
      <c r="D10868" s="228">
        <v>10</v>
      </c>
      <c r="E10868" s="225" t="s">
        <v>8029</v>
      </c>
      <c r="F10868" s="225" t="s">
        <v>6946</v>
      </c>
    </row>
    <row r="10869" spans="2:6" ht="17.25" thickBot="1">
      <c r="B10869" s="226">
        <v>46156</v>
      </c>
      <c r="C10869" s="227">
        <v>0.39548611111111115</v>
      </c>
      <c r="D10869" s="228">
        <v>10</v>
      </c>
      <c r="E10869" s="225" t="s">
        <v>8030</v>
      </c>
      <c r="F10869" s="225" t="s">
        <v>6946</v>
      </c>
    </row>
    <row r="10870" spans="2:6" ht="17.25" thickBot="1">
      <c r="B10870" s="226">
        <v>46156</v>
      </c>
      <c r="C10870" s="227">
        <v>0.62399305555555562</v>
      </c>
      <c r="D10870" s="228">
        <v>10</v>
      </c>
      <c r="E10870" s="225" t="s">
        <v>4915</v>
      </c>
      <c r="F10870" s="225" t="s">
        <v>6946</v>
      </c>
    </row>
    <row r="10871" spans="2:6" ht="17.25" thickBot="1">
      <c r="B10871" s="226">
        <v>46156</v>
      </c>
      <c r="C10871" s="227">
        <v>0.75248842592592602</v>
      </c>
      <c r="D10871" s="228">
        <v>10</v>
      </c>
      <c r="E10871" s="225" t="s">
        <v>1010</v>
      </c>
      <c r="F10871" s="225" t="s">
        <v>6946</v>
      </c>
    </row>
    <row r="10872" spans="2:6" ht="17.25" thickBot="1">
      <c r="B10872" s="226">
        <v>46155</v>
      </c>
      <c r="C10872" s="227">
        <v>0.57269675925925922</v>
      </c>
      <c r="D10872" s="228">
        <v>10</v>
      </c>
      <c r="E10872" s="225" t="s">
        <v>132</v>
      </c>
      <c r="F10872" s="225" t="s">
        <v>6946</v>
      </c>
    </row>
    <row r="10873" spans="2:6" ht="17.25" thickBot="1">
      <c r="B10873" s="226">
        <v>46155</v>
      </c>
      <c r="C10873" s="227">
        <v>0.88908564814814817</v>
      </c>
      <c r="D10873" s="228">
        <v>10</v>
      </c>
      <c r="E10873" s="225" t="s">
        <v>7978</v>
      </c>
      <c r="F10873" s="225" t="s">
        <v>6946</v>
      </c>
    </row>
    <row r="10874" spans="2:6" ht="17.25" thickBot="1">
      <c r="B10874" s="226">
        <v>46155</v>
      </c>
      <c r="C10874" s="227">
        <v>0.64973379629629624</v>
      </c>
      <c r="D10874" s="228">
        <v>10</v>
      </c>
      <c r="E10874" s="225" t="s">
        <v>7987</v>
      </c>
      <c r="F10874" s="225" t="s">
        <v>6946</v>
      </c>
    </row>
    <row r="10875" spans="2:6" ht="17.25" thickBot="1">
      <c r="B10875" s="226">
        <v>46155</v>
      </c>
      <c r="C10875" s="227">
        <v>0.6053587962962963</v>
      </c>
      <c r="D10875" s="228">
        <v>10</v>
      </c>
      <c r="E10875" s="225" t="s">
        <v>244</v>
      </c>
      <c r="F10875" s="225" t="s">
        <v>6946</v>
      </c>
    </row>
    <row r="10876" spans="2:6" ht="17.25" thickBot="1">
      <c r="B10876" s="226">
        <v>46155</v>
      </c>
      <c r="C10876" s="227">
        <v>0.73755787037037035</v>
      </c>
      <c r="D10876" s="228">
        <v>10</v>
      </c>
      <c r="E10876" s="225" t="s">
        <v>7997</v>
      </c>
      <c r="F10876" s="225" t="s">
        <v>6946</v>
      </c>
    </row>
    <row r="10877" spans="2:6" ht="17.25" thickBot="1">
      <c r="B10877" s="226">
        <v>46155</v>
      </c>
      <c r="C10877" s="227">
        <v>0.66643518518518519</v>
      </c>
      <c r="D10877" s="228">
        <v>10</v>
      </c>
      <c r="E10877" s="225" t="s">
        <v>7986</v>
      </c>
      <c r="F10877" s="225" t="s">
        <v>6946</v>
      </c>
    </row>
    <row r="10878" spans="2:6" ht="17.25" thickBot="1">
      <c r="B10878" s="226">
        <v>46155</v>
      </c>
      <c r="C10878" s="227">
        <v>0.7260416666666667</v>
      </c>
      <c r="D10878" s="228">
        <v>10</v>
      </c>
      <c r="E10878" s="225" t="s">
        <v>7981</v>
      </c>
      <c r="F10878" s="225" t="s">
        <v>6946</v>
      </c>
    </row>
    <row r="10879" spans="2:6" ht="17.25" thickBot="1">
      <c r="B10879" s="226">
        <v>46155</v>
      </c>
      <c r="C10879" s="227">
        <v>0.62281249999999999</v>
      </c>
      <c r="D10879" s="228">
        <v>10</v>
      </c>
      <c r="E10879" s="225" t="s">
        <v>7968</v>
      </c>
      <c r="F10879" s="225" t="s">
        <v>6946</v>
      </c>
    </row>
    <row r="10880" spans="2:6" ht="17.25" thickBot="1">
      <c r="B10880" s="226">
        <v>46155</v>
      </c>
      <c r="C10880" s="227">
        <v>0.67177083333333332</v>
      </c>
      <c r="D10880" s="228">
        <v>10</v>
      </c>
      <c r="E10880" s="225" t="s">
        <v>7966</v>
      </c>
      <c r="F10880" s="225" t="s">
        <v>6946</v>
      </c>
    </row>
    <row r="10881" spans="2:6" ht="17.25" thickBot="1">
      <c r="B10881" s="226">
        <v>46155</v>
      </c>
      <c r="C10881" s="227">
        <v>0.67652777777777784</v>
      </c>
      <c r="D10881" s="228">
        <v>10</v>
      </c>
      <c r="E10881" s="225" t="s">
        <v>7999</v>
      </c>
      <c r="F10881" s="225" t="s">
        <v>6946</v>
      </c>
    </row>
    <row r="10882" spans="2:6" ht="17.25" thickBot="1">
      <c r="B10882" s="226">
        <v>46155</v>
      </c>
      <c r="C10882" s="227">
        <v>0.66122685185185182</v>
      </c>
      <c r="D10882" s="228">
        <v>10</v>
      </c>
      <c r="E10882" s="225" t="s">
        <v>8001</v>
      </c>
      <c r="F10882" s="225" t="s">
        <v>6946</v>
      </c>
    </row>
    <row r="10883" spans="2:6" ht="17.25" thickBot="1">
      <c r="B10883" s="226">
        <v>46155</v>
      </c>
      <c r="C10883" s="227">
        <v>0.74443287037037031</v>
      </c>
      <c r="D10883" s="228">
        <v>10</v>
      </c>
      <c r="E10883" s="225" t="s">
        <v>7996</v>
      </c>
      <c r="F10883" s="225" t="s">
        <v>6946</v>
      </c>
    </row>
    <row r="10884" spans="2:6" ht="17.25" thickBot="1">
      <c r="B10884" s="226">
        <v>46155</v>
      </c>
      <c r="C10884" s="227">
        <v>0.75034722222222217</v>
      </c>
      <c r="D10884" s="228">
        <v>10</v>
      </c>
      <c r="E10884" s="225" t="s">
        <v>425</v>
      </c>
      <c r="F10884" s="225" t="s">
        <v>6946</v>
      </c>
    </row>
    <row r="10885" spans="2:6" ht="17.25" thickBot="1">
      <c r="B10885" s="226">
        <v>46155</v>
      </c>
      <c r="C10885" s="227">
        <v>0.52136574074074071</v>
      </c>
      <c r="D10885" s="228">
        <v>10</v>
      </c>
      <c r="E10885" s="225" t="s">
        <v>7974</v>
      </c>
      <c r="F10885" s="225" t="s">
        <v>6946</v>
      </c>
    </row>
    <row r="10886" spans="2:6" ht="17.25" thickBot="1">
      <c r="B10886" s="226">
        <v>46155</v>
      </c>
      <c r="C10886" s="227">
        <v>0.59884259259259254</v>
      </c>
      <c r="D10886" s="228">
        <v>10</v>
      </c>
      <c r="E10886" s="225" t="s">
        <v>7988</v>
      </c>
      <c r="F10886" s="225" t="s">
        <v>6946</v>
      </c>
    </row>
    <row r="10887" spans="2:6" ht="17.25" thickBot="1">
      <c r="B10887" s="226">
        <v>46155</v>
      </c>
      <c r="C10887" s="227">
        <v>0.73581018518518526</v>
      </c>
      <c r="D10887" s="228">
        <v>10</v>
      </c>
      <c r="E10887" s="225" t="s">
        <v>7995</v>
      </c>
      <c r="F10887" s="225" t="s">
        <v>6946</v>
      </c>
    </row>
    <row r="10888" spans="2:6" ht="17.25" thickBot="1">
      <c r="B10888" s="226">
        <v>46155</v>
      </c>
      <c r="C10888" s="227">
        <v>0.90273148148148152</v>
      </c>
      <c r="D10888" s="228">
        <v>10</v>
      </c>
      <c r="E10888" s="225" t="s">
        <v>7976</v>
      </c>
      <c r="F10888" s="225" t="s">
        <v>6946</v>
      </c>
    </row>
    <row r="10889" spans="2:6" ht="17.25" thickBot="1">
      <c r="B10889" s="226">
        <v>46155</v>
      </c>
      <c r="C10889" s="227">
        <v>0.78199074074074071</v>
      </c>
      <c r="D10889" s="228">
        <v>10</v>
      </c>
      <c r="E10889" s="225" t="s">
        <v>344</v>
      </c>
      <c r="F10889" s="225" t="s">
        <v>6946</v>
      </c>
    </row>
    <row r="10890" spans="2:6" ht="17.25" thickBot="1">
      <c r="B10890" s="226">
        <v>46155</v>
      </c>
      <c r="C10890" s="227">
        <v>0.73837962962962955</v>
      </c>
      <c r="D10890" s="228">
        <v>10</v>
      </c>
      <c r="E10890" s="225" t="s">
        <v>7965</v>
      </c>
      <c r="F10890" s="225" t="s">
        <v>6946</v>
      </c>
    </row>
    <row r="10891" spans="2:6" ht="17.25" thickBot="1">
      <c r="B10891" s="226">
        <v>46155</v>
      </c>
      <c r="C10891" s="227">
        <v>0.57841435185185186</v>
      </c>
      <c r="D10891" s="228">
        <v>10</v>
      </c>
      <c r="E10891" s="225" t="s">
        <v>313</v>
      </c>
      <c r="F10891" s="225" t="s">
        <v>6946</v>
      </c>
    </row>
    <row r="10892" spans="2:6" ht="17.25" thickBot="1">
      <c r="B10892" s="226">
        <v>46155</v>
      </c>
      <c r="C10892" s="227">
        <v>0.6694444444444444</v>
      </c>
      <c r="D10892" s="228">
        <v>10</v>
      </c>
      <c r="E10892" s="225" t="s">
        <v>8000</v>
      </c>
      <c r="F10892" s="225" t="s">
        <v>6946</v>
      </c>
    </row>
    <row r="10893" spans="2:6" ht="17.25" thickBot="1">
      <c r="B10893" s="226">
        <v>46155</v>
      </c>
      <c r="C10893" s="227">
        <v>0.52883101851851855</v>
      </c>
      <c r="D10893" s="228">
        <v>10</v>
      </c>
      <c r="E10893" s="225" t="s">
        <v>406</v>
      </c>
      <c r="F10893" s="225" t="s">
        <v>6946</v>
      </c>
    </row>
    <row r="10894" spans="2:6" ht="17.25" thickBot="1">
      <c r="B10894" s="226">
        <v>46155</v>
      </c>
      <c r="C10894" s="227">
        <v>0.61017361111111112</v>
      </c>
      <c r="D10894" s="228">
        <v>10</v>
      </c>
      <c r="E10894" s="225" t="s">
        <v>7972</v>
      </c>
      <c r="F10894" s="225" t="s">
        <v>6946</v>
      </c>
    </row>
    <row r="10895" spans="2:6" ht="17.25" thickBot="1">
      <c r="B10895" s="226">
        <v>46155</v>
      </c>
      <c r="C10895" s="227">
        <v>0.59906249999999994</v>
      </c>
      <c r="D10895" s="228">
        <v>10</v>
      </c>
      <c r="E10895" s="225" t="s">
        <v>7970</v>
      </c>
      <c r="F10895" s="225" t="s">
        <v>6946</v>
      </c>
    </row>
    <row r="10896" spans="2:6" ht="17.25" thickBot="1">
      <c r="B10896" s="226">
        <v>46155</v>
      </c>
      <c r="C10896" s="227">
        <v>0.7000925925925926</v>
      </c>
      <c r="D10896" s="228">
        <v>10</v>
      </c>
      <c r="E10896" s="225" t="s">
        <v>7998</v>
      </c>
      <c r="F10896" s="225" t="s">
        <v>6946</v>
      </c>
    </row>
    <row r="10897" spans="2:6" ht="17.25" thickBot="1">
      <c r="B10897" s="226">
        <v>46155</v>
      </c>
      <c r="C10897" s="227">
        <v>0.59731481481481474</v>
      </c>
      <c r="D10897" s="228">
        <v>10</v>
      </c>
      <c r="E10897" s="225" t="s">
        <v>4804</v>
      </c>
      <c r="F10897" s="225" t="s">
        <v>6946</v>
      </c>
    </row>
    <row r="10898" spans="2:6" ht="17.25" thickBot="1">
      <c r="B10898" s="226">
        <v>46155</v>
      </c>
      <c r="C10898" s="227">
        <v>0.40466435185185184</v>
      </c>
      <c r="D10898" s="228">
        <v>10</v>
      </c>
      <c r="E10898" s="225" t="s">
        <v>7994</v>
      </c>
      <c r="F10898" s="225" t="s">
        <v>6946</v>
      </c>
    </row>
    <row r="10899" spans="2:6" ht="17.25" thickBot="1">
      <c r="B10899" s="226">
        <v>46155</v>
      </c>
      <c r="C10899" s="227">
        <v>0.58811342592592586</v>
      </c>
      <c r="D10899" s="228">
        <v>10</v>
      </c>
      <c r="E10899" s="225" t="s">
        <v>7989</v>
      </c>
      <c r="F10899" s="225" t="s">
        <v>6946</v>
      </c>
    </row>
    <row r="10900" spans="2:6" ht="17.25" thickBot="1">
      <c r="B10900" s="226">
        <v>46155</v>
      </c>
      <c r="C10900" s="227">
        <v>0.69392361111111101</v>
      </c>
      <c r="D10900" s="228">
        <v>10</v>
      </c>
      <c r="E10900" s="225" t="s">
        <v>7967</v>
      </c>
      <c r="F10900" s="225" t="s">
        <v>6946</v>
      </c>
    </row>
    <row r="10901" spans="2:6" ht="17.25" thickBot="1">
      <c r="B10901" s="226">
        <v>46155</v>
      </c>
      <c r="C10901" s="227">
        <v>0.73655092592592597</v>
      </c>
      <c r="D10901" s="228">
        <v>10</v>
      </c>
      <c r="E10901" s="225" t="s">
        <v>7982</v>
      </c>
      <c r="F10901" s="225" t="s">
        <v>6946</v>
      </c>
    </row>
    <row r="10902" spans="2:6" ht="17.25" thickBot="1">
      <c r="B10902" s="226">
        <v>46155</v>
      </c>
      <c r="C10902" s="227">
        <v>0.6175694444444445</v>
      </c>
      <c r="D10902" s="228">
        <v>10</v>
      </c>
      <c r="E10902" s="225" t="s">
        <v>7969</v>
      </c>
      <c r="F10902" s="225" t="s">
        <v>6946</v>
      </c>
    </row>
    <row r="10903" spans="2:6" ht="26.25" thickBot="1">
      <c r="B10903" s="226">
        <v>46155</v>
      </c>
      <c r="C10903" s="227">
        <v>0.42953703703703705</v>
      </c>
      <c r="D10903" s="228">
        <v>10</v>
      </c>
      <c r="E10903" s="225" t="s">
        <v>7971</v>
      </c>
      <c r="F10903" s="225" t="s">
        <v>6946</v>
      </c>
    </row>
    <row r="10904" spans="2:6" ht="39" thickBot="1">
      <c r="B10904" s="226">
        <v>46155</v>
      </c>
      <c r="C10904" s="227">
        <v>0.40791666666666665</v>
      </c>
      <c r="D10904" s="228">
        <v>10</v>
      </c>
      <c r="E10904" s="225" t="s">
        <v>7993</v>
      </c>
      <c r="F10904" s="225" t="s">
        <v>6946</v>
      </c>
    </row>
    <row r="10905" spans="2:6" ht="17.25" thickBot="1">
      <c r="B10905" s="226">
        <v>46155</v>
      </c>
      <c r="C10905" s="227">
        <v>0.44312499999999999</v>
      </c>
      <c r="D10905" s="228">
        <v>10</v>
      </c>
      <c r="E10905" s="225" t="s">
        <v>7991</v>
      </c>
      <c r="F10905" s="225" t="s">
        <v>6946</v>
      </c>
    </row>
    <row r="10906" spans="2:6" ht="17.25" thickBot="1">
      <c r="B10906" s="226">
        <v>46155</v>
      </c>
      <c r="C10906" s="227">
        <v>0.48902777777777778</v>
      </c>
      <c r="D10906" s="228">
        <v>10</v>
      </c>
      <c r="E10906" s="225" t="s">
        <v>7973</v>
      </c>
      <c r="F10906" s="225" t="s">
        <v>6946</v>
      </c>
    </row>
    <row r="10907" spans="2:6" ht="17.25" thickBot="1">
      <c r="B10907" s="226">
        <v>46155</v>
      </c>
      <c r="C10907" s="227">
        <v>0.45518518518518519</v>
      </c>
      <c r="D10907" s="228">
        <v>10</v>
      </c>
      <c r="E10907" s="225" t="s">
        <v>7990</v>
      </c>
      <c r="F10907" s="225" t="s">
        <v>6946</v>
      </c>
    </row>
    <row r="10908" spans="2:6" ht="17.25" thickBot="1">
      <c r="B10908" s="226">
        <v>46155</v>
      </c>
      <c r="C10908" s="227">
        <v>0.46127314814814818</v>
      </c>
      <c r="D10908" s="228">
        <v>10</v>
      </c>
      <c r="E10908" s="225" t="s">
        <v>7975</v>
      </c>
      <c r="F10908" s="225" t="s">
        <v>6946</v>
      </c>
    </row>
    <row r="10909" spans="2:6" ht="17.25" thickBot="1">
      <c r="B10909" s="226">
        <v>46155</v>
      </c>
      <c r="C10909" s="227">
        <v>0.69133101851851853</v>
      </c>
      <c r="D10909" s="228">
        <v>10</v>
      </c>
      <c r="E10909" s="225" t="s">
        <v>7985</v>
      </c>
      <c r="F10909" s="225" t="s">
        <v>6946</v>
      </c>
    </row>
    <row r="10910" spans="2:6" ht="17.25" thickBot="1">
      <c r="B10910" s="226">
        <v>46155</v>
      </c>
      <c r="C10910" s="227">
        <v>0.40567129629629628</v>
      </c>
      <c r="D10910" s="228">
        <v>10</v>
      </c>
      <c r="E10910" s="225" t="s">
        <v>179</v>
      </c>
      <c r="F10910" s="225" t="s">
        <v>6946</v>
      </c>
    </row>
    <row r="10911" spans="2:6" ht="17.25" thickBot="1">
      <c r="B10911" s="226">
        <v>46155</v>
      </c>
      <c r="C10911" s="227">
        <v>0.47486111111111112</v>
      </c>
      <c r="D10911" s="228">
        <v>10</v>
      </c>
      <c r="E10911" s="225" t="s">
        <v>7979</v>
      </c>
      <c r="F10911" s="225" t="s">
        <v>6946</v>
      </c>
    </row>
    <row r="10912" spans="2:6" ht="26.25" thickBot="1">
      <c r="B10912" s="226">
        <v>46155</v>
      </c>
      <c r="C10912" s="227">
        <v>0.45733796296296297</v>
      </c>
      <c r="D10912" s="228">
        <v>10</v>
      </c>
      <c r="E10912" s="225" t="s">
        <v>7980</v>
      </c>
      <c r="F10912" s="225" t="s">
        <v>6946</v>
      </c>
    </row>
    <row r="10913" spans="2:6" ht="17.25" thickBot="1">
      <c r="B10913" s="226">
        <v>46155</v>
      </c>
      <c r="C10913" s="227">
        <v>0.44670138888888888</v>
      </c>
      <c r="D10913" s="228">
        <v>10</v>
      </c>
      <c r="E10913" s="225" t="s">
        <v>7977</v>
      </c>
      <c r="F10913" s="225" t="s">
        <v>6946</v>
      </c>
    </row>
    <row r="10914" spans="2:6" ht="17.25" thickBot="1">
      <c r="B10914" s="226">
        <v>46155</v>
      </c>
      <c r="C10914" s="227">
        <v>0.41541666666666671</v>
      </c>
      <c r="D10914" s="228">
        <v>10</v>
      </c>
      <c r="E10914" s="225" t="s">
        <v>7992</v>
      </c>
      <c r="F10914" s="225" t="s">
        <v>6946</v>
      </c>
    </row>
    <row r="10915" spans="2:6" ht="17.25" thickBot="1">
      <c r="B10915" s="226">
        <v>46155</v>
      </c>
      <c r="C10915" s="227">
        <v>0.58353009259259259</v>
      </c>
      <c r="D10915" s="228">
        <v>10</v>
      </c>
      <c r="E10915" s="225" t="s">
        <v>284</v>
      </c>
      <c r="F10915" s="225" t="s">
        <v>6946</v>
      </c>
    </row>
    <row r="10916" spans="2:6" ht="17.25" thickBot="1">
      <c r="B10916" s="226">
        <v>46155</v>
      </c>
      <c r="C10916" s="227">
        <v>0.70333333333333325</v>
      </c>
      <c r="D10916" s="228">
        <v>10</v>
      </c>
      <c r="E10916" s="225" t="s">
        <v>7983</v>
      </c>
      <c r="F10916" s="225" t="s">
        <v>6946</v>
      </c>
    </row>
    <row r="10917" spans="2:6" ht="17.25" thickBot="1">
      <c r="B10917" s="226">
        <v>46155</v>
      </c>
      <c r="C10917" s="227">
        <v>0.76129629629629625</v>
      </c>
      <c r="D10917" s="228">
        <v>10</v>
      </c>
      <c r="E10917" s="225" t="s">
        <v>7984</v>
      </c>
      <c r="F10917" s="225" t="s">
        <v>6946</v>
      </c>
    </row>
    <row r="10918" spans="2:6" ht="17.25" thickBot="1">
      <c r="B10918" s="226">
        <v>46154</v>
      </c>
      <c r="C10918" s="227">
        <v>0.65246527777777774</v>
      </c>
      <c r="D10918" s="228">
        <v>10</v>
      </c>
      <c r="E10918" s="225" t="s">
        <v>7937</v>
      </c>
      <c r="F10918" s="225" t="s">
        <v>6946</v>
      </c>
    </row>
    <row r="10919" spans="2:6" ht="17.25" thickBot="1">
      <c r="B10919" s="226">
        <v>46154</v>
      </c>
      <c r="C10919" s="227">
        <v>0.67178240740740736</v>
      </c>
      <c r="D10919" s="228">
        <v>10</v>
      </c>
      <c r="E10919" s="225" t="s">
        <v>5878</v>
      </c>
      <c r="F10919" s="225" t="s">
        <v>6946</v>
      </c>
    </row>
    <row r="10920" spans="2:6" ht="17.25" thickBot="1">
      <c r="B10920" s="226">
        <v>46154</v>
      </c>
      <c r="C10920" s="227">
        <v>0.67475694444444445</v>
      </c>
      <c r="D10920" s="228">
        <v>10</v>
      </c>
      <c r="E10920" s="225" t="s">
        <v>7928</v>
      </c>
      <c r="F10920" s="225" t="s">
        <v>6946</v>
      </c>
    </row>
    <row r="10921" spans="2:6" ht="17.25" thickBot="1">
      <c r="B10921" s="226">
        <v>46154</v>
      </c>
      <c r="C10921" s="227">
        <v>0.74069444444444443</v>
      </c>
      <c r="D10921" s="228">
        <v>10</v>
      </c>
      <c r="E10921" s="225" t="s">
        <v>7944</v>
      </c>
      <c r="F10921" s="225" t="s">
        <v>6946</v>
      </c>
    </row>
    <row r="10922" spans="2:6" ht="26.25" thickBot="1">
      <c r="B10922" s="226">
        <v>46154</v>
      </c>
      <c r="C10922" s="227">
        <v>0.61549768518518522</v>
      </c>
      <c r="D10922" s="228">
        <v>10</v>
      </c>
      <c r="E10922" s="225" t="s">
        <v>7952</v>
      </c>
      <c r="F10922" s="225" t="s">
        <v>6946</v>
      </c>
    </row>
    <row r="10923" spans="2:6" ht="17.25" thickBot="1">
      <c r="B10923" s="226">
        <v>46154</v>
      </c>
      <c r="C10923" s="227">
        <v>0.75368055555555558</v>
      </c>
      <c r="D10923" s="228">
        <v>10</v>
      </c>
      <c r="E10923" s="225" t="s">
        <v>7943</v>
      </c>
      <c r="F10923" s="225" t="s">
        <v>6946</v>
      </c>
    </row>
    <row r="10924" spans="2:6" ht="17.25" thickBot="1">
      <c r="B10924" s="226">
        <v>46154</v>
      </c>
      <c r="C10924" s="227">
        <v>0.76149305555555558</v>
      </c>
      <c r="D10924" s="228">
        <v>10</v>
      </c>
      <c r="E10924" s="225" t="s">
        <v>2538</v>
      </c>
      <c r="F10924" s="225" t="s">
        <v>6946</v>
      </c>
    </row>
    <row r="10925" spans="2:6" ht="17.25" thickBot="1">
      <c r="B10925" s="226">
        <v>46154</v>
      </c>
      <c r="C10925" s="227">
        <v>0.90179398148148149</v>
      </c>
      <c r="D10925" s="228">
        <v>10</v>
      </c>
      <c r="E10925" s="225" t="s">
        <v>7935</v>
      </c>
      <c r="F10925" s="225" t="s">
        <v>6946</v>
      </c>
    </row>
    <row r="10926" spans="2:6" ht="17.25" thickBot="1">
      <c r="B10926" s="226">
        <v>46154</v>
      </c>
      <c r="C10926" s="227">
        <v>0.67940972222222218</v>
      </c>
      <c r="D10926" s="228">
        <v>10</v>
      </c>
      <c r="E10926" s="225" t="s">
        <v>7929</v>
      </c>
      <c r="F10926" s="225" t="s">
        <v>6946</v>
      </c>
    </row>
    <row r="10927" spans="2:6" ht="17.25" thickBot="1">
      <c r="B10927" s="226">
        <v>46154</v>
      </c>
      <c r="C10927" s="227">
        <v>0.60394675925925922</v>
      </c>
      <c r="D10927" s="228">
        <v>10</v>
      </c>
      <c r="E10927" s="225" t="s">
        <v>7951</v>
      </c>
      <c r="F10927" s="225" t="s">
        <v>6946</v>
      </c>
    </row>
    <row r="10928" spans="2:6" ht="17.25" thickBot="1">
      <c r="B10928" s="226">
        <v>46154</v>
      </c>
      <c r="C10928" s="227">
        <v>0.58918981481481481</v>
      </c>
      <c r="D10928" s="228">
        <v>10</v>
      </c>
      <c r="E10928" s="225" t="s">
        <v>7955</v>
      </c>
      <c r="F10928" s="225" t="s">
        <v>6946</v>
      </c>
    </row>
    <row r="10929" spans="2:6" ht="51.75" thickBot="1">
      <c r="B10929" s="226">
        <v>46154</v>
      </c>
      <c r="C10929" s="227">
        <v>0.65409722222222222</v>
      </c>
      <c r="D10929" s="228">
        <v>10</v>
      </c>
      <c r="E10929" s="225" t="s">
        <v>7949</v>
      </c>
      <c r="F10929" s="225" t="s">
        <v>6946</v>
      </c>
    </row>
    <row r="10930" spans="2:6" ht="17.25" thickBot="1">
      <c r="B10930" s="226">
        <v>46154</v>
      </c>
      <c r="C10930" s="227">
        <v>0.64141203703703698</v>
      </c>
      <c r="D10930" s="228">
        <v>10</v>
      </c>
      <c r="E10930" s="225" t="s">
        <v>7938</v>
      </c>
      <c r="F10930" s="225" t="s">
        <v>6946</v>
      </c>
    </row>
    <row r="10931" spans="2:6" ht="17.25" thickBot="1">
      <c r="B10931" s="226">
        <v>46154</v>
      </c>
      <c r="C10931" s="227">
        <v>0.5681018518518518</v>
      </c>
      <c r="D10931" s="228">
        <v>10</v>
      </c>
      <c r="E10931" s="225" t="s">
        <v>7958</v>
      </c>
      <c r="F10931" s="225" t="s">
        <v>6946</v>
      </c>
    </row>
    <row r="10932" spans="2:6" ht="17.25" thickBot="1">
      <c r="B10932" s="226">
        <v>46154</v>
      </c>
      <c r="C10932" s="227">
        <v>0.64023148148148146</v>
      </c>
      <c r="D10932" s="228">
        <v>10</v>
      </c>
      <c r="E10932" s="225" t="s">
        <v>7948</v>
      </c>
      <c r="F10932" s="225" t="s">
        <v>6946</v>
      </c>
    </row>
    <row r="10933" spans="2:6" ht="17.25" thickBot="1">
      <c r="B10933" s="226">
        <v>46154</v>
      </c>
      <c r="C10933" s="227">
        <v>0.60121527777777783</v>
      </c>
      <c r="D10933" s="228">
        <v>10</v>
      </c>
      <c r="E10933" s="225" t="s">
        <v>7950</v>
      </c>
      <c r="F10933" s="225" t="s">
        <v>6946</v>
      </c>
    </row>
    <row r="10934" spans="2:6" ht="17.25" thickBot="1">
      <c r="B10934" s="226">
        <v>46154</v>
      </c>
      <c r="C10934" s="227">
        <v>0.65324074074074068</v>
      </c>
      <c r="D10934" s="228">
        <v>10</v>
      </c>
      <c r="E10934" s="225" t="s">
        <v>7930</v>
      </c>
      <c r="F10934" s="225" t="s">
        <v>6946</v>
      </c>
    </row>
    <row r="10935" spans="2:6" ht="17.25" thickBot="1">
      <c r="B10935" s="226">
        <v>46154</v>
      </c>
      <c r="C10935" s="227">
        <v>0.58728009259259262</v>
      </c>
      <c r="D10935" s="228">
        <v>10</v>
      </c>
      <c r="E10935" s="225" t="s">
        <v>7953</v>
      </c>
      <c r="F10935" s="225" t="s">
        <v>6946</v>
      </c>
    </row>
    <row r="10936" spans="2:6" ht="17.25" thickBot="1">
      <c r="B10936" s="226">
        <v>46154</v>
      </c>
      <c r="C10936" s="227">
        <v>0.74129629629629623</v>
      </c>
      <c r="D10936" s="228">
        <v>10</v>
      </c>
      <c r="E10936" s="225" t="s">
        <v>7945</v>
      </c>
      <c r="F10936" s="225" t="s">
        <v>6946</v>
      </c>
    </row>
    <row r="10937" spans="2:6" ht="17.25" thickBot="1">
      <c r="B10937" s="226">
        <v>46154</v>
      </c>
      <c r="C10937" s="227">
        <v>0.66083333333333327</v>
      </c>
      <c r="D10937" s="228">
        <v>10</v>
      </c>
      <c r="E10937" s="225" t="s">
        <v>7947</v>
      </c>
      <c r="F10937" s="225" t="s">
        <v>6946</v>
      </c>
    </row>
    <row r="10938" spans="2:6" ht="17.25" thickBot="1">
      <c r="B10938" s="226">
        <v>46154</v>
      </c>
      <c r="C10938" s="227">
        <v>0.69157407407407412</v>
      </c>
      <c r="D10938" s="228">
        <v>10</v>
      </c>
      <c r="E10938" s="225" t="s">
        <v>7946</v>
      </c>
      <c r="F10938" s="225" t="s">
        <v>6946</v>
      </c>
    </row>
    <row r="10939" spans="2:6" ht="17.25" thickBot="1">
      <c r="B10939" s="226">
        <v>46154</v>
      </c>
      <c r="C10939" s="227">
        <v>0.8652777777777777</v>
      </c>
      <c r="D10939" s="228">
        <v>10</v>
      </c>
      <c r="E10939" s="225" t="s">
        <v>7941</v>
      </c>
      <c r="F10939" s="225" t="s">
        <v>6946</v>
      </c>
    </row>
    <row r="10940" spans="2:6" ht="17.25" thickBot="1">
      <c r="B10940" s="226">
        <v>46154</v>
      </c>
      <c r="C10940" s="227">
        <v>0.88998842592592586</v>
      </c>
      <c r="D10940" s="228">
        <v>10</v>
      </c>
      <c r="E10940" s="225" t="s">
        <v>7936</v>
      </c>
      <c r="F10940" s="225" t="s">
        <v>6946</v>
      </c>
    </row>
    <row r="10941" spans="2:6" ht="17.25" thickBot="1">
      <c r="B10941" s="226">
        <v>46154</v>
      </c>
      <c r="C10941" s="227">
        <v>0.57134259259259257</v>
      </c>
      <c r="D10941" s="228">
        <v>10</v>
      </c>
      <c r="E10941" s="225" t="s">
        <v>284</v>
      </c>
      <c r="F10941" s="225" t="s">
        <v>6946</v>
      </c>
    </row>
    <row r="10942" spans="2:6" ht="17.25" thickBot="1">
      <c r="B10942" s="226">
        <v>46154</v>
      </c>
      <c r="C10942" s="227">
        <v>0.67815972222222232</v>
      </c>
      <c r="D10942" s="228">
        <v>10</v>
      </c>
      <c r="E10942" s="225" t="s">
        <v>1579</v>
      </c>
      <c r="F10942" s="225" t="s">
        <v>6946</v>
      </c>
    </row>
    <row r="10943" spans="2:6" ht="17.25" thickBot="1">
      <c r="B10943" s="226">
        <v>46154</v>
      </c>
      <c r="C10943" s="227">
        <v>0.54811342592592593</v>
      </c>
      <c r="D10943" s="228">
        <v>10</v>
      </c>
      <c r="E10943" s="225" t="s">
        <v>7959</v>
      </c>
      <c r="F10943" s="225" t="s">
        <v>6946</v>
      </c>
    </row>
    <row r="10944" spans="2:6" ht="17.25" thickBot="1">
      <c r="B10944" s="226">
        <v>46154</v>
      </c>
      <c r="C10944" s="227">
        <v>0.71612268518518529</v>
      </c>
      <c r="D10944" s="228">
        <v>10</v>
      </c>
      <c r="E10944" s="225" t="s">
        <v>132</v>
      </c>
      <c r="F10944" s="225" t="s">
        <v>6946</v>
      </c>
    </row>
    <row r="10945" spans="2:6" ht="17.25" thickBot="1">
      <c r="B10945" s="226">
        <v>46154</v>
      </c>
      <c r="C10945" s="227">
        <v>0.58953703703703708</v>
      </c>
      <c r="D10945" s="228">
        <v>10</v>
      </c>
      <c r="E10945" s="225" t="s">
        <v>7954</v>
      </c>
      <c r="F10945" s="225" t="s">
        <v>6946</v>
      </c>
    </row>
    <row r="10946" spans="2:6" ht="17.25" thickBot="1">
      <c r="B10946" s="226">
        <v>46154</v>
      </c>
      <c r="C10946" s="227">
        <v>0.46394675925925927</v>
      </c>
      <c r="D10946" s="228">
        <v>10</v>
      </c>
      <c r="E10946" s="225" t="s">
        <v>7961</v>
      </c>
      <c r="F10946" s="225" t="s">
        <v>6946</v>
      </c>
    </row>
    <row r="10947" spans="2:6" ht="17.25" thickBot="1">
      <c r="B10947" s="226">
        <v>46154</v>
      </c>
      <c r="C10947" s="227">
        <v>0.58305555555555555</v>
      </c>
      <c r="D10947" s="228">
        <v>10</v>
      </c>
      <c r="E10947" s="225" t="s">
        <v>7931</v>
      </c>
      <c r="F10947" s="225" t="s">
        <v>6946</v>
      </c>
    </row>
    <row r="10948" spans="2:6" ht="17.25" thickBot="1">
      <c r="B10948" s="226">
        <v>46154</v>
      </c>
      <c r="C10948" s="227">
        <v>0.50853009259259252</v>
      </c>
      <c r="D10948" s="228">
        <v>10</v>
      </c>
      <c r="E10948" s="225" t="s">
        <v>7933</v>
      </c>
      <c r="F10948" s="225" t="s">
        <v>6946</v>
      </c>
    </row>
    <row r="10949" spans="2:6" ht="17.25" thickBot="1">
      <c r="B10949" s="226">
        <v>46154</v>
      </c>
      <c r="C10949" s="227">
        <v>0.53113425925925928</v>
      </c>
      <c r="D10949" s="228">
        <v>10</v>
      </c>
      <c r="E10949" s="225" t="s">
        <v>7960</v>
      </c>
      <c r="F10949" s="225" t="s">
        <v>6946</v>
      </c>
    </row>
    <row r="10950" spans="2:6" ht="17.25" thickBot="1">
      <c r="B10950" s="226">
        <v>46154</v>
      </c>
      <c r="C10950" s="227">
        <v>0.57533564814814808</v>
      </c>
      <c r="D10950" s="228">
        <v>10</v>
      </c>
      <c r="E10950" s="225" t="s">
        <v>7957</v>
      </c>
      <c r="F10950" s="225" t="s">
        <v>6946</v>
      </c>
    </row>
    <row r="10951" spans="2:6" ht="17.25" thickBot="1">
      <c r="B10951" s="226">
        <v>46154</v>
      </c>
      <c r="C10951" s="227">
        <v>0.4027546296296296</v>
      </c>
      <c r="D10951" s="228">
        <v>10</v>
      </c>
      <c r="E10951" s="225" t="s">
        <v>132</v>
      </c>
      <c r="F10951" s="225" t="s">
        <v>6946</v>
      </c>
    </row>
    <row r="10952" spans="2:6" ht="17.25" thickBot="1">
      <c r="B10952" s="226">
        <v>46154</v>
      </c>
      <c r="C10952" s="227">
        <v>0.44020833333333331</v>
      </c>
      <c r="D10952" s="228">
        <v>10</v>
      </c>
      <c r="E10952" s="225" t="s">
        <v>7934</v>
      </c>
      <c r="F10952" s="225" t="s">
        <v>6946</v>
      </c>
    </row>
    <row r="10953" spans="2:6" ht="17.25" thickBot="1">
      <c r="B10953" s="226">
        <v>46154</v>
      </c>
      <c r="C10953" s="227">
        <v>0.41334490740740742</v>
      </c>
      <c r="D10953" s="228">
        <v>10</v>
      </c>
      <c r="E10953" s="225" t="s">
        <v>3405</v>
      </c>
      <c r="F10953" s="225" t="s">
        <v>6946</v>
      </c>
    </row>
    <row r="10954" spans="2:6" ht="17.25" thickBot="1">
      <c r="B10954" s="226">
        <v>46154</v>
      </c>
      <c r="C10954" s="227">
        <v>0.41975694444444445</v>
      </c>
      <c r="D10954" s="228">
        <v>10</v>
      </c>
      <c r="E10954" s="225" t="s">
        <v>7963</v>
      </c>
      <c r="F10954" s="225" t="s">
        <v>6946</v>
      </c>
    </row>
    <row r="10955" spans="2:6" ht="17.25" thickBot="1">
      <c r="B10955" s="226">
        <v>46154</v>
      </c>
      <c r="C10955" s="227">
        <v>0.41978009259259258</v>
      </c>
      <c r="D10955" s="228">
        <v>10</v>
      </c>
      <c r="E10955" s="225" t="s">
        <v>7940</v>
      </c>
      <c r="F10955" s="225" t="s">
        <v>6946</v>
      </c>
    </row>
    <row r="10956" spans="2:6" ht="17.25" thickBot="1">
      <c r="B10956" s="226">
        <v>46154</v>
      </c>
      <c r="C10956" s="227">
        <v>0.56111111111111112</v>
      </c>
      <c r="D10956" s="228">
        <v>10</v>
      </c>
      <c r="E10956" s="225" t="s">
        <v>7932</v>
      </c>
      <c r="F10956" s="225" t="s">
        <v>6946</v>
      </c>
    </row>
    <row r="10957" spans="2:6" ht="17.25" thickBot="1">
      <c r="B10957" s="226">
        <v>46154</v>
      </c>
      <c r="C10957" s="227">
        <v>0.43046296296296299</v>
      </c>
      <c r="D10957" s="228">
        <v>10</v>
      </c>
      <c r="E10957" s="225" t="s">
        <v>7962</v>
      </c>
      <c r="F10957" s="225" t="s">
        <v>6946</v>
      </c>
    </row>
    <row r="10958" spans="2:6" ht="17.25" thickBot="1">
      <c r="B10958" s="226">
        <v>46154</v>
      </c>
      <c r="C10958" s="227">
        <v>0.76790509259259254</v>
      </c>
      <c r="D10958" s="228">
        <v>10</v>
      </c>
      <c r="E10958" s="225" t="s">
        <v>7942</v>
      </c>
      <c r="F10958" s="225" t="s">
        <v>6946</v>
      </c>
    </row>
    <row r="10959" spans="2:6" ht="17.25" thickBot="1">
      <c r="B10959" s="226">
        <v>46154</v>
      </c>
      <c r="C10959" s="227">
        <v>0.39201388888888888</v>
      </c>
      <c r="D10959" s="228">
        <v>10</v>
      </c>
      <c r="E10959" s="225" t="s">
        <v>7896</v>
      </c>
      <c r="F10959" s="225" t="s">
        <v>6946</v>
      </c>
    </row>
    <row r="10960" spans="2:6" ht="17.25" thickBot="1">
      <c r="B10960" s="226">
        <v>46154</v>
      </c>
      <c r="C10960" s="227">
        <v>0.58028935185185182</v>
      </c>
      <c r="D10960" s="228">
        <v>10</v>
      </c>
      <c r="E10960" s="225" t="s">
        <v>7956</v>
      </c>
      <c r="F10960" s="225" t="s">
        <v>6946</v>
      </c>
    </row>
    <row r="10961" spans="2:6" ht="17.25" thickBot="1">
      <c r="B10961" s="226">
        <v>46154</v>
      </c>
      <c r="C10961" s="227">
        <v>0.40259259259259261</v>
      </c>
      <c r="D10961" s="228">
        <v>10</v>
      </c>
      <c r="E10961" s="225" t="s">
        <v>7964</v>
      </c>
      <c r="F10961" s="225" t="s">
        <v>6946</v>
      </c>
    </row>
    <row r="10962" spans="2:6" ht="17.25" thickBot="1">
      <c r="B10962" s="226">
        <v>46154</v>
      </c>
      <c r="C10962" s="227">
        <v>0.57155092592592593</v>
      </c>
      <c r="D10962" s="228">
        <v>10</v>
      </c>
      <c r="E10962" s="225" t="s">
        <v>132</v>
      </c>
      <c r="F10962" s="225" t="s">
        <v>6946</v>
      </c>
    </row>
    <row r="10963" spans="2:6" ht="17.25" thickBot="1">
      <c r="B10963" s="226">
        <v>46154</v>
      </c>
      <c r="C10963" s="227">
        <v>0.51935185185185184</v>
      </c>
      <c r="D10963" s="228">
        <v>10</v>
      </c>
      <c r="E10963" s="225" t="s">
        <v>1579</v>
      </c>
      <c r="F10963" s="225" t="s">
        <v>6946</v>
      </c>
    </row>
    <row r="10964" spans="2:6" ht="17.25" thickBot="1">
      <c r="B10964" s="226">
        <v>46154</v>
      </c>
      <c r="C10964" s="227">
        <v>0.54380787037037037</v>
      </c>
      <c r="D10964" s="228">
        <v>10</v>
      </c>
      <c r="E10964" s="225" t="s">
        <v>7939</v>
      </c>
      <c r="F10964" s="225" t="s">
        <v>6946</v>
      </c>
    </row>
    <row r="10965" spans="2:6" ht="17.25" thickBot="1">
      <c r="B10965" s="226">
        <v>46154</v>
      </c>
      <c r="C10965" s="227">
        <v>0.38748842592592592</v>
      </c>
      <c r="D10965" s="228">
        <v>10</v>
      </c>
      <c r="E10965" s="225" t="s">
        <v>7927</v>
      </c>
      <c r="F10965" s="225" t="s">
        <v>6946</v>
      </c>
    </row>
    <row r="10966" spans="2:6" ht="17.25" thickBot="1">
      <c r="B10966" s="226">
        <v>46153</v>
      </c>
      <c r="C10966" s="227">
        <v>0.70730324074074069</v>
      </c>
      <c r="D10966" s="228">
        <v>10</v>
      </c>
      <c r="E10966" s="225" t="s">
        <v>7918</v>
      </c>
      <c r="F10966" s="225" t="s">
        <v>6946</v>
      </c>
    </row>
    <row r="10967" spans="2:6" ht="17.25" thickBot="1">
      <c r="B10967" s="226">
        <v>46153</v>
      </c>
      <c r="C10967" s="227">
        <v>0.65194444444444444</v>
      </c>
      <c r="D10967" s="228">
        <v>10</v>
      </c>
      <c r="E10967" s="225" t="s">
        <v>3335</v>
      </c>
      <c r="F10967" s="225" t="s">
        <v>6946</v>
      </c>
    </row>
    <row r="10968" spans="2:6" ht="17.25" thickBot="1">
      <c r="B10968" s="226">
        <v>46153</v>
      </c>
      <c r="C10968" s="227">
        <v>0.58160879629629625</v>
      </c>
      <c r="D10968" s="228">
        <v>10</v>
      </c>
      <c r="E10968" s="225" t="s">
        <v>7900</v>
      </c>
      <c r="F10968" s="225" t="s">
        <v>6946</v>
      </c>
    </row>
    <row r="10969" spans="2:6" ht="17.25" thickBot="1">
      <c r="B10969" s="226">
        <v>46153</v>
      </c>
      <c r="C10969" s="227">
        <v>0.91593750000000007</v>
      </c>
      <c r="D10969" s="228">
        <v>10</v>
      </c>
      <c r="E10969" s="225" t="s">
        <v>7905</v>
      </c>
      <c r="F10969" s="225" t="s">
        <v>6946</v>
      </c>
    </row>
    <row r="10970" spans="2:6" ht="17.25" thickBot="1">
      <c r="B10970" s="226">
        <v>46153</v>
      </c>
      <c r="C10970" s="227">
        <v>0.69311342592592595</v>
      </c>
      <c r="D10970" s="228">
        <v>10</v>
      </c>
      <c r="E10970" s="225" t="s">
        <v>132</v>
      </c>
      <c r="F10970" s="225" t="s">
        <v>6946</v>
      </c>
    </row>
    <row r="10971" spans="2:6" ht="17.25" thickBot="1">
      <c r="B10971" s="226">
        <v>46153</v>
      </c>
      <c r="C10971" s="227">
        <v>0.70168981481481474</v>
      </c>
      <c r="D10971" s="228">
        <v>10</v>
      </c>
      <c r="E10971" s="225" t="s">
        <v>7919</v>
      </c>
      <c r="F10971" s="225" t="s">
        <v>6946</v>
      </c>
    </row>
    <row r="10972" spans="2:6" ht="17.25" thickBot="1">
      <c r="B10972" s="226">
        <v>46153</v>
      </c>
      <c r="C10972" s="227">
        <v>0.6425925925925926</v>
      </c>
      <c r="D10972" s="228">
        <v>10</v>
      </c>
      <c r="E10972" s="225" t="s">
        <v>7922</v>
      </c>
      <c r="F10972" s="225" t="s">
        <v>6946</v>
      </c>
    </row>
    <row r="10973" spans="2:6" ht="17.25" thickBot="1">
      <c r="B10973" s="226">
        <v>46153</v>
      </c>
      <c r="C10973" s="227">
        <v>0.76363425925925921</v>
      </c>
      <c r="D10973" s="228">
        <v>10</v>
      </c>
      <c r="E10973" s="225" t="s">
        <v>7913</v>
      </c>
      <c r="F10973" s="225" t="s">
        <v>6946</v>
      </c>
    </row>
    <row r="10974" spans="2:6" ht="17.25" thickBot="1">
      <c r="B10974" s="226">
        <v>46153</v>
      </c>
      <c r="C10974" s="227">
        <v>0.85646990740740747</v>
      </c>
      <c r="D10974" s="228">
        <v>10</v>
      </c>
      <c r="E10974" s="225" t="s">
        <v>246</v>
      </c>
      <c r="F10974" s="225" t="s">
        <v>6946</v>
      </c>
    </row>
    <row r="10975" spans="2:6" ht="17.25" thickBot="1">
      <c r="B10975" s="226">
        <v>46153</v>
      </c>
      <c r="C10975" s="227">
        <v>0.65776620370370364</v>
      </c>
      <c r="D10975" s="228">
        <v>10</v>
      </c>
      <c r="E10975" s="225" t="s">
        <v>1678</v>
      </c>
      <c r="F10975" s="225" t="s">
        <v>6946</v>
      </c>
    </row>
    <row r="10976" spans="2:6" ht="17.25" thickBot="1">
      <c r="B10976" s="226">
        <v>46153</v>
      </c>
      <c r="C10976" s="227">
        <v>0.90777777777777768</v>
      </c>
      <c r="D10976" s="228">
        <v>10</v>
      </c>
      <c r="E10976" s="225" t="s">
        <v>7907</v>
      </c>
      <c r="F10976" s="225" t="s">
        <v>6946</v>
      </c>
    </row>
    <row r="10977" spans="2:6" ht="17.25" thickBot="1">
      <c r="B10977" s="226">
        <v>46153</v>
      </c>
      <c r="C10977" s="227">
        <v>0.84293981481481473</v>
      </c>
      <c r="D10977" s="228">
        <v>10</v>
      </c>
      <c r="E10977" s="225" t="s">
        <v>7909</v>
      </c>
      <c r="F10977" s="225" t="s">
        <v>6946</v>
      </c>
    </row>
    <row r="10978" spans="2:6" ht="17.25" thickBot="1">
      <c r="B10978" s="226">
        <v>46153</v>
      </c>
      <c r="C10978" s="227">
        <v>0.73815972222222215</v>
      </c>
      <c r="D10978" s="228">
        <v>10</v>
      </c>
      <c r="E10978" s="225" t="s">
        <v>7916</v>
      </c>
      <c r="F10978" s="225" t="s">
        <v>6946</v>
      </c>
    </row>
    <row r="10979" spans="2:6" ht="17.25" thickBot="1">
      <c r="B10979" s="226">
        <v>46153</v>
      </c>
      <c r="C10979" s="227">
        <v>0.7459837962962963</v>
      </c>
      <c r="D10979" s="228">
        <v>8</v>
      </c>
      <c r="E10979" s="225" t="s">
        <v>7915</v>
      </c>
      <c r="F10979" s="225" t="s">
        <v>6946</v>
      </c>
    </row>
    <row r="10980" spans="2:6" ht="17.25" thickBot="1">
      <c r="B10980" s="226">
        <v>46153</v>
      </c>
      <c r="C10980" s="227">
        <v>0.89557870370370374</v>
      </c>
      <c r="D10980" s="228">
        <v>10</v>
      </c>
      <c r="E10980" s="225" t="s">
        <v>7908</v>
      </c>
      <c r="F10980" s="225" t="s">
        <v>6946</v>
      </c>
    </row>
    <row r="10981" spans="2:6" ht="17.25" thickBot="1">
      <c r="B10981" s="226">
        <v>46153</v>
      </c>
      <c r="C10981" s="227">
        <v>0.7840625</v>
      </c>
      <c r="D10981" s="228">
        <v>10</v>
      </c>
      <c r="E10981" s="225" t="s">
        <v>7912</v>
      </c>
      <c r="F10981" s="225" t="s">
        <v>6946</v>
      </c>
    </row>
    <row r="10982" spans="2:6" ht="17.25" thickBot="1">
      <c r="B10982" s="226">
        <v>46153</v>
      </c>
      <c r="C10982" s="227">
        <v>0.58714120370370371</v>
      </c>
      <c r="D10982" s="228">
        <v>10</v>
      </c>
      <c r="E10982" s="225" t="s">
        <v>1305</v>
      </c>
      <c r="F10982" s="225" t="s">
        <v>6946</v>
      </c>
    </row>
    <row r="10983" spans="2:6" ht="17.25" thickBot="1">
      <c r="B10983" s="226">
        <v>46153</v>
      </c>
      <c r="C10983" s="227">
        <v>0.91638888888888881</v>
      </c>
      <c r="D10983" s="228">
        <v>10</v>
      </c>
      <c r="E10983" s="225" t="s">
        <v>7906</v>
      </c>
      <c r="F10983" s="225" t="s">
        <v>6946</v>
      </c>
    </row>
    <row r="10984" spans="2:6" ht="17.25" thickBot="1">
      <c r="B10984" s="226">
        <v>46153</v>
      </c>
      <c r="C10984" s="227">
        <v>0.59214120370370371</v>
      </c>
      <c r="D10984" s="228">
        <v>10</v>
      </c>
      <c r="E10984" s="225" t="s">
        <v>7924</v>
      </c>
      <c r="F10984" s="225" t="s">
        <v>6946</v>
      </c>
    </row>
    <row r="10985" spans="2:6" ht="17.25" thickBot="1">
      <c r="B10985" s="226">
        <v>46153</v>
      </c>
      <c r="C10985" s="227">
        <v>0.75377314814814822</v>
      </c>
      <c r="D10985" s="228">
        <v>10</v>
      </c>
      <c r="E10985" s="225" t="s">
        <v>7914</v>
      </c>
      <c r="F10985" s="225" t="s">
        <v>6946</v>
      </c>
    </row>
    <row r="10986" spans="2:6" ht="26.25" thickBot="1">
      <c r="B10986" s="226">
        <v>46153</v>
      </c>
      <c r="C10986" s="227">
        <v>0.91957175925925927</v>
      </c>
      <c r="D10986" s="228">
        <v>10</v>
      </c>
      <c r="E10986" s="225" t="s">
        <v>7904</v>
      </c>
      <c r="F10986" s="225" t="s">
        <v>6946</v>
      </c>
    </row>
    <row r="10987" spans="2:6" ht="17.25" thickBot="1">
      <c r="B10987" s="226">
        <v>46153</v>
      </c>
      <c r="C10987" s="227">
        <v>0.59541666666666659</v>
      </c>
      <c r="D10987" s="228">
        <v>10</v>
      </c>
      <c r="E10987" s="225" t="s">
        <v>7898</v>
      </c>
      <c r="F10987" s="225" t="s">
        <v>6946</v>
      </c>
    </row>
    <row r="10988" spans="2:6" ht="17.25" thickBot="1">
      <c r="B10988" s="226">
        <v>46153</v>
      </c>
      <c r="C10988" s="227">
        <v>0.72841435185185188</v>
      </c>
      <c r="D10988" s="228">
        <v>10</v>
      </c>
      <c r="E10988" s="225" t="s">
        <v>7895</v>
      </c>
      <c r="F10988" s="225" t="s">
        <v>6946</v>
      </c>
    </row>
    <row r="10989" spans="2:6" ht="17.25" thickBot="1">
      <c r="B10989" s="226">
        <v>46153</v>
      </c>
      <c r="C10989" s="227">
        <v>0.44737268518518519</v>
      </c>
      <c r="D10989" s="228">
        <v>10</v>
      </c>
      <c r="E10989" s="225" t="s">
        <v>314</v>
      </c>
      <c r="F10989" s="225" t="s">
        <v>6946</v>
      </c>
    </row>
    <row r="10990" spans="2:6" ht="17.25" thickBot="1">
      <c r="B10990" s="226">
        <v>46153</v>
      </c>
      <c r="C10990" s="227">
        <v>0.83337962962962964</v>
      </c>
      <c r="D10990" s="228">
        <v>10</v>
      </c>
      <c r="E10990" s="225" t="s">
        <v>7910</v>
      </c>
      <c r="F10990" s="225" t="s">
        <v>6946</v>
      </c>
    </row>
    <row r="10991" spans="2:6" ht="17.25" thickBot="1">
      <c r="B10991" s="226">
        <v>46153</v>
      </c>
      <c r="C10991" s="227">
        <v>0.5875231481481481</v>
      </c>
      <c r="D10991" s="228">
        <v>10</v>
      </c>
      <c r="E10991" s="225" t="s">
        <v>7925</v>
      </c>
      <c r="F10991" s="225" t="s">
        <v>6946</v>
      </c>
    </row>
    <row r="10992" spans="2:6" ht="17.25" thickBot="1">
      <c r="B10992" s="226">
        <v>46153</v>
      </c>
      <c r="C10992" s="227">
        <v>0.64127314814814818</v>
      </c>
      <c r="D10992" s="228">
        <v>10</v>
      </c>
      <c r="E10992" s="225" t="s">
        <v>7921</v>
      </c>
      <c r="F10992" s="225" t="s">
        <v>6946</v>
      </c>
    </row>
    <row r="10993" spans="2:6" ht="17.25" thickBot="1">
      <c r="B10993" s="226">
        <v>46153</v>
      </c>
      <c r="C10993" s="227">
        <v>0.74535879629629631</v>
      </c>
      <c r="D10993" s="228">
        <v>10</v>
      </c>
      <c r="E10993" s="225" t="s">
        <v>1517</v>
      </c>
      <c r="F10993" s="225" t="s">
        <v>6946</v>
      </c>
    </row>
    <row r="10994" spans="2:6" ht="17.25" thickBot="1">
      <c r="B10994" s="226">
        <v>46153</v>
      </c>
      <c r="C10994" s="227">
        <v>0.5951157407407407</v>
      </c>
      <c r="D10994" s="228">
        <v>10</v>
      </c>
      <c r="E10994" s="225" t="s">
        <v>7899</v>
      </c>
      <c r="F10994" s="225" t="s">
        <v>6946</v>
      </c>
    </row>
    <row r="10995" spans="2:6" ht="17.25" thickBot="1">
      <c r="B10995" s="226">
        <v>46153</v>
      </c>
      <c r="C10995" s="227">
        <v>0.51134259259259263</v>
      </c>
      <c r="D10995" s="228">
        <v>10</v>
      </c>
      <c r="E10995" s="225" t="s">
        <v>7926</v>
      </c>
      <c r="F10995" s="225" t="s">
        <v>6946</v>
      </c>
    </row>
    <row r="10996" spans="2:6" ht="17.25" thickBot="1">
      <c r="B10996" s="226">
        <v>46153</v>
      </c>
      <c r="C10996" s="227">
        <v>0.46013888888888888</v>
      </c>
      <c r="D10996" s="228">
        <v>10</v>
      </c>
      <c r="E10996" s="225" t="s">
        <v>7903</v>
      </c>
      <c r="F10996" s="225" t="s">
        <v>6946</v>
      </c>
    </row>
    <row r="10997" spans="2:6" ht="17.25" thickBot="1">
      <c r="B10997" s="226">
        <v>46153</v>
      </c>
      <c r="C10997" s="227">
        <v>0.42835648148148148</v>
      </c>
      <c r="D10997" s="228">
        <v>10</v>
      </c>
      <c r="E10997" s="225" t="s">
        <v>7902</v>
      </c>
      <c r="F10997" s="225" t="s">
        <v>6946</v>
      </c>
    </row>
    <row r="10998" spans="2:6" ht="17.25" thickBot="1">
      <c r="B10998" s="226">
        <v>46153</v>
      </c>
      <c r="C10998" s="227">
        <v>0.74918981481481473</v>
      </c>
      <c r="D10998" s="228">
        <v>10</v>
      </c>
      <c r="E10998" s="225" t="s">
        <v>448</v>
      </c>
      <c r="F10998" s="225" t="s">
        <v>6946</v>
      </c>
    </row>
    <row r="10999" spans="2:6" ht="17.25" thickBot="1">
      <c r="B10999" s="226">
        <v>46153</v>
      </c>
      <c r="C10999" s="227">
        <v>0.75148148148148142</v>
      </c>
      <c r="D10999" s="228">
        <v>10</v>
      </c>
      <c r="E10999" s="225" t="s">
        <v>7917</v>
      </c>
      <c r="F10999" s="225" t="s">
        <v>6946</v>
      </c>
    </row>
    <row r="11000" spans="2:6" ht="17.25" thickBot="1">
      <c r="B11000" s="226">
        <v>46153</v>
      </c>
      <c r="C11000" s="227">
        <v>0.65025462962962965</v>
      </c>
      <c r="D11000" s="228">
        <v>10</v>
      </c>
      <c r="E11000" s="225" t="s">
        <v>7920</v>
      </c>
      <c r="F11000" s="225" t="s">
        <v>6946</v>
      </c>
    </row>
    <row r="11001" spans="2:6" ht="17.25" thickBot="1">
      <c r="B11001" s="226">
        <v>46153</v>
      </c>
      <c r="C11001" s="227">
        <v>0.70158564814814817</v>
      </c>
      <c r="D11001" s="228">
        <v>10</v>
      </c>
      <c r="E11001" s="225" t="s">
        <v>7897</v>
      </c>
      <c r="F11001" s="225" t="s">
        <v>6946</v>
      </c>
    </row>
    <row r="11002" spans="2:6" ht="17.25" thickBot="1">
      <c r="B11002" s="226">
        <v>46153</v>
      </c>
      <c r="C11002" s="227">
        <v>0.46584490740740742</v>
      </c>
      <c r="D11002" s="228">
        <v>10</v>
      </c>
      <c r="E11002" s="225" t="s">
        <v>132</v>
      </c>
      <c r="F11002" s="225" t="s">
        <v>6946</v>
      </c>
    </row>
    <row r="11003" spans="2:6" ht="26.25" thickBot="1">
      <c r="B11003" s="226">
        <v>46153</v>
      </c>
      <c r="C11003" s="227">
        <v>0.59282407407407411</v>
      </c>
      <c r="D11003" s="228">
        <v>10</v>
      </c>
      <c r="E11003" s="225" t="s">
        <v>7923</v>
      </c>
      <c r="F11003" s="225" t="s">
        <v>6946</v>
      </c>
    </row>
    <row r="11004" spans="2:6" ht="17.25" thickBot="1">
      <c r="B11004" s="226">
        <v>46153</v>
      </c>
      <c r="C11004" s="227">
        <v>0.39452546296296293</v>
      </c>
      <c r="D11004" s="228">
        <v>10</v>
      </c>
      <c r="E11004" s="225" t="s">
        <v>7901</v>
      </c>
      <c r="F11004" s="225" t="s">
        <v>6946</v>
      </c>
    </row>
    <row r="11005" spans="2:6" ht="17.25" thickBot="1">
      <c r="B11005" s="226">
        <v>46153</v>
      </c>
      <c r="C11005" s="227">
        <v>0.83245370370370375</v>
      </c>
      <c r="D11005" s="228">
        <v>10</v>
      </c>
      <c r="E11005" s="225" t="s">
        <v>7911</v>
      </c>
      <c r="F11005" s="225" t="s">
        <v>6946</v>
      </c>
    </row>
    <row r="11006" spans="2:6" ht="17.25" thickBot="1">
      <c r="B11006" s="226">
        <v>46151</v>
      </c>
      <c r="C11006" s="227">
        <v>0.7491782407407408</v>
      </c>
      <c r="D11006" s="228">
        <v>10</v>
      </c>
      <c r="E11006" s="225" t="s">
        <v>1357</v>
      </c>
      <c r="F11006" s="225" t="s">
        <v>6946</v>
      </c>
    </row>
    <row r="11007" spans="2:6" ht="17.25" thickBot="1">
      <c r="B11007" s="226">
        <v>46151</v>
      </c>
      <c r="C11007" s="227">
        <v>0.54984953703703698</v>
      </c>
      <c r="D11007" s="228">
        <v>10</v>
      </c>
      <c r="E11007" s="225" t="s">
        <v>132</v>
      </c>
      <c r="F11007" s="225" t="s">
        <v>6946</v>
      </c>
    </row>
    <row r="11008" spans="2:6" ht="17.25" thickBot="1">
      <c r="B11008" s="226">
        <v>46151</v>
      </c>
      <c r="C11008" s="227">
        <v>0.44341435185185185</v>
      </c>
      <c r="D11008" s="228">
        <v>10</v>
      </c>
      <c r="E11008" s="225" t="s">
        <v>7431</v>
      </c>
      <c r="F11008" s="225" t="s">
        <v>6946</v>
      </c>
    </row>
    <row r="11009" spans="2:6" ht="17.25" thickBot="1">
      <c r="B11009" s="226">
        <v>46151</v>
      </c>
      <c r="C11009" s="227">
        <v>0.49145833333333333</v>
      </c>
      <c r="D11009" s="228">
        <v>10</v>
      </c>
      <c r="E11009" s="225" t="s">
        <v>7430</v>
      </c>
      <c r="F11009" s="225" t="s">
        <v>6946</v>
      </c>
    </row>
    <row r="11010" spans="2:6" ht="17.25" thickBot="1">
      <c r="B11010" s="226">
        <v>46151</v>
      </c>
      <c r="C11010" s="227">
        <v>0.54677083333333332</v>
      </c>
      <c r="D11010" s="228">
        <v>10</v>
      </c>
      <c r="E11010" s="225" t="s">
        <v>7428</v>
      </c>
      <c r="F11010" s="225" t="s">
        <v>6946</v>
      </c>
    </row>
    <row r="11011" spans="2:6" ht="17.25" thickBot="1">
      <c r="B11011" s="226">
        <v>46151</v>
      </c>
      <c r="C11011" s="227">
        <v>0.52917824074074071</v>
      </c>
      <c r="D11011" s="228">
        <v>10</v>
      </c>
      <c r="E11011" s="225" t="s">
        <v>7429</v>
      </c>
      <c r="F11011" s="225" t="s">
        <v>6946</v>
      </c>
    </row>
    <row r="11012" spans="2:6" ht="17.25" thickBot="1">
      <c r="B11012" s="226">
        <v>46151</v>
      </c>
      <c r="C11012" s="227">
        <v>0.43484953703703705</v>
      </c>
      <c r="D11012" s="228">
        <v>10</v>
      </c>
      <c r="E11012" s="225" t="s">
        <v>7432</v>
      </c>
      <c r="F11012" s="225" t="s">
        <v>6946</v>
      </c>
    </row>
    <row r="11013" spans="2:6" ht="17.25" thickBot="1">
      <c r="B11013" s="226">
        <v>46150</v>
      </c>
      <c r="C11013" s="227">
        <v>0.61665509259259255</v>
      </c>
      <c r="D11013" s="228">
        <v>10</v>
      </c>
      <c r="E11013" s="225" t="s">
        <v>7459</v>
      </c>
      <c r="F11013" s="225" t="s">
        <v>6946</v>
      </c>
    </row>
    <row r="11014" spans="2:6" ht="17.25" thickBot="1">
      <c r="B11014" s="226">
        <v>46150</v>
      </c>
      <c r="C11014" s="227">
        <v>0.59642361111111108</v>
      </c>
      <c r="D11014" s="228">
        <v>10</v>
      </c>
      <c r="E11014" s="225" t="s">
        <v>4275</v>
      </c>
      <c r="F11014" s="225" t="s">
        <v>6946</v>
      </c>
    </row>
    <row r="11015" spans="2:6" ht="17.25" thickBot="1">
      <c r="B11015" s="226">
        <v>46150</v>
      </c>
      <c r="C11015" s="227">
        <v>0.44523148148148151</v>
      </c>
      <c r="D11015" s="228">
        <v>10</v>
      </c>
      <c r="E11015" s="225" t="s">
        <v>3286</v>
      </c>
      <c r="F11015" s="225" t="s">
        <v>6946</v>
      </c>
    </row>
    <row r="11016" spans="2:6" ht="17.25" thickBot="1">
      <c r="B11016" s="226">
        <v>46150</v>
      </c>
      <c r="C11016" s="227">
        <v>0.80333333333333334</v>
      </c>
      <c r="D11016" s="228">
        <v>10</v>
      </c>
      <c r="E11016" s="225" t="s">
        <v>4199</v>
      </c>
      <c r="F11016" s="225" t="s">
        <v>6946</v>
      </c>
    </row>
    <row r="11017" spans="2:6" ht="17.25" thickBot="1">
      <c r="B11017" s="226">
        <v>46150</v>
      </c>
      <c r="C11017" s="227">
        <v>0.74062499999999998</v>
      </c>
      <c r="D11017" s="228">
        <v>10</v>
      </c>
      <c r="E11017" s="225" t="s">
        <v>7441</v>
      </c>
      <c r="F11017" s="225" t="s">
        <v>6946</v>
      </c>
    </row>
    <row r="11018" spans="2:6" ht="17.25" thickBot="1">
      <c r="B11018" s="226">
        <v>46150</v>
      </c>
      <c r="C11018" s="227">
        <v>0.72892361111111104</v>
      </c>
      <c r="D11018" s="228">
        <v>10</v>
      </c>
      <c r="E11018" s="225" t="s">
        <v>7444</v>
      </c>
      <c r="F11018" s="225" t="s">
        <v>6946</v>
      </c>
    </row>
    <row r="11019" spans="2:6" ht="17.25" thickBot="1">
      <c r="B11019" s="226">
        <v>46150</v>
      </c>
      <c r="C11019" s="227">
        <v>0.71861111111111109</v>
      </c>
      <c r="D11019" s="228">
        <v>10</v>
      </c>
      <c r="E11019" s="225" t="s">
        <v>7446</v>
      </c>
      <c r="F11019" s="225" t="s">
        <v>6946</v>
      </c>
    </row>
    <row r="11020" spans="2:6" ht="17.25" thickBot="1">
      <c r="B11020" s="226">
        <v>46150</v>
      </c>
      <c r="C11020" s="227">
        <v>0.68440972222222218</v>
      </c>
      <c r="D11020" s="228">
        <v>10</v>
      </c>
      <c r="E11020" s="225" t="s">
        <v>7035</v>
      </c>
      <c r="F11020" s="225" t="s">
        <v>6946</v>
      </c>
    </row>
    <row r="11021" spans="2:6" ht="17.25" thickBot="1">
      <c r="B11021" s="226">
        <v>46150</v>
      </c>
      <c r="C11021" s="227">
        <v>0.63055555555555554</v>
      </c>
      <c r="D11021" s="228">
        <v>10</v>
      </c>
      <c r="E11021" s="225" t="s">
        <v>7454</v>
      </c>
      <c r="F11021" s="225" t="s">
        <v>6946</v>
      </c>
    </row>
    <row r="11022" spans="2:6" ht="17.25" thickBot="1">
      <c r="B11022" s="226">
        <v>46150</v>
      </c>
      <c r="C11022" s="227">
        <v>0.75971064814814815</v>
      </c>
      <c r="D11022" s="228">
        <v>10</v>
      </c>
      <c r="E11022" s="225" t="s">
        <v>423</v>
      </c>
      <c r="F11022" s="225" t="s">
        <v>6946</v>
      </c>
    </row>
    <row r="11023" spans="2:6" ht="17.25" thickBot="1">
      <c r="B11023" s="226">
        <v>46150</v>
      </c>
      <c r="C11023" s="227">
        <v>0.77622685185185192</v>
      </c>
      <c r="D11023" s="228">
        <v>10</v>
      </c>
      <c r="E11023" s="225" t="s">
        <v>7436</v>
      </c>
      <c r="F11023" s="225" t="s">
        <v>6946</v>
      </c>
    </row>
    <row r="11024" spans="2:6" ht="17.25" thickBot="1">
      <c r="B11024" s="226">
        <v>46150</v>
      </c>
      <c r="C11024" s="227">
        <v>0.7259606481481482</v>
      </c>
      <c r="D11024" s="228">
        <v>10</v>
      </c>
      <c r="E11024" s="225" t="s">
        <v>7442</v>
      </c>
      <c r="F11024" s="225" t="s">
        <v>6946</v>
      </c>
    </row>
    <row r="11025" spans="2:6" ht="17.25" thickBot="1">
      <c r="B11025" s="226">
        <v>46150</v>
      </c>
      <c r="C11025" s="227">
        <v>0.65540509259259261</v>
      </c>
      <c r="D11025" s="228">
        <v>10</v>
      </c>
      <c r="E11025" s="225" t="s">
        <v>7452</v>
      </c>
      <c r="F11025" s="225" t="s">
        <v>6946</v>
      </c>
    </row>
    <row r="11026" spans="2:6" ht="17.25" thickBot="1">
      <c r="B11026" s="226">
        <v>46150</v>
      </c>
      <c r="C11026" s="227">
        <v>0.76004629629629628</v>
      </c>
      <c r="D11026" s="228">
        <v>10</v>
      </c>
      <c r="E11026" s="225" t="s">
        <v>7439</v>
      </c>
      <c r="F11026" s="225" t="s">
        <v>6946</v>
      </c>
    </row>
    <row r="11027" spans="2:6" ht="17.25" thickBot="1">
      <c r="B11027" s="226">
        <v>46150</v>
      </c>
      <c r="C11027" s="227">
        <v>0.79753472222222221</v>
      </c>
      <c r="D11027" s="228">
        <v>10</v>
      </c>
      <c r="E11027" s="225" t="s">
        <v>7435</v>
      </c>
      <c r="F11027" s="225" t="s">
        <v>6946</v>
      </c>
    </row>
    <row r="11028" spans="2:6" ht="17.25" thickBot="1">
      <c r="B11028" s="226">
        <v>46150</v>
      </c>
      <c r="C11028" s="227">
        <v>0.74780092592592595</v>
      </c>
      <c r="D11028" s="228">
        <v>10</v>
      </c>
      <c r="E11028" s="225" t="s">
        <v>7440</v>
      </c>
      <c r="F11028" s="225" t="s">
        <v>6946</v>
      </c>
    </row>
    <row r="11029" spans="2:6" ht="17.25" thickBot="1">
      <c r="B11029" s="226">
        <v>46150</v>
      </c>
      <c r="C11029" s="227">
        <v>0.67817129629629624</v>
      </c>
      <c r="D11029" s="228">
        <v>10</v>
      </c>
      <c r="E11029" s="225" t="s">
        <v>5121</v>
      </c>
      <c r="F11029" s="225" t="s">
        <v>6946</v>
      </c>
    </row>
    <row r="11030" spans="2:6" ht="17.25" thickBot="1">
      <c r="B11030" s="226">
        <v>46150</v>
      </c>
      <c r="C11030" s="227">
        <v>0.60225694444444444</v>
      </c>
      <c r="D11030" s="228">
        <v>10</v>
      </c>
      <c r="E11030" s="225" t="s">
        <v>7030</v>
      </c>
      <c r="F11030" s="225" t="s">
        <v>6946</v>
      </c>
    </row>
    <row r="11031" spans="2:6" ht="17.25" thickBot="1">
      <c r="B11031" s="226">
        <v>46150</v>
      </c>
      <c r="C11031" s="227">
        <v>0.58824074074074073</v>
      </c>
      <c r="D11031" s="228">
        <v>10</v>
      </c>
      <c r="E11031" s="225" t="s">
        <v>4080</v>
      </c>
      <c r="F11031" s="225" t="s">
        <v>6946</v>
      </c>
    </row>
    <row r="11032" spans="2:6" ht="17.25" thickBot="1">
      <c r="B11032" s="226">
        <v>46150</v>
      </c>
      <c r="C11032" s="227">
        <v>0.65474537037037039</v>
      </c>
      <c r="D11032" s="228">
        <v>10</v>
      </c>
      <c r="E11032" s="225" t="s">
        <v>132</v>
      </c>
      <c r="F11032" s="225" t="s">
        <v>6946</v>
      </c>
    </row>
    <row r="11033" spans="2:6" ht="17.25" thickBot="1">
      <c r="B11033" s="226">
        <v>46150</v>
      </c>
      <c r="C11033" s="227">
        <v>0.75226851851851861</v>
      </c>
      <c r="D11033" s="228">
        <v>10</v>
      </c>
      <c r="E11033" s="225" t="s">
        <v>179</v>
      </c>
      <c r="F11033" s="225" t="s">
        <v>6946</v>
      </c>
    </row>
    <row r="11034" spans="2:6" ht="17.25" thickBot="1">
      <c r="B11034" s="226">
        <v>46150</v>
      </c>
      <c r="C11034" s="227">
        <v>0.72934027777777777</v>
      </c>
      <c r="D11034" s="228">
        <v>10</v>
      </c>
      <c r="E11034" s="225" t="s">
        <v>7443</v>
      </c>
      <c r="F11034" s="225" t="s">
        <v>6946</v>
      </c>
    </row>
    <row r="11035" spans="2:6" ht="17.25" thickBot="1">
      <c r="B11035" s="226">
        <v>46150</v>
      </c>
      <c r="C11035" s="227">
        <v>0.87795138888888891</v>
      </c>
      <c r="D11035" s="228">
        <v>10</v>
      </c>
      <c r="E11035" s="225" t="s">
        <v>7433</v>
      </c>
      <c r="F11035" s="225" t="s">
        <v>6946</v>
      </c>
    </row>
    <row r="11036" spans="2:6" ht="17.25" thickBot="1">
      <c r="B11036" s="226">
        <v>46150</v>
      </c>
      <c r="C11036" s="227">
        <v>0.48597222222222225</v>
      </c>
      <c r="D11036" s="228">
        <v>10</v>
      </c>
      <c r="E11036" s="225" t="s">
        <v>565</v>
      </c>
      <c r="F11036" s="225" t="s">
        <v>6946</v>
      </c>
    </row>
    <row r="11037" spans="2:6" ht="17.25" thickBot="1">
      <c r="B11037" s="226">
        <v>46150</v>
      </c>
      <c r="C11037" s="227">
        <v>0.70315972222222223</v>
      </c>
      <c r="D11037" s="228">
        <v>10</v>
      </c>
      <c r="E11037" s="225" t="s">
        <v>7448</v>
      </c>
      <c r="F11037" s="225" t="s">
        <v>6946</v>
      </c>
    </row>
    <row r="11038" spans="2:6" ht="17.25" thickBot="1">
      <c r="B11038" s="226">
        <v>46150</v>
      </c>
      <c r="C11038" s="227">
        <v>0.71285879629629623</v>
      </c>
      <c r="D11038" s="228">
        <v>10</v>
      </c>
      <c r="E11038" s="225" t="s">
        <v>7447</v>
      </c>
      <c r="F11038" s="225" t="s">
        <v>6946</v>
      </c>
    </row>
    <row r="11039" spans="2:6" ht="17.25" thickBot="1">
      <c r="B11039" s="226">
        <v>46150</v>
      </c>
      <c r="C11039" s="227">
        <v>0.63586805555555559</v>
      </c>
      <c r="D11039" s="228">
        <v>10</v>
      </c>
      <c r="E11039" s="225" t="s">
        <v>7453</v>
      </c>
      <c r="F11039" s="225" t="s">
        <v>6946</v>
      </c>
    </row>
    <row r="11040" spans="2:6" ht="17.25" thickBot="1">
      <c r="B11040" s="226">
        <v>46150</v>
      </c>
      <c r="C11040" s="227">
        <v>0.75459490740740742</v>
      </c>
      <c r="D11040" s="228">
        <v>10</v>
      </c>
      <c r="E11040" s="225" t="s">
        <v>7438</v>
      </c>
      <c r="F11040" s="225" t="s">
        <v>6946</v>
      </c>
    </row>
    <row r="11041" spans="2:6" ht="17.25" thickBot="1">
      <c r="B11041" s="226">
        <v>46150</v>
      </c>
      <c r="C11041" s="227">
        <v>0.70586805555555554</v>
      </c>
      <c r="D11041" s="228">
        <v>10</v>
      </c>
      <c r="E11041" s="225" t="s">
        <v>7449</v>
      </c>
      <c r="F11041" s="225" t="s">
        <v>6946</v>
      </c>
    </row>
    <row r="11042" spans="2:6" ht="17.25" thickBot="1">
      <c r="B11042" s="226">
        <v>46150</v>
      </c>
      <c r="C11042" s="227">
        <v>0.67280092592592589</v>
      </c>
      <c r="D11042" s="228">
        <v>10</v>
      </c>
      <c r="E11042" s="225" t="s">
        <v>3058</v>
      </c>
      <c r="F11042" s="225" t="s">
        <v>6946</v>
      </c>
    </row>
    <row r="11043" spans="2:6" ht="17.25" thickBot="1">
      <c r="B11043" s="226">
        <v>46150</v>
      </c>
      <c r="C11043" s="227">
        <v>0.63752314814814814</v>
      </c>
      <c r="D11043" s="228">
        <v>10</v>
      </c>
      <c r="E11043" s="225" t="s">
        <v>7455</v>
      </c>
      <c r="F11043" s="225" t="s">
        <v>6946</v>
      </c>
    </row>
    <row r="11044" spans="2:6" ht="17.25" thickBot="1">
      <c r="B11044" s="226">
        <v>46150</v>
      </c>
      <c r="C11044" s="227">
        <v>0.62141203703703707</v>
      </c>
      <c r="D11044" s="228">
        <v>10</v>
      </c>
      <c r="E11044" s="225" t="s">
        <v>1457</v>
      </c>
      <c r="F11044" s="225" t="s">
        <v>6946</v>
      </c>
    </row>
    <row r="11045" spans="2:6" ht="17.25" thickBot="1">
      <c r="B11045" s="226">
        <v>46150</v>
      </c>
      <c r="C11045" s="227">
        <v>0.71810185185185194</v>
      </c>
      <c r="D11045" s="228">
        <v>10</v>
      </c>
      <c r="E11045" s="225" t="s">
        <v>7445</v>
      </c>
      <c r="F11045" s="225" t="s">
        <v>6946</v>
      </c>
    </row>
    <row r="11046" spans="2:6" ht="17.25" thickBot="1">
      <c r="B11046" s="226">
        <v>46150</v>
      </c>
      <c r="C11046" s="227">
        <v>0.62737268518518519</v>
      </c>
      <c r="D11046" s="228">
        <v>10</v>
      </c>
      <c r="E11046" s="225" t="s">
        <v>494</v>
      </c>
      <c r="F11046" s="225" t="s">
        <v>6946</v>
      </c>
    </row>
    <row r="11047" spans="2:6" ht="17.25" thickBot="1">
      <c r="B11047" s="226">
        <v>46150</v>
      </c>
      <c r="C11047" s="227">
        <v>0.61731481481481476</v>
      </c>
      <c r="D11047" s="228">
        <v>10</v>
      </c>
      <c r="E11047" s="225" t="s">
        <v>6831</v>
      </c>
      <c r="F11047" s="225" t="s">
        <v>6946</v>
      </c>
    </row>
    <row r="11048" spans="2:6" ht="17.25" thickBot="1">
      <c r="B11048" s="226">
        <v>46150</v>
      </c>
      <c r="C11048" s="227">
        <v>0.60030092592592588</v>
      </c>
      <c r="D11048" s="228">
        <v>10</v>
      </c>
      <c r="E11048" s="225" t="s">
        <v>7458</v>
      </c>
      <c r="F11048" s="225" t="s">
        <v>6946</v>
      </c>
    </row>
    <row r="11049" spans="2:6" ht="17.25" thickBot="1">
      <c r="B11049" s="226">
        <v>46150</v>
      </c>
      <c r="C11049" s="227">
        <v>0.82609953703703709</v>
      </c>
      <c r="D11049" s="228">
        <v>10</v>
      </c>
      <c r="E11049" s="225" t="s">
        <v>7434</v>
      </c>
      <c r="F11049" s="225" t="s">
        <v>6946</v>
      </c>
    </row>
    <row r="11050" spans="2:6" ht="17.25" thickBot="1">
      <c r="B11050" s="226">
        <v>46150</v>
      </c>
      <c r="C11050" s="227">
        <v>0.75122685185185178</v>
      </c>
      <c r="D11050" s="228">
        <v>10</v>
      </c>
      <c r="E11050" s="225" t="s">
        <v>179</v>
      </c>
      <c r="F11050" s="225" t="s">
        <v>6946</v>
      </c>
    </row>
    <row r="11051" spans="2:6" ht="17.25" thickBot="1">
      <c r="B11051" s="226">
        <v>46150</v>
      </c>
      <c r="C11051" s="227">
        <v>0.60046296296296298</v>
      </c>
      <c r="D11051" s="228">
        <v>10</v>
      </c>
      <c r="E11051" s="225" t="s">
        <v>7460</v>
      </c>
      <c r="F11051" s="225" t="s">
        <v>6946</v>
      </c>
    </row>
    <row r="11052" spans="2:6" ht="17.25" thickBot="1">
      <c r="B11052" s="226">
        <v>46150</v>
      </c>
      <c r="C11052" s="227">
        <v>0.75511574074074073</v>
      </c>
      <c r="D11052" s="228">
        <v>10</v>
      </c>
      <c r="E11052" s="225" t="s">
        <v>7437</v>
      </c>
      <c r="F11052" s="225" t="s">
        <v>6946</v>
      </c>
    </row>
    <row r="11053" spans="2:6" ht="17.25" thickBot="1">
      <c r="B11053" s="226">
        <v>46150</v>
      </c>
      <c r="C11053" s="227">
        <v>0.61171296296296296</v>
      </c>
      <c r="D11053" s="228">
        <v>10</v>
      </c>
      <c r="E11053" s="225" t="s">
        <v>7457</v>
      </c>
      <c r="F11053" s="225" t="s">
        <v>6946</v>
      </c>
    </row>
    <row r="11054" spans="2:6" ht="17.25" thickBot="1">
      <c r="B11054" s="226">
        <v>46150</v>
      </c>
      <c r="C11054" s="227">
        <v>0.77659722222222216</v>
      </c>
      <c r="D11054" s="228">
        <v>10</v>
      </c>
      <c r="E11054" s="225" t="s">
        <v>132</v>
      </c>
      <c r="F11054" s="225" t="s">
        <v>6946</v>
      </c>
    </row>
    <row r="11055" spans="2:6" ht="17.25" thickBot="1">
      <c r="B11055" s="226">
        <v>46150</v>
      </c>
      <c r="C11055" s="227">
        <v>0.57976851851851852</v>
      </c>
      <c r="D11055" s="228">
        <v>10</v>
      </c>
      <c r="E11055" s="225" t="s">
        <v>7461</v>
      </c>
      <c r="F11055" s="225" t="s">
        <v>6946</v>
      </c>
    </row>
    <row r="11056" spans="2:6" ht="17.25" thickBot="1">
      <c r="B11056" s="226">
        <v>46150</v>
      </c>
      <c r="C11056" s="227">
        <v>0.43236111111111114</v>
      </c>
      <c r="D11056" s="228">
        <v>10</v>
      </c>
      <c r="E11056" s="225" t="s">
        <v>7465</v>
      </c>
      <c r="F11056" s="225" t="s">
        <v>6946</v>
      </c>
    </row>
    <row r="11057" spans="2:6" ht="17.25" thickBot="1">
      <c r="B11057" s="226">
        <v>46150</v>
      </c>
      <c r="C11057" s="227">
        <v>0.66508101851851853</v>
      </c>
      <c r="D11057" s="228">
        <v>10</v>
      </c>
      <c r="E11057" s="225" t="s">
        <v>7450</v>
      </c>
      <c r="F11057" s="225" t="s">
        <v>6946</v>
      </c>
    </row>
    <row r="11058" spans="2:6" ht="17.25" thickBot="1">
      <c r="B11058" s="226">
        <v>46150</v>
      </c>
      <c r="C11058" s="227">
        <v>0.50937500000000002</v>
      </c>
      <c r="D11058" s="228">
        <v>10</v>
      </c>
      <c r="E11058" s="225" t="s">
        <v>4080</v>
      </c>
      <c r="F11058" s="225" t="s">
        <v>6946</v>
      </c>
    </row>
    <row r="11059" spans="2:6" ht="17.25" thickBot="1">
      <c r="B11059" s="226">
        <v>46150</v>
      </c>
      <c r="C11059" s="227">
        <v>0.65859953703703711</v>
      </c>
      <c r="D11059" s="228">
        <v>10</v>
      </c>
      <c r="E11059" s="225" t="s">
        <v>7451</v>
      </c>
      <c r="F11059" s="225" t="s">
        <v>6946</v>
      </c>
    </row>
    <row r="11060" spans="2:6" ht="17.25" thickBot="1">
      <c r="B11060" s="226">
        <v>46150</v>
      </c>
      <c r="C11060" s="227">
        <v>0.57960648148148153</v>
      </c>
      <c r="D11060" s="228">
        <v>10</v>
      </c>
      <c r="E11060" s="225" t="s">
        <v>406</v>
      </c>
      <c r="F11060" s="225" t="s">
        <v>6946</v>
      </c>
    </row>
    <row r="11061" spans="2:6" ht="17.25" thickBot="1">
      <c r="B11061" s="226">
        <v>46150</v>
      </c>
      <c r="C11061" s="227">
        <v>0.41976851851851849</v>
      </c>
      <c r="D11061" s="228">
        <v>10</v>
      </c>
      <c r="E11061" s="225" t="s">
        <v>7467</v>
      </c>
      <c r="F11061" s="225" t="s">
        <v>6946</v>
      </c>
    </row>
    <row r="11062" spans="2:6" ht="17.25" thickBot="1">
      <c r="B11062" s="226">
        <v>46150</v>
      </c>
      <c r="C11062" s="227">
        <v>0.48959490740740735</v>
      </c>
      <c r="D11062" s="228">
        <v>10</v>
      </c>
      <c r="E11062" s="225" t="s">
        <v>7463</v>
      </c>
      <c r="F11062" s="225" t="s">
        <v>6946</v>
      </c>
    </row>
    <row r="11063" spans="2:6" ht="17.25" thickBot="1">
      <c r="B11063" s="226">
        <v>46150</v>
      </c>
      <c r="C11063" s="227">
        <v>0.43427083333333333</v>
      </c>
      <c r="D11063" s="228">
        <v>10</v>
      </c>
      <c r="E11063" s="225" t="s">
        <v>7466</v>
      </c>
      <c r="F11063" s="225" t="s">
        <v>6946</v>
      </c>
    </row>
    <row r="11064" spans="2:6" ht="17.25" thickBot="1">
      <c r="B11064" s="226">
        <v>46150</v>
      </c>
      <c r="C11064" s="227">
        <v>0.47328703703703701</v>
      </c>
      <c r="D11064" s="228">
        <v>10</v>
      </c>
      <c r="E11064" s="225" t="s">
        <v>7464</v>
      </c>
      <c r="F11064" s="225" t="s">
        <v>6946</v>
      </c>
    </row>
    <row r="11065" spans="2:6" ht="17.25" thickBot="1">
      <c r="B11065" s="226">
        <v>46150</v>
      </c>
      <c r="C11065" s="227">
        <v>0.61671296296296296</v>
      </c>
      <c r="D11065" s="228">
        <v>10</v>
      </c>
      <c r="E11065" s="225" t="s">
        <v>7456</v>
      </c>
      <c r="F11065" s="225" t="s">
        <v>6946</v>
      </c>
    </row>
    <row r="11066" spans="2:6" ht="17.25" thickBot="1">
      <c r="B11066" s="226">
        <v>46150</v>
      </c>
      <c r="C11066" s="227">
        <v>0.57446759259259261</v>
      </c>
      <c r="D11066" s="228">
        <v>10</v>
      </c>
      <c r="E11066" s="225" t="s">
        <v>7462</v>
      </c>
      <c r="F11066" s="225" t="s">
        <v>6946</v>
      </c>
    </row>
    <row r="11067" spans="2:6" ht="17.25" thickBot="1">
      <c r="B11067" s="226">
        <v>46149</v>
      </c>
      <c r="C11067" s="227">
        <v>0.60974537037037035</v>
      </c>
      <c r="D11067" s="228">
        <v>10</v>
      </c>
      <c r="E11067" s="225" t="s">
        <v>7416</v>
      </c>
      <c r="F11067" s="225" t="s">
        <v>6946</v>
      </c>
    </row>
    <row r="11068" spans="2:6" ht="17.25" thickBot="1">
      <c r="B11068" s="226">
        <v>46149</v>
      </c>
      <c r="C11068" s="227">
        <v>0.9159722222222223</v>
      </c>
      <c r="D11068" s="228">
        <v>10</v>
      </c>
      <c r="E11068" s="225" t="s">
        <v>7391</v>
      </c>
      <c r="F11068" s="225" t="s">
        <v>6946</v>
      </c>
    </row>
    <row r="11069" spans="2:6" ht="17.25" thickBot="1">
      <c r="B11069" s="226">
        <v>46149</v>
      </c>
      <c r="C11069" s="227">
        <v>0.47888888888888892</v>
      </c>
      <c r="D11069" s="228">
        <v>10</v>
      </c>
      <c r="E11069" s="225" t="s">
        <v>7424</v>
      </c>
      <c r="F11069" s="225" t="s">
        <v>6946</v>
      </c>
    </row>
    <row r="11070" spans="2:6" ht="17.25" thickBot="1">
      <c r="B11070" s="226">
        <v>46149</v>
      </c>
      <c r="C11070" s="227">
        <v>0.74988425925925928</v>
      </c>
      <c r="D11070" s="228">
        <v>10</v>
      </c>
      <c r="E11070" s="225" t="s">
        <v>7403</v>
      </c>
      <c r="F11070" s="225" t="s">
        <v>6946</v>
      </c>
    </row>
    <row r="11071" spans="2:6" ht="17.25" thickBot="1">
      <c r="B11071" s="226">
        <v>46149</v>
      </c>
      <c r="C11071" s="227">
        <v>0.81667824074074069</v>
      </c>
      <c r="D11071" s="228">
        <v>10</v>
      </c>
      <c r="E11071" s="225" t="s">
        <v>7398</v>
      </c>
      <c r="F11071" s="225" t="s">
        <v>6946</v>
      </c>
    </row>
    <row r="11072" spans="2:6" ht="17.25" thickBot="1">
      <c r="B11072" s="226">
        <v>46149</v>
      </c>
      <c r="C11072" s="227">
        <v>0.82313657407407403</v>
      </c>
      <c r="D11072" s="228">
        <v>10</v>
      </c>
      <c r="E11072" s="225" t="s">
        <v>7397</v>
      </c>
      <c r="F11072" s="225" t="s">
        <v>6946</v>
      </c>
    </row>
    <row r="11073" spans="2:6" ht="17.25" thickBot="1">
      <c r="B11073" s="226">
        <v>46149</v>
      </c>
      <c r="C11073" s="227">
        <v>0.83682870370370377</v>
      </c>
      <c r="D11073" s="228">
        <v>10</v>
      </c>
      <c r="E11073" s="225" t="s">
        <v>7394</v>
      </c>
      <c r="F11073" s="225" t="s">
        <v>6946</v>
      </c>
    </row>
    <row r="11074" spans="2:6" ht="17.25" thickBot="1">
      <c r="B11074" s="226">
        <v>46149</v>
      </c>
      <c r="C11074" s="227">
        <v>0.74741898148148145</v>
      </c>
      <c r="D11074" s="228">
        <v>10</v>
      </c>
      <c r="E11074" s="225" t="s">
        <v>7404</v>
      </c>
      <c r="F11074" s="225" t="s">
        <v>6946</v>
      </c>
    </row>
    <row r="11075" spans="2:6" ht="17.25" thickBot="1">
      <c r="B11075" s="226">
        <v>46149</v>
      </c>
      <c r="C11075" s="227">
        <v>0.89131944444444444</v>
      </c>
      <c r="D11075" s="228">
        <v>10</v>
      </c>
      <c r="E11075" s="225" t="s">
        <v>7392</v>
      </c>
      <c r="F11075" s="225" t="s">
        <v>6946</v>
      </c>
    </row>
    <row r="11076" spans="2:6" ht="17.25" thickBot="1">
      <c r="B11076" s="226">
        <v>46149</v>
      </c>
      <c r="C11076" s="227">
        <v>0.80736111111111108</v>
      </c>
      <c r="D11076" s="228">
        <v>10</v>
      </c>
      <c r="E11076" s="225" t="s">
        <v>7399</v>
      </c>
      <c r="F11076" s="225" t="s">
        <v>6946</v>
      </c>
    </row>
    <row r="11077" spans="2:6" ht="17.25" thickBot="1">
      <c r="B11077" s="226">
        <v>46149</v>
      </c>
      <c r="C11077" s="227">
        <v>0.73690972222222229</v>
      </c>
      <c r="D11077" s="228">
        <v>10</v>
      </c>
      <c r="E11077" s="225" t="s">
        <v>7405</v>
      </c>
      <c r="F11077" s="225" t="s">
        <v>6946</v>
      </c>
    </row>
    <row r="11078" spans="2:6" ht="17.25" thickBot="1">
      <c r="B11078" s="226">
        <v>46149</v>
      </c>
      <c r="C11078" s="227">
        <v>0.4767939814814815</v>
      </c>
      <c r="D11078" s="228">
        <v>10</v>
      </c>
      <c r="E11078" s="225" t="s">
        <v>7425</v>
      </c>
      <c r="F11078" s="225" t="s">
        <v>6946</v>
      </c>
    </row>
    <row r="11079" spans="2:6" ht="17.25" thickBot="1">
      <c r="B11079" s="226">
        <v>46149</v>
      </c>
      <c r="C11079" s="227">
        <v>0.67137731481481477</v>
      </c>
      <c r="D11079" s="228">
        <v>10</v>
      </c>
      <c r="E11079" s="225" t="s">
        <v>1062</v>
      </c>
      <c r="F11079" s="225" t="s">
        <v>6946</v>
      </c>
    </row>
    <row r="11080" spans="2:6" ht="17.25" thickBot="1">
      <c r="B11080" s="226">
        <v>46149</v>
      </c>
      <c r="C11080" s="227">
        <v>0.78714120370370377</v>
      </c>
      <c r="D11080" s="228">
        <v>10</v>
      </c>
      <c r="E11080" s="225" t="s">
        <v>7401</v>
      </c>
      <c r="F11080" s="225" t="s">
        <v>6946</v>
      </c>
    </row>
    <row r="11081" spans="2:6" ht="17.25" thickBot="1">
      <c r="B11081" s="226">
        <v>46149</v>
      </c>
      <c r="C11081" s="227">
        <v>0.82739583333333344</v>
      </c>
      <c r="D11081" s="228">
        <v>10</v>
      </c>
      <c r="E11081" s="225" t="s">
        <v>7396</v>
      </c>
      <c r="F11081" s="225" t="s">
        <v>6946</v>
      </c>
    </row>
    <row r="11082" spans="2:6" ht="17.25" thickBot="1">
      <c r="B11082" s="226">
        <v>46149</v>
      </c>
      <c r="C11082" s="227">
        <v>0.58660879629629636</v>
      </c>
      <c r="D11082" s="228">
        <v>10</v>
      </c>
      <c r="E11082" s="225" t="s">
        <v>7418</v>
      </c>
      <c r="F11082" s="225" t="s">
        <v>6946</v>
      </c>
    </row>
    <row r="11083" spans="2:6" ht="17.25" thickBot="1">
      <c r="B11083" s="226">
        <v>46149</v>
      </c>
      <c r="C11083" s="227">
        <v>0.68666666666666665</v>
      </c>
      <c r="D11083" s="228">
        <v>10</v>
      </c>
      <c r="E11083" s="225" t="s">
        <v>7410</v>
      </c>
      <c r="F11083" s="225" t="s">
        <v>6946</v>
      </c>
    </row>
    <row r="11084" spans="2:6" ht="17.25" thickBot="1">
      <c r="B11084" s="226">
        <v>46149</v>
      </c>
      <c r="C11084" s="227">
        <v>0.49944444444444441</v>
      </c>
      <c r="D11084" s="228">
        <v>10</v>
      </c>
      <c r="E11084" s="225" t="s">
        <v>7422</v>
      </c>
      <c r="F11084" s="225" t="s">
        <v>6946</v>
      </c>
    </row>
    <row r="11085" spans="2:6" ht="17.25" thickBot="1">
      <c r="B11085" s="226">
        <v>46149</v>
      </c>
      <c r="C11085" s="227">
        <v>0.52563657407407405</v>
      </c>
      <c r="D11085" s="228">
        <v>10</v>
      </c>
      <c r="E11085" s="225" t="s">
        <v>565</v>
      </c>
      <c r="F11085" s="225" t="s">
        <v>6946</v>
      </c>
    </row>
    <row r="11086" spans="2:6" ht="64.5" thickBot="1">
      <c r="B11086" s="226">
        <v>46149</v>
      </c>
      <c r="C11086" s="227">
        <v>0.69552083333333325</v>
      </c>
      <c r="D11086" s="228">
        <v>10</v>
      </c>
      <c r="E11086" s="225" t="s">
        <v>7408</v>
      </c>
      <c r="F11086" s="225" t="s">
        <v>6946</v>
      </c>
    </row>
    <row r="11087" spans="2:6" ht="17.25" thickBot="1">
      <c r="B11087" s="226">
        <v>46149</v>
      </c>
      <c r="C11087" s="227">
        <v>0.60233796296296294</v>
      </c>
      <c r="D11087" s="228">
        <v>10</v>
      </c>
      <c r="E11087" s="225" t="s">
        <v>7417</v>
      </c>
      <c r="F11087" s="225" t="s">
        <v>6946</v>
      </c>
    </row>
    <row r="11088" spans="2:6" ht="17.25" thickBot="1">
      <c r="B11088" s="226">
        <v>46149</v>
      </c>
      <c r="C11088" s="227">
        <v>0.67737268518518512</v>
      </c>
      <c r="D11088" s="228">
        <v>10</v>
      </c>
      <c r="E11088" s="225" t="s">
        <v>7412</v>
      </c>
      <c r="F11088" s="225" t="s">
        <v>6946</v>
      </c>
    </row>
    <row r="11089" spans="2:6" ht="26.25" thickBot="1">
      <c r="B11089" s="226">
        <v>46149</v>
      </c>
      <c r="C11089" s="227">
        <v>0.80162037037037026</v>
      </c>
      <c r="D11089" s="228">
        <v>10</v>
      </c>
      <c r="E11089" s="225" t="s">
        <v>7400</v>
      </c>
      <c r="F11089" s="225" t="s">
        <v>6946</v>
      </c>
    </row>
    <row r="11090" spans="2:6" ht="17.25" thickBot="1">
      <c r="B11090" s="226">
        <v>46149</v>
      </c>
      <c r="C11090" s="227">
        <v>0.66230324074074076</v>
      </c>
      <c r="D11090" s="228">
        <v>10</v>
      </c>
      <c r="E11090" s="225" t="s">
        <v>7355</v>
      </c>
      <c r="F11090" s="225" t="s">
        <v>6946</v>
      </c>
    </row>
    <row r="11091" spans="2:6" ht="17.25" thickBot="1">
      <c r="B11091" s="226">
        <v>46149</v>
      </c>
      <c r="C11091" s="227">
        <v>0.60662037037037042</v>
      </c>
      <c r="D11091" s="228">
        <v>10</v>
      </c>
      <c r="E11091" s="225" t="s">
        <v>7415</v>
      </c>
      <c r="F11091" s="225" t="s">
        <v>6946</v>
      </c>
    </row>
    <row r="11092" spans="2:6" ht="17.25" thickBot="1">
      <c r="B11092" s="226">
        <v>46149</v>
      </c>
      <c r="C11092" s="227">
        <v>0.51109953703703703</v>
      </c>
      <c r="D11092" s="228">
        <v>10</v>
      </c>
      <c r="E11092" s="225" t="s">
        <v>7421</v>
      </c>
      <c r="F11092" s="225" t="s">
        <v>6946</v>
      </c>
    </row>
    <row r="11093" spans="2:6" ht="17.25" thickBot="1">
      <c r="B11093" s="226">
        <v>46149</v>
      </c>
      <c r="C11093" s="227">
        <v>0.73070601851851846</v>
      </c>
      <c r="D11093" s="228">
        <v>10</v>
      </c>
      <c r="E11093" s="225" t="s">
        <v>7407</v>
      </c>
      <c r="F11093" s="225" t="s">
        <v>6946</v>
      </c>
    </row>
    <row r="11094" spans="2:6" ht="17.25" thickBot="1">
      <c r="B11094" s="226">
        <v>46149</v>
      </c>
      <c r="C11094" s="227">
        <v>0.86027777777777781</v>
      </c>
      <c r="D11094" s="228">
        <v>10</v>
      </c>
      <c r="E11094" s="225" t="s">
        <v>7393</v>
      </c>
      <c r="F11094" s="225" t="s">
        <v>6946</v>
      </c>
    </row>
    <row r="11095" spans="2:6" ht="17.25" thickBot="1">
      <c r="B11095" s="226">
        <v>46149</v>
      </c>
      <c r="C11095" s="227">
        <v>0.69543981481481476</v>
      </c>
      <c r="D11095" s="228">
        <v>10</v>
      </c>
      <c r="E11095" s="225" t="s">
        <v>7409</v>
      </c>
      <c r="F11095" s="225" t="s">
        <v>6946</v>
      </c>
    </row>
    <row r="11096" spans="2:6" ht="17.25" thickBot="1">
      <c r="B11096" s="226">
        <v>46149</v>
      </c>
      <c r="C11096" s="227">
        <v>0.51590277777777771</v>
      </c>
      <c r="D11096" s="228">
        <v>10</v>
      </c>
      <c r="E11096" s="225" t="s">
        <v>7420</v>
      </c>
      <c r="F11096" s="225" t="s">
        <v>6946</v>
      </c>
    </row>
    <row r="11097" spans="2:6" ht="17.25" thickBot="1">
      <c r="B11097" s="226">
        <v>46149</v>
      </c>
      <c r="C11097" s="227">
        <v>0.78190972222222221</v>
      </c>
      <c r="D11097" s="228">
        <v>10</v>
      </c>
      <c r="E11097" s="225" t="s">
        <v>7402</v>
      </c>
      <c r="F11097" s="225" t="s">
        <v>6946</v>
      </c>
    </row>
    <row r="11098" spans="2:6" ht="26.25" thickBot="1">
      <c r="B11098" s="226">
        <v>46149</v>
      </c>
      <c r="C11098" s="227">
        <v>0.51553240740740736</v>
      </c>
      <c r="D11098" s="228">
        <v>10</v>
      </c>
      <c r="E11098" s="225" t="s">
        <v>7423</v>
      </c>
      <c r="F11098" s="225" t="s">
        <v>6946</v>
      </c>
    </row>
    <row r="11099" spans="2:6" ht="17.25" thickBot="1">
      <c r="B11099" s="226">
        <v>46149</v>
      </c>
      <c r="C11099" s="227">
        <v>0.45457175925925924</v>
      </c>
      <c r="D11099" s="228">
        <v>10</v>
      </c>
      <c r="E11099" s="225" t="s">
        <v>7427</v>
      </c>
      <c r="F11099" s="225" t="s">
        <v>6946</v>
      </c>
    </row>
    <row r="11100" spans="2:6" ht="17.25" thickBot="1">
      <c r="B11100" s="226">
        <v>46149</v>
      </c>
      <c r="C11100" s="227">
        <v>0.64394675925925926</v>
      </c>
      <c r="D11100" s="228">
        <v>10</v>
      </c>
      <c r="E11100" s="225" t="s">
        <v>246</v>
      </c>
      <c r="F11100" s="225" t="s">
        <v>6946</v>
      </c>
    </row>
    <row r="11101" spans="2:6" ht="17.25" thickBot="1">
      <c r="B11101" s="226">
        <v>46149</v>
      </c>
      <c r="C11101" s="227">
        <v>0.46291666666666664</v>
      </c>
      <c r="D11101" s="228">
        <v>10</v>
      </c>
      <c r="E11101" s="225" t="s">
        <v>7426</v>
      </c>
      <c r="F11101" s="225" t="s">
        <v>6946</v>
      </c>
    </row>
    <row r="11102" spans="2:6" ht="17.25" thickBot="1">
      <c r="B11102" s="226">
        <v>46149</v>
      </c>
      <c r="C11102" s="227">
        <v>0.61534722222222216</v>
      </c>
      <c r="D11102" s="228">
        <v>10</v>
      </c>
      <c r="E11102" s="225" t="s">
        <v>2385</v>
      </c>
      <c r="F11102" s="225" t="s">
        <v>6946</v>
      </c>
    </row>
    <row r="11103" spans="2:6" ht="17.25" thickBot="1">
      <c r="B11103" s="226">
        <v>46149</v>
      </c>
      <c r="C11103" s="227">
        <v>0.39701388888888883</v>
      </c>
      <c r="D11103" s="228">
        <v>10</v>
      </c>
      <c r="E11103" s="225" t="s">
        <v>3468</v>
      </c>
      <c r="F11103" s="225" t="s">
        <v>6946</v>
      </c>
    </row>
    <row r="11104" spans="2:6" ht="26.25" thickBot="1">
      <c r="B11104" s="226">
        <v>46149</v>
      </c>
      <c r="C11104" s="227">
        <v>0.68333333333333324</v>
      </c>
      <c r="D11104" s="228">
        <v>10</v>
      </c>
      <c r="E11104" s="225" t="s">
        <v>7411</v>
      </c>
      <c r="F11104" s="225" t="s">
        <v>6946</v>
      </c>
    </row>
    <row r="11105" spans="2:6" ht="39" thickBot="1">
      <c r="B11105" s="226">
        <v>46149</v>
      </c>
      <c r="C11105" s="227">
        <v>0.64989583333333334</v>
      </c>
      <c r="D11105" s="228">
        <v>10</v>
      </c>
      <c r="E11105" s="225" t="s">
        <v>7414</v>
      </c>
      <c r="F11105" s="225" t="s">
        <v>6946</v>
      </c>
    </row>
    <row r="11106" spans="2:6" ht="17.25" thickBot="1">
      <c r="B11106" s="226">
        <v>46149</v>
      </c>
      <c r="C11106" s="227">
        <v>0.42762731481481481</v>
      </c>
      <c r="D11106" s="228">
        <v>10</v>
      </c>
      <c r="E11106" s="225" t="s">
        <v>273</v>
      </c>
      <c r="F11106" s="225" t="s">
        <v>6946</v>
      </c>
    </row>
    <row r="11107" spans="2:6" ht="77.25" thickBot="1">
      <c r="B11107" s="226">
        <v>46149</v>
      </c>
      <c r="C11107" s="227">
        <v>0.74528935185185186</v>
      </c>
      <c r="D11107" s="228">
        <v>10</v>
      </c>
      <c r="E11107" s="225" t="s">
        <v>7406</v>
      </c>
      <c r="F11107" s="225" t="s">
        <v>6946</v>
      </c>
    </row>
    <row r="11108" spans="2:6" ht="17.25" thickBot="1">
      <c r="B11108" s="226">
        <v>46149</v>
      </c>
      <c r="C11108" s="227">
        <v>0.71841435185185187</v>
      </c>
      <c r="D11108" s="228">
        <v>10</v>
      </c>
      <c r="E11108" s="225" t="s">
        <v>448</v>
      </c>
      <c r="F11108" s="225" t="s">
        <v>6946</v>
      </c>
    </row>
    <row r="11109" spans="2:6" ht="17.25" thickBot="1">
      <c r="B11109" s="226">
        <v>46149</v>
      </c>
      <c r="C11109" s="227">
        <v>0.66379629629629633</v>
      </c>
      <c r="D11109" s="228">
        <v>10</v>
      </c>
      <c r="E11109" s="225" t="s">
        <v>7413</v>
      </c>
      <c r="F11109" s="225" t="s">
        <v>6946</v>
      </c>
    </row>
    <row r="11110" spans="2:6" ht="17.25" thickBot="1">
      <c r="B11110" s="226">
        <v>46149</v>
      </c>
      <c r="C11110" s="227">
        <v>0.56578703703703703</v>
      </c>
      <c r="D11110" s="228">
        <v>10</v>
      </c>
      <c r="E11110" s="225" t="s">
        <v>7419</v>
      </c>
      <c r="F11110" s="225" t="s">
        <v>6946</v>
      </c>
    </row>
    <row r="11111" spans="2:6" ht="17.25" thickBot="1">
      <c r="B11111" s="226">
        <v>46149</v>
      </c>
      <c r="C11111" s="227">
        <v>0.83564814814814825</v>
      </c>
      <c r="D11111" s="228">
        <v>10</v>
      </c>
      <c r="E11111" s="225" t="s">
        <v>7395</v>
      </c>
      <c r="F11111" s="225" t="s">
        <v>6946</v>
      </c>
    </row>
    <row r="11112" spans="2:6" ht="17.25" thickBot="1">
      <c r="B11112" s="226">
        <v>46148</v>
      </c>
      <c r="C11112" s="227">
        <v>0.63092592592592589</v>
      </c>
      <c r="D11112" s="228">
        <v>10</v>
      </c>
      <c r="E11112" s="225" t="s">
        <v>7371</v>
      </c>
      <c r="F11112" s="225" t="s">
        <v>6946</v>
      </c>
    </row>
    <row r="11113" spans="2:6" ht="17.25" thickBot="1">
      <c r="B11113" s="226">
        <v>46148</v>
      </c>
      <c r="C11113" s="227">
        <v>0.86097222222222225</v>
      </c>
      <c r="D11113" s="228">
        <v>10</v>
      </c>
      <c r="E11113" s="225" t="s">
        <v>448</v>
      </c>
      <c r="F11113" s="225" t="s">
        <v>6946</v>
      </c>
    </row>
    <row r="11114" spans="2:6" ht="17.25" thickBot="1">
      <c r="B11114" s="226">
        <v>46148</v>
      </c>
      <c r="C11114" s="227">
        <v>0.8337500000000001</v>
      </c>
      <c r="D11114" s="228">
        <v>10</v>
      </c>
      <c r="E11114" s="225" t="s">
        <v>7352</v>
      </c>
      <c r="F11114" s="225" t="s">
        <v>6946</v>
      </c>
    </row>
    <row r="11115" spans="2:6" ht="17.25" thickBot="1">
      <c r="B11115" s="226">
        <v>46148</v>
      </c>
      <c r="C11115" s="227">
        <v>0.68622685185185184</v>
      </c>
      <c r="D11115" s="228">
        <v>10</v>
      </c>
      <c r="E11115" s="225" t="s">
        <v>7365</v>
      </c>
      <c r="F11115" s="225" t="s">
        <v>6946</v>
      </c>
    </row>
    <row r="11116" spans="2:6" ht="17.25" thickBot="1">
      <c r="B11116" s="226">
        <v>46148</v>
      </c>
      <c r="C11116" s="227">
        <v>0.74805555555555558</v>
      </c>
      <c r="D11116" s="228">
        <v>10</v>
      </c>
      <c r="E11116" s="225" t="s">
        <v>7357</v>
      </c>
      <c r="F11116" s="225" t="s">
        <v>6946</v>
      </c>
    </row>
    <row r="11117" spans="2:6" ht="17.25" thickBot="1">
      <c r="B11117" s="226">
        <v>46148</v>
      </c>
      <c r="C11117" s="227">
        <v>0.61002314814814818</v>
      </c>
      <c r="D11117" s="228">
        <v>10</v>
      </c>
      <c r="E11117" s="225" t="s">
        <v>7375</v>
      </c>
      <c r="F11117" s="225" t="s">
        <v>6946</v>
      </c>
    </row>
    <row r="11118" spans="2:6" ht="17.25" thickBot="1">
      <c r="B11118" s="226">
        <v>46148</v>
      </c>
      <c r="C11118" s="227">
        <v>0.76211805555555545</v>
      </c>
      <c r="D11118" s="228">
        <v>10</v>
      </c>
      <c r="E11118" s="225" t="s">
        <v>7354</v>
      </c>
      <c r="F11118" s="225" t="s">
        <v>6946</v>
      </c>
    </row>
    <row r="11119" spans="2:6" ht="17.25" thickBot="1">
      <c r="B11119" s="226">
        <v>46148</v>
      </c>
      <c r="C11119" s="227">
        <v>0.85875000000000001</v>
      </c>
      <c r="D11119" s="228">
        <v>10</v>
      </c>
      <c r="E11119" s="225" t="s">
        <v>7351</v>
      </c>
      <c r="F11119" s="225" t="s">
        <v>6946</v>
      </c>
    </row>
    <row r="11120" spans="2:6" ht="17.25" thickBot="1">
      <c r="B11120" s="226">
        <v>46148</v>
      </c>
      <c r="C11120" s="227">
        <v>0.6277314814814815</v>
      </c>
      <c r="D11120" s="228">
        <v>10</v>
      </c>
      <c r="E11120" s="225" t="s">
        <v>7373</v>
      </c>
      <c r="F11120" s="225" t="s">
        <v>6946</v>
      </c>
    </row>
    <row r="11121" spans="2:6" ht="17.25" thickBot="1">
      <c r="B11121" s="226">
        <v>46148</v>
      </c>
      <c r="C11121" s="227">
        <v>0.64295138888888892</v>
      </c>
      <c r="D11121" s="228">
        <v>10</v>
      </c>
      <c r="E11121" s="225" t="s">
        <v>7370</v>
      </c>
      <c r="F11121" s="225" t="s">
        <v>6946</v>
      </c>
    </row>
    <row r="11122" spans="2:6" ht="17.25" thickBot="1">
      <c r="B11122" s="226">
        <v>46148</v>
      </c>
      <c r="C11122" s="227">
        <v>0.76194444444444442</v>
      </c>
      <c r="D11122" s="228">
        <v>10</v>
      </c>
      <c r="E11122" s="225" t="s">
        <v>7355</v>
      </c>
      <c r="F11122" s="225" t="s">
        <v>6946</v>
      </c>
    </row>
    <row r="11123" spans="2:6" ht="17.25" thickBot="1">
      <c r="B11123" s="226">
        <v>46148</v>
      </c>
      <c r="C11123" s="227">
        <v>0.68763888888888891</v>
      </c>
      <c r="D11123" s="228">
        <v>10</v>
      </c>
      <c r="E11123" s="225" t="s">
        <v>7362</v>
      </c>
      <c r="F11123" s="225" t="s">
        <v>6946</v>
      </c>
    </row>
    <row r="11124" spans="2:6" ht="26.25" thickBot="1">
      <c r="B11124" s="226">
        <v>46148</v>
      </c>
      <c r="C11124" s="227">
        <v>0.54057870370370364</v>
      </c>
      <c r="D11124" s="228">
        <v>10</v>
      </c>
      <c r="E11124" s="225" t="s">
        <v>7380</v>
      </c>
      <c r="F11124" s="225" t="s">
        <v>6946</v>
      </c>
    </row>
    <row r="11125" spans="2:6" ht="17.25" thickBot="1">
      <c r="B11125" s="226">
        <v>46148</v>
      </c>
      <c r="C11125" s="227">
        <v>0.69763888888888881</v>
      </c>
      <c r="D11125" s="228">
        <v>10</v>
      </c>
      <c r="E11125" s="225" t="s">
        <v>7360</v>
      </c>
      <c r="F11125" s="225" t="s">
        <v>6946</v>
      </c>
    </row>
    <row r="11126" spans="2:6" ht="17.25" thickBot="1">
      <c r="B11126" s="226">
        <v>46148</v>
      </c>
      <c r="C11126" s="227">
        <v>0.69996527777777784</v>
      </c>
      <c r="D11126" s="228">
        <v>10</v>
      </c>
      <c r="E11126" s="225" t="s">
        <v>7363</v>
      </c>
      <c r="F11126" s="225" t="s">
        <v>6946</v>
      </c>
    </row>
    <row r="11127" spans="2:6" ht="17.25" thickBot="1">
      <c r="B11127" s="226">
        <v>46148</v>
      </c>
      <c r="C11127" s="227">
        <v>0.88218750000000001</v>
      </c>
      <c r="D11127" s="228">
        <v>10</v>
      </c>
      <c r="E11127" s="225" t="s">
        <v>836</v>
      </c>
      <c r="F11127" s="225" t="s">
        <v>6946</v>
      </c>
    </row>
    <row r="11128" spans="2:6" ht="17.25" thickBot="1">
      <c r="B11128" s="226">
        <v>46148</v>
      </c>
      <c r="C11128" s="227">
        <v>0.54503472222222216</v>
      </c>
      <c r="D11128" s="228">
        <v>10</v>
      </c>
      <c r="E11128" s="225" t="s">
        <v>7379</v>
      </c>
      <c r="F11128" s="225" t="s">
        <v>6946</v>
      </c>
    </row>
    <row r="11129" spans="2:6" ht="51.75" thickBot="1">
      <c r="B11129" s="226">
        <v>46148</v>
      </c>
      <c r="C11129" s="227">
        <v>0.76218750000000002</v>
      </c>
      <c r="D11129" s="228">
        <v>10</v>
      </c>
      <c r="E11129" s="225" t="s">
        <v>7356</v>
      </c>
      <c r="F11129" s="225" t="s">
        <v>6946</v>
      </c>
    </row>
    <row r="11130" spans="2:6" ht="17.25" thickBot="1">
      <c r="B11130" s="226">
        <v>46148</v>
      </c>
      <c r="C11130" s="227">
        <v>0.72728009259259263</v>
      </c>
      <c r="D11130" s="228">
        <v>10</v>
      </c>
      <c r="E11130" s="225" t="s">
        <v>1457</v>
      </c>
      <c r="F11130" s="225" t="s">
        <v>6946</v>
      </c>
    </row>
    <row r="11131" spans="2:6" ht="17.25" thickBot="1">
      <c r="B11131" s="226">
        <v>46148</v>
      </c>
      <c r="C11131" s="227">
        <v>0.48620370370370369</v>
      </c>
      <c r="D11131" s="228">
        <v>10</v>
      </c>
      <c r="E11131" s="225" t="s">
        <v>7381</v>
      </c>
      <c r="F11131" s="225" t="s">
        <v>6946</v>
      </c>
    </row>
    <row r="11132" spans="2:6" ht="17.25" thickBot="1">
      <c r="B11132" s="226">
        <v>46148</v>
      </c>
      <c r="C11132" s="227">
        <v>0.51730324074074074</v>
      </c>
      <c r="D11132" s="228">
        <v>10</v>
      </c>
      <c r="E11132" s="225" t="s">
        <v>7383</v>
      </c>
      <c r="F11132" s="225" t="s">
        <v>6946</v>
      </c>
    </row>
    <row r="11133" spans="2:6" ht="17.25" thickBot="1">
      <c r="B11133" s="226">
        <v>46148</v>
      </c>
      <c r="C11133" s="227">
        <v>0.68285879629629631</v>
      </c>
      <c r="D11133" s="228">
        <v>10</v>
      </c>
      <c r="E11133" s="225" t="s">
        <v>7364</v>
      </c>
      <c r="F11133" s="225" t="s">
        <v>6946</v>
      </c>
    </row>
    <row r="11134" spans="2:6" ht="17.25" thickBot="1">
      <c r="B11134" s="226">
        <v>46148</v>
      </c>
      <c r="C11134" s="227">
        <v>0.48355324074074074</v>
      </c>
      <c r="D11134" s="228">
        <v>10</v>
      </c>
      <c r="E11134" s="225" t="s">
        <v>7382</v>
      </c>
      <c r="F11134" s="225" t="s">
        <v>6946</v>
      </c>
    </row>
    <row r="11135" spans="2:6" ht="17.25" thickBot="1">
      <c r="B11135" s="226">
        <v>46148</v>
      </c>
      <c r="C11135" s="227">
        <v>0.64109953703703704</v>
      </c>
      <c r="D11135" s="228">
        <v>10</v>
      </c>
      <c r="E11135" s="225" t="s">
        <v>7369</v>
      </c>
      <c r="F11135" s="225" t="s">
        <v>6946</v>
      </c>
    </row>
    <row r="11136" spans="2:6" ht="17.25" thickBot="1">
      <c r="B11136" s="226">
        <v>46148</v>
      </c>
      <c r="C11136" s="227">
        <v>0.78622685185185182</v>
      </c>
      <c r="D11136" s="228">
        <v>10</v>
      </c>
      <c r="E11136" s="225" t="s">
        <v>7353</v>
      </c>
      <c r="F11136" s="225" t="s">
        <v>6946</v>
      </c>
    </row>
    <row r="11137" spans="2:6" ht="17.25" thickBot="1">
      <c r="B11137" s="226">
        <v>46148</v>
      </c>
      <c r="C11137" s="227">
        <v>0.59045138888888882</v>
      </c>
      <c r="D11137" s="228">
        <v>10</v>
      </c>
      <c r="E11137" s="225" t="s">
        <v>7377</v>
      </c>
      <c r="F11137" s="225" t="s">
        <v>6946</v>
      </c>
    </row>
    <row r="11138" spans="2:6" ht="17.25" thickBot="1">
      <c r="B11138" s="226">
        <v>46148</v>
      </c>
      <c r="C11138" s="227">
        <v>0.62343749999999998</v>
      </c>
      <c r="D11138" s="228">
        <v>10</v>
      </c>
      <c r="E11138" s="225" t="s">
        <v>7372</v>
      </c>
      <c r="F11138" s="225" t="s">
        <v>6946</v>
      </c>
    </row>
    <row r="11139" spans="2:6" ht="17.25" thickBot="1">
      <c r="B11139" s="226">
        <v>46148</v>
      </c>
      <c r="C11139" s="227">
        <v>0.61711805555555554</v>
      </c>
      <c r="D11139" s="228">
        <v>10</v>
      </c>
      <c r="E11139" s="225" t="s">
        <v>7374</v>
      </c>
      <c r="F11139" s="225" t="s">
        <v>6946</v>
      </c>
    </row>
    <row r="11140" spans="2:6" ht="17.25" thickBot="1">
      <c r="B11140" s="226">
        <v>46148</v>
      </c>
      <c r="C11140" s="227">
        <v>0.69813657407407403</v>
      </c>
      <c r="D11140" s="228">
        <v>10</v>
      </c>
      <c r="E11140" s="225" t="s">
        <v>7361</v>
      </c>
      <c r="F11140" s="225" t="s">
        <v>6946</v>
      </c>
    </row>
    <row r="11141" spans="2:6" ht="17.25" thickBot="1">
      <c r="B11141" s="226">
        <v>46148</v>
      </c>
      <c r="C11141" s="227">
        <v>0.60793981481481485</v>
      </c>
      <c r="D11141" s="228">
        <v>10</v>
      </c>
      <c r="E11141" s="225" t="s">
        <v>1747</v>
      </c>
      <c r="F11141" s="225" t="s">
        <v>6946</v>
      </c>
    </row>
    <row r="11142" spans="2:6" ht="17.25" thickBot="1">
      <c r="B11142" s="226">
        <v>46148</v>
      </c>
      <c r="C11142" s="227">
        <v>0.66456018518518511</v>
      </c>
      <c r="D11142" s="228">
        <v>10</v>
      </c>
      <c r="E11142" s="225" t="s">
        <v>7366</v>
      </c>
      <c r="F11142" s="225" t="s">
        <v>6946</v>
      </c>
    </row>
    <row r="11143" spans="2:6" ht="17.25" thickBot="1">
      <c r="B11143" s="226">
        <v>46148</v>
      </c>
      <c r="C11143" s="227">
        <v>0.41752314814814812</v>
      </c>
      <c r="D11143" s="228">
        <v>10</v>
      </c>
      <c r="E11143" s="225" t="s">
        <v>7388</v>
      </c>
      <c r="F11143" s="225" t="s">
        <v>6946</v>
      </c>
    </row>
    <row r="11144" spans="2:6" ht="17.25" thickBot="1">
      <c r="B11144" s="226">
        <v>46148</v>
      </c>
      <c r="C11144" s="227">
        <v>0.51710648148148153</v>
      </c>
      <c r="D11144" s="228">
        <v>10</v>
      </c>
      <c r="E11144" s="225" t="s">
        <v>690</v>
      </c>
      <c r="F11144" s="225" t="s">
        <v>6946</v>
      </c>
    </row>
    <row r="11145" spans="2:6" ht="17.25" thickBot="1">
      <c r="B11145" s="226">
        <v>46148</v>
      </c>
      <c r="C11145" s="227">
        <v>0.59505787037037039</v>
      </c>
      <c r="D11145" s="228">
        <v>10</v>
      </c>
      <c r="E11145" s="225" t="s">
        <v>7376</v>
      </c>
      <c r="F11145" s="225" t="s">
        <v>6946</v>
      </c>
    </row>
    <row r="11146" spans="2:6" ht="17.25" thickBot="1">
      <c r="B11146" s="226">
        <v>46148</v>
      </c>
      <c r="C11146" s="227">
        <v>0.70478009259259267</v>
      </c>
      <c r="D11146" s="228">
        <v>10</v>
      </c>
      <c r="E11146" s="225" t="s">
        <v>7359</v>
      </c>
      <c r="F11146" s="225" t="s">
        <v>6946</v>
      </c>
    </row>
    <row r="11147" spans="2:6" ht="17.25" thickBot="1">
      <c r="B11147" s="226">
        <v>46148</v>
      </c>
      <c r="C11147" s="227">
        <v>0.7243518518518518</v>
      </c>
      <c r="D11147" s="228">
        <v>10</v>
      </c>
      <c r="E11147" s="225" t="s">
        <v>7358</v>
      </c>
      <c r="F11147" s="225" t="s">
        <v>6946</v>
      </c>
    </row>
    <row r="11148" spans="2:6" ht="17.25" thickBot="1">
      <c r="B11148" s="226">
        <v>46148</v>
      </c>
      <c r="C11148" s="227">
        <v>0.43339120370370371</v>
      </c>
      <c r="D11148" s="228">
        <v>10</v>
      </c>
      <c r="E11148" s="225" t="s">
        <v>7385</v>
      </c>
      <c r="F11148" s="225" t="s">
        <v>6946</v>
      </c>
    </row>
    <row r="11149" spans="2:6" ht="17.25" thickBot="1">
      <c r="B11149" s="226">
        <v>46148</v>
      </c>
      <c r="C11149" s="227">
        <v>0.42625000000000002</v>
      </c>
      <c r="D11149" s="228">
        <v>10</v>
      </c>
      <c r="E11149" s="225" t="s">
        <v>7387</v>
      </c>
      <c r="F11149" s="225" t="s">
        <v>6946</v>
      </c>
    </row>
    <row r="11150" spans="2:6" ht="17.25" thickBot="1">
      <c r="B11150" s="226">
        <v>46148</v>
      </c>
      <c r="C11150" s="227">
        <v>0.45070601851851855</v>
      </c>
      <c r="D11150" s="228">
        <v>10</v>
      </c>
      <c r="E11150" s="225" t="s">
        <v>7384</v>
      </c>
      <c r="F11150" s="225" t="s">
        <v>6946</v>
      </c>
    </row>
    <row r="11151" spans="2:6" ht="17.25" thickBot="1">
      <c r="B11151" s="226">
        <v>46148</v>
      </c>
      <c r="C11151" s="227">
        <v>0.41424768518518523</v>
      </c>
      <c r="D11151" s="228">
        <v>10</v>
      </c>
      <c r="E11151" s="225" t="s">
        <v>7389</v>
      </c>
      <c r="F11151" s="225" t="s">
        <v>6946</v>
      </c>
    </row>
    <row r="11152" spans="2:6" ht="17.25" thickBot="1">
      <c r="B11152" s="226">
        <v>46148</v>
      </c>
      <c r="C11152" s="227">
        <v>0.40340277777777778</v>
      </c>
      <c r="D11152" s="228">
        <v>10</v>
      </c>
      <c r="E11152" s="225" t="s">
        <v>7390</v>
      </c>
      <c r="F11152" s="225" t="s">
        <v>6946</v>
      </c>
    </row>
    <row r="11153" spans="2:6" ht="17.25" thickBot="1">
      <c r="B11153" s="226">
        <v>46148</v>
      </c>
      <c r="C11153" s="227">
        <v>0.51969907407407401</v>
      </c>
      <c r="D11153" s="228">
        <v>10</v>
      </c>
      <c r="E11153" s="225" t="s">
        <v>7386</v>
      </c>
      <c r="F11153" s="225" t="s">
        <v>6946</v>
      </c>
    </row>
    <row r="11154" spans="2:6" ht="17.25" thickBot="1">
      <c r="B11154" s="226">
        <v>46148</v>
      </c>
      <c r="C11154" s="227">
        <v>0.41859953703703701</v>
      </c>
      <c r="D11154" s="228">
        <v>10</v>
      </c>
      <c r="E11154" s="225" t="s">
        <v>2233</v>
      </c>
      <c r="F11154" s="225" t="s">
        <v>6946</v>
      </c>
    </row>
    <row r="11155" spans="2:6" ht="17.25" thickBot="1">
      <c r="B11155" s="226">
        <v>46148</v>
      </c>
      <c r="C11155" s="227">
        <v>0.87136574074074069</v>
      </c>
      <c r="D11155" s="228">
        <v>10</v>
      </c>
      <c r="E11155" s="225" t="s">
        <v>7350</v>
      </c>
      <c r="F11155" s="225" t="s">
        <v>6946</v>
      </c>
    </row>
    <row r="11156" spans="2:6" ht="17.25" thickBot="1">
      <c r="B11156" s="226">
        <v>46148</v>
      </c>
      <c r="C11156" s="227">
        <v>0.66575231481481478</v>
      </c>
      <c r="D11156" s="228">
        <v>10</v>
      </c>
      <c r="E11156" s="225" t="s">
        <v>7367</v>
      </c>
      <c r="F11156" s="225" t="s">
        <v>6946</v>
      </c>
    </row>
    <row r="11157" spans="2:6" ht="17.25" thickBot="1">
      <c r="B11157" s="226">
        <v>46148</v>
      </c>
      <c r="C11157" s="227">
        <v>0.6434375</v>
      </c>
      <c r="D11157" s="228">
        <v>10</v>
      </c>
      <c r="E11157" s="225" t="s">
        <v>7368</v>
      </c>
      <c r="F11157" s="225" t="s">
        <v>6946</v>
      </c>
    </row>
    <row r="11158" spans="2:6" ht="17.25" thickBot="1">
      <c r="B11158" s="226">
        <v>46148</v>
      </c>
      <c r="C11158" s="227">
        <v>0.59814814814814821</v>
      </c>
      <c r="D11158" s="228">
        <v>10</v>
      </c>
      <c r="E11158" s="225" t="s">
        <v>2385</v>
      </c>
      <c r="F11158" s="225" t="s">
        <v>6946</v>
      </c>
    </row>
    <row r="11159" spans="2:6" ht="17.25" thickBot="1">
      <c r="B11159" s="226">
        <v>46148</v>
      </c>
      <c r="C11159" s="227">
        <v>0.58076388888888886</v>
      </c>
      <c r="D11159" s="228">
        <v>10</v>
      </c>
      <c r="E11159" s="225" t="s">
        <v>7378</v>
      </c>
      <c r="F11159" s="225" t="s">
        <v>6946</v>
      </c>
    </row>
    <row r="11160" spans="2:6" ht="17.25" thickBot="1">
      <c r="B11160" s="226">
        <v>46146</v>
      </c>
      <c r="C11160" s="227">
        <v>0.71020833333333344</v>
      </c>
      <c r="D11160" s="228">
        <v>10</v>
      </c>
      <c r="E11160" s="225" t="s">
        <v>7318</v>
      </c>
      <c r="F11160" s="225" t="s">
        <v>6946</v>
      </c>
    </row>
    <row r="11161" spans="2:6" ht="17.25" thickBot="1">
      <c r="B11161" s="226">
        <v>46146</v>
      </c>
      <c r="C11161" s="227">
        <v>0.62787037037037041</v>
      </c>
      <c r="D11161" s="228">
        <v>10</v>
      </c>
      <c r="E11161" s="225" t="s">
        <v>7330</v>
      </c>
      <c r="F11161" s="225" t="s">
        <v>6946</v>
      </c>
    </row>
    <row r="11162" spans="2:6" ht="17.25" thickBot="1">
      <c r="B11162" s="226">
        <v>46146</v>
      </c>
      <c r="C11162" s="227">
        <v>0.45619212962962963</v>
      </c>
      <c r="D11162" s="228">
        <v>10</v>
      </c>
      <c r="E11162" s="225" t="s">
        <v>7343</v>
      </c>
      <c r="F11162" s="225" t="s">
        <v>6946</v>
      </c>
    </row>
    <row r="11163" spans="2:6" ht="17.25" thickBot="1">
      <c r="B11163" s="226">
        <v>46146</v>
      </c>
      <c r="C11163" s="227">
        <v>0.40265046296296297</v>
      </c>
      <c r="D11163" s="228">
        <v>10</v>
      </c>
      <c r="E11163" s="225" t="s">
        <v>7348</v>
      </c>
      <c r="F11163" s="225" t="s">
        <v>6946</v>
      </c>
    </row>
    <row r="11164" spans="2:6" ht="17.25" thickBot="1">
      <c r="B11164" s="226">
        <v>46146</v>
      </c>
      <c r="C11164" s="227">
        <v>0.39432870370370371</v>
      </c>
      <c r="D11164" s="228">
        <v>10</v>
      </c>
      <c r="E11164" s="225" t="s">
        <v>7347</v>
      </c>
      <c r="F11164" s="225" t="s">
        <v>6946</v>
      </c>
    </row>
    <row r="11165" spans="2:6" ht="17.25" thickBot="1">
      <c r="B11165" s="226">
        <v>46146</v>
      </c>
      <c r="C11165" s="227">
        <v>0.88371527777777781</v>
      </c>
      <c r="D11165" s="228">
        <v>10</v>
      </c>
      <c r="E11165" s="225" t="s">
        <v>7297</v>
      </c>
      <c r="F11165" s="225" t="s">
        <v>6946</v>
      </c>
    </row>
    <row r="11166" spans="2:6" ht="17.25" thickBot="1">
      <c r="B11166" s="226">
        <v>46146</v>
      </c>
      <c r="C11166" s="227">
        <v>0.83534722222222213</v>
      </c>
      <c r="D11166" s="228">
        <v>10</v>
      </c>
      <c r="E11166" s="225" t="s">
        <v>7303</v>
      </c>
      <c r="F11166" s="225" t="s">
        <v>6946</v>
      </c>
    </row>
    <row r="11167" spans="2:6" ht="17.25" thickBot="1">
      <c r="B11167" s="226">
        <v>46146</v>
      </c>
      <c r="C11167" s="227">
        <v>0.66164351851851855</v>
      </c>
      <c r="D11167" s="228">
        <v>10</v>
      </c>
      <c r="E11167" s="225" t="s">
        <v>132</v>
      </c>
      <c r="F11167" s="225" t="s">
        <v>6946</v>
      </c>
    </row>
    <row r="11168" spans="2:6" ht="17.25" thickBot="1">
      <c r="B11168" s="226">
        <v>46146</v>
      </c>
      <c r="C11168" s="227">
        <v>0.74646990740740737</v>
      </c>
      <c r="D11168" s="228">
        <v>10</v>
      </c>
      <c r="E11168" s="225" t="s">
        <v>7310</v>
      </c>
      <c r="F11168" s="225" t="s">
        <v>6946</v>
      </c>
    </row>
    <row r="11169" spans="2:6" ht="17.25" thickBot="1">
      <c r="B11169" s="226">
        <v>46146</v>
      </c>
      <c r="C11169" s="227">
        <v>0.70914351851851853</v>
      </c>
      <c r="D11169" s="228">
        <v>10</v>
      </c>
      <c r="E11169" s="225" t="s">
        <v>7317</v>
      </c>
      <c r="F11169" s="225" t="s">
        <v>6946</v>
      </c>
    </row>
    <row r="11170" spans="2:6" ht="17.25" thickBot="1">
      <c r="B11170" s="226">
        <v>46146</v>
      </c>
      <c r="C11170" s="227">
        <v>0.65390046296296289</v>
      </c>
      <c r="D11170" s="228">
        <v>10</v>
      </c>
      <c r="E11170" s="225" t="s">
        <v>7325</v>
      </c>
      <c r="F11170" s="225" t="s">
        <v>6946</v>
      </c>
    </row>
    <row r="11171" spans="2:6" ht="17.25" thickBot="1">
      <c r="B11171" s="226">
        <v>46146</v>
      </c>
      <c r="C11171" s="227">
        <v>0.73545138888888895</v>
      </c>
      <c r="D11171" s="228">
        <v>10</v>
      </c>
      <c r="E11171" s="225" t="s">
        <v>7312</v>
      </c>
      <c r="F11171" s="225" t="s">
        <v>6946</v>
      </c>
    </row>
    <row r="11172" spans="2:6" ht="17.25" thickBot="1">
      <c r="B11172" s="226">
        <v>46146</v>
      </c>
      <c r="C11172" s="227">
        <v>0.85925925925925928</v>
      </c>
      <c r="D11172" s="228">
        <v>10</v>
      </c>
      <c r="E11172" s="225" t="s">
        <v>7300</v>
      </c>
      <c r="F11172" s="225" t="s">
        <v>6946</v>
      </c>
    </row>
    <row r="11173" spans="2:6" ht="17.25" thickBot="1">
      <c r="B11173" s="226">
        <v>46146</v>
      </c>
      <c r="C11173" s="227">
        <v>0.80098379629629635</v>
      </c>
      <c r="D11173" s="228">
        <v>10</v>
      </c>
      <c r="E11173" s="225" t="s">
        <v>679</v>
      </c>
      <c r="F11173" s="225" t="s">
        <v>6946</v>
      </c>
    </row>
    <row r="11174" spans="2:6" ht="17.25" thickBot="1">
      <c r="B11174" s="226">
        <v>46146</v>
      </c>
      <c r="C11174" s="227">
        <v>0.80453703703703694</v>
      </c>
      <c r="D11174" s="228">
        <v>10</v>
      </c>
      <c r="E11174" s="225" t="s">
        <v>7306</v>
      </c>
      <c r="F11174" s="225" t="s">
        <v>6946</v>
      </c>
    </row>
    <row r="11175" spans="2:6" ht="26.25" thickBot="1">
      <c r="B11175" s="226">
        <v>46146</v>
      </c>
      <c r="C11175" s="227">
        <v>0.73401620370370368</v>
      </c>
      <c r="D11175" s="228">
        <v>10</v>
      </c>
      <c r="E11175" s="225" t="s">
        <v>7314</v>
      </c>
      <c r="F11175" s="225" t="s">
        <v>6946</v>
      </c>
    </row>
    <row r="11176" spans="2:6" ht="17.25" thickBot="1">
      <c r="B11176" s="226">
        <v>46146</v>
      </c>
      <c r="C11176" s="227">
        <v>0.71947916666666656</v>
      </c>
      <c r="D11176" s="228">
        <v>10</v>
      </c>
      <c r="E11176" s="225" t="s">
        <v>7316</v>
      </c>
      <c r="F11176" s="225" t="s">
        <v>6946</v>
      </c>
    </row>
    <row r="11177" spans="2:6" ht="17.25" thickBot="1">
      <c r="B11177" s="226">
        <v>46146</v>
      </c>
      <c r="C11177" s="227">
        <v>0.62611111111111117</v>
      </c>
      <c r="D11177" s="228">
        <v>10</v>
      </c>
      <c r="E11177" s="225" t="s">
        <v>7331</v>
      </c>
      <c r="F11177" s="225" t="s">
        <v>6946</v>
      </c>
    </row>
    <row r="11178" spans="2:6" ht="17.25" thickBot="1">
      <c r="B11178" s="226">
        <v>46146</v>
      </c>
      <c r="C11178" s="227">
        <v>0.80981481481481488</v>
      </c>
      <c r="D11178" s="228">
        <v>10</v>
      </c>
      <c r="E11178" s="225" t="s">
        <v>7305</v>
      </c>
      <c r="F11178" s="225" t="s">
        <v>6946</v>
      </c>
    </row>
    <row r="11179" spans="2:6" ht="17.25" thickBot="1">
      <c r="B11179" s="226">
        <v>46146</v>
      </c>
      <c r="C11179" s="227">
        <v>0.86297453703703697</v>
      </c>
      <c r="D11179" s="228">
        <v>10</v>
      </c>
      <c r="E11179" s="225" t="s">
        <v>7299</v>
      </c>
      <c r="F11179" s="225" t="s">
        <v>6946</v>
      </c>
    </row>
    <row r="11180" spans="2:6" ht="17.25" thickBot="1">
      <c r="B11180" s="226">
        <v>46146</v>
      </c>
      <c r="C11180" s="227">
        <v>0.58420138888888895</v>
      </c>
      <c r="D11180" s="228">
        <v>10</v>
      </c>
      <c r="E11180" s="225"/>
      <c r="F11180" s="225" t="s">
        <v>6946</v>
      </c>
    </row>
    <row r="11181" spans="2:6" ht="17.25" thickBot="1">
      <c r="B11181" s="226">
        <v>46146</v>
      </c>
      <c r="C11181" s="227">
        <v>0.69702546296296297</v>
      </c>
      <c r="D11181" s="228">
        <v>10</v>
      </c>
      <c r="E11181" s="225" t="s">
        <v>7321</v>
      </c>
      <c r="F11181" s="225" t="s">
        <v>6946</v>
      </c>
    </row>
    <row r="11182" spans="2:6" ht="17.25" thickBot="1">
      <c r="B11182" s="226">
        <v>46146</v>
      </c>
      <c r="C11182" s="227">
        <v>0.82642361111111118</v>
      </c>
      <c r="D11182" s="228">
        <v>10</v>
      </c>
      <c r="E11182" s="225" t="s">
        <v>7304</v>
      </c>
      <c r="F11182" s="225" t="s">
        <v>6946</v>
      </c>
    </row>
    <row r="11183" spans="2:6" ht="17.25" thickBot="1">
      <c r="B11183" s="226">
        <v>46146</v>
      </c>
      <c r="C11183" s="227">
        <v>0.84496527777777775</v>
      </c>
      <c r="D11183" s="228">
        <v>10</v>
      </c>
      <c r="E11183" s="225" t="s">
        <v>7301</v>
      </c>
      <c r="F11183" s="225" t="s">
        <v>6946</v>
      </c>
    </row>
    <row r="11184" spans="2:6" ht="17.25" thickBot="1">
      <c r="B11184" s="226">
        <v>46146</v>
      </c>
      <c r="C11184" s="227">
        <v>0.75496527777777789</v>
      </c>
      <c r="D11184" s="228">
        <v>10</v>
      </c>
      <c r="E11184" s="225" t="s">
        <v>7319</v>
      </c>
      <c r="F11184" s="225" t="s">
        <v>6946</v>
      </c>
    </row>
    <row r="11185" spans="2:6" ht="17.25" thickBot="1">
      <c r="B11185" s="226">
        <v>46146</v>
      </c>
      <c r="C11185" s="227">
        <v>0.83916666666666673</v>
      </c>
      <c r="D11185" s="228">
        <v>10</v>
      </c>
      <c r="E11185" s="225" t="s">
        <v>7302</v>
      </c>
      <c r="F11185" s="225" t="s">
        <v>6946</v>
      </c>
    </row>
    <row r="11186" spans="2:6" ht="17.25" thickBot="1">
      <c r="B11186" s="226">
        <v>46146</v>
      </c>
      <c r="C11186" s="227">
        <v>0.77086805555555549</v>
      </c>
      <c r="D11186" s="228">
        <v>10</v>
      </c>
      <c r="E11186" s="225" t="s">
        <v>7307</v>
      </c>
      <c r="F11186" s="225" t="s">
        <v>6946</v>
      </c>
    </row>
    <row r="11187" spans="2:6" ht="17.25" thickBot="1">
      <c r="B11187" s="226">
        <v>46146</v>
      </c>
      <c r="C11187" s="227">
        <v>0.73800925925925931</v>
      </c>
      <c r="D11187" s="228">
        <v>10</v>
      </c>
      <c r="E11187" s="225" t="s">
        <v>7311</v>
      </c>
      <c r="F11187" s="225" t="s">
        <v>6946</v>
      </c>
    </row>
    <row r="11188" spans="2:6" ht="17.25" thickBot="1">
      <c r="B11188" s="226">
        <v>46146</v>
      </c>
      <c r="C11188" s="227">
        <v>0.75618055555555552</v>
      </c>
      <c r="D11188" s="228">
        <v>10</v>
      </c>
      <c r="E11188" s="225" t="s">
        <v>7315</v>
      </c>
      <c r="F11188" s="225" t="s">
        <v>6946</v>
      </c>
    </row>
    <row r="11189" spans="2:6" ht="17.25" thickBot="1">
      <c r="B11189" s="226">
        <v>46146</v>
      </c>
      <c r="C11189" s="227">
        <v>0.70803240740740747</v>
      </c>
      <c r="D11189" s="228">
        <v>10</v>
      </c>
      <c r="E11189" s="225" t="s">
        <v>7320</v>
      </c>
      <c r="F11189" s="225" t="s">
        <v>6946</v>
      </c>
    </row>
    <row r="11190" spans="2:6" ht="17.25" thickBot="1">
      <c r="B11190" s="226">
        <v>46146</v>
      </c>
      <c r="C11190" s="227">
        <v>0.64556712962962959</v>
      </c>
      <c r="D11190" s="228">
        <v>10</v>
      </c>
      <c r="E11190" s="225" t="s">
        <v>7328</v>
      </c>
      <c r="F11190" s="225" t="s">
        <v>6946</v>
      </c>
    </row>
    <row r="11191" spans="2:6" ht="17.25" thickBot="1">
      <c r="B11191" s="226">
        <v>46146</v>
      </c>
      <c r="C11191" s="227">
        <v>0.62094907407407407</v>
      </c>
      <c r="D11191" s="228">
        <v>10</v>
      </c>
      <c r="E11191" s="225" t="s">
        <v>7333</v>
      </c>
      <c r="F11191" s="225" t="s">
        <v>6946</v>
      </c>
    </row>
    <row r="11192" spans="2:6" ht="17.25" thickBot="1">
      <c r="B11192" s="226">
        <v>46146</v>
      </c>
      <c r="C11192" s="227">
        <v>0.62270833333333331</v>
      </c>
      <c r="D11192" s="228">
        <v>10</v>
      </c>
      <c r="E11192" s="225" t="s">
        <v>426</v>
      </c>
      <c r="F11192" s="225" t="s">
        <v>6946</v>
      </c>
    </row>
    <row r="11193" spans="2:6" ht="17.25" thickBot="1">
      <c r="B11193" s="226">
        <v>46146</v>
      </c>
      <c r="C11193" s="227">
        <v>0.76050925925925927</v>
      </c>
      <c r="D11193" s="228">
        <v>10</v>
      </c>
      <c r="E11193" s="225" t="s">
        <v>7309</v>
      </c>
      <c r="F11193" s="225" t="s">
        <v>6946</v>
      </c>
    </row>
    <row r="11194" spans="2:6" ht="17.25" thickBot="1">
      <c r="B11194" s="226">
        <v>46146</v>
      </c>
      <c r="C11194" s="227">
        <v>0.64587962962962964</v>
      </c>
      <c r="D11194" s="228">
        <v>10</v>
      </c>
      <c r="E11194" s="225" t="s">
        <v>7326</v>
      </c>
      <c r="F11194" s="225" t="s">
        <v>6946</v>
      </c>
    </row>
    <row r="11195" spans="2:6" ht="17.25" thickBot="1">
      <c r="B11195" s="226">
        <v>46146</v>
      </c>
      <c r="C11195" s="227">
        <v>0.42331018518518521</v>
      </c>
      <c r="D11195" s="228">
        <v>10</v>
      </c>
      <c r="E11195" s="225" t="s">
        <v>7345</v>
      </c>
      <c r="F11195" s="225" t="s">
        <v>6946</v>
      </c>
    </row>
    <row r="11196" spans="2:6" ht="17.25" thickBot="1">
      <c r="B11196" s="226">
        <v>46146</v>
      </c>
      <c r="C11196" s="227">
        <v>0.75434027777777779</v>
      </c>
      <c r="D11196" s="228">
        <v>10</v>
      </c>
      <c r="E11196" s="225" t="s">
        <v>7308</v>
      </c>
      <c r="F11196" s="225" t="s">
        <v>6946</v>
      </c>
    </row>
    <row r="11197" spans="2:6" ht="17.25" thickBot="1">
      <c r="B11197" s="226">
        <v>46146</v>
      </c>
      <c r="C11197" s="227">
        <v>0.65971064814814817</v>
      </c>
      <c r="D11197" s="228">
        <v>10</v>
      </c>
      <c r="E11197" s="225" t="s">
        <v>7327</v>
      </c>
      <c r="F11197" s="225" t="s">
        <v>6946</v>
      </c>
    </row>
    <row r="11198" spans="2:6" ht="17.25" thickBot="1">
      <c r="B11198" s="226">
        <v>46146</v>
      </c>
      <c r="C11198" s="227">
        <v>0.7341550925925926</v>
      </c>
      <c r="D11198" s="228">
        <v>10</v>
      </c>
      <c r="E11198" s="225" t="s">
        <v>7313</v>
      </c>
      <c r="F11198" s="225" t="s">
        <v>6946</v>
      </c>
    </row>
    <row r="11199" spans="2:6" ht="17.25" thickBot="1">
      <c r="B11199" s="226">
        <v>46146</v>
      </c>
      <c r="C11199" s="227">
        <v>0.66317129629629623</v>
      </c>
      <c r="D11199" s="228">
        <v>10</v>
      </c>
      <c r="E11199" s="225" t="s">
        <v>7324</v>
      </c>
      <c r="F11199" s="225" t="s">
        <v>6946</v>
      </c>
    </row>
    <row r="11200" spans="2:6" ht="17.25" thickBot="1">
      <c r="B11200" s="226">
        <v>46146</v>
      </c>
      <c r="C11200" s="227">
        <v>0.47028935185185183</v>
      </c>
      <c r="D11200" s="228">
        <v>10</v>
      </c>
      <c r="E11200" s="225" t="s">
        <v>7342</v>
      </c>
      <c r="F11200" s="225" t="s">
        <v>6946</v>
      </c>
    </row>
    <row r="11201" spans="2:6" ht="17.25" thickBot="1">
      <c r="B11201" s="226">
        <v>46146</v>
      </c>
      <c r="C11201" s="227">
        <v>0.60723379629629626</v>
      </c>
      <c r="D11201" s="228">
        <v>10</v>
      </c>
      <c r="E11201" s="225" t="s">
        <v>7335</v>
      </c>
      <c r="F11201" s="225" t="s">
        <v>6946</v>
      </c>
    </row>
    <row r="11202" spans="2:6" ht="26.25" thickBot="1">
      <c r="B11202" s="226">
        <v>46146</v>
      </c>
      <c r="C11202" s="227">
        <v>0.8803819444444444</v>
      </c>
      <c r="D11202" s="228">
        <v>10</v>
      </c>
      <c r="E11202" s="225" t="s">
        <v>7298</v>
      </c>
      <c r="F11202" s="225" t="s">
        <v>6946</v>
      </c>
    </row>
    <row r="11203" spans="2:6" ht="17.25" thickBot="1">
      <c r="B11203" s="226">
        <v>46146</v>
      </c>
      <c r="C11203" s="227">
        <v>0.60490740740740734</v>
      </c>
      <c r="D11203" s="228">
        <v>10</v>
      </c>
      <c r="E11203" s="225" t="s">
        <v>7334</v>
      </c>
      <c r="F11203" s="225" t="s">
        <v>6946</v>
      </c>
    </row>
    <row r="11204" spans="2:6" ht="17.25" thickBot="1">
      <c r="B11204" s="226">
        <v>46146</v>
      </c>
      <c r="C11204" s="227">
        <v>0.6424305555555555</v>
      </c>
      <c r="D11204" s="228">
        <v>10</v>
      </c>
      <c r="E11204" s="225" t="s">
        <v>7332</v>
      </c>
      <c r="F11204" s="225" t="s">
        <v>6946</v>
      </c>
    </row>
    <row r="11205" spans="2:6" ht="17.25" thickBot="1">
      <c r="B11205" s="226">
        <v>46146</v>
      </c>
      <c r="C11205" s="227">
        <v>0.41461805555555559</v>
      </c>
      <c r="D11205" s="228">
        <v>10</v>
      </c>
      <c r="E11205" s="225" t="s">
        <v>7346</v>
      </c>
      <c r="F11205" s="225" t="s">
        <v>6946</v>
      </c>
    </row>
    <row r="11206" spans="2:6" ht="17.25" thickBot="1">
      <c r="B11206" s="226">
        <v>46146</v>
      </c>
      <c r="C11206" s="227">
        <v>0.48653935185185188</v>
      </c>
      <c r="D11206" s="228">
        <v>10</v>
      </c>
      <c r="E11206" s="225" t="s">
        <v>7339</v>
      </c>
      <c r="F11206" s="225" t="s">
        <v>6946</v>
      </c>
    </row>
    <row r="11207" spans="2:6" ht="17.25" thickBot="1">
      <c r="B11207" s="226">
        <v>46146</v>
      </c>
      <c r="C11207" s="227">
        <v>0.43711805555555555</v>
      </c>
      <c r="D11207" s="228">
        <v>10</v>
      </c>
      <c r="E11207" s="225" t="s">
        <v>7349</v>
      </c>
      <c r="F11207" s="225" t="s">
        <v>6946</v>
      </c>
    </row>
    <row r="11208" spans="2:6" ht="17.25" thickBot="1">
      <c r="B11208" s="226">
        <v>46146</v>
      </c>
      <c r="C11208" s="227">
        <v>0.55427083333333338</v>
      </c>
      <c r="D11208" s="228">
        <v>10</v>
      </c>
      <c r="E11208" s="225" t="s">
        <v>732</v>
      </c>
      <c r="F11208" s="225" t="s">
        <v>6946</v>
      </c>
    </row>
    <row r="11209" spans="2:6" ht="17.25" thickBot="1">
      <c r="B11209" s="226">
        <v>46146</v>
      </c>
      <c r="C11209" s="227">
        <v>0.43030092592592589</v>
      </c>
      <c r="D11209" s="228">
        <v>10</v>
      </c>
      <c r="E11209" s="225" t="s">
        <v>7344</v>
      </c>
      <c r="F11209" s="225" t="s">
        <v>6946</v>
      </c>
    </row>
    <row r="11210" spans="2:6" ht="17.25" thickBot="1">
      <c r="B11210" s="226">
        <v>46146</v>
      </c>
      <c r="C11210" s="227">
        <v>0.45799768518518519</v>
      </c>
      <c r="D11210" s="228">
        <v>10</v>
      </c>
      <c r="E11210" s="225" t="s">
        <v>7341</v>
      </c>
      <c r="F11210" s="225" t="s">
        <v>6946</v>
      </c>
    </row>
    <row r="11211" spans="2:6" ht="17.25" thickBot="1">
      <c r="B11211" s="226">
        <v>46146</v>
      </c>
      <c r="C11211" s="227">
        <v>0.47618055555555555</v>
      </c>
      <c r="D11211" s="228">
        <v>10</v>
      </c>
      <c r="E11211" s="225" t="s">
        <v>7340</v>
      </c>
      <c r="F11211" s="225" t="s">
        <v>6946</v>
      </c>
    </row>
    <row r="11212" spans="2:6" ht="17.25" thickBot="1">
      <c r="B11212" s="226">
        <v>46146</v>
      </c>
      <c r="C11212" s="227">
        <v>0.51131944444444444</v>
      </c>
      <c r="D11212" s="228">
        <v>10</v>
      </c>
      <c r="E11212" s="225" t="s">
        <v>246</v>
      </c>
      <c r="F11212" s="225" t="s">
        <v>6946</v>
      </c>
    </row>
    <row r="11213" spans="2:6" ht="17.25" thickBot="1">
      <c r="B11213" s="226">
        <v>46146</v>
      </c>
      <c r="C11213" s="227">
        <v>0.52041666666666664</v>
      </c>
      <c r="D11213" s="228">
        <v>10</v>
      </c>
      <c r="E11213" s="225" t="s">
        <v>537</v>
      </c>
      <c r="F11213" s="225" t="s">
        <v>6946</v>
      </c>
    </row>
    <row r="11214" spans="2:6" ht="17.25" thickBot="1">
      <c r="B11214" s="226">
        <v>46146</v>
      </c>
      <c r="C11214" s="227">
        <v>0.54920138888888892</v>
      </c>
      <c r="D11214" s="228">
        <v>10</v>
      </c>
      <c r="E11214" s="225" t="s">
        <v>7337</v>
      </c>
      <c r="F11214" s="225" t="s">
        <v>6946</v>
      </c>
    </row>
    <row r="11215" spans="2:6" ht="17.25" thickBot="1">
      <c r="B11215" s="226">
        <v>46146</v>
      </c>
      <c r="C11215" s="227">
        <v>0.69615740740740739</v>
      </c>
      <c r="D11215" s="228">
        <v>10</v>
      </c>
      <c r="E11215" s="225" t="s">
        <v>140</v>
      </c>
      <c r="F11215" s="225" t="s">
        <v>6946</v>
      </c>
    </row>
    <row r="11216" spans="2:6" ht="17.25" thickBot="1">
      <c r="B11216" s="226">
        <v>46146</v>
      </c>
      <c r="C11216" s="227">
        <v>0.75287037037037041</v>
      </c>
      <c r="D11216" s="228">
        <v>10</v>
      </c>
      <c r="E11216" s="225" t="s">
        <v>7322</v>
      </c>
      <c r="F11216" s="225" t="s">
        <v>6946</v>
      </c>
    </row>
    <row r="11217" spans="2:6" ht="17.25" thickBot="1">
      <c r="B11217" s="226">
        <v>46146</v>
      </c>
      <c r="C11217" s="227">
        <v>0.67932870370370368</v>
      </c>
      <c r="D11217" s="228">
        <v>10</v>
      </c>
      <c r="E11217" s="225" t="s">
        <v>7323</v>
      </c>
      <c r="F11217" s="225" t="s">
        <v>6946</v>
      </c>
    </row>
    <row r="11218" spans="2:6" ht="17.25" thickBot="1">
      <c r="B11218" s="226">
        <v>46146</v>
      </c>
      <c r="C11218" s="227">
        <v>0.63730324074074074</v>
      </c>
      <c r="D11218" s="228">
        <v>10</v>
      </c>
      <c r="E11218" s="225" t="s">
        <v>7329</v>
      </c>
      <c r="F11218" s="225" t="s">
        <v>6946</v>
      </c>
    </row>
    <row r="11219" spans="2:6" ht="26.25" thickBot="1">
      <c r="B11219" s="226">
        <v>46146</v>
      </c>
      <c r="C11219" s="227">
        <v>0.60040509259259256</v>
      </c>
      <c r="D11219" s="228">
        <v>10</v>
      </c>
      <c r="E11219" s="225" t="s">
        <v>7336</v>
      </c>
      <c r="F11219" s="225" t="s">
        <v>6946</v>
      </c>
    </row>
    <row r="11220" spans="2:6" ht="17.25" thickBot="1">
      <c r="B11220" s="226">
        <v>46146</v>
      </c>
      <c r="C11220" s="227">
        <v>0.53628472222222223</v>
      </c>
      <c r="D11220" s="228">
        <v>10</v>
      </c>
      <c r="E11220" s="225" t="s">
        <v>7338</v>
      </c>
      <c r="F11220" s="225" t="s">
        <v>6946</v>
      </c>
    </row>
    <row r="11221" spans="2:6" ht="17.25" thickBot="1">
      <c r="B11221" s="226">
        <v>46144</v>
      </c>
      <c r="C11221" s="227">
        <v>0.73055555555555562</v>
      </c>
      <c r="D11221" s="228">
        <v>10</v>
      </c>
      <c r="E11221" s="225" t="s">
        <v>4501</v>
      </c>
      <c r="F11221" s="225" t="s">
        <v>6946</v>
      </c>
    </row>
    <row r="11222" spans="2:6" ht="17.25" thickBot="1">
      <c r="B11222" s="226">
        <v>46144</v>
      </c>
      <c r="C11222" s="227">
        <v>0.59856481481481483</v>
      </c>
      <c r="D11222" s="228">
        <v>10</v>
      </c>
      <c r="E11222" s="228">
        <v>1</v>
      </c>
      <c r="F11222" s="225" t="s">
        <v>6946</v>
      </c>
    </row>
    <row r="11223" spans="2:6" ht="17.25" thickBot="1">
      <c r="B11223" s="226">
        <v>46144</v>
      </c>
      <c r="C11223" s="227">
        <v>0.56859953703703703</v>
      </c>
      <c r="D11223" s="228">
        <v>10</v>
      </c>
      <c r="E11223" s="225" t="s">
        <v>7259</v>
      </c>
      <c r="F11223" s="225" t="s">
        <v>6946</v>
      </c>
    </row>
    <row r="11224" spans="2:6" ht="17.25" thickBot="1">
      <c r="B11224" s="226">
        <v>46144</v>
      </c>
      <c r="C11224" s="227">
        <v>0.43364583333333334</v>
      </c>
      <c r="D11224" s="228">
        <v>10</v>
      </c>
      <c r="E11224" s="225" t="s">
        <v>7265</v>
      </c>
      <c r="F11224" s="225" t="s">
        <v>6946</v>
      </c>
    </row>
    <row r="11225" spans="2:6" ht="17.25" thickBot="1">
      <c r="B11225" s="226">
        <v>46144</v>
      </c>
      <c r="C11225" s="227">
        <v>0.60846064814814815</v>
      </c>
      <c r="D11225" s="228">
        <v>10</v>
      </c>
      <c r="E11225" s="225" t="s">
        <v>7258</v>
      </c>
      <c r="F11225" s="225" t="s">
        <v>6946</v>
      </c>
    </row>
    <row r="11226" spans="2:6" ht="17.25" thickBot="1">
      <c r="B11226" s="226">
        <v>46144</v>
      </c>
      <c r="C11226" s="227">
        <v>0.46613425925925928</v>
      </c>
      <c r="D11226" s="228">
        <v>10</v>
      </c>
      <c r="E11226" s="225" t="s">
        <v>7263</v>
      </c>
      <c r="F11226" s="225" t="s">
        <v>6946</v>
      </c>
    </row>
    <row r="11227" spans="2:6" ht="17.25" thickBot="1">
      <c r="B11227" s="226">
        <v>46144</v>
      </c>
      <c r="C11227" s="227">
        <v>0.4302083333333333</v>
      </c>
      <c r="D11227" s="228">
        <v>10</v>
      </c>
      <c r="E11227" s="225" t="s">
        <v>7264</v>
      </c>
      <c r="F11227" s="225" t="s">
        <v>6946</v>
      </c>
    </row>
    <row r="11228" spans="2:6" ht="17.25" thickBot="1">
      <c r="B11228" s="226">
        <v>46144</v>
      </c>
      <c r="C11228" s="227">
        <v>0.66822916666666676</v>
      </c>
      <c r="D11228" s="228">
        <v>10</v>
      </c>
      <c r="E11228" s="225" t="s">
        <v>7257</v>
      </c>
      <c r="F11228" s="225" t="s">
        <v>6946</v>
      </c>
    </row>
    <row r="11229" spans="2:6" ht="17.25" thickBot="1">
      <c r="B11229" s="226">
        <v>46144</v>
      </c>
      <c r="C11229" s="227">
        <v>0.39391203703703703</v>
      </c>
      <c r="D11229" s="228">
        <v>10</v>
      </c>
      <c r="E11229" s="225" t="s">
        <v>7267</v>
      </c>
      <c r="F11229" s="225" t="s">
        <v>6946</v>
      </c>
    </row>
    <row r="11230" spans="2:6" ht="17.25" thickBot="1">
      <c r="B11230" s="226">
        <v>46144</v>
      </c>
      <c r="C11230" s="227">
        <v>0.55532407407407403</v>
      </c>
      <c r="D11230" s="228">
        <v>10</v>
      </c>
      <c r="E11230" s="225" t="s">
        <v>7260</v>
      </c>
      <c r="F11230" s="225" t="s">
        <v>6946</v>
      </c>
    </row>
    <row r="11231" spans="2:6" ht="17.25" thickBot="1">
      <c r="B11231" s="226">
        <v>46144</v>
      </c>
      <c r="C11231" s="227">
        <v>0.40043981481481478</v>
      </c>
      <c r="D11231" s="228">
        <v>10</v>
      </c>
      <c r="E11231" s="225" t="s">
        <v>7266</v>
      </c>
      <c r="F11231" s="225" t="s">
        <v>6946</v>
      </c>
    </row>
    <row r="11232" spans="2:6" ht="17.25" thickBot="1">
      <c r="B11232" s="226">
        <v>46144</v>
      </c>
      <c r="C11232" s="227">
        <v>0.48675925925925928</v>
      </c>
      <c r="D11232" s="228">
        <v>10</v>
      </c>
      <c r="E11232" s="225" t="s">
        <v>7262</v>
      </c>
      <c r="F11232" s="225" t="s">
        <v>6946</v>
      </c>
    </row>
    <row r="11233" spans="2:6" ht="17.25" thickBot="1">
      <c r="B11233" s="226">
        <v>46144</v>
      </c>
      <c r="C11233" s="227">
        <v>0.75630787037037039</v>
      </c>
      <c r="D11233" s="228">
        <v>10</v>
      </c>
      <c r="E11233" s="225" t="s">
        <v>7256</v>
      </c>
      <c r="F11233" s="225" t="s">
        <v>6946</v>
      </c>
    </row>
    <row r="11234" spans="2:6" ht="17.25" thickBot="1">
      <c r="B11234" s="226">
        <v>46144</v>
      </c>
      <c r="C11234" s="227">
        <v>0.49700231481481483</v>
      </c>
      <c r="D11234" s="228">
        <v>10</v>
      </c>
      <c r="E11234" s="225" t="s">
        <v>7261</v>
      </c>
      <c r="F11234" s="225" t="s">
        <v>6946</v>
      </c>
    </row>
    <row r="11235" spans="2:6" ht="17.25" thickBot="1">
      <c r="B11235" s="226">
        <v>46144</v>
      </c>
      <c r="C11235" s="227">
        <v>0.45694444444444443</v>
      </c>
      <c r="D11235" s="228">
        <v>10</v>
      </c>
      <c r="E11235" s="225" t="s">
        <v>284</v>
      </c>
      <c r="F11235" s="225" t="s">
        <v>6946</v>
      </c>
    </row>
    <row r="11236" spans="2:6" ht="17.25" thickBot="1">
      <c r="B11236" s="226">
        <v>46142</v>
      </c>
      <c r="C11236" s="227">
        <v>0.91895833333333332</v>
      </c>
      <c r="D11236" s="228">
        <v>10</v>
      </c>
      <c r="E11236" s="225" t="s">
        <v>7034</v>
      </c>
      <c r="F11236" s="225" t="s">
        <v>6946</v>
      </c>
    </row>
    <row r="11237" spans="2:6" ht="17.25" thickBot="1">
      <c r="B11237" s="226">
        <v>46142</v>
      </c>
      <c r="C11237" s="227">
        <v>0.85561342592592593</v>
      </c>
      <c r="D11237" s="228">
        <v>10</v>
      </c>
      <c r="E11237" s="225" t="s">
        <v>7268</v>
      </c>
      <c r="F11237" s="225" t="s">
        <v>6946</v>
      </c>
    </row>
    <row r="11238" spans="2:6" ht="17.25" thickBot="1">
      <c r="B11238" s="226">
        <v>46142</v>
      </c>
      <c r="C11238" s="227">
        <v>0.82349537037037035</v>
      </c>
      <c r="D11238" s="228">
        <v>10</v>
      </c>
      <c r="E11238" s="225" t="s">
        <v>7269</v>
      </c>
      <c r="F11238" s="225" t="s">
        <v>6946</v>
      </c>
    </row>
    <row r="11239" spans="2:6" ht="17.25" thickBot="1">
      <c r="B11239" s="226">
        <v>46142</v>
      </c>
      <c r="C11239" s="227">
        <v>0.81618055555555558</v>
      </c>
      <c r="D11239" s="228">
        <v>10</v>
      </c>
      <c r="E11239" s="225" t="s">
        <v>7270</v>
      </c>
      <c r="F11239" s="225" t="s">
        <v>6946</v>
      </c>
    </row>
    <row r="11240" spans="2:6" ht="17.25" thickBot="1">
      <c r="B11240" s="226">
        <v>46142</v>
      </c>
      <c r="C11240" s="227">
        <v>0.80164351851851856</v>
      </c>
      <c r="D11240" s="228">
        <v>10</v>
      </c>
      <c r="E11240" s="225" t="s">
        <v>7271</v>
      </c>
      <c r="F11240" s="225" t="s">
        <v>6946</v>
      </c>
    </row>
    <row r="11241" spans="2:6" ht="17.25" thickBot="1">
      <c r="B11241" s="226">
        <v>46142</v>
      </c>
      <c r="C11241" s="227">
        <v>0.79575231481481479</v>
      </c>
      <c r="D11241" s="228">
        <v>10</v>
      </c>
      <c r="E11241" s="225" t="s">
        <v>7272</v>
      </c>
      <c r="F11241" s="225" t="s">
        <v>6946</v>
      </c>
    </row>
    <row r="11242" spans="2:6" ht="17.25" thickBot="1">
      <c r="B11242" s="226">
        <v>46142</v>
      </c>
      <c r="C11242" s="227">
        <v>0.79003472222222226</v>
      </c>
      <c r="D11242" s="228">
        <v>10</v>
      </c>
      <c r="E11242" s="225" t="s">
        <v>7273</v>
      </c>
      <c r="F11242" s="225" t="s">
        <v>6946</v>
      </c>
    </row>
    <row r="11243" spans="2:6" ht="17.25" thickBot="1">
      <c r="B11243" s="226">
        <v>46142</v>
      </c>
      <c r="C11243" s="227">
        <v>0.78251157407407401</v>
      </c>
      <c r="D11243" s="228">
        <v>10</v>
      </c>
      <c r="E11243" s="225" t="s">
        <v>4293</v>
      </c>
      <c r="F11243" s="225" t="s">
        <v>6946</v>
      </c>
    </row>
    <row r="11244" spans="2:6" ht="17.25" thickBot="1">
      <c r="B11244" s="226">
        <v>46142</v>
      </c>
      <c r="C11244" s="227">
        <v>0.78162037037037047</v>
      </c>
      <c r="D11244" s="228">
        <v>10</v>
      </c>
      <c r="E11244" s="225" t="s">
        <v>7274</v>
      </c>
      <c r="F11244" s="225" t="s">
        <v>6946</v>
      </c>
    </row>
    <row r="11245" spans="2:6" ht="39" thickBot="1">
      <c r="B11245" s="226">
        <v>46142</v>
      </c>
      <c r="C11245" s="227">
        <v>0.77376157407407409</v>
      </c>
      <c r="D11245" s="228">
        <v>10</v>
      </c>
      <c r="E11245" s="225" t="s">
        <v>7275</v>
      </c>
      <c r="F11245" s="225" t="s">
        <v>6946</v>
      </c>
    </row>
    <row r="11246" spans="2:6" ht="17.25" thickBot="1">
      <c r="B11246" s="226">
        <v>46142</v>
      </c>
      <c r="C11246" s="227">
        <v>0.7371064814814815</v>
      </c>
      <c r="D11246" s="228">
        <v>10</v>
      </c>
      <c r="E11246" s="225" t="s">
        <v>7029</v>
      </c>
      <c r="F11246" s="225" t="s">
        <v>6946</v>
      </c>
    </row>
    <row r="11247" spans="2:6" ht="17.25" thickBot="1">
      <c r="B11247" s="226">
        <v>46142</v>
      </c>
      <c r="C11247" s="227">
        <v>0.73236111111111113</v>
      </c>
      <c r="D11247" s="228">
        <v>10</v>
      </c>
      <c r="E11247" s="225" t="s">
        <v>7276</v>
      </c>
      <c r="F11247" s="225" t="s">
        <v>6946</v>
      </c>
    </row>
    <row r="11248" spans="2:6" ht="17.25" thickBot="1">
      <c r="B11248" s="226">
        <v>46142</v>
      </c>
      <c r="C11248" s="227">
        <v>0.69945601851851846</v>
      </c>
      <c r="D11248" s="228">
        <v>10</v>
      </c>
      <c r="E11248" s="225" t="s">
        <v>7277</v>
      </c>
      <c r="F11248" s="225" t="s">
        <v>6946</v>
      </c>
    </row>
    <row r="11249" spans="2:6" ht="17.25" thickBot="1">
      <c r="B11249" s="226">
        <v>46142</v>
      </c>
      <c r="C11249" s="227">
        <v>0.70876157407407403</v>
      </c>
      <c r="D11249" s="228">
        <v>10</v>
      </c>
      <c r="E11249" s="225" t="s">
        <v>433</v>
      </c>
      <c r="F11249" s="225" t="s">
        <v>6946</v>
      </c>
    </row>
    <row r="11250" spans="2:6" ht="17.25" thickBot="1">
      <c r="B11250" s="226">
        <v>46142</v>
      </c>
      <c r="C11250" s="227">
        <v>0.66900462962962959</v>
      </c>
      <c r="D11250" s="228">
        <v>10</v>
      </c>
      <c r="E11250" s="225" t="s">
        <v>7278</v>
      </c>
      <c r="F11250" s="225" t="s">
        <v>6946</v>
      </c>
    </row>
    <row r="11251" spans="2:6" ht="39" thickBot="1">
      <c r="B11251" s="226">
        <v>46142</v>
      </c>
      <c r="C11251" s="227">
        <v>0.69403935185185184</v>
      </c>
      <c r="D11251" s="228">
        <v>10</v>
      </c>
      <c r="E11251" s="225" t="s">
        <v>7279</v>
      </c>
      <c r="F11251" s="225" t="s">
        <v>6946</v>
      </c>
    </row>
    <row r="11252" spans="2:6" ht="17.25" thickBot="1">
      <c r="B11252" s="226">
        <v>46142</v>
      </c>
      <c r="C11252" s="227">
        <v>0.64731481481481479</v>
      </c>
      <c r="D11252" s="228">
        <v>10</v>
      </c>
      <c r="E11252" s="225" t="s">
        <v>7280</v>
      </c>
      <c r="F11252" s="225" t="s">
        <v>6946</v>
      </c>
    </row>
    <row r="11253" spans="2:6" ht="17.25" thickBot="1">
      <c r="B11253" s="226">
        <v>46142</v>
      </c>
      <c r="C11253" s="227">
        <v>0.64440972222222215</v>
      </c>
      <c r="D11253" s="228">
        <v>10</v>
      </c>
      <c r="E11253" s="225" t="s">
        <v>7281</v>
      </c>
      <c r="F11253" s="225" t="s">
        <v>6946</v>
      </c>
    </row>
    <row r="11254" spans="2:6" ht="17.25" thickBot="1">
      <c r="B11254" s="226">
        <v>46142</v>
      </c>
      <c r="C11254" s="227">
        <v>0.6158217592592593</v>
      </c>
      <c r="D11254" s="228">
        <v>10</v>
      </c>
      <c r="E11254" s="225" t="s">
        <v>7282</v>
      </c>
      <c r="F11254" s="225" t="s">
        <v>6946</v>
      </c>
    </row>
    <row r="11255" spans="2:6" ht="17.25" thickBot="1">
      <c r="B11255" s="226">
        <v>46142</v>
      </c>
      <c r="C11255" s="227">
        <v>0.58703703703703702</v>
      </c>
      <c r="D11255" s="228">
        <v>10</v>
      </c>
      <c r="E11255" s="225" t="s">
        <v>7283</v>
      </c>
      <c r="F11255" s="225" t="s">
        <v>6946</v>
      </c>
    </row>
    <row r="11256" spans="2:6" ht="17.25" thickBot="1">
      <c r="B11256" s="226">
        <v>46142</v>
      </c>
      <c r="C11256" s="227">
        <v>0.6144560185185185</v>
      </c>
      <c r="D11256" s="228">
        <v>10</v>
      </c>
      <c r="E11256" s="225" t="s">
        <v>7284</v>
      </c>
      <c r="F11256" s="225" t="s">
        <v>6946</v>
      </c>
    </row>
    <row r="11257" spans="2:6" ht="17.25" thickBot="1">
      <c r="B11257" s="226">
        <v>46142</v>
      </c>
      <c r="C11257" s="227">
        <v>0.57513888888888887</v>
      </c>
      <c r="D11257" s="228">
        <v>10</v>
      </c>
      <c r="E11257" s="225" t="s">
        <v>7285</v>
      </c>
      <c r="F11257" s="225" t="s">
        <v>6946</v>
      </c>
    </row>
    <row r="11258" spans="2:6" ht="17.25" thickBot="1">
      <c r="B11258" s="226">
        <v>46142</v>
      </c>
      <c r="C11258" s="227">
        <v>0.55207175925925933</v>
      </c>
      <c r="D11258" s="228">
        <v>10</v>
      </c>
      <c r="E11258" s="225" t="s">
        <v>7286</v>
      </c>
      <c r="F11258" s="225" t="s">
        <v>6946</v>
      </c>
    </row>
    <row r="11259" spans="2:6" ht="17.25" thickBot="1">
      <c r="B11259" s="226">
        <v>46142</v>
      </c>
      <c r="C11259" s="227">
        <v>0.51848379629629626</v>
      </c>
      <c r="D11259" s="228">
        <v>10</v>
      </c>
      <c r="E11259" s="225" t="s">
        <v>7288</v>
      </c>
      <c r="F11259" s="225" t="s">
        <v>6946</v>
      </c>
    </row>
    <row r="11260" spans="2:6" ht="17.25" thickBot="1">
      <c r="B11260" s="226">
        <v>46142</v>
      </c>
      <c r="C11260" s="227">
        <v>0.51824074074074067</v>
      </c>
      <c r="D11260" s="228">
        <v>10</v>
      </c>
      <c r="E11260" s="225" t="s">
        <v>313</v>
      </c>
      <c r="F11260" s="225" t="s">
        <v>6946</v>
      </c>
    </row>
    <row r="11261" spans="2:6" ht="17.25" thickBot="1">
      <c r="B11261" s="226">
        <v>46142</v>
      </c>
      <c r="C11261" s="227">
        <v>0.49907407407407406</v>
      </c>
      <c r="D11261" s="228">
        <v>10</v>
      </c>
      <c r="E11261" s="225" t="s">
        <v>7289</v>
      </c>
      <c r="F11261" s="225" t="s">
        <v>6946</v>
      </c>
    </row>
    <row r="11262" spans="2:6" ht="17.25" thickBot="1">
      <c r="B11262" s="226">
        <v>46142</v>
      </c>
      <c r="C11262" s="227">
        <v>0.49226851851851849</v>
      </c>
      <c r="D11262" s="228">
        <v>10</v>
      </c>
      <c r="E11262" s="225" t="s">
        <v>7290</v>
      </c>
      <c r="F11262" s="225" t="s">
        <v>6946</v>
      </c>
    </row>
    <row r="11263" spans="2:6" ht="17.25" thickBot="1">
      <c r="B11263" s="226">
        <v>46142</v>
      </c>
      <c r="C11263" s="227">
        <v>0.4811111111111111</v>
      </c>
      <c r="D11263" s="228">
        <v>10</v>
      </c>
      <c r="E11263" s="225" t="s">
        <v>7291</v>
      </c>
      <c r="F11263" s="225" t="s">
        <v>6946</v>
      </c>
    </row>
    <row r="11264" spans="2:6" ht="17.25" thickBot="1">
      <c r="B11264" s="226">
        <v>46142</v>
      </c>
      <c r="C11264" s="227">
        <v>0.47211805555555553</v>
      </c>
      <c r="D11264" s="228">
        <v>10</v>
      </c>
      <c r="E11264" s="225" t="s">
        <v>7287</v>
      </c>
      <c r="F11264" s="225" t="s">
        <v>6946</v>
      </c>
    </row>
    <row r="11265" spans="2:6" ht="17.25" thickBot="1">
      <c r="B11265" s="226">
        <v>46142</v>
      </c>
      <c r="C11265" s="227">
        <v>0.47039351851851857</v>
      </c>
      <c r="D11265" s="228">
        <v>10</v>
      </c>
      <c r="E11265" s="225" t="s">
        <v>7293</v>
      </c>
      <c r="F11265" s="225" t="s">
        <v>6946</v>
      </c>
    </row>
    <row r="11266" spans="2:6" ht="17.25" thickBot="1">
      <c r="B11266" s="226">
        <v>46142</v>
      </c>
      <c r="C11266" s="227">
        <v>0.46715277777777775</v>
      </c>
      <c r="D11266" s="228">
        <v>10</v>
      </c>
      <c r="E11266" s="225" t="s">
        <v>7292</v>
      </c>
      <c r="F11266" s="225" t="s">
        <v>6946</v>
      </c>
    </row>
    <row r="11267" spans="2:6" ht="17.25" thickBot="1">
      <c r="B11267" s="226">
        <v>46142</v>
      </c>
      <c r="C11267" s="227">
        <v>0.4614583333333333</v>
      </c>
      <c r="D11267" s="228">
        <v>10</v>
      </c>
      <c r="E11267" s="225" t="s">
        <v>7296</v>
      </c>
      <c r="F11267" s="225" t="s">
        <v>6946</v>
      </c>
    </row>
    <row r="11268" spans="2:6" ht="17.25" thickBot="1">
      <c r="B11268" s="226">
        <v>46142</v>
      </c>
      <c r="C11268" s="227">
        <v>0.41939814814814813</v>
      </c>
      <c r="D11268" s="228">
        <v>10</v>
      </c>
      <c r="E11268" s="225" t="s">
        <v>1688</v>
      </c>
      <c r="F11268" s="225" t="s">
        <v>6946</v>
      </c>
    </row>
    <row r="11269" spans="2:6" ht="17.25" thickBot="1">
      <c r="B11269" s="226">
        <v>46142</v>
      </c>
      <c r="C11269" s="227">
        <v>0.40685185185185185</v>
      </c>
      <c r="D11269" s="228">
        <v>10</v>
      </c>
      <c r="E11269" s="225" t="s">
        <v>7295</v>
      </c>
      <c r="F11269" s="225" t="s">
        <v>6946</v>
      </c>
    </row>
    <row r="11270" spans="2:6" ht="17.25" thickBot="1">
      <c r="B11270" s="226">
        <v>46142</v>
      </c>
      <c r="C11270" s="227">
        <v>0.39396990740740739</v>
      </c>
      <c r="D11270" s="228">
        <v>10</v>
      </c>
      <c r="E11270" s="225" t="s">
        <v>7294</v>
      </c>
      <c r="F11270" s="225" t="s">
        <v>6946</v>
      </c>
    </row>
    <row r="11271" spans="2:6" ht="17.25" thickBot="1">
      <c r="B11271" s="226">
        <v>46141</v>
      </c>
      <c r="C11271" s="227">
        <v>0.90680555555555553</v>
      </c>
      <c r="D11271" s="228">
        <v>10</v>
      </c>
      <c r="E11271" s="225" t="s">
        <v>7218</v>
      </c>
      <c r="F11271" s="225" t="s">
        <v>6946</v>
      </c>
    </row>
    <row r="11272" spans="2:6" ht="17.25" thickBot="1">
      <c r="B11272" s="226">
        <v>46141</v>
      </c>
      <c r="C11272" s="227">
        <v>0.86271990740740734</v>
      </c>
      <c r="D11272" s="228">
        <v>10</v>
      </c>
      <c r="E11272" s="225" t="s">
        <v>7219</v>
      </c>
      <c r="F11272" s="225" t="s">
        <v>6946</v>
      </c>
    </row>
    <row r="11273" spans="2:6" ht="17.25" thickBot="1">
      <c r="B11273" s="226">
        <v>46141</v>
      </c>
      <c r="C11273" s="227">
        <v>0.85513888888888889</v>
      </c>
      <c r="D11273" s="228">
        <v>10</v>
      </c>
      <c r="E11273" s="225" t="s">
        <v>7220</v>
      </c>
      <c r="F11273" s="225" t="s">
        <v>6946</v>
      </c>
    </row>
    <row r="11274" spans="2:6" ht="17.25" thickBot="1">
      <c r="B11274" s="226">
        <v>46141</v>
      </c>
      <c r="C11274" s="227">
        <v>0.84149305555555554</v>
      </c>
      <c r="D11274" s="228">
        <v>10</v>
      </c>
      <c r="E11274" s="225" t="s">
        <v>7221</v>
      </c>
      <c r="F11274" s="225" t="s">
        <v>6946</v>
      </c>
    </row>
    <row r="11275" spans="2:6" ht="17.25" thickBot="1">
      <c r="B11275" s="226">
        <v>46141</v>
      </c>
      <c r="C11275" s="227">
        <v>0.83925925925925926</v>
      </c>
      <c r="D11275" s="228">
        <v>10</v>
      </c>
      <c r="E11275" s="225" t="s">
        <v>7222</v>
      </c>
      <c r="F11275" s="225" t="s">
        <v>6946</v>
      </c>
    </row>
    <row r="11276" spans="2:6" ht="17.25" thickBot="1">
      <c r="B11276" s="226">
        <v>46141</v>
      </c>
      <c r="C11276" s="227">
        <v>0.82388888888888889</v>
      </c>
      <c r="D11276" s="228">
        <v>10</v>
      </c>
      <c r="E11276" s="225" t="s">
        <v>7223</v>
      </c>
      <c r="F11276" s="225" t="s">
        <v>6946</v>
      </c>
    </row>
    <row r="11277" spans="2:6" ht="17.25" thickBot="1">
      <c r="B11277" s="226">
        <v>46141</v>
      </c>
      <c r="C11277" s="227">
        <v>0.82181712962962961</v>
      </c>
      <c r="D11277" s="228">
        <v>10</v>
      </c>
      <c r="E11277" s="225" t="s">
        <v>7224</v>
      </c>
      <c r="F11277" s="225" t="s">
        <v>6946</v>
      </c>
    </row>
    <row r="11278" spans="2:6" ht="17.25" thickBot="1">
      <c r="B11278" s="226">
        <v>46141</v>
      </c>
      <c r="C11278" s="227">
        <v>0.76450231481481479</v>
      </c>
      <c r="D11278" s="228">
        <v>10</v>
      </c>
      <c r="E11278" s="225" t="s">
        <v>7225</v>
      </c>
      <c r="F11278" s="225" t="s">
        <v>6946</v>
      </c>
    </row>
    <row r="11279" spans="2:6" ht="17.25" thickBot="1">
      <c r="B11279" s="226">
        <v>46141</v>
      </c>
      <c r="C11279" s="227">
        <v>0.69871527777777775</v>
      </c>
      <c r="D11279" s="228">
        <v>10</v>
      </c>
      <c r="E11279" s="225" t="s">
        <v>7226</v>
      </c>
      <c r="F11279" s="225" t="s">
        <v>6946</v>
      </c>
    </row>
    <row r="11280" spans="2:6" ht="17.25" thickBot="1">
      <c r="B11280" s="226">
        <v>46141</v>
      </c>
      <c r="C11280" s="227">
        <v>0.69351851851851853</v>
      </c>
      <c r="D11280" s="228">
        <v>10</v>
      </c>
      <c r="E11280" s="225" t="s">
        <v>7227</v>
      </c>
      <c r="F11280" s="225" t="s">
        <v>6946</v>
      </c>
    </row>
    <row r="11281" spans="2:6" ht="17.25" thickBot="1">
      <c r="B11281" s="226">
        <v>46141</v>
      </c>
      <c r="C11281" s="227">
        <v>0.69924768518518521</v>
      </c>
      <c r="D11281" s="228">
        <v>10</v>
      </c>
      <c r="E11281" s="225" t="s">
        <v>7228</v>
      </c>
      <c r="F11281" s="225" t="s">
        <v>6946</v>
      </c>
    </row>
    <row r="11282" spans="2:6" ht="17.25" thickBot="1">
      <c r="B11282" s="226">
        <v>46141</v>
      </c>
      <c r="C11282" s="227">
        <v>0.67979166666666668</v>
      </c>
      <c r="D11282" s="228">
        <v>10</v>
      </c>
      <c r="E11282" s="225" t="s">
        <v>7229</v>
      </c>
      <c r="F11282" s="225" t="s">
        <v>6946</v>
      </c>
    </row>
    <row r="11283" spans="2:6" ht="17.25" thickBot="1">
      <c r="B11283" s="226">
        <v>46141</v>
      </c>
      <c r="C11283" s="227">
        <v>0.6763541666666667</v>
      </c>
      <c r="D11283" s="228">
        <v>10</v>
      </c>
      <c r="E11283" s="225" t="s">
        <v>7230</v>
      </c>
      <c r="F11283" s="225" t="s">
        <v>6946</v>
      </c>
    </row>
    <row r="11284" spans="2:6" ht="17.25" thickBot="1">
      <c r="B11284" s="226">
        <v>46141</v>
      </c>
      <c r="C11284" s="227">
        <v>0.66434027777777771</v>
      </c>
      <c r="D11284" s="228">
        <v>10</v>
      </c>
      <c r="E11284" s="225" t="s">
        <v>7231</v>
      </c>
      <c r="F11284" s="225" t="s">
        <v>6946</v>
      </c>
    </row>
    <row r="11285" spans="2:6" ht="17.25" thickBot="1">
      <c r="B11285" s="226">
        <v>46141</v>
      </c>
      <c r="C11285" s="227">
        <v>0.65803240740740743</v>
      </c>
      <c r="D11285" s="228">
        <v>10</v>
      </c>
      <c r="E11285" s="225" t="s">
        <v>7232</v>
      </c>
      <c r="F11285" s="225" t="s">
        <v>6946</v>
      </c>
    </row>
    <row r="11286" spans="2:6" ht="17.25" thickBot="1">
      <c r="B11286" s="226">
        <v>46141</v>
      </c>
      <c r="C11286" s="227">
        <v>0.64546296296296302</v>
      </c>
      <c r="D11286" s="228">
        <v>10</v>
      </c>
      <c r="E11286" s="225" t="s">
        <v>201</v>
      </c>
      <c r="F11286" s="225" t="s">
        <v>6946</v>
      </c>
    </row>
    <row r="11287" spans="2:6" ht="17.25" thickBot="1">
      <c r="B11287" s="226">
        <v>46141</v>
      </c>
      <c r="C11287" s="227">
        <v>0.64643518518518517</v>
      </c>
      <c r="D11287" s="228">
        <v>10</v>
      </c>
      <c r="E11287" s="225" t="s">
        <v>7233</v>
      </c>
      <c r="F11287" s="225" t="s">
        <v>6946</v>
      </c>
    </row>
    <row r="11288" spans="2:6" ht="17.25" thickBot="1">
      <c r="B11288" s="226">
        <v>46141</v>
      </c>
      <c r="C11288" s="227">
        <v>0.6193171296296297</v>
      </c>
      <c r="D11288" s="228">
        <v>10</v>
      </c>
      <c r="E11288" s="225" t="s">
        <v>7234</v>
      </c>
      <c r="F11288" s="225" t="s">
        <v>6946</v>
      </c>
    </row>
    <row r="11289" spans="2:6" ht="17.25" thickBot="1">
      <c r="B11289" s="226">
        <v>46141</v>
      </c>
      <c r="C11289" s="227">
        <v>0.62799768518518517</v>
      </c>
      <c r="D11289" s="228">
        <v>10</v>
      </c>
      <c r="E11289" s="225" t="s">
        <v>7235</v>
      </c>
      <c r="F11289" s="225" t="s">
        <v>6946</v>
      </c>
    </row>
    <row r="11290" spans="2:6" ht="17.25" thickBot="1">
      <c r="B11290" s="226">
        <v>46141</v>
      </c>
      <c r="C11290" s="227">
        <v>0.60318287037037044</v>
      </c>
      <c r="D11290" s="228">
        <v>10</v>
      </c>
      <c r="E11290" s="225" t="s">
        <v>7236</v>
      </c>
      <c r="F11290" s="225" t="s">
        <v>6946</v>
      </c>
    </row>
    <row r="11291" spans="2:6" ht="17.25" thickBot="1">
      <c r="B11291" s="226">
        <v>46141</v>
      </c>
      <c r="C11291" s="227">
        <v>0.6029282407407407</v>
      </c>
      <c r="D11291" s="228">
        <v>10</v>
      </c>
      <c r="E11291" s="225" t="s">
        <v>7237</v>
      </c>
      <c r="F11291" s="225" t="s">
        <v>6946</v>
      </c>
    </row>
    <row r="11292" spans="2:6" ht="17.25" thickBot="1">
      <c r="B11292" s="226">
        <v>46141</v>
      </c>
      <c r="C11292" s="227">
        <v>0.60545138888888894</v>
      </c>
      <c r="D11292" s="228">
        <v>10</v>
      </c>
      <c r="E11292" s="225" t="s">
        <v>7238</v>
      </c>
      <c r="F11292" s="225" t="s">
        <v>6946</v>
      </c>
    </row>
    <row r="11293" spans="2:6" ht="17.25" thickBot="1">
      <c r="B11293" s="226">
        <v>46141</v>
      </c>
      <c r="C11293" s="227">
        <v>0.59547453703703701</v>
      </c>
      <c r="D11293" s="228">
        <v>10</v>
      </c>
      <c r="E11293" s="225" t="s">
        <v>7239</v>
      </c>
      <c r="F11293" s="225" t="s">
        <v>6946</v>
      </c>
    </row>
    <row r="11294" spans="2:6" ht="17.25" thickBot="1">
      <c r="B11294" s="226">
        <v>46141</v>
      </c>
      <c r="C11294" s="227">
        <v>0.58895833333333336</v>
      </c>
      <c r="D11294" s="228">
        <v>10</v>
      </c>
      <c r="E11294" s="225" t="s">
        <v>5117</v>
      </c>
      <c r="F11294" s="225" t="s">
        <v>6946</v>
      </c>
    </row>
    <row r="11295" spans="2:6" ht="17.25" thickBot="1">
      <c r="B11295" s="226">
        <v>46141</v>
      </c>
      <c r="C11295" s="227">
        <v>0.57900462962962962</v>
      </c>
      <c r="D11295" s="228">
        <v>10</v>
      </c>
      <c r="E11295" s="225" t="s">
        <v>7240</v>
      </c>
      <c r="F11295" s="225" t="s">
        <v>6946</v>
      </c>
    </row>
    <row r="11296" spans="2:6" ht="17.25" thickBot="1">
      <c r="B11296" s="226">
        <v>46141</v>
      </c>
      <c r="C11296" s="227">
        <v>0.56467592592592586</v>
      </c>
      <c r="D11296" s="228">
        <v>10</v>
      </c>
      <c r="E11296" s="225" t="s">
        <v>7241</v>
      </c>
      <c r="F11296" s="225" t="s">
        <v>6946</v>
      </c>
    </row>
    <row r="11297" spans="2:6" ht="17.25" thickBot="1">
      <c r="B11297" s="226">
        <v>46141</v>
      </c>
      <c r="C11297" s="227">
        <v>0.54638888888888892</v>
      </c>
      <c r="D11297" s="228">
        <v>10</v>
      </c>
      <c r="E11297" s="225" t="s">
        <v>7242</v>
      </c>
      <c r="F11297" s="225" t="s">
        <v>6946</v>
      </c>
    </row>
    <row r="11298" spans="2:6" ht="17.25" thickBot="1">
      <c r="B11298" s="226">
        <v>46141</v>
      </c>
      <c r="C11298" s="227">
        <v>0.51806712962962964</v>
      </c>
      <c r="D11298" s="228">
        <v>10</v>
      </c>
      <c r="E11298" s="225" t="s">
        <v>7243</v>
      </c>
      <c r="F11298" s="225" t="s">
        <v>6946</v>
      </c>
    </row>
    <row r="11299" spans="2:6" ht="17.25" thickBot="1">
      <c r="B11299" s="226">
        <v>46141</v>
      </c>
      <c r="C11299" s="227">
        <v>0.50445601851851851</v>
      </c>
      <c r="D11299" s="228">
        <v>10</v>
      </c>
      <c r="E11299" s="225" t="s">
        <v>7244</v>
      </c>
      <c r="F11299" s="225" t="s">
        <v>6946</v>
      </c>
    </row>
    <row r="11300" spans="2:6" ht="17.25" thickBot="1">
      <c r="B11300" s="226">
        <v>46141</v>
      </c>
      <c r="C11300" s="227">
        <v>0.49269675925925926</v>
      </c>
      <c r="D11300" s="228">
        <v>10</v>
      </c>
      <c r="E11300" s="225" t="s">
        <v>7245</v>
      </c>
      <c r="F11300" s="225" t="s">
        <v>6946</v>
      </c>
    </row>
    <row r="11301" spans="2:6" ht="17.25" thickBot="1">
      <c r="B11301" s="226">
        <v>46141</v>
      </c>
      <c r="C11301" s="227">
        <v>0.48493055555555559</v>
      </c>
      <c r="D11301" s="228">
        <v>10</v>
      </c>
      <c r="E11301" s="225" t="s">
        <v>7246</v>
      </c>
      <c r="F11301" s="225" t="s">
        <v>6946</v>
      </c>
    </row>
    <row r="11302" spans="2:6" ht="26.25" thickBot="1">
      <c r="B11302" s="226">
        <v>46141</v>
      </c>
      <c r="C11302" s="227">
        <v>0.49993055555555554</v>
      </c>
      <c r="D11302" s="228">
        <v>10</v>
      </c>
      <c r="E11302" s="225" t="s">
        <v>7247</v>
      </c>
      <c r="F11302" s="225" t="s">
        <v>6946</v>
      </c>
    </row>
    <row r="11303" spans="2:6" ht="17.25" thickBot="1">
      <c r="B11303" s="226">
        <v>46141</v>
      </c>
      <c r="C11303" s="227">
        <v>0.49177083333333332</v>
      </c>
      <c r="D11303" s="228">
        <v>10</v>
      </c>
      <c r="E11303" s="225" t="s">
        <v>7248</v>
      </c>
      <c r="F11303" s="225" t="s">
        <v>6946</v>
      </c>
    </row>
    <row r="11304" spans="2:6" ht="17.25" thickBot="1">
      <c r="B11304" s="226">
        <v>46141</v>
      </c>
      <c r="C11304" s="227">
        <v>0.46686342592592589</v>
      </c>
      <c r="D11304" s="228">
        <v>10</v>
      </c>
      <c r="E11304" s="225" t="s">
        <v>7249</v>
      </c>
      <c r="F11304" s="225" t="s">
        <v>6946</v>
      </c>
    </row>
    <row r="11305" spans="2:6" ht="17.25" thickBot="1">
      <c r="B11305" s="226">
        <v>46141</v>
      </c>
      <c r="C11305" s="227">
        <v>0.46065972222222223</v>
      </c>
      <c r="D11305" s="228">
        <v>10</v>
      </c>
      <c r="E11305" s="225" t="s">
        <v>7250</v>
      </c>
      <c r="F11305" s="225" t="s">
        <v>6946</v>
      </c>
    </row>
    <row r="11306" spans="2:6" ht="17.25" thickBot="1">
      <c r="B11306" s="226">
        <v>46141</v>
      </c>
      <c r="C11306" s="227">
        <v>0.45155092592592588</v>
      </c>
      <c r="D11306" s="228">
        <v>10</v>
      </c>
      <c r="E11306" s="225" t="s">
        <v>7252</v>
      </c>
      <c r="F11306" s="225" t="s">
        <v>6946</v>
      </c>
    </row>
    <row r="11307" spans="2:6" ht="17.25" thickBot="1">
      <c r="B11307" s="226">
        <v>46141</v>
      </c>
      <c r="C11307" s="227">
        <v>0.4654282407407408</v>
      </c>
      <c r="D11307" s="228">
        <v>10</v>
      </c>
      <c r="E11307" s="225" t="s">
        <v>406</v>
      </c>
      <c r="F11307" s="225" t="s">
        <v>6946</v>
      </c>
    </row>
    <row r="11308" spans="2:6" ht="17.25" thickBot="1">
      <c r="B11308" s="226">
        <v>46141</v>
      </c>
      <c r="C11308" s="227">
        <v>0.44194444444444447</v>
      </c>
      <c r="D11308" s="228">
        <v>10</v>
      </c>
      <c r="E11308" s="225" t="s">
        <v>7253</v>
      </c>
      <c r="F11308" s="225" t="s">
        <v>6946</v>
      </c>
    </row>
    <row r="11309" spans="2:6" ht="26.25" thickBot="1">
      <c r="B11309" s="226">
        <v>46141</v>
      </c>
      <c r="C11309" s="227">
        <v>0.46511574074074075</v>
      </c>
      <c r="D11309" s="228">
        <v>10</v>
      </c>
      <c r="E11309" s="225" t="s">
        <v>7251</v>
      </c>
      <c r="F11309" s="225" t="s">
        <v>6946</v>
      </c>
    </row>
    <row r="11310" spans="2:6" ht="17.25" thickBot="1">
      <c r="B11310" s="226">
        <v>46141</v>
      </c>
      <c r="C11310" s="227">
        <v>0.42981481481481482</v>
      </c>
      <c r="D11310" s="228">
        <v>10</v>
      </c>
      <c r="E11310" s="225" t="s">
        <v>7254</v>
      </c>
      <c r="F11310" s="225" t="s">
        <v>6946</v>
      </c>
    </row>
    <row r="11311" spans="2:6" ht="26.25" thickBot="1">
      <c r="B11311" s="226">
        <v>46141</v>
      </c>
      <c r="C11311" s="227">
        <v>0.42934027777777778</v>
      </c>
      <c r="D11311" s="228">
        <v>10</v>
      </c>
      <c r="E11311" s="225" t="s">
        <v>7255</v>
      </c>
      <c r="F11311" s="225" t="s">
        <v>6946</v>
      </c>
    </row>
    <row r="11312" spans="2:6" ht="17.25" thickBot="1">
      <c r="B11312" s="226">
        <v>46140</v>
      </c>
      <c r="C11312" s="227">
        <v>0.88359953703703698</v>
      </c>
      <c r="D11312" s="228">
        <v>10</v>
      </c>
      <c r="E11312" s="225" t="s">
        <v>7187</v>
      </c>
      <c r="F11312" s="225" t="s">
        <v>6946</v>
      </c>
    </row>
    <row r="11313" spans="2:6" ht="17.25" thickBot="1">
      <c r="B11313" s="226">
        <v>46140</v>
      </c>
      <c r="C11313" s="227">
        <v>0.84527777777777768</v>
      </c>
      <c r="D11313" s="228">
        <v>10</v>
      </c>
      <c r="E11313" s="225" t="s">
        <v>7188</v>
      </c>
      <c r="F11313" s="225" t="s">
        <v>6946</v>
      </c>
    </row>
    <row r="11314" spans="2:6" ht="17.25" thickBot="1">
      <c r="B11314" s="226">
        <v>46140</v>
      </c>
      <c r="C11314" s="227">
        <v>0.8372222222222222</v>
      </c>
      <c r="D11314" s="228">
        <v>10</v>
      </c>
      <c r="E11314" s="225" t="s">
        <v>1564</v>
      </c>
      <c r="F11314" s="225" t="s">
        <v>6946</v>
      </c>
    </row>
    <row r="11315" spans="2:6" ht="17.25" thickBot="1">
      <c r="B11315" s="226">
        <v>46140</v>
      </c>
      <c r="C11315" s="227">
        <v>0.82535879629629638</v>
      </c>
      <c r="D11315" s="228">
        <v>10</v>
      </c>
      <c r="E11315" s="225" t="s">
        <v>7189</v>
      </c>
      <c r="F11315" s="225" t="s">
        <v>6946</v>
      </c>
    </row>
    <row r="11316" spans="2:6" ht="17.25" thickBot="1">
      <c r="B11316" s="226">
        <v>46140</v>
      </c>
      <c r="C11316" s="227">
        <v>0.82181712962962961</v>
      </c>
      <c r="D11316" s="228">
        <v>10</v>
      </c>
      <c r="E11316" s="225" t="s">
        <v>7190</v>
      </c>
      <c r="F11316" s="225" t="s">
        <v>6946</v>
      </c>
    </row>
    <row r="11317" spans="2:6" ht="17.25" thickBot="1">
      <c r="B11317" s="226">
        <v>46140</v>
      </c>
      <c r="C11317" s="227">
        <v>0.76094907407407408</v>
      </c>
      <c r="D11317" s="228">
        <v>10</v>
      </c>
      <c r="E11317" s="225" t="s">
        <v>7191</v>
      </c>
      <c r="F11317" s="225" t="s">
        <v>6946</v>
      </c>
    </row>
    <row r="11318" spans="2:6" ht="26.25" thickBot="1">
      <c r="B11318" s="226">
        <v>46140</v>
      </c>
      <c r="C11318" s="227">
        <v>0.72723379629629636</v>
      </c>
      <c r="D11318" s="228">
        <v>10</v>
      </c>
      <c r="E11318" s="225" t="s">
        <v>7192</v>
      </c>
      <c r="F11318" s="225" t="s">
        <v>6946</v>
      </c>
    </row>
    <row r="11319" spans="2:6" ht="17.25" thickBot="1">
      <c r="B11319" s="226">
        <v>46140</v>
      </c>
      <c r="C11319" s="227">
        <v>0.70778935185185177</v>
      </c>
      <c r="D11319" s="228">
        <v>10</v>
      </c>
      <c r="E11319" s="225" t="s">
        <v>7193</v>
      </c>
      <c r="F11319" s="225" t="s">
        <v>6946</v>
      </c>
    </row>
    <row r="11320" spans="2:6" ht="26.25" thickBot="1">
      <c r="B11320" s="226">
        <v>46140</v>
      </c>
      <c r="C11320" s="227">
        <v>0.6974999999999999</v>
      </c>
      <c r="D11320" s="228">
        <v>10</v>
      </c>
      <c r="E11320" s="225" t="s">
        <v>7194</v>
      </c>
      <c r="F11320" s="225" t="s">
        <v>6946</v>
      </c>
    </row>
    <row r="11321" spans="2:6" ht="17.25" thickBot="1">
      <c r="B11321" s="226">
        <v>46140</v>
      </c>
      <c r="C11321" s="227">
        <v>0.69112268518518516</v>
      </c>
      <c r="D11321" s="228">
        <v>10</v>
      </c>
      <c r="E11321" s="225" t="s">
        <v>7195</v>
      </c>
      <c r="F11321" s="225" t="s">
        <v>6946</v>
      </c>
    </row>
    <row r="11322" spans="2:6" ht="17.25" thickBot="1">
      <c r="B11322" s="226">
        <v>46140</v>
      </c>
      <c r="C11322" s="227">
        <v>0.69418981481481479</v>
      </c>
      <c r="D11322" s="228">
        <v>10</v>
      </c>
      <c r="E11322" s="225" t="s">
        <v>7196</v>
      </c>
      <c r="F11322" s="225" t="s">
        <v>6946</v>
      </c>
    </row>
    <row r="11323" spans="2:6" ht="17.25" thickBot="1">
      <c r="B11323" s="226">
        <v>46140</v>
      </c>
      <c r="C11323" s="227">
        <v>0.68299768518518522</v>
      </c>
      <c r="D11323" s="228">
        <v>10</v>
      </c>
      <c r="E11323" s="225" t="s">
        <v>7197</v>
      </c>
      <c r="F11323" s="225" t="s">
        <v>6946</v>
      </c>
    </row>
    <row r="11324" spans="2:6" ht="17.25" thickBot="1">
      <c r="B11324" s="226">
        <v>46140</v>
      </c>
      <c r="C11324" s="227">
        <v>0.67932870370370368</v>
      </c>
      <c r="D11324" s="228">
        <v>10</v>
      </c>
      <c r="E11324" s="225" t="s">
        <v>7198</v>
      </c>
      <c r="F11324" s="225" t="s">
        <v>6946</v>
      </c>
    </row>
    <row r="11325" spans="2:6" ht="17.25" thickBot="1">
      <c r="B11325" s="226">
        <v>46140</v>
      </c>
      <c r="C11325" s="227">
        <v>0.68222222222222229</v>
      </c>
      <c r="D11325" s="228">
        <v>10</v>
      </c>
      <c r="E11325" s="225" t="s">
        <v>7199</v>
      </c>
      <c r="F11325" s="225" t="s">
        <v>6946</v>
      </c>
    </row>
    <row r="11326" spans="2:6" ht="17.25" thickBot="1">
      <c r="B11326" s="226">
        <v>46140</v>
      </c>
      <c r="C11326" s="227">
        <v>0.68260416666666668</v>
      </c>
      <c r="D11326" s="228">
        <v>10</v>
      </c>
      <c r="E11326" s="225" t="s">
        <v>7200</v>
      </c>
      <c r="F11326" s="225" t="s">
        <v>6946</v>
      </c>
    </row>
    <row r="11327" spans="2:6" ht="17.25" thickBot="1">
      <c r="B11327" s="226">
        <v>46140</v>
      </c>
      <c r="C11327" s="227">
        <v>0.68969907407407405</v>
      </c>
      <c r="D11327" s="228">
        <v>10</v>
      </c>
      <c r="E11327" s="225" t="s">
        <v>7201</v>
      </c>
      <c r="F11327" s="225" t="s">
        <v>6946</v>
      </c>
    </row>
    <row r="11328" spans="2:6" ht="17.25" thickBot="1">
      <c r="B11328" s="226">
        <v>46140</v>
      </c>
      <c r="C11328" s="227">
        <v>0.64034722222222229</v>
      </c>
      <c r="D11328" s="228">
        <v>10</v>
      </c>
      <c r="E11328" s="225" t="s">
        <v>7202</v>
      </c>
      <c r="F11328" s="225" t="s">
        <v>6946</v>
      </c>
    </row>
    <row r="11329" spans="2:6" ht="17.25" thickBot="1">
      <c r="B11329" s="226">
        <v>46140</v>
      </c>
      <c r="C11329" s="227">
        <v>0.6324305555555555</v>
      </c>
      <c r="D11329" s="228">
        <v>10</v>
      </c>
      <c r="E11329" s="225" t="s">
        <v>7203</v>
      </c>
      <c r="F11329" s="225" t="s">
        <v>6946</v>
      </c>
    </row>
    <row r="11330" spans="2:6" ht="17.25" thickBot="1">
      <c r="B11330" s="226">
        <v>46140</v>
      </c>
      <c r="C11330" s="227">
        <v>0.63424768518518515</v>
      </c>
      <c r="D11330" s="228">
        <v>10</v>
      </c>
      <c r="E11330" s="225" t="s">
        <v>7204</v>
      </c>
      <c r="F11330" s="225" t="s">
        <v>6946</v>
      </c>
    </row>
    <row r="11331" spans="2:6" ht="17.25" thickBot="1">
      <c r="B11331" s="226">
        <v>46140</v>
      </c>
      <c r="C11331" s="227">
        <v>0.63107638888888895</v>
      </c>
      <c r="D11331" s="228">
        <v>10</v>
      </c>
      <c r="E11331" s="225" t="s">
        <v>7205</v>
      </c>
      <c r="F11331" s="225" t="s">
        <v>6946</v>
      </c>
    </row>
    <row r="11332" spans="2:6" ht="17.25" thickBot="1">
      <c r="B11332" s="226">
        <v>46140</v>
      </c>
      <c r="C11332" s="227">
        <v>0.61744212962962963</v>
      </c>
      <c r="D11332" s="228">
        <v>10</v>
      </c>
      <c r="E11332" s="225" t="s">
        <v>7206</v>
      </c>
      <c r="F11332" s="225" t="s">
        <v>6946</v>
      </c>
    </row>
    <row r="11333" spans="2:6" ht="17.25" thickBot="1">
      <c r="B11333" s="226">
        <v>46140</v>
      </c>
      <c r="C11333" s="227">
        <v>0.60357638888888887</v>
      </c>
      <c r="D11333" s="228">
        <v>10</v>
      </c>
      <c r="E11333" s="225" t="s">
        <v>7207</v>
      </c>
      <c r="F11333" s="225" t="s">
        <v>6946</v>
      </c>
    </row>
    <row r="11334" spans="2:6" ht="17.25" thickBot="1">
      <c r="B11334" s="226">
        <v>46140</v>
      </c>
      <c r="C11334" s="227">
        <v>0.59827546296296297</v>
      </c>
      <c r="D11334" s="228">
        <v>10</v>
      </c>
      <c r="E11334" s="225" t="s">
        <v>7208</v>
      </c>
      <c r="F11334" s="225" t="s">
        <v>6946</v>
      </c>
    </row>
    <row r="11335" spans="2:6" ht="17.25" thickBot="1">
      <c r="B11335" s="226">
        <v>46140</v>
      </c>
      <c r="C11335" s="227">
        <v>0.60509259259259263</v>
      </c>
      <c r="D11335" s="228">
        <v>10</v>
      </c>
      <c r="E11335" s="225" t="s">
        <v>7209</v>
      </c>
      <c r="F11335" s="225" t="s">
        <v>6946</v>
      </c>
    </row>
    <row r="11336" spans="2:6" ht="17.25" thickBot="1">
      <c r="B11336" s="226">
        <v>46140</v>
      </c>
      <c r="C11336" s="227">
        <v>0.60197916666666662</v>
      </c>
      <c r="D11336" s="228">
        <v>10</v>
      </c>
      <c r="E11336" s="225" t="s">
        <v>7210</v>
      </c>
      <c r="F11336" s="225" t="s">
        <v>6946</v>
      </c>
    </row>
    <row r="11337" spans="2:6" ht="17.25" thickBot="1">
      <c r="B11337" s="226">
        <v>46140</v>
      </c>
      <c r="C11337" s="227">
        <v>0.58233796296296292</v>
      </c>
      <c r="D11337" s="228">
        <v>10</v>
      </c>
      <c r="E11337" s="225" t="s">
        <v>7211</v>
      </c>
      <c r="F11337" s="225" t="s">
        <v>6946</v>
      </c>
    </row>
    <row r="11338" spans="2:6" ht="17.25" thickBot="1">
      <c r="B11338" s="226">
        <v>46140</v>
      </c>
      <c r="C11338" s="227">
        <v>0.57578703703703704</v>
      </c>
      <c r="D11338" s="228">
        <v>10</v>
      </c>
      <c r="E11338" s="225" t="s">
        <v>7212</v>
      </c>
      <c r="F11338" s="225" t="s">
        <v>6946</v>
      </c>
    </row>
    <row r="11339" spans="2:6" ht="17.25" thickBot="1">
      <c r="B11339" s="226">
        <v>46140</v>
      </c>
      <c r="C11339" s="227">
        <v>0.56807870370370372</v>
      </c>
      <c r="D11339" s="228">
        <v>10</v>
      </c>
      <c r="E11339" s="225" t="s">
        <v>132</v>
      </c>
      <c r="F11339" s="225" t="s">
        <v>6946</v>
      </c>
    </row>
    <row r="11340" spans="2:6" ht="17.25" thickBot="1">
      <c r="B11340" s="226">
        <v>46140</v>
      </c>
      <c r="C11340" s="227">
        <v>0.56217592592592591</v>
      </c>
      <c r="D11340" s="228">
        <v>10</v>
      </c>
      <c r="E11340" s="225" t="s">
        <v>7213</v>
      </c>
      <c r="F11340" s="225" t="s">
        <v>6946</v>
      </c>
    </row>
    <row r="11341" spans="2:6" ht="17.25" thickBot="1">
      <c r="B11341" s="226">
        <v>46140</v>
      </c>
      <c r="C11341" s="227">
        <v>0.55049768518518516</v>
      </c>
      <c r="D11341" s="228">
        <v>10</v>
      </c>
      <c r="E11341" s="225" t="s">
        <v>7214</v>
      </c>
      <c r="F11341" s="225" t="s">
        <v>6946</v>
      </c>
    </row>
    <row r="11342" spans="2:6" ht="17.25" thickBot="1">
      <c r="B11342" s="226">
        <v>46140</v>
      </c>
      <c r="C11342" s="227">
        <v>0.4942361111111111</v>
      </c>
      <c r="D11342" s="228">
        <v>10</v>
      </c>
      <c r="E11342" s="225" t="s">
        <v>7215</v>
      </c>
      <c r="F11342" s="225" t="s">
        <v>6946</v>
      </c>
    </row>
    <row r="11343" spans="2:6" ht="17.25" thickBot="1">
      <c r="B11343" s="226">
        <v>46140</v>
      </c>
      <c r="C11343" s="227">
        <v>0.48758101851851854</v>
      </c>
      <c r="D11343" s="228">
        <v>10</v>
      </c>
      <c r="E11343" s="225" t="s">
        <v>7216</v>
      </c>
      <c r="F11343" s="225" t="s">
        <v>6946</v>
      </c>
    </row>
    <row r="11344" spans="2:6" ht="17.25" thickBot="1">
      <c r="B11344" s="226">
        <v>46140</v>
      </c>
      <c r="C11344" s="227">
        <v>0.44033564814814818</v>
      </c>
      <c r="D11344" s="228">
        <v>10</v>
      </c>
      <c r="E11344" s="225" t="s">
        <v>7217</v>
      </c>
      <c r="F11344" s="225" t="s">
        <v>6946</v>
      </c>
    </row>
    <row r="11345" spans="2:6" ht="17.25" thickBot="1">
      <c r="B11345" s="226">
        <v>46140</v>
      </c>
      <c r="C11345" s="227">
        <v>0.41480324074074071</v>
      </c>
      <c r="D11345" s="228">
        <v>10</v>
      </c>
      <c r="E11345" s="225" t="s">
        <v>7179</v>
      </c>
      <c r="F11345" s="225" t="s">
        <v>6946</v>
      </c>
    </row>
    <row r="11346" spans="2:6" ht="17.25" thickBot="1">
      <c r="B11346" s="226">
        <v>46139</v>
      </c>
      <c r="C11346" s="227">
        <v>0.90435185185185185</v>
      </c>
      <c r="D11346" s="228">
        <v>10</v>
      </c>
      <c r="E11346" s="225" t="s">
        <v>1579</v>
      </c>
      <c r="F11346" s="225" t="s">
        <v>6946</v>
      </c>
    </row>
    <row r="11347" spans="2:6" ht="17.25" thickBot="1">
      <c r="B11347" s="226">
        <v>46139</v>
      </c>
      <c r="C11347" s="227">
        <v>0.88181712962962966</v>
      </c>
      <c r="D11347" s="228">
        <v>10</v>
      </c>
      <c r="E11347" s="225" t="s">
        <v>7161</v>
      </c>
      <c r="F11347" s="225" t="s">
        <v>6946</v>
      </c>
    </row>
    <row r="11348" spans="2:6" ht="17.25" thickBot="1">
      <c r="B11348" s="226">
        <v>46139</v>
      </c>
      <c r="C11348" s="227">
        <v>0.85598379629629628</v>
      </c>
      <c r="D11348" s="228">
        <v>10</v>
      </c>
      <c r="E11348" s="225" t="s">
        <v>7162</v>
      </c>
      <c r="F11348" s="225" t="s">
        <v>6946</v>
      </c>
    </row>
    <row r="11349" spans="2:6" ht="17.25" thickBot="1">
      <c r="B11349" s="226">
        <v>46139</v>
      </c>
      <c r="C11349" s="227">
        <v>0.78295138888888882</v>
      </c>
      <c r="D11349" s="228">
        <v>10</v>
      </c>
      <c r="E11349" s="225" t="s">
        <v>761</v>
      </c>
      <c r="F11349" s="225" t="s">
        <v>6946</v>
      </c>
    </row>
    <row r="11350" spans="2:6" ht="17.25" thickBot="1">
      <c r="B11350" s="226">
        <v>46139</v>
      </c>
      <c r="C11350" s="227">
        <v>0.7259606481481482</v>
      </c>
      <c r="D11350" s="228">
        <v>10</v>
      </c>
      <c r="E11350" s="225" t="s">
        <v>7163</v>
      </c>
      <c r="F11350" s="225" t="s">
        <v>6946</v>
      </c>
    </row>
    <row r="11351" spans="2:6" ht="39" thickBot="1">
      <c r="B11351" s="226">
        <v>46139</v>
      </c>
      <c r="C11351" s="227">
        <v>0.74047453703703703</v>
      </c>
      <c r="D11351" s="228">
        <v>10</v>
      </c>
      <c r="E11351" s="225" t="s">
        <v>7164</v>
      </c>
      <c r="F11351" s="225" t="s">
        <v>6946</v>
      </c>
    </row>
    <row r="11352" spans="2:6" ht="17.25" thickBot="1">
      <c r="B11352" s="226">
        <v>46139</v>
      </c>
      <c r="C11352" s="227">
        <v>0.71745370370370365</v>
      </c>
      <c r="D11352" s="228">
        <v>10</v>
      </c>
      <c r="E11352" s="225" t="s">
        <v>7165</v>
      </c>
      <c r="F11352" s="225" t="s">
        <v>6946</v>
      </c>
    </row>
    <row r="11353" spans="2:6" ht="17.25" thickBot="1">
      <c r="B11353" s="226">
        <v>46139</v>
      </c>
      <c r="C11353" s="227">
        <v>0.69469907407407405</v>
      </c>
      <c r="D11353" s="228">
        <v>10</v>
      </c>
      <c r="E11353" s="225" t="s">
        <v>7166</v>
      </c>
      <c r="F11353" s="225" t="s">
        <v>6946</v>
      </c>
    </row>
    <row r="11354" spans="2:6" ht="17.25" thickBot="1">
      <c r="B11354" s="226">
        <v>46139</v>
      </c>
      <c r="C11354" s="227">
        <v>0.66677083333333342</v>
      </c>
      <c r="D11354" s="228">
        <v>10</v>
      </c>
      <c r="E11354" s="225" t="s">
        <v>7167</v>
      </c>
      <c r="F11354" s="225" t="s">
        <v>6946</v>
      </c>
    </row>
    <row r="11355" spans="2:6" ht="39" thickBot="1">
      <c r="B11355" s="226">
        <v>46139</v>
      </c>
      <c r="C11355" s="227">
        <v>0.65771990740740738</v>
      </c>
      <c r="D11355" s="228">
        <v>10</v>
      </c>
      <c r="E11355" s="225" t="s">
        <v>7168</v>
      </c>
      <c r="F11355" s="225" t="s">
        <v>6946</v>
      </c>
    </row>
    <row r="11356" spans="2:6" ht="17.25" thickBot="1">
      <c r="B11356" s="226">
        <v>46139</v>
      </c>
      <c r="C11356" s="227">
        <v>0.65363425925925933</v>
      </c>
      <c r="D11356" s="228">
        <v>10</v>
      </c>
      <c r="E11356" s="225" t="s">
        <v>7008</v>
      </c>
      <c r="F11356" s="225" t="s">
        <v>6946</v>
      </c>
    </row>
    <row r="11357" spans="2:6" ht="17.25" thickBot="1">
      <c r="B11357" s="226">
        <v>46139</v>
      </c>
      <c r="C11357" s="227">
        <v>0.64109953703703704</v>
      </c>
      <c r="D11357" s="228">
        <v>10</v>
      </c>
      <c r="E11357" s="225" t="s">
        <v>7169</v>
      </c>
      <c r="F11357" s="225" t="s">
        <v>6946</v>
      </c>
    </row>
    <row r="11358" spans="2:6" ht="17.25" thickBot="1">
      <c r="B11358" s="226">
        <v>46139</v>
      </c>
      <c r="C11358" s="227">
        <v>0.60846064814814815</v>
      </c>
      <c r="D11358" s="228">
        <v>10</v>
      </c>
      <c r="E11358" s="225" t="s">
        <v>7170</v>
      </c>
      <c r="F11358" s="225" t="s">
        <v>6946</v>
      </c>
    </row>
    <row r="11359" spans="2:6" ht="26.25" thickBot="1">
      <c r="B11359" s="226">
        <v>46139</v>
      </c>
      <c r="C11359" s="227">
        <v>0.6278125</v>
      </c>
      <c r="D11359" s="228">
        <v>10</v>
      </c>
      <c r="E11359" s="225" t="s">
        <v>7171</v>
      </c>
      <c r="F11359" s="225" t="s">
        <v>6946</v>
      </c>
    </row>
    <row r="11360" spans="2:6" ht="17.25" thickBot="1">
      <c r="B11360" s="226">
        <v>46139</v>
      </c>
      <c r="C11360" s="227">
        <v>0.5993518518518518</v>
      </c>
      <c r="D11360" s="228">
        <v>10</v>
      </c>
      <c r="E11360" s="225" t="s">
        <v>5369</v>
      </c>
      <c r="F11360" s="225" t="s">
        <v>6946</v>
      </c>
    </row>
    <row r="11361" spans="2:6" ht="17.25" thickBot="1">
      <c r="B11361" s="226">
        <v>46139</v>
      </c>
      <c r="C11361" s="227">
        <v>0.57649305555555552</v>
      </c>
      <c r="D11361" s="228">
        <v>9</v>
      </c>
      <c r="E11361" s="225" t="s">
        <v>7172</v>
      </c>
      <c r="F11361" s="225" t="s">
        <v>6946</v>
      </c>
    </row>
    <row r="11362" spans="2:6" ht="17.25" thickBot="1">
      <c r="B11362" s="226">
        <v>46139</v>
      </c>
      <c r="C11362" s="227">
        <v>0.56734953703703705</v>
      </c>
      <c r="D11362" s="228">
        <v>10</v>
      </c>
      <c r="E11362" s="225" t="s">
        <v>7173</v>
      </c>
      <c r="F11362" s="225" t="s">
        <v>6946</v>
      </c>
    </row>
    <row r="11363" spans="2:6" ht="17.25" thickBot="1">
      <c r="B11363" s="226">
        <v>46139</v>
      </c>
      <c r="C11363" s="227">
        <v>0.55641203703703701</v>
      </c>
      <c r="D11363" s="228">
        <v>10</v>
      </c>
      <c r="E11363" s="225" t="s">
        <v>7174</v>
      </c>
      <c r="F11363" s="225" t="s">
        <v>6946</v>
      </c>
    </row>
    <row r="11364" spans="2:6" ht="17.25" thickBot="1">
      <c r="B11364" s="226">
        <v>46139</v>
      </c>
      <c r="C11364" s="227">
        <v>0.51390046296296299</v>
      </c>
      <c r="D11364" s="228">
        <v>10</v>
      </c>
      <c r="E11364" s="225" t="s">
        <v>7175</v>
      </c>
      <c r="F11364" s="225" t="s">
        <v>6946</v>
      </c>
    </row>
    <row r="11365" spans="2:6" ht="17.25" thickBot="1">
      <c r="B11365" s="226">
        <v>46139</v>
      </c>
      <c r="C11365" s="227">
        <v>0.49156249999999996</v>
      </c>
      <c r="D11365" s="228">
        <v>10</v>
      </c>
      <c r="E11365" s="225" t="s">
        <v>7176</v>
      </c>
      <c r="F11365" s="225" t="s">
        <v>6946</v>
      </c>
    </row>
    <row r="11366" spans="2:6" ht="17.25" thickBot="1">
      <c r="B11366" s="226">
        <v>46139</v>
      </c>
      <c r="C11366" s="227">
        <v>0.48365740740740742</v>
      </c>
      <c r="D11366" s="228">
        <v>10</v>
      </c>
      <c r="E11366" s="225" t="s">
        <v>7177</v>
      </c>
      <c r="F11366" s="225" t="s">
        <v>6946</v>
      </c>
    </row>
    <row r="11367" spans="2:6" ht="17.25" thickBot="1">
      <c r="B11367" s="226">
        <v>46139</v>
      </c>
      <c r="C11367" s="227">
        <v>0.4762615740740741</v>
      </c>
      <c r="D11367" s="228">
        <v>10</v>
      </c>
      <c r="E11367" s="225" t="s">
        <v>246</v>
      </c>
      <c r="F11367" s="225" t="s">
        <v>6946</v>
      </c>
    </row>
    <row r="11368" spans="2:6" ht="17.25" thickBot="1">
      <c r="B11368" s="226">
        <v>46139</v>
      </c>
      <c r="C11368" s="227">
        <v>0.46937500000000004</v>
      </c>
      <c r="D11368" s="228">
        <v>9</v>
      </c>
      <c r="E11368" s="225" t="s">
        <v>7178</v>
      </c>
      <c r="F11368" s="225" t="s">
        <v>6946</v>
      </c>
    </row>
    <row r="11369" spans="2:6" ht="17.25" thickBot="1">
      <c r="B11369" s="226">
        <v>46139</v>
      </c>
      <c r="C11369" s="227">
        <v>0.44982638888888887</v>
      </c>
      <c r="D11369" s="228">
        <v>10</v>
      </c>
      <c r="E11369" s="225" t="s">
        <v>7180</v>
      </c>
      <c r="F11369" s="225" t="s">
        <v>6946</v>
      </c>
    </row>
    <row r="11370" spans="2:6" ht="17.25" thickBot="1">
      <c r="B11370" s="226">
        <v>46139</v>
      </c>
      <c r="C11370" s="227">
        <v>0.43570601851851848</v>
      </c>
      <c r="D11370" s="228">
        <v>10</v>
      </c>
      <c r="E11370" s="225" t="s">
        <v>7181</v>
      </c>
      <c r="F11370" s="225" t="s">
        <v>6946</v>
      </c>
    </row>
    <row r="11371" spans="2:6" ht="17.25" thickBot="1">
      <c r="B11371" s="226">
        <v>46139</v>
      </c>
      <c r="C11371" s="227">
        <v>0.45100694444444445</v>
      </c>
      <c r="D11371" s="228">
        <v>10</v>
      </c>
      <c r="E11371" s="225" t="s">
        <v>7183</v>
      </c>
      <c r="F11371" s="225" t="s">
        <v>6946</v>
      </c>
    </row>
    <row r="11372" spans="2:6" ht="17.25" thickBot="1">
      <c r="B11372" s="226">
        <v>46139</v>
      </c>
      <c r="C11372" s="227">
        <v>0.4503240740740741</v>
      </c>
      <c r="D11372" s="228">
        <v>10</v>
      </c>
      <c r="E11372" s="225" t="s">
        <v>7184</v>
      </c>
      <c r="F11372" s="225" t="s">
        <v>6946</v>
      </c>
    </row>
    <row r="11373" spans="2:6" ht="17.25" thickBot="1">
      <c r="B11373" s="226">
        <v>46139</v>
      </c>
      <c r="C11373" s="227">
        <v>0.43395833333333328</v>
      </c>
      <c r="D11373" s="228">
        <v>10</v>
      </c>
      <c r="E11373" s="225" t="s">
        <v>7185</v>
      </c>
      <c r="F11373" s="225" t="s">
        <v>6946</v>
      </c>
    </row>
    <row r="11374" spans="2:6" ht="17.25" thickBot="1">
      <c r="B11374" s="226">
        <v>46139</v>
      </c>
      <c r="C11374" s="227">
        <v>0.44989583333333333</v>
      </c>
      <c r="D11374" s="228">
        <v>10</v>
      </c>
      <c r="E11374" s="225" t="s">
        <v>1407</v>
      </c>
      <c r="F11374" s="225" t="s">
        <v>6946</v>
      </c>
    </row>
    <row r="11375" spans="2:6" ht="17.25" thickBot="1">
      <c r="B11375" s="226">
        <v>46139</v>
      </c>
      <c r="C11375" s="227">
        <v>0.3989699074074074</v>
      </c>
      <c r="D11375" s="228">
        <v>10</v>
      </c>
      <c r="E11375" s="225" t="s">
        <v>7186</v>
      </c>
      <c r="F11375" s="225" t="s">
        <v>6946</v>
      </c>
    </row>
    <row r="11376" spans="2:6" ht="17.25" thickBot="1">
      <c r="B11376" s="226">
        <v>46139</v>
      </c>
      <c r="C11376" s="227">
        <v>0.40219907407407413</v>
      </c>
      <c r="D11376" s="228">
        <v>10</v>
      </c>
      <c r="E11376" s="225" t="s">
        <v>7182</v>
      </c>
      <c r="F11376" s="225" t="s">
        <v>6946</v>
      </c>
    </row>
    <row r="11377" spans="2:6" ht="17.25" thickBot="1">
      <c r="B11377" s="226">
        <v>46137</v>
      </c>
      <c r="C11377" s="227">
        <v>0.74679398148148157</v>
      </c>
      <c r="D11377" s="228">
        <v>10</v>
      </c>
      <c r="E11377" s="225" t="s">
        <v>4178</v>
      </c>
      <c r="F11377" s="225" t="s">
        <v>6946</v>
      </c>
    </row>
    <row r="11378" spans="2:6" ht="17.25" thickBot="1">
      <c r="B11378" s="226">
        <v>46137</v>
      </c>
      <c r="C11378" s="227">
        <v>0.74032407407407408</v>
      </c>
      <c r="D11378" s="228">
        <v>10</v>
      </c>
      <c r="E11378" s="225" t="s">
        <v>132</v>
      </c>
      <c r="F11378" s="225" t="s">
        <v>6946</v>
      </c>
    </row>
    <row r="11379" spans="2:6" ht="17.25" thickBot="1">
      <c r="B11379" s="226">
        <v>46137</v>
      </c>
      <c r="C11379" s="227">
        <v>0.73084490740740737</v>
      </c>
      <c r="D11379" s="228">
        <v>10</v>
      </c>
      <c r="E11379" s="225" t="s">
        <v>7128</v>
      </c>
      <c r="F11379" s="225" t="s">
        <v>6946</v>
      </c>
    </row>
    <row r="11380" spans="2:6" ht="17.25" thickBot="1">
      <c r="B11380" s="226">
        <v>46137</v>
      </c>
      <c r="C11380" s="227">
        <v>0.69293981481481481</v>
      </c>
      <c r="D11380" s="228">
        <v>10</v>
      </c>
      <c r="E11380" s="225" t="s">
        <v>6911</v>
      </c>
      <c r="F11380" s="225" t="s">
        <v>6946</v>
      </c>
    </row>
    <row r="11381" spans="2:6" ht="17.25" thickBot="1">
      <c r="B11381" s="226">
        <v>46137</v>
      </c>
      <c r="C11381" s="227">
        <v>0.67416666666666669</v>
      </c>
      <c r="D11381" s="228">
        <v>10</v>
      </c>
      <c r="E11381" s="225" t="s">
        <v>7129</v>
      </c>
      <c r="F11381" s="225" t="s">
        <v>6946</v>
      </c>
    </row>
    <row r="11382" spans="2:6" ht="17.25" thickBot="1">
      <c r="B11382" s="226">
        <v>46137</v>
      </c>
      <c r="C11382" s="227">
        <v>0.65997685185185184</v>
      </c>
      <c r="D11382" s="228">
        <v>10</v>
      </c>
      <c r="E11382" s="225" t="s">
        <v>7130</v>
      </c>
      <c r="F11382" s="225" t="s">
        <v>6946</v>
      </c>
    </row>
    <row r="11383" spans="2:6" ht="17.25" thickBot="1">
      <c r="B11383" s="226">
        <v>46137</v>
      </c>
      <c r="C11383" s="227">
        <v>0.51820601851851855</v>
      </c>
      <c r="D11383" s="228">
        <v>10</v>
      </c>
      <c r="E11383" s="225" t="s">
        <v>7131</v>
      </c>
      <c r="F11383" s="225" t="s">
        <v>6946</v>
      </c>
    </row>
    <row r="11384" spans="2:6" ht="17.25" thickBot="1">
      <c r="B11384" s="226">
        <v>46137</v>
      </c>
      <c r="C11384" s="227">
        <v>0.51369212962962962</v>
      </c>
      <c r="D11384" s="228">
        <v>10</v>
      </c>
      <c r="E11384" s="225" t="s">
        <v>7132</v>
      </c>
      <c r="F11384" s="225" t="s">
        <v>6946</v>
      </c>
    </row>
    <row r="11385" spans="2:6" ht="17.25" thickBot="1">
      <c r="B11385" s="226">
        <v>46137</v>
      </c>
      <c r="C11385" s="227">
        <v>0.44961805555555556</v>
      </c>
      <c r="D11385" s="228">
        <v>10</v>
      </c>
      <c r="E11385" s="225" t="s">
        <v>795</v>
      </c>
      <c r="F11385" s="225" t="s">
        <v>6946</v>
      </c>
    </row>
    <row r="11386" spans="2:6" ht="17.25" thickBot="1">
      <c r="B11386" s="226">
        <v>46137</v>
      </c>
      <c r="C11386" s="227">
        <v>0.43873842592592593</v>
      </c>
      <c r="D11386" s="228">
        <v>10</v>
      </c>
      <c r="E11386" s="225" t="s">
        <v>7133</v>
      </c>
      <c r="F11386" s="225" t="s">
        <v>6946</v>
      </c>
    </row>
    <row r="11387" spans="2:6" ht="17.25" thickBot="1">
      <c r="B11387" s="226">
        <v>46136</v>
      </c>
      <c r="C11387" s="227">
        <v>0.90678240740740745</v>
      </c>
      <c r="D11387" s="228">
        <v>10</v>
      </c>
      <c r="E11387" s="225" t="s">
        <v>7134</v>
      </c>
      <c r="F11387" s="225" t="s">
        <v>6946</v>
      </c>
    </row>
    <row r="11388" spans="2:6" ht="17.25" thickBot="1">
      <c r="B11388" s="226">
        <v>46136</v>
      </c>
      <c r="C11388" s="227">
        <v>0.9037384259259259</v>
      </c>
      <c r="D11388" s="228">
        <v>10</v>
      </c>
      <c r="E11388" s="225" t="s">
        <v>7135</v>
      </c>
      <c r="F11388" s="225" t="s">
        <v>6946</v>
      </c>
    </row>
    <row r="11389" spans="2:6" ht="17.25" thickBot="1">
      <c r="B11389" s="226">
        <v>46136</v>
      </c>
      <c r="C11389" s="227">
        <v>0.88284722222222223</v>
      </c>
      <c r="D11389" s="228">
        <v>10</v>
      </c>
      <c r="E11389" s="225" t="s">
        <v>7136</v>
      </c>
      <c r="F11389" s="225" t="s">
        <v>6946</v>
      </c>
    </row>
    <row r="11390" spans="2:6" ht="17.25" thickBot="1">
      <c r="B11390" s="226">
        <v>46136</v>
      </c>
      <c r="C11390" s="227">
        <v>0.88059027777777776</v>
      </c>
      <c r="D11390" s="228">
        <v>10</v>
      </c>
      <c r="E11390" s="225" t="s">
        <v>7137</v>
      </c>
      <c r="F11390" s="225" t="s">
        <v>6946</v>
      </c>
    </row>
    <row r="11391" spans="2:6" ht="17.25" thickBot="1">
      <c r="B11391" s="226">
        <v>46136</v>
      </c>
      <c r="C11391" s="227">
        <v>0.77537037037037038</v>
      </c>
      <c r="D11391" s="228">
        <v>10</v>
      </c>
      <c r="E11391" s="225" t="s">
        <v>565</v>
      </c>
      <c r="F11391" s="225" t="s">
        <v>6946</v>
      </c>
    </row>
    <row r="11392" spans="2:6" ht="17.25" thickBot="1">
      <c r="B11392" s="226">
        <v>46136</v>
      </c>
      <c r="C11392" s="227">
        <v>0.77273148148148152</v>
      </c>
      <c r="D11392" s="228">
        <v>10</v>
      </c>
      <c r="E11392" s="225" t="s">
        <v>1206</v>
      </c>
      <c r="F11392" s="225" t="s">
        <v>6946</v>
      </c>
    </row>
    <row r="11393" spans="2:6" ht="17.25" thickBot="1">
      <c r="B11393" s="226">
        <v>46136</v>
      </c>
      <c r="C11393" s="227">
        <v>0.76315972222222228</v>
      </c>
      <c r="D11393" s="228">
        <v>10</v>
      </c>
      <c r="E11393" s="225" t="s">
        <v>7138</v>
      </c>
      <c r="F11393" s="225" t="s">
        <v>6946</v>
      </c>
    </row>
    <row r="11394" spans="2:6" ht="17.25" thickBot="1">
      <c r="B11394" s="226">
        <v>46136</v>
      </c>
      <c r="C11394" s="227">
        <v>0.75802083333333325</v>
      </c>
      <c r="D11394" s="228">
        <v>10</v>
      </c>
      <c r="E11394" s="225" t="s">
        <v>7139</v>
      </c>
      <c r="F11394" s="225" t="s">
        <v>6946</v>
      </c>
    </row>
    <row r="11395" spans="2:6" ht="17.25" thickBot="1">
      <c r="B11395" s="226">
        <v>46136</v>
      </c>
      <c r="C11395" s="227">
        <v>0.75006944444444434</v>
      </c>
      <c r="D11395" s="228">
        <v>10</v>
      </c>
      <c r="E11395" s="225" t="s">
        <v>495</v>
      </c>
      <c r="F11395" s="225" t="s">
        <v>6946</v>
      </c>
    </row>
    <row r="11396" spans="2:6" ht="17.25" thickBot="1">
      <c r="B11396" s="226">
        <v>46136</v>
      </c>
      <c r="C11396" s="227">
        <v>0.73781249999999998</v>
      </c>
      <c r="D11396" s="228">
        <v>10</v>
      </c>
      <c r="E11396" s="225" t="s">
        <v>7140</v>
      </c>
      <c r="F11396" s="225" t="s">
        <v>6946</v>
      </c>
    </row>
    <row r="11397" spans="2:6" ht="17.25" thickBot="1">
      <c r="B11397" s="226">
        <v>46136</v>
      </c>
      <c r="C11397" s="227">
        <v>0.73870370370370375</v>
      </c>
      <c r="D11397" s="228">
        <v>10</v>
      </c>
      <c r="E11397" s="225" t="s">
        <v>7141</v>
      </c>
      <c r="F11397" s="225" t="s">
        <v>6946</v>
      </c>
    </row>
    <row r="11398" spans="2:6" ht="17.25" thickBot="1">
      <c r="B11398" s="226">
        <v>46136</v>
      </c>
      <c r="C11398" s="227">
        <v>0.74326388888888895</v>
      </c>
      <c r="D11398" s="228">
        <v>10</v>
      </c>
      <c r="E11398" s="225" t="s">
        <v>406</v>
      </c>
      <c r="F11398" s="225" t="s">
        <v>6946</v>
      </c>
    </row>
    <row r="11399" spans="2:6" ht="26.25" thickBot="1">
      <c r="B11399" s="226">
        <v>46136</v>
      </c>
      <c r="C11399" s="227">
        <v>0.73456018518518518</v>
      </c>
      <c r="D11399" s="228">
        <v>10</v>
      </c>
      <c r="E11399" s="225" t="s">
        <v>7142</v>
      </c>
      <c r="F11399" s="225" t="s">
        <v>6946</v>
      </c>
    </row>
    <row r="11400" spans="2:6" ht="17.25" thickBot="1">
      <c r="B11400" s="226">
        <v>46136</v>
      </c>
      <c r="C11400" s="227">
        <v>0.71607638888888892</v>
      </c>
      <c r="D11400" s="228">
        <v>10</v>
      </c>
      <c r="E11400" s="225" t="s">
        <v>7143</v>
      </c>
      <c r="F11400" s="225" t="s">
        <v>6946</v>
      </c>
    </row>
    <row r="11401" spans="2:6" ht="17.25" thickBot="1">
      <c r="B11401" s="226">
        <v>46136</v>
      </c>
      <c r="C11401" s="227">
        <v>0.71747685185185184</v>
      </c>
      <c r="D11401" s="228">
        <v>10</v>
      </c>
      <c r="E11401" s="225" t="s">
        <v>7144</v>
      </c>
      <c r="F11401" s="225" t="s">
        <v>6946</v>
      </c>
    </row>
    <row r="11402" spans="2:6" ht="17.25" thickBot="1">
      <c r="B11402" s="226">
        <v>46136</v>
      </c>
      <c r="C11402" s="227">
        <v>0.74189814814814825</v>
      </c>
      <c r="D11402" s="228">
        <v>10</v>
      </c>
      <c r="E11402" s="225" t="s">
        <v>7145</v>
      </c>
      <c r="F11402" s="225" t="s">
        <v>6946</v>
      </c>
    </row>
    <row r="11403" spans="2:6" ht="17.25" thickBot="1">
      <c r="B11403" s="226">
        <v>46136</v>
      </c>
      <c r="C11403" s="227">
        <v>0.69210648148148157</v>
      </c>
      <c r="D11403" s="228">
        <v>10</v>
      </c>
      <c r="E11403" s="225" t="s">
        <v>3058</v>
      </c>
      <c r="F11403" s="225" t="s">
        <v>6946</v>
      </c>
    </row>
    <row r="11404" spans="2:6" ht="17.25" thickBot="1">
      <c r="B11404" s="226">
        <v>46136</v>
      </c>
      <c r="C11404" s="227">
        <v>0.68584490740740733</v>
      </c>
      <c r="D11404" s="228">
        <v>10</v>
      </c>
      <c r="E11404" s="225" t="s">
        <v>7146</v>
      </c>
      <c r="F11404" s="225" t="s">
        <v>6946</v>
      </c>
    </row>
    <row r="11405" spans="2:6" ht="17.25" thickBot="1">
      <c r="B11405" s="226">
        <v>46136</v>
      </c>
      <c r="C11405" s="227">
        <v>0.66392361111111109</v>
      </c>
      <c r="D11405" s="228">
        <v>10</v>
      </c>
      <c r="E11405" s="225" t="s">
        <v>7147</v>
      </c>
      <c r="F11405" s="225" t="s">
        <v>6946</v>
      </c>
    </row>
    <row r="11406" spans="2:6" ht="17.25" thickBot="1">
      <c r="B11406" s="226">
        <v>46136</v>
      </c>
      <c r="C11406" s="227">
        <v>0.66285879629629629</v>
      </c>
      <c r="D11406" s="228">
        <v>10</v>
      </c>
      <c r="E11406" s="225" t="s">
        <v>4234</v>
      </c>
      <c r="F11406" s="225" t="s">
        <v>6946</v>
      </c>
    </row>
    <row r="11407" spans="2:6" ht="17.25" thickBot="1">
      <c r="B11407" s="226">
        <v>46136</v>
      </c>
      <c r="C11407" s="227">
        <v>0.66194444444444445</v>
      </c>
      <c r="D11407" s="228">
        <v>10</v>
      </c>
      <c r="E11407" s="225" t="s">
        <v>7148</v>
      </c>
      <c r="F11407" s="225" t="s">
        <v>6946</v>
      </c>
    </row>
    <row r="11408" spans="2:6" ht="17.25" thickBot="1">
      <c r="B11408" s="226">
        <v>46136</v>
      </c>
      <c r="C11408" s="227">
        <v>0.64372685185185186</v>
      </c>
      <c r="D11408" s="228">
        <v>10</v>
      </c>
      <c r="E11408" s="225" t="s">
        <v>7149</v>
      </c>
      <c r="F11408" s="225" t="s">
        <v>6946</v>
      </c>
    </row>
    <row r="11409" spans="2:6" ht="17.25" thickBot="1">
      <c r="B11409" s="226">
        <v>46136</v>
      </c>
      <c r="C11409" s="227">
        <v>0.66261574074074081</v>
      </c>
      <c r="D11409" s="228">
        <v>10</v>
      </c>
      <c r="E11409" s="225" t="s">
        <v>7150</v>
      </c>
      <c r="F11409" s="225" t="s">
        <v>6946</v>
      </c>
    </row>
    <row r="11410" spans="2:6" ht="17.25" thickBot="1">
      <c r="B11410" s="226">
        <v>46136</v>
      </c>
      <c r="C11410" s="227">
        <v>0.61771990740740745</v>
      </c>
      <c r="D11410" s="228">
        <v>10</v>
      </c>
      <c r="E11410" s="225" t="s">
        <v>7151</v>
      </c>
      <c r="F11410" s="225" t="s">
        <v>6946</v>
      </c>
    </row>
    <row r="11411" spans="2:6" ht="17.25" thickBot="1">
      <c r="B11411" s="226">
        <v>46136</v>
      </c>
      <c r="C11411" s="227">
        <v>0.58038194444444446</v>
      </c>
      <c r="D11411" s="228">
        <v>10</v>
      </c>
      <c r="E11411" s="225" t="s">
        <v>7152</v>
      </c>
      <c r="F11411" s="225" t="s">
        <v>6946</v>
      </c>
    </row>
    <row r="11412" spans="2:6" ht="17.25" thickBot="1">
      <c r="B11412" s="226">
        <v>46136</v>
      </c>
      <c r="C11412" s="227">
        <v>0.5835069444444444</v>
      </c>
      <c r="D11412" s="228">
        <v>10</v>
      </c>
      <c r="E11412" s="225" t="s">
        <v>7153</v>
      </c>
      <c r="F11412" s="225" t="s">
        <v>6946</v>
      </c>
    </row>
    <row r="11413" spans="2:6" ht="17.25" thickBot="1">
      <c r="B11413" s="226">
        <v>46136</v>
      </c>
      <c r="C11413" s="227">
        <v>0.53042824074074069</v>
      </c>
      <c r="D11413" s="228">
        <v>10</v>
      </c>
      <c r="E11413" s="225" t="s">
        <v>7154</v>
      </c>
      <c r="F11413" s="225" t="s">
        <v>6946</v>
      </c>
    </row>
    <row r="11414" spans="2:6" ht="17.25" thickBot="1">
      <c r="B11414" s="226">
        <v>46136</v>
      </c>
      <c r="C11414" s="227">
        <v>0.50130787037037039</v>
      </c>
      <c r="D11414" s="228">
        <v>10</v>
      </c>
      <c r="E11414" s="225" t="s">
        <v>7155</v>
      </c>
      <c r="F11414" s="225" t="s">
        <v>6946</v>
      </c>
    </row>
    <row r="11415" spans="2:6" ht="17.25" thickBot="1">
      <c r="B11415" s="226">
        <v>46136</v>
      </c>
      <c r="C11415" s="227">
        <v>0.48436342592592596</v>
      </c>
      <c r="D11415" s="228">
        <v>10</v>
      </c>
      <c r="E11415" s="225" t="s">
        <v>7157</v>
      </c>
      <c r="F11415" s="225" t="s">
        <v>6946</v>
      </c>
    </row>
    <row r="11416" spans="2:6" ht="17.25" thickBot="1">
      <c r="B11416" s="226">
        <v>46136</v>
      </c>
      <c r="C11416" s="227">
        <v>0.5075115740740741</v>
      </c>
      <c r="D11416" s="228">
        <v>10</v>
      </c>
      <c r="E11416" s="225" t="s">
        <v>7156</v>
      </c>
      <c r="F11416" s="225" t="s">
        <v>6946</v>
      </c>
    </row>
    <row r="11417" spans="2:6" ht="17.25" thickBot="1">
      <c r="B11417" s="226">
        <v>46136</v>
      </c>
      <c r="C11417" s="227">
        <v>0.45802083333333332</v>
      </c>
      <c r="D11417" s="228">
        <v>10</v>
      </c>
      <c r="E11417" s="225" t="s">
        <v>1724</v>
      </c>
      <c r="F11417" s="225" t="s">
        <v>6946</v>
      </c>
    </row>
    <row r="11418" spans="2:6" ht="17.25" thickBot="1">
      <c r="B11418" s="226">
        <v>46136</v>
      </c>
      <c r="C11418" s="227">
        <v>0.41751157407407408</v>
      </c>
      <c r="D11418" s="228">
        <v>10</v>
      </c>
      <c r="E11418" s="225" t="s">
        <v>7159</v>
      </c>
      <c r="F11418" s="225" t="s">
        <v>6946</v>
      </c>
    </row>
    <row r="11419" spans="2:6" ht="17.25" thickBot="1">
      <c r="B11419" s="226">
        <v>46136</v>
      </c>
      <c r="C11419" s="227">
        <v>0.3999537037037037</v>
      </c>
      <c r="D11419" s="228">
        <v>10</v>
      </c>
      <c r="E11419" s="225" t="s">
        <v>7158</v>
      </c>
      <c r="F11419" s="225" t="s">
        <v>6946</v>
      </c>
    </row>
    <row r="11420" spans="2:6" ht="17.25" thickBot="1">
      <c r="B11420" s="226">
        <v>46136</v>
      </c>
      <c r="C11420" s="227">
        <v>0.39097222222222222</v>
      </c>
      <c r="D11420" s="228">
        <v>10</v>
      </c>
      <c r="E11420" s="225" t="s">
        <v>7160</v>
      </c>
      <c r="F11420" s="225" t="s">
        <v>6946</v>
      </c>
    </row>
    <row r="11421" spans="2:6" ht="17.25" thickBot="1">
      <c r="B11421" s="226">
        <v>46135</v>
      </c>
      <c r="C11421" s="227">
        <v>0.91879629629629633</v>
      </c>
      <c r="D11421" s="228">
        <v>10</v>
      </c>
      <c r="E11421" s="225" t="s">
        <v>7105</v>
      </c>
      <c r="F11421" s="225" t="s">
        <v>6946</v>
      </c>
    </row>
    <row r="11422" spans="2:6" ht="17.25" thickBot="1">
      <c r="B11422" s="226">
        <v>46135</v>
      </c>
      <c r="C11422" s="227">
        <v>0.91142361111111114</v>
      </c>
      <c r="D11422" s="228">
        <v>10</v>
      </c>
      <c r="E11422" s="225" t="s">
        <v>7106</v>
      </c>
      <c r="F11422" s="225" t="s">
        <v>6946</v>
      </c>
    </row>
    <row r="11423" spans="2:6" ht="17.25" thickBot="1">
      <c r="B11423" s="226">
        <v>46135</v>
      </c>
      <c r="C11423" s="227">
        <v>0.90547453703703706</v>
      </c>
      <c r="D11423" s="228">
        <v>10</v>
      </c>
      <c r="E11423" s="225" t="s">
        <v>7107</v>
      </c>
      <c r="F11423" s="225" t="s">
        <v>6946</v>
      </c>
    </row>
    <row r="11424" spans="2:6" ht="17.25" thickBot="1">
      <c r="B11424" s="226">
        <v>46135</v>
      </c>
      <c r="C11424" s="227">
        <v>0.90180555555555564</v>
      </c>
      <c r="D11424" s="228">
        <v>9</v>
      </c>
      <c r="E11424" s="225" t="s">
        <v>7108</v>
      </c>
      <c r="F11424" s="225" t="s">
        <v>6946</v>
      </c>
    </row>
    <row r="11425" spans="2:6" ht="17.25" thickBot="1">
      <c r="B11425" s="226">
        <v>46135</v>
      </c>
      <c r="C11425" s="227">
        <v>0.87703703703703706</v>
      </c>
      <c r="D11425" s="228">
        <v>10</v>
      </c>
      <c r="E11425" s="225" t="s">
        <v>7109</v>
      </c>
      <c r="F11425" s="225" t="s">
        <v>6946</v>
      </c>
    </row>
    <row r="11426" spans="2:6" ht="17.25" thickBot="1">
      <c r="B11426" s="226">
        <v>46135</v>
      </c>
      <c r="C11426" s="227">
        <v>0.86092592592592598</v>
      </c>
      <c r="D11426" s="228">
        <v>10</v>
      </c>
      <c r="E11426" s="225" t="s">
        <v>4144</v>
      </c>
      <c r="F11426" s="225" t="s">
        <v>6946</v>
      </c>
    </row>
    <row r="11427" spans="2:6" ht="17.25" thickBot="1">
      <c r="B11427" s="226">
        <v>46135</v>
      </c>
      <c r="C11427" s="227">
        <v>0.85503472222222221</v>
      </c>
      <c r="D11427" s="228">
        <v>10</v>
      </c>
      <c r="E11427" s="225" t="s">
        <v>7110</v>
      </c>
      <c r="F11427" s="225" t="s">
        <v>6946</v>
      </c>
    </row>
    <row r="11428" spans="2:6" ht="17.25" thickBot="1">
      <c r="B11428" s="226">
        <v>46135</v>
      </c>
      <c r="C11428" s="227">
        <v>0.86099537037037033</v>
      </c>
      <c r="D11428" s="228">
        <v>10</v>
      </c>
      <c r="E11428" s="225" t="s">
        <v>7111</v>
      </c>
      <c r="F11428" s="225" t="s">
        <v>6946</v>
      </c>
    </row>
    <row r="11429" spans="2:6" ht="17.25" thickBot="1">
      <c r="B11429" s="226">
        <v>46135</v>
      </c>
      <c r="C11429" s="227">
        <v>0.78016203703703713</v>
      </c>
      <c r="D11429" s="228">
        <v>10</v>
      </c>
      <c r="E11429" s="225" t="s">
        <v>7112</v>
      </c>
      <c r="F11429" s="225" t="s">
        <v>6946</v>
      </c>
    </row>
    <row r="11430" spans="2:6" ht="17.25" thickBot="1">
      <c r="B11430" s="226">
        <v>46135</v>
      </c>
      <c r="C11430" s="227">
        <v>0.77342592592592585</v>
      </c>
      <c r="D11430" s="228">
        <v>10</v>
      </c>
      <c r="E11430" s="225" t="s">
        <v>7113</v>
      </c>
      <c r="F11430" s="225" t="s">
        <v>6946</v>
      </c>
    </row>
    <row r="11431" spans="2:6" ht="17.25" thickBot="1">
      <c r="B11431" s="226">
        <v>46135</v>
      </c>
      <c r="C11431" s="227">
        <v>0.7764699074074074</v>
      </c>
      <c r="D11431" s="228">
        <v>10</v>
      </c>
      <c r="E11431" s="225" t="s">
        <v>7114</v>
      </c>
      <c r="F11431" s="225" t="s">
        <v>6946</v>
      </c>
    </row>
    <row r="11432" spans="2:6" ht="17.25" thickBot="1">
      <c r="B11432" s="226">
        <v>46135</v>
      </c>
      <c r="C11432" s="227">
        <v>0.76053240740740735</v>
      </c>
      <c r="D11432" s="228">
        <v>10</v>
      </c>
      <c r="E11432" s="225" t="s">
        <v>194</v>
      </c>
      <c r="F11432" s="225" t="s">
        <v>6946</v>
      </c>
    </row>
    <row r="11433" spans="2:6" ht="17.25" thickBot="1">
      <c r="B11433" s="226">
        <v>46135</v>
      </c>
      <c r="C11433" s="227">
        <v>0.75203703703703706</v>
      </c>
      <c r="D11433" s="228">
        <v>10</v>
      </c>
      <c r="E11433" s="225" t="s">
        <v>7115</v>
      </c>
      <c r="F11433" s="225" t="s">
        <v>6946</v>
      </c>
    </row>
    <row r="11434" spans="2:6" ht="17.25" thickBot="1">
      <c r="B11434" s="226">
        <v>46135</v>
      </c>
      <c r="C11434" s="227">
        <v>0.7453819444444445</v>
      </c>
      <c r="D11434" s="228">
        <v>10</v>
      </c>
      <c r="E11434" s="225" t="s">
        <v>7116</v>
      </c>
      <c r="F11434" s="225" t="s">
        <v>6946</v>
      </c>
    </row>
    <row r="11435" spans="2:6" ht="17.25" thickBot="1">
      <c r="B11435" s="226">
        <v>46135</v>
      </c>
      <c r="C11435" s="227">
        <v>0.74479166666666663</v>
      </c>
      <c r="D11435" s="228">
        <v>10</v>
      </c>
      <c r="E11435" s="225" t="s">
        <v>7117</v>
      </c>
      <c r="F11435" s="225" t="s">
        <v>6946</v>
      </c>
    </row>
    <row r="11436" spans="2:6" ht="17.25" thickBot="1">
      <c r="B11436" s="226">
        <v>46135</v>
      </c>
      <c r="C11436" s="227">
        <v>0.69027777777777777</v>
      </c>
      <c r="D11436" s="228">
        <v>10</v>
      </c>
      <c r="E11436" s="225" t="s">
        <v>7118</v>
      </c>
      <c r="F11436" s="225" t="s">
        <v>6946</v>
      </c>
    </row>
    <row r="11437" spans="2:6" ht="17.25" thickBot="1">
      <c r="B11437" s="226">
        <v>46135</v>
      </c>
      <c r="C11437" s="227">
        <v>0.69626157407407396</v>
      </c>
      <c r="D11437" s="228">
        <v>10</v>
      </c>
      <c r="E11437" s="225" t="s">
        <v>7119</v>
      </c>
      <c r="F11437" s="225" t="s">
        <v>6946</v>
      </c>
    </row>
    <row r="11438" spans="2:6" ht="17.25" thickBot="1">
      <c r="B11438" s="226">
        <v>46135</v>
      </c>
      <c r="C11438" s="227">
        <v>0.66457175925925926</v>
      </c>
      <c r="D11438" s="228">
        <v>10</v>
      </c>
      <c r="E11438" s="225" t="s">
        <v>7120</v>
      </c>
      <c r="F11438" s="225" t="s">
        <v>6946</v>
      </c>
    </row>
    <row r="11439" spans="2:6" ht="17.25" thickBot="1">
      <c r="B11439" s="226">
        <v>46135</v>
      </c>
      <c r="C11439" s="227">
        <v>0.6582986111111111</v>
      </c>
      <c r="D11439" s="228">
        <v>10</v>
      </c>
      <c r="E11439" s="225" t="s">
        <v>7121</v>
      </c>
      <c r="F11439" s="225" t="s">
        <v>6946</v>
      </c>
    </row>
    <row r="11440" spans="2:6" ht="17.25" thickBot="1">
      <c r="B11440" s="226">
        <v>46135</v>
      </c>
      <c r="C11440" s="227">
        <v>0.63454861111111105</v>
      </c>
      <c r="D11440" s="228">
        <v>10</v>
      </c>
      <c r="E11440" s="225" t="s">
        <v>179</v>
      </c>
      <c r="F11440" s="225" t="s">
        <v>6946</v>
      </c>
    </row>
    <row r="11441" spans="2:6" ht="17.25" thickBot="1">
      <c r="B11441" s="226">
        <v>46135</v>
      </c>
      <c r="C11441" s="227">
        <v>0.60703703703703704</v>
      </c>
      <c r="D11441" s="228">
        <v>10</v>
      </c>
      <c r="E11441" s="225" t="s">
        <v>7122</v>
      </c>
      <c r="F11441" s="225" t="s">
        <v>6946</v>
      </c>
    </row>
    <row r="11442" spans="2:6" ht="17.25" thickBot="1">
      <c r="B11442" s="226">
        <v>46135</v>
      </c>
      <c r="C11442" s="227">
        <v>0.59254629629629629</v>
      </c>
      <c r="D11442" s="228">
        <v>10</v>
      </c>
      <c r="E11442" s="225" t="s">
        <v>7123</v>
      </c>
      <c r="F11442" s="225" t="s">
        <v>6946</v>
      </c>
    </row>
    <row r="11443" spans="2:6" ht="17.25" thickBot="1">
      <c r="B11443" s="226">
        <v>46135</v>
      </c>
      <c r="C11443" s="227">
        <v>0.47314814814814815</v>
      </c>
      <c r="D11443" s="228">
        <v>10</v>
      </c>
      <c r="E11443" s="225" t="s">
        <v>132</v>
      </c>
      <c r="F11443" s="225" t="s">
        <v>6946</v>
      </c>
    </row>
    <row r="11444" spans="2:6" ht="17.25" thickBot="1">
      <c r="B11444" s="226">
        <v>46135</v>
      </c>
      <c r="C11444" s="227">
        <v>0.46527777777777773</v>
      </c>
      <c r="D11444" s="228">
        <v>10</v>
      </c>
      <c r="E11444" s="225" t="s">
        <v>679</v>
      </c>
      <c r="F11444" s="225" t="s">
        <v>6946</v>
      </c>
    </row>
    <row r="11445" spans="2:6" ht="17.25" thickBot="1">
      <c r="B11445" s="226">
        <v>46135</v>
      </c>
      <c r="C11445" s="227">
        <v>0.42517361111111113</v>
      </c>
      <c r="D11445" s="228">
        <v>10</v>
      </c>
      <c r="E11445" s="225" t="s">
        <v>7124</v>
      </c>
      <c r="F11445" s="225" t="s">
        <v>6946</v>
      </c>
    </row>
    <row r="11446" spans="2:6" ht="17.25" thickBot="1">
      <c r="B11446" s="226">
        <v>46135</v>
      </c>
      <c r="C11446" s="227">
        <v>0.42761574074074077</v>
      </c>
      <c r="D11446" s="228">
        <v>10</v>
      </c>
      <c r="E11446" s="225" t="s">
        <v>7125</v>
      </c>
      <c r="F11446" s="225" t="s">
        <v>6946</v>
      </c>
    </row>
    <row r="11447" spans="2:6" ht="17.25" thickBot="1">
      <c r="B11447" s="226">
        <v>46135</v>
      </c>
      <c r="C11447" s="227">
        <v>0.42548611111111106</v>
      </c>
      <c r="D11447" s="228">
        <v>10</v>
      </c>
      <c r="E11447" s="225" t="s">
        <v>7126</v>
      </c>
      <c r="F11447" s="225" t="s">
        <v>6946</v>
      </c>
    </row>
    <row r="11448" spans="2:6" ht="17.25" thickBot="1">
      <c r="B11448" s="226">
        <v>46135</v>
      </c>
      <c r="C11448" s="227">
        <v>0.40609953703703705</v>
      </c>
      <c r="D11448" s="228">
        <v>10</v>
      </c>
      <c r="E11448" s="225" t="s">
        <v>6823</v>
      </c>
      <c r="F11448" s="225" t="s">
        <v>6946</v>
      </c>
    </row>
    <row r="11449" spans="2:6" ht="17.25" thickBot="1">
      <c r="B11449" s="226">
        <v>46135</v>
      </c>
      <c r="C11449" s="227">
        <v>0.39283564814814814</v>
      </c>
      <c r="D11449" s="228">
        <v>10</v>
      </c>
      <c r="E11449" s="225" t="s">
        <v>7127</v>
      </c>
      <c r="F11449" s="225" t="s">
        <v>6946</v>
      </c>
    </row>
    <row r="11450" spans="2:6" ht="17.25" thickBot="1">
      <c r="B11450" s="226">
        <v>46134</v>
      </c>
      <c r="C11450" s="227">
        <v>0.89478009259259261</v>
      </c>
      <c r="D11450" s="228">
        <v>10</v>
      </c>
      <c r="E11450" s="225" t="s">
        <v>7081</v>
      </c>
      <c r="F11450" s="225" t="s">
        <v>6946</v>
      </c>
    </row>
    <row r="11451" spans="2:6" ht="17.25" thickBot="1">
      <c r="B11451" s="226">
        <v>46134</v>
      </c>
      <c r="C11451" s="227">
        <v>0.89184027777777775</v>
      </c>
      <c r="D11451" s="228">
        <v>10</v>
      </c>
      <c r="E11451" s="225" t="s">
        <v>7082</v>
      </c>
      <c r="F11451" s="225" t="s">
        <v>6946</v>
      </c>
    </row>
    <row r="11452" spans="2:6" ht="17.25" thickBot="1">
      <c r="B11452" s="226">
        <v>46134</v>
      </c>
      <c r="C11452" s="227">
        <v>0.86833333333333329</v>
      </c>
      <c r="D11452" s="228">
        <v>10</v>
      </c>
      <c r="E11452" s="225" t="s">
        <v>7083</v>
      </c>
      <c r="F11452" s="225" t="s">
        <v>6946</v>
      </c>
    </row>
    <row r="11453" spans="2:6" ht="17.25" thickBot="1">
      <c r="B11453" s="226">
        <v>46134</v>
      </c>
      <c r="C11453" s="227">
        <v>0.85836805555555562</v>
      </c>
      <c r="D11453" s="228">
        <v>10</v>
      </c>
      <c r="E11453" s="225" t="s">
        <v>7084</v>
      </c>
      <c r="F11453" s="225" t="s">
        <v>6946</v>
      </c>
    </row>
    <row r="11454" spans="2:6" ht="17.25" thickBot="1">
      <c r="B11454" s="226">
        <v>46134</v>
      </c>
      <c r="C11454" s="227">
        <v>0.84604166666666669</v>
      </c>
      <c r="D11454" s="228">
        <v>10</v>
      </c>
      <c r="E11454" s="225" t="s">
        <v>7085</v>
      </c>
      <c r="F11454" s="225" t="s">
        <v>6946</v>
      </c>
    </row>
    <row r="11455" spans="2:6" ht="17.25" thickBot="1">
      <c r="B11455" s="226">
        <v>46134</v>
      </c>
      <c r="C11455" s="227">
        <v>0.83101851851851849</v>
      </c>
      <c r="D11455" s="228">
        <v>10</v>
      </c>
      <c r="E11455" s="225" t="s">
        <v>7086</v>
      </c>
      <c r="F11455" s="225" t="s">
        <v>6946</v>
      </c>
    </row>
    <row r="11456" spans="2:6" ht="17.25" thickBot="1">
      <c r="B11456" s="226">
        <v>46134</v>
      </c>
      <c r="C11456" s="227">
        <v>0.81508101851851855</v>
      </c>
      <c r="D11456" s="228">
        <v>10</v>
      </c>
      <c r="E11456" s="225" t="s">
        <v>7087</v>
      </c>
      <c r="F11456" s="225" t="s">
        <v>6946</v>
      </c>
    </row>
    <row r="11457" spans="2:6" ht="26.25" thickBot="1">
      <c r="B11457" s="226">
        <v>46134</v>
      </c>
      <c r="C11457" s="227">
        <v>0.80393518518518514</v>
      </c>
      <c r="D11457" s="228">
        <v>10</v>
      </c>
      <c r="E11457" s="225" t="s">
        <v>7088</v>
      </c>
      <c r="F11457" s="225" t="s">
        <v>6946</v>
      </c>
    </row>
    <row r="11458" spans="2:6" ht="17.25" thickBot="1">
      <c r="B11458" s="226">
        <v>46134</v>
      </c>
      <c r="C11458" s="227">
        <v>0.77724537037037045</v>
      </c>
      <c r="D11458" s="228">
        <v>10</v>
      </c>
      <c r="E11458" s="225" t="s">
        <v>7089</v>
      </c>
      <c r="F11458" s="225" t="s">
        <v>6946</v>
      </c>
    </row>
    <row r="11459" spans="2:6" ht="17.25" thickBot="1">
      <c r="B11459" s="226">
        <v>46134</v>
      </c>
      <c r="C11459" s="227">
        <v>0.76127314814814817</v>
      </c>
      <c r="D11459" s="228">
        <v>10</v>
      </c>
      <c r="E11459" s="225" t="s">
        <v>7090</v>
      </c>
      <c r="F11459" s="225" t="s">
        <v>6946</v>
      </c>
    </row>
    <row r="11460" spans="2:6" ht="17.25" thickBot="1">
      <c r="B11460" s="226">
        <v>46134</v>
      </c>
      <c r="C11460" s="227">
        <v>0.75756944444444452</v>
      </c>
      <c r="D11460" s="228">
        <v>10</v>
      </c>
      <c r="E11460" s="225" t="s">
        <v>433</v>
      </c>
      <c r="F11460" s="225" t="s">
        <v>6946</v>
      </c>
    </row>
    <row r="11461" spans="2:6" ht="26.25" thickBot="1">
      <c r="B11461" s="226">
        <v>46134</v>
      </c>
      <c r="C11461" s="227">
        <v>0.75502314814814808</v>
      </c>
      <c r="D11461" s="228">
        <v>10</v>
      </c>
      <c r="E11461" s="225" t="s">
        <v>7091</v>
      </c>
      <c r="F11461" s="225" t="s">
        <v>6946</v>
      </c>
    </row>
    <row r="11462" spans="2:6" ht="17.25" thickBot="1">
      <c r="B11462" s="226">
        <v>46134</v>
      </c>
      <c r="C11462" s="227">
        <v>0.74922453703703706</v>
      </c>
      <c r="D11462" s="228">
        <v>10</v>
      </c>
      <c r="E11462" s="225" t="s">
        <v>7092</v>
      </c>
      <c r="F11462" s="225" t="s">
        <v>6946</v>
      </c>
    </row>
    <row r="11463" spans="2:6" ht="17.25" thickBot="1">
      <c r="B11463" s="226">
        <v>46134</v>
      </c>
      <c r="C11463" s="227">
        <v>0.72486111111111118</v>
      </c>
      <c r="D11463" s="228">
        <v>10</v>
      </c>
      <c r="E11463" s="225" t="s">
        <v>7093</v>
      </c>
      <c r="F11463" s="225" t="s">
        <v>6946</v>
      </c>
    </row>
    <row r="11464" spans="2:6" ht="17.25" thickBot="1">
      <c r="B11464" s="226">
        <v>46134</v>
      </c>
      <c r="C11464" s="227">
        <v>0.70668981481481474</v>
      </c>
      <c r="D11464" s="228">
        <v>10</v>
      </c>
      <c r="E11464" s="225" t="s">
        <v>7094</v>
      </c>
      <c r="F11464" s="225" t="s">
        <v>6946</v>
      </c>
    </row>
    <row r="11465" spans="2:6" ht="17.25" thickBot="1">
      <c r="B11465" s="226">
        <v>46134</v>
      </c>
      <c r="C11465" s="227">
        <v>0.65853009259259265</v>
      </c>
      <c r="D11465" s="228">
        <v>10</v>
      </c>
      <c r="E11465" s="225" t="s">
        <v>7095</v>
      </c>
      <c r="F11465" s="225" t="s">
        <v>6946</v>
      </c>
    </row>
    <row r="11466" spans="2:6" ht="17.25" thickBot="1">
      <c r="B11466" s="226">
        <v>46134</v>
      </c>
      <c r="C11466" s="227">
        <v>0.65422453703703709</v>
      </c>
      <c r="D11466" s="228">
        <v>10</v>
      </c>
      <c r="E11466" s="225" t="s">
        <v>7096</v>
      </c>
      <c r="F11466" s="225" t="s">
        <v>6946</v>
      </c>
    </row>
    <row r="11467" spans="2:6" ht="17.25" thickBot="1">
      <c r="B11467" s="226">
        <v>46134</v>
      </c>
      <c r="C11467" s="227">
        <v>0.65387731481481481</v>
      </c>
      <c r="D11467" s="228">
        <v>10</v>
      </c>
      <c r="E11467" s="225" t="s">
        <v>7097</v>
      </c>
      <c r="F11467" s="225" t="s">
        <v>6946</v>
      </c>
    </row>
    <row r="11468" spans="2:6" ht="17.25" thickBot="1">
      <c r="B11468" s="226">
        <v>46134</v>
      </c>
      <c r="C11468" s="227">
        <v>0.63277777777777777</v>
      </c>
      <c r="D11468" s="228">
        <v>10</v>
      </c>
      <c r="E11468" s="225" t="s">
        <v>7098</v>
      </c>
      <c r="F11468" s="225" t="s">
        <v>6946</v>
      </c>
    </row>
    <row r="11469" spans="2:6" ht="17.25" thickBot="1">
      <c r="B11469" s="226">
        <v>46134</v>
      </c>
      <c r="C11469" s="227">
        <v>0.60670138888888892</v>
      </c>
      <c r="D11469" s="228">
        <v>10</v>
      </c>
      <c r="E11469" s="225" t="s">
        <v>7099</v>
      </c>
      <c r="F11469" s="225" t="s">
        <v>6946</v>
      </c>
    </row>
    <row r="11470" spans="2:6" ht="17.25" thickBot="1">
      <c r="B11470" s="226">
        <v>46134</v>
      </c>
      <c r="C11470" s="227">
        <v>0.55024305555555553</v>
      </c>
      <c r="D11470" s="228">
        <v>10</v>
      </c>
      <c r="E11470" s="225" t="s">
        <v>7100</v>
      </c>
      <c r="F11470" s="225" t="s">
        <v>6946</v>
      </c>
    </row>
    <row r="11471" spans="2:6" ht="17.25" thickBot="1">
      <c r="B11471" s="226">
        <v>46134</v>
      </c>
      <c r="C11471" s="227">
        <v>0.47645833333333337</v>
      </c>
      <c r="D11471" s="228">
        <v>10</v>
      </c>
      <c r="E11471" s="225" t="s">
        <v>244</v>
      </c>
      <c r="F11471" s="225" t="s">
        <v>6946</v>
      </c>
    </row>
    <row r="11472" spans="2:6" ht="17.25" thickBot="1">
      <c r="B11472" s="226">
        <v>46134</v>
      </c>
      <c r="C11472" s="227">
        <v>0.49004629629629631</v>
      </c>
      <c r="D11472" s="228">
        <v>10</v>
      </c>
      <c r="E11472" s="225" t="s">
        <v>7101</v>
      </c>
      <c r="F11472" s="225" t="s">
        <v>6946</v>
      </c>
    </row>
    <row r="11473" spans="2:6" ht="17.25" thickBot="1">
      <c r="B11473" s="226">
        <v>46134</v>
      </c>
      <c r="C11473" s="227">
        <v>0.45832175925925928</v>
      </c>
      <c r="D11473" s="228">
        <v>10</v>
      </c>
      <c r="E11473" s="225" t="s">
        <v>7102</v>
      </c>
      <c r="F11473" s="225" t="s">
        <v>6946</v>
      </c>
    </row>
    <row r="11474" spans="2:6" ht="17.25" thickBot="1">
      <c r="B11474" s="226">
        <v>46134</v>
      </c>
      <c r="C11474" s="227">
        <v>0.48971064814814813</v>
      </c>
      <c r="D11474" s="228">
        <v>10</v>
      </c>
      <c r="E11474" s="225" t="s">
        <v>7103</v>
      </c>
      <c r="F11474" s="225" t="s">
        <v>6946</v>
      </c>
    </row>
    <row r="11475" spans="2:6" ht="17.25" thickBot="1">
      <c r="B11475" s="226">
        <v>46134</v>
      </c>
      <c r="C11475" s="227">
        <v>0.4576157407407408</v>
      </c>
      <c r="D11475" s="228">
        <v>10</v>
      </c>
      <c r="E11475" s="225" t="s">
        <v>7104</v>
      </c>
      <c r="F11475" s="225" t="s">
        <v>6946</v>
      </c>
    </row>
    <row r="11476" spans="2:6" ht="26.25" thickBot="1">
      <c r="B11476" s="226">
        <v>46134</v>
      </c>
      <c r="C11476" s="227">
        <v>0.4379513888888889</v>
      </c>
      <c r="D11476" s="228">
        <v>10</v>
      </c>
      <c r="E11476" s="225" t="s">
        <v>7076</v>
      </c>
      <c r="F11476" s="225" t="s">
        <v>6946</v>
      </c>
    </row>
    <row r="11477" spans="2:6" ht="17.25" thickBot="1">
      <c r="B11477" s="226">
        <v>46133</v>
      </c>
      <c r="C11477" s="227">
        <v>0.90733796296296287</v>
      </c>
      <c r="D11477" s="228">
        <v>10</v>
      </c>
      <c r="E11477" s="225" t="s">
        <v>7054</v>
      </c>
      <c r="F11477" s="225" t="s">
        <v>6946</v>
      </c>
    </row>
    <row r="11478" spans="2:6" ht="17.25" thickBot="1">
      <c r="B11478" s="226">
        <v>46133</v>
      </c>
      <c r="C11478" s="227">
        <v>0.86298611111111112</v>
      </c>
      <c r="D11478" s="228">
        <v>10</v>
      </c>
      <c r="E11478" s="225" t="s">
        <v>7055</v>
      </c>
      <c r="F11478" s="225" t="s">
        <v>6946</v>
      </c>
    </row>
    <row r="11479" spans="2:6" ht="17.25" thickBot="1">
      <c r="B11479" s="226">
        <v>46133</v>
      </c>
      <c r="C11479" s="227">
        <v>0.85593750000000002</v>
      </c>
      <c r="D11479" s="228">
        <v>10</v>
      </c>
      <c r="E11479" s="225" t="s">
        <v>7056</v>
      </c>
      <c r="F11479" s="225" t="s">
        <v>6946</v>
      </c>
    </row>
    <row r="11480" spans="2:6" ht="17.25" thickBot="1">
      <c r="B11480" s="226">
        <v>46133</v>
      </c>
      <c r="C11480" s="227">
        <v>0.84797453703703696</v>
      </c>
      <c r="D11480" s="228">
        <v>10</v>
      </c>
      <c r="E11480" s="225" t="s">
        <v>1663</v>
      </c>
      <c r="F11480" s="225" t="s">
        <v>6946</v>
      </c>
    </row>
    <row r="11481" spans="2:6" ht="17.25" thickBot="1">
      <c r="B11481" s="226">
        <v>46133</v>
      </c>
      <c r="C11481" s="227">
        <v>0.84361111111111109</v>
      </c>
      <c r="D11481" s="228">
        <v>10</v>
      </c>
      <c r="E11481" s="225" t="s">
        <v>7057</v>
      </c>
      <c r="F11481" s="225" t="s">
        <v>6946</v>
      </c>
    </row>
    <row r="11482" spans="2:6" ht="17.25" thickBot="1">
      <c r="B11482" s="226">
        <v>46133</v>
      </c>
      <c r="C11482" s="227">
        <v>0.8149074074074073</v>
      </c>
      <c r="D11482" s="228">
        <v>10</v>
      </c>
      <c r="E11482" s="225" t="s">
        <v>7058</v>
      </c>
      <c r="F11482" s="225" t="s">
        <v>6946</v>
      </c>
    </row>
    <row r="11483" spans="2:6" ht="26.25" thickBot="1">
      <c r="B11483" s="226">
        <v>46133</v>
      </c>
      <c r="C11483" s="227">
        <v>0.78581018518518519</v>
      </c>
      <c r="D11483" s="228">
        <v>10</v>
      </c>
      <c r="E11483" s="225" t="s">
        <v>7059</v>
      </c>
      <c r="F11483" s="225" t="s">
        <v>6946</v>
      </c>
    </row>
    <row r="11484" spans="2:6" ht="17.25" thickBot="1">
      <c r="B11484" s="226">
        <v>46133</v>
      </c>
      <c r="C11484" s="227">
        <v>0.75819444444444439</v>
      </c>
      <c r="D11484" s="228">
        <v>10</v>
      </c>
      <c r="E11484" s="225" t="s">
        <v>871</v>
      </c>
      <c r="F11484" s="225" t="s">
        <v>6946</v>
      </c>
    </row>
    <row r="11485" spans="2:6" ht="17.25" thickBot="1">
      <c r="B11485" s="226">
        <v>46133</v>
      </c>
      <c r="C11485" s="227">
        <v>0.74885416666666671</v>
      </c>
      <c r="D11485" s="228">
        <v>10</v>
      </c>
      <c r="E11485" s="225" t="s">
        <v>7060</v>
      </c>
      <c r="F11485" s="225" t="s">
        <v>6946</v>
      </c>
    </row>
    <row r="11486" spans="2:6" ht="17.25" thickBot="1">
      <c r="B11486" s="226">
        <v>46133</v>
      </c>
      <c r="C11486" s="227">
        <v>0.73821759259259256</v>
      </c>
      <c r="D11486" s="228">
        <v>10</v>
      </c>
      <c r="E11486" s="225" t="s">
        <v>313</v>
      </c>
      <c r="F11486" s="225" t="s">
        <v>6946</v>
      </c>
    </row>
    <row r="11487" spans="2:6" ht="17.25" thickBot="1">
      <c r="B11487" s="226">
        <v>46133</v>
      </c>
      <c r="C11487" s="227">
        <v>0.73182870370370379</v>
      </c>
      <c r="D11487" s="228">
        <v>9</v>
      </c>
      <c r="E11487" s="225" t="s">
        <v>7061</v>
      </c>
      <c r="F11487" s="225" t="s">
        <v>6946</v>
      </c>
    </row>
    <row r="11488" spans="2:6" ht="17.25" thickBot="1">
      <c r="B11488" s="226">
        <v>46133</v>
      </c>
      <c r="C11488" s="227">
        <v>0.71407407407407408</v>
      </c>
      <c r="D11488" s="228">
        <v>10</v>
      </c>
      <c r="E11488" s="225" t="s">
        <v>7062</v>
      </c>
      <c r="F11488" s="225" t="s">
        <v>6946</v>
      </c>
    </row>
    <row r="11489" spans="2:6" ht="17.25" thickBot="1">
      <c r="B11489" s="226">
        <v>46133</v>
      </c>
      <c r="C11489" s="227">
        <v>0.7171643518518519</v>
      </c>
      <c r="D11489" s="228">
        <v>10</v>
      </c>
      <c r="E11489" s="225" t="s">
        <v>1579</v>
      </c>
      <c r="F11489" s="225" t="s">
        <v>6946</v>
      </c>
    </row>
    <row r="11490" spans="2:6" ht="17.25" thickBot="1">
      <c r="B11490" s="226">
        <v>46133</v>
      </c>
      <c r="C11490" s="227">
        <v>0.70208333333333339</v>
      </c>
      <c r="D11490" s="228">
        <v>10</v>
      </c>
      <c r="E11490" s="225" t="s">
        <v>7063</v>
      </c>
      <c r="F11490" s="225" t="s">
        <v>6946</v>
      </c>
    </row>
    <row r="11491" spans="2:6" ht="17.25" thickBot="1">
      <c r="B11491" s="226">
        <v>46133</v>
      </c>
      <c r="C11491" s="227">
        <v>0.68709490740740742</v>
      </c>
      <c r="D11491" s="228">
        <v>10</v>
      </c>
      <c r="E11491" s="225" t="s">
        <v>7064</v>
      </c>
      <c r="F11491" s="225" t="s">
        <v>6946</v>
      </c>
    </row>
    <row r="11492" spans="2:6" ht="17.25" thickBot="1">
      <c r="B11492" s="226">
        <v>46133</v>
      </c>
      <c r="C11492" s="227">
        <v>0.67871527777777774</v>
      </c>
      <c r="D11492" s="228">
        <v>10</v>
      </c>
      <c r="E11492" s="225" t="s">
        <v>7065</v>
      </c>
      <c r="F11492" s="225" t="s">
        <v>6946</v>
      </c>
    </row>
    <row r="11493" spans="2:6" ht="17.25" thickBot="1">
      <c r="B11493" s="226">
        <v>46133</v>
      </c>
      <c r="C11493" s="227">
        <v>0.68077546296296287</v>
      </c>
      <c r="D11493" s="228">
        <v>10</v>
      </c>
      <c r="E11493" s="225" t="s">
        <v>132</v>
      </c>
      <c r="F11493" s="225" t="s">
        <v>6946</v>
      </c>
    </row>
    <row r="11494" spans="2:6" ht="17.25" thickBot="1">
      <c r="B11494" s="226">
        <v>46133</v>
      </c>
      <c r="C11494" s="227">
        <v>0.67236111111111108</v>
      </c>
      <c r="D11494" s="228">
        <v>10</v>
      </c>
      <c r="E11494" s="225" t="s">
        <v>7066</v>
      </c>
      <c r="F11494" s="225" t="s">
        <v>6946</v>
      </c>
    </row>
    <row r="11495" spans="2:6" ht="17.25" thickBot="1">
      <c r="B11495" s="226">
        <v>46133</v>
      </c>
      <c r="C11495" s="227">
        <v>0.65414351851851849</v>
      </c>
      <c r="D11495" s="228">
        <v>10</v>
      </c>
      <c r="E11495" s="225" t="s">
        <v>7067</v>
      </c>
      <c r="F11495" s="225" t="s">
        <v>6946</v>
      </c>
    </row>
    <row r="11496" spans="2:6" ht="17.25" thickBot="1">
      <c r="B11496" s="226">
        <v>46133</v>
      </c>
      <c r="C11496" s="227">
        <v>0.64097222222222217</v>
      </c>
      <c r="D11496" s="228">
        <v>10</v>
      </c>
      <c r="E11496" s="225" t="s">
        <v>7068</v>
      </c>
      <c r="F11496" s="225" t="s">
        <v>6946</v>
      </c>
    </row>
    <row r="11497" spans="2:6" ht="17.25" thickBot="1">
      <c r="B11497" s="226">
        <v>46133</v>
      </c>
      <c r="C11497" s="227">
        <v>0.62334490740740744</v>
      </c>
      <c r="D11497" s="228">
        <v>10</v>
      </c>
      <c r="E11497" s="225" t="s">
        <v>7069</v>
      </c>
      <c r="F11497" s="225" t="s">
        <v>6946</v>
      </c>
    </row>
    <row r="11498" spans="2:6" ht="17.25" thickBot="1">
      <c r="B11498" s="226">
        <v>46133</v>
      </c>
      <c r="C11498" s="227">
        <v>0.6098958333333333</v>
      </c>
      <c r="D11498" s="228">
        <v>10</v>
      </c>
      <c r="E11498" s="225" t="s">
        <v>7070</v>
      </c>
      <c r="F11498" s="225" t="s">
        <v>6946</v>
      </c>
    </row>
    <row r="11499" spans="2:6" ht="17.25" thickBot="1">
      <c r="B11499" s="226">
        <v>46133</v>
      </c>
      <c r="C11499" s="227">
        <v>0.58002314814814815</v>
      </c>
      <c r="D11499" s="228">
        <v>10</v>
      </c>
      <c r="E11499" s="225" t="s">
        <v>679</v>
      </c>
      <c r="F11499" s="225" t="s">
        <v>6946</v>
      </c>
    </row>
    <row r="11500" spans="2:6" ht="17.25" thickBot="1">
      <c r="B11500" s="226">
        <v>46133</v>
      </c>
      <c r="C11500" s="227">
        <v>0.50981481481481483</v>
      </c>
      <c r="D11500" s="228">
        <v>10</v>
      </c>
      <c r="E11500" s="225" t="s">
        <v>7071</v>
      </c>
      <c r="F11500" s="225" t="s">
        <v>6946</v>
      </c>
    </row>
    <row r="11501" spans="2:6" ht="17.25" thickBot="1">
      <c r="B11501" s="226">
        <v>46133</v>
      </c>
      <c r="C11501" s="227">
        <v>0.50450231481481478</v>
      </c>
      <c r="D11501" s="228">
        <v>10</v>
      </c>
      <c r="E11501" s="225" t="s">
        <v>7072</v>
      </c>
      <c r="F11501" s="225" t="s">
        <v>6946</v>
      </c>
    </row>
    <row r="11502" spans="2:6" ht="17.25" thickBot="1">
      <c r="B11502" s="226">
        <v>46133</v>
      </c>
      <c r="C11502" s="227">
        <v>0.49459490740740741</v>
      </c>
      <c r="D11502" s="228">
        <v>10</v>
      </c>
      <c r="E11502" s="225" t="s">
        <v>7073</v>
      </c>
      <c r="F11502" s="225" t="s">
        <v>6946</v>
      </c>
    </row>
    <row r="11503" spans="2:6" ht="17.25" thickBot="1">
      <c r="B11503" s="226">
        <v>46133</v>
      </c>
      <c r="C11503" s="227">
        <v>0.48949074074074073</v>
      </c>
      <c r="D11503" s="228">
        <v>10</v>
      </c>
      <c r="E11503" s="225" t="s">
        <v>7074</v>
      </c>
      <c r="F11503" s="225" t="s">
        <v>6946</v>
      </c>
    </row>
    <row r="11504" spans="2:6" ht="17.25" thickBot="1">
      <c r="B11504" s="226">
        <v>46133</v>
      </c>
      <c r="C11504" s="227">
        <v>0.47092592592592591</v>
      </c>
      <c r="D11504" s="228">
        <v>10</v>
      </c>
      <c r="E11504" s="225" t="s">
        <v>3548</v>
      </c>
      <c r="F11504" s="225" t="s">
        <v>6946</v>
      </c>
    </row>
    <row r="11505" spans="2:6" ht="17.25" thickBot="1">
      <c r="B11505" s="226">
        <v>46133</v>
      </c>
      <c r="C11505" s="227">
        <v>0.46025462962962965</v>
      </c>
      <c r="D11505" s="228">
        <v>10</v>
      </c>
      <c r="E11505" s="225" t="s">
        <v>7075</v>
      </c>
      <c r="F11505" s="225" t="s">
        <v>6946</v>
      </c>
    </row>
    <row r="11506" spans="2:6" ht="17.25" thickBot="1">
      <c r="B11506" s="226">
        <v>46133</v>
      </c>
      <c r="C11506" s="227">
        <v>0.43246527777777777</v>
      </c>
      <c r="D11506" s="228">
        <v>10</v>
      </c>
      <c r="E11506" s="225" t="s">
        <v>7077</v>
      </c>
      <c r="F11506" s="225" t="s">
        <v>6946</v>
      </c>
    </row>
    <row r="11507" spans="2:6" ht="17.25" thickBot="1">
      <c r="B11507" s="226">
        <v>46133</v>
      </c>
      <c r="C11507" s="227">
        <v>0.43699074074074074</v>
      </c>
      <c r="D11507" s="228">
        <v>10</v>
      </c>
      <c r="E11507" s="225" t="s">
        <v>7078</v>
      </c>
      <c r="F11507" s="225" t="s">
        <v>6946</v>
      </c>
    </row>
    <row r="11508" spans="2:6" ht="17.25" thickBot="1">
      <c r="B11508" s="226">
        <v>46133</v>
      </c>
      <c r="C11508" s="227">
        <v>0.42188657407407404</v>
      </c>
      <c r="D11508" s="228">
        <v>10</v>
      </c>
      <c r="E11508" s="225" t="s">
        <v>7079</v>
      </c>
      <c r="F11508" s="225" t="s">
        <v>6946</v>
      </c>
    </row>
    <row r="11509" spans="2:6" ht="17.25" thickBot="1">
      <c r="B11509" s="226">
        <v>46133</v>
      </c>
      <c r="C11509" s="227">
        <v>0.40568287037037037</v>
      </c>
      <c r="D11509" s="228">
        <v>10</v>
      </c>
      <c r="E11509" s="225" t="s">
        <v>1295</v>
      </c>
      <c r="F11509" s="225" t="s">
        <v>6946</v>
      </c>
    </row>
    <row r="11510" spans="2:6" ht="17.25" thickBot="1">
      <c r="B11510" s="226">
        <v>46133</v>
      </c>
      <c r="C11510" s="227">
        <v>0.40592592592592597</v>
      </c>
      <c r="D11510" s="228">
        <v>10</v>
      </c>
      <c r="E11510" s="225" t="s">
        <v>7080</v>
      </c>
      <c r="F11510" s="225" t="s">
        <v>6946</v>
      </c>
    </row>
    <row r="11511" spans="2:6" ht="17.25" thickBot="1">
      <c r="B11511" s="226">
        <v>46132</v>
      </c>
      <c r="C11511" s="227">
        <v>0.90915509259259253</v>
      </c>
      <c r="D11511" s="228">
        <v>10</v>
      </c>
      <c r="E11511" s="225" t="s">
        <v>7037</v>
      </c>
      <c r="F11511" s="225" t="s">
        <v>6946</v>
      </c>
    </row>
    <row r="11512" spans="2:6" ht="17.25" thickBot="1">
      <c r="B11512" s="226">
        <v>46132</v>
      </c>
      <c r="C11512" s="227">
        <v>0.90510416666666671</v>
      </c>
      <c r="D11512" s="228">
        <v>10</v>
      </c>
      <c r="E11512" s="225" t="s">
        <v>7038</v>
      </c>
      <c r="F11512" s="225" t="s">
        <v>6946</v>
      </c>
    </row>
    <row r="11513" spans="2:6" ht="17.25" thickBot="1">
      <c r="B11513" s="226">
        <v>46132</v>
      </c>
      <c r="C11513" s="227">
        <v>0.88497685185185182</v>
      </c>
      <c r="D11513" s="228">
        <v>10</v>
      </c>
      <c r="E11513" s="225" t="s">
        <v>7039</v>
      </c>
      <c r="F11513" s="225" t="s">
        <v>6946</v>
      </c>
    </row>
    <row r="11514" spans="2:6" ht="17.25" thickBot="1">
      <c r="B11514" s="226">
        <v>46132</v>
      </c>
      <c r="C11514" s="227">
        <v>0.82341435185185186</v>
      </c>
      <c r="D11514" s="228">
        <v>10</v>
      </c>
      <c r="E11514" s="225" t="s">
        <v>7040</v>
      </c>
      <c r="F11514" s="225" t="s">
        <v>6946</v>
      </c>
    </row>
    <row r="11515" spans="2:6" ht="17.25" thickBot="1">
      <c r="B11515" s="226">
        <v>46132</v>
      </c>
      <c r="C11515" s="227">
        <v>0.82056712962962963</v>
      </c>
      <c r="D11515" s="228">
        <v>10</v>
      </c>
      <c r="E11515" s="225" t="s">
        <v>1470</v>
      </c>
      <c r="F11515" s="225" t="s">
        <v>6946</v>
      </c>
    </row>
    <row r="11516" spans="2:6" ht="17.25" thickBot="1">
      <c r="B11516" s="226">
        <v>46132</v>
      </c>
      <c r="C11516" s="227">
        <v>0.78891203703703694</v>
      </c>
      <c r="D11516" s="228">
        <v>10</v>
      </c>
      <c r="E11516" s="225" t="s">
        <v>7041</v>
      </c>
      <c r="F11516" s="225" t="s">
        <v>6946</v>
      </c>
    </row>
    <row r="11517" spans="2:6" ht="26.25" thickBot="1">
      <c r="B11517" s="226">
        <v>46132</v>
      </c>
      <c r="C11517" s="227">
        <v>0.78645833333333337</v>
      </c>
      <c r="D11517" s="228">
        <v>10</v>
      </c>
      <c r="E11517" s="225" t="s">
        <v>7042</v>
      </c>
      <c r="F11517" s="225" t="s">
        <v>6946</v>
      </c>
    </row>
    <row r="11518" spans="2:6" ht="17.25" thickBot="1">
      <c r="B11518" s="226">
        <v>46132</v>
      </c>
      <c r="C11518" s="227">
        <v>0.77869212962962964</v>
      </c>
      <c r="D11518" s="228">
        <v>10</v>
      </c>
      <c r="E11518" s="225" t="s">
        <v>7043</v>
      </c>
      <c r="F11518" s="225" t="s">
        <v>6946</v>
      </c>
    </row>
    <row r="11519" spans="2:6" ht="17.25" thickBot="1">
      <c r="B11519" s="226">
        <v>46132</v>
      </c>
      <c r="C11519" s="227">
        <v>0.7559837962962962</v>
      </c>
      <c r="D11519" s="228">
        <v>10</v>
      </c>
      <c r="E11519" s="225" t="s">
        <v>7044</v>
      </c>
      <c r="F11519" s="225" t="s">
        <v>6946</v>
      </c>
    </row>
    <row r="11520" spans="2:6" ht="51.75" thickBot="1">
      <c r="B11520" s="226">
        <v>46132</v>
      </c>
      <c r="C11520" s="227">
        <v>0.75155092592592598</v>
      </c>
      <c r="D11520" s="228">
        <v>10</v>
      </c>
      <c r="E11520" s="225" t="s">
        <v>7045</v>
      </c>
      <c r="F11520" s="225" t="s">
        <v>6946</v>
      </c>
    </row>
    <row r="11521" spans="2:6" ht="17.25" thickBot="1">
      <c r="B11521" s="226">
        <v>46132</v>
      </c>
      <c r="C11521" s="227">
        <v>0.74319444444444438</v>
      </c>
      <c r="D11521" s="228">
        <v>10</v>
      </c>
      <c r="E11521" s="225" t="s">
        <v>7046</v>
      </c>
      <c r="F11521" s="225" t="s">
        <v>6946</v>
      </c>
    </row>
    <row r="11522" spans="2:6" ht="17.25" thickBot="1">
      <c r="B11522" s="226">
        <v>46132</v>
      </c>
      <c r="C11522" s="227">
        <v>0.74157407407407405</v>
      </c>
      <c r="D11522" s="228">
        <v>10</v>
      </c>
      <c r="E11522" s="225" t="s">
        <v>3191</v>
      </c>
      <c r="F11522" s="225" t="s">
        <v>6946</v>
      </c>
    </row>
    <row r="11523" spans="2:6" ht="17.25" thickBot="1">
      <c r="B11523" s="226">
        <v>46132</v>
      </c>
      <c r="C11523" s="227">
        <v>0.73112268518518519</v>
      </c>
      <c r="D11523" s="228">
        <v>10</v>
      </c>
      <c r="E11523" s="225" t="s">
        <v>7047</v>
      </c>
      <c r="F11523" s="225" t="s">
        <v>6946</v>
      </c>
    </row>
    <row r="11524" spans="2:6" ht="17.25" thickBot="1">
      <c r="B11524" s="226">
        <v>46132</v>
      </c>
      <c r="C11524" s="227">
        <v>0.71850694444444452</v>
      </c>
      <c r="D11524" s="228">
        <v>10</v>
      </c>
      <c r="E11524" s="225" t="s">
        <v>7048</v>
      </c>
      <c r="F11524" s="225" t="s">
        <v>6946</v>
      </c>
    </row>
    <row r="11525" spans="2:6" ht="17.25" thickBot="1">
      <c r="B11525" s="226">
        <v>46132</v>
      </c>
      <c r="C11525" s="227">
        <v>0.71188657407407396</v>
      </c>
      <c r="D11525" s="228">
        <v>10</v>
      </c>
      <c r="E11525" s="225" t="s">
        <v>7049</v>
      </c>
      <c r="F11525" s="225" t="s">
        <v>6946</v>
      </c>
    </row>
    <row r="11526" spans="2:6" ht="17.25" thickBot="1">
      <c r="B11526" s="226">
        <v>46132</v>
      </c>
      <c r="C11526" s="227">
        <v>0.70011574074074068</v>
      </c>
      <c r="D11526" s="228">
        <v>10</v>
      </c>
      <c r="E11526" s="225" t="s">
        <v>7050</v>
      </c>
      <c r="F11526" s="225" t="s">
        <v>6946</v>
      </c>
    </row>
    <row r="11527" spans="2:6" ht="17.25" thickBot="1">
      <c r="B11527" s="226">
        <v>46132</v>
      </c>
      <c r="C11527" s="227">
        <v>0.69697916666666659</v>
      </c>
      <c r="D11527" s="228">
        <v>10</v>
      </c>
      <c r="E11527" s="225" t="s">
        <v>7051</v>
      </c>
      <c r="F11527" s="225" t="s">
        <v>6946</v>
      </c>
    </row>
    <row r="11528" spans="2:6" ht="17.25" thickBot="1">
      <c r="B11528" s="226">
        <v>46132</v>
      </c>
      <c r="C11528" s="227">
        <v>0.69996527777777784</v>
      </c>
      <c r="D11528" s="228">
        <v>10</v>
      </c>
      <c r="E11528" s="225" t="s">
        <v>7052</v>
      </c>
      <c r="F11528" s="225" t="s">
        <v>6946</v>
      </c>
    </row>
    <row r="11529" spans="2:6" ht="17.25" thickBot="1">
      <c r="B11529" s="226">
        <v>46132</v>
      </c>
      <c r="C11529" s="227">
        <v>0.69843749999999993</v>
      </c>
      <c r="D11529" s="228">
        <v>10</v>
      </c>
      <c r="E11529" s="225" t="s">
        <v>7053</v>
      </c>
      <c r="F11529" s="225" t="s">
        <v>6946</v>
      </c>
    </row>
    <row r="11530" spans="2:6" ht="17.25" thickBot="1">
      <c r="B11530" s="226">
        <v>46132</v>
      </c>
      <c r="C11530" s="227">
        <v>0.67454861111111108</v>
      </c>
      <c r="D11530" s="228">
        <v>10</v>
      </c>
      <c r="E11530" s="225" t="s">
        <v>565</v>
      </c>
      <c r="F11530" s="225" t="s">
        <v>6946</v>
      </c>
    </row>
    <row r="11531" spans="2:6" ht="17.25" thickBot="1">
      <c r="B11531" s="226">
        <v>46132</v>
      </c>
      <c r="C11531" s="227">
        <v>0.66239583333333341</v>
      </c>
      <c r="D11531" s="228">
        <v>10</v>
      </c>
      <c r="E11531" s="225" t="s">
        <v>448</v>
      </c>
      <c r="F11531" s="225" t="s">
        <v>6946</v>
      </c>
    </row>
    <row r="11532" spans="2:6" ht="17.25" thickBot="1">
      <c r="B11532" s="226">
        <v>46132</v>
      </c>
      <c r="C11532" s="227">
        <v>0.66454861111111108</v>
      </c>
      <c r="D11532" s="228">
        <v>10</v>
      </c>
      <c r="E11532" s="225" t="s">
        <v>7468</v>
      </c>
      <c r="F11532" s="225" t="s">
        <v>6946</v>
      </c>
    </row>
    <row r="11533" spans="2:6" ht="17.25" thickBot="1">
      <c r="B11533" s="226">
        <v>46132</v>
      </c>
      <c r="C11533" s="227">
        <v>0.63231481481481489</v>
      </c>
      <c r="D11533" s="228">
        <v>10</v>
      </c>
      <c r="E11533" s="225" t="s">
        <v>535</v>
      </c>
      <c r="F11533" s="225" t="s">
        <v>6946</v>
      </c>
    </row>
    <row r="11534" spans="2:6" ht="17.25" thickBot="1">
      <c r="B11534" s="226">
        <v>46132</v>
      </c>
      <c r="C11534" s="227">
        <v>0.61383101851851851</v>
      </c>
      <c r="D11534" s="228">
        <v>10</v>
      </c>
      <c r="E11534" s="225" t="s">
        <v>7469</v>
      </c>
      <c r="F11534" s="225" t="s">
        <v>6946</v>
      </c>
    </row>
    <row r="11535" spans="2:6" ht="17.25" thickBot="1">
      <c r="B11535" s="226">
        <v>46132</v>
      </c>
      <c r="C11535" s="227">
        <v>0.61190972222222217</v>
      </c>
      <c r="D11535" s="228">
        <v>10</v>
      </c>
      <c r="E11535" s="225" t="s">
        <v>7470</v>
      </c>
      <c r="F11535" s="225" t="s">
        <v>6946</v>
      </c>
    </row>
    <row r="11536" spans="2:6" ht="17.25" thickBot="1">
      <c r="B11536" s="226">
        <v>46132</v>
      </c>
      <c r="C11536" s="227">
        <v>0.61568287037037039</v>
      </c>
      <c r="D11536" s="228">
        <v>10</v>
      </c>
      <c r="E11536" s="225" t="s">
        <v>7471</v>
      </c>
      <c r="F11536" s="225" t="s">
        <v>6946</v>
      </c>
    </row>
    <row r="11537" spans="2:6" ht="17.25" thickBot="1">
      <c r="B11537" s="226">
        <v>46132</v>
      </c>
      <c r="C11537" s="227">
        <v>0.61033564814814811</v>
      </c>
      <c r="D11537" s="228">
        <v>10</v>
      </c>
      <c r="E11537" s="225" t="s">
        <v>7472</v>
      </c>
      <c r="F11537" s="225" t="s">
        <v>6946</v>
      </c>
    </row>
    <row r="11538" spans="2:6" ht="17.25" thickBot="1">
      <c r="B11538" s="226">
        <v>46132</v>
      </c>
      <c r="C11538" s="227">
        <v>0.60690972222222228</v>
      </c>
      <c r="D11538" s="228">
        <v>10</v>
      </c>
      <c r="E11538" s="225" t="s">
        <v>7473</v>
      </c>
      <c r="F11538" s="225" t="s">
        <v>6946</v>
      </c>
    </row>
    <row r="11539" spans="2:6" ht="17.25" thickBot="1">
      <c r="B11539" s="226">
        <v>46132</v>
      </c>
      <c r="C11539" s="227">
        <v>0.59643518518518512</v>
      </c>
      <c r="D11539" s="228">
        <v>10</v>
      </c>
      <c r="E11539" s="225" t="s">
        <v>1407</v>
      </c>
      <c r="F11539" s="225" t="s">
        <v>6946</v>
      </c>
    </row>
    <row r="11540" spans="2:6" ht="17.25" thickBot="1">
      <c r="B11540" s="226">
        <v>46132</v>
      </c>
      <c r="C11540" s="227">
        <v>0.59636574074074067</v>
      </c>
      <c r="D11540" s="228">
        <v>10</v>
      </c>
      <c r="E11540" s="225" t="s">
        <v>7474</v>
      </c>
      <c r="F11540" s="225" t="s">
        <v>6946</v>
      </c>
    </row>
    <row r="11541" spans="2:6" ht="17.25" thickBot="1">
      <c r="B11541" s="226">
        <v>46132</v>
      </c>
      <c r="C11541" s="227">
        <v>0.59614583333333326</v>
      </c>
      <c r="D11541" s="228">
        <v>10</v>
      </c>
      <c r="E11541" s="225" t="s">
        <v>7475</v>
      </c>
      <c r="F11541" s="225" t="s">
        <v>6946</v>
      </c>
    </row>
    <row r="11542" spans="2:6" ht="17.25" thickBot="1">
      <c r="B11542" s="226">
        <v>46132</v>
      </c>
      <c r="C11542" s="227">
        <v>0.60563657407407401</v>
      </c>
      <c r="D11542" s="228">
        <v>10</v>
      </c>
      <c r="E11542" s="225" t="s">
        <v>5765</v>
      </c>
      <c r="F11542" s="225" t="s">
        <v>6946</v>
      </c>
    </row>
    <row r="11543" spans="2:6" ht="17.25" thickBot="1">
      <c r="B11543" s="226">
        <v>46132</v>
      </c>
      <c r="C11543" s="227">
        <v>0.57415509259259256</v>
      </c>
      <c r="D11543" s="228">
        <v>10</v>
      </c>
      <c r="E11543" s="225" t="s">
        <v>288</v>
      </c>
      <c r="F11543" s="225" t="s">
        <v>6946</v>
      </c>
    </row>
    <row r="11544" spans="2:6" ht="17.25" thickBot="1">
      <c r="B11544" s="226">
        <v>46132</v>
      </c>
      <c r="C11544" s="227">
        <v>0.56981481481481489</v>
      </c>
      <c r="D11544" s="228">
        <v>10</v>
      </c>
      <c r="E11544" s="225" t="s">
        <v>7476</v>
      </c>
      <c r="F11544" s="225" t="s">
        <v>6946</v>
      </c>
    </row>
    <row r="11545" spans="2:6" ht="26.25" thickBot="1">
      <c r="B11545" s="226">
        <v>46132</v>
      </c>
      <c r="C11545" s="227">
        <v>0.4975</v>
      </c>
      <c r="D11545" s="228">
        <v>10</v>
      </c>
      <c r="E11545" s="225" t="s">
        <v>7477</v>
      </c>
      <c r="F11545" s="225" t="s">
        <v>6946</v>
      </c>
    </row>
    <row r="11546" spans="2:6" ht="17.25" thickBot="1">
      <c r="B11546" s="226">
        <v>46132</v>
      </c>
      <c r="C11546" s="227">
        <v>0.49474537037037036</v>
      </c>
      <c r="D11546" s="228">
        <v>10</v>
      </c>
      <c r="E11546" s="225" t="s">
        <v>7030</v>
      </c>
      <c r="F11546" s="225" t="s">
        <v>6946</v>
      </c>
    </row>
    <row r="11547" spans="2:6" ht="17.25" thickBot="1">
      <c r="B11547" s="226">
        <v>46132</v>
      </c>
      <c r="C11547" s="227">
        <v>0.50033564814814813</v>
      </c>
      <c r="D11547" s="228">
        <v>10</v>
      </c>
      <c r="E11547" s="225" t="s">
        <v>7478</v>
      </c>
      <c r="F11547" s="225" t="s">
        <v>6946</v>
      </c>
    </row>
    <row r="11548" spans="2:6" ht="17.25" thickBot="1">
      <c r="B11548" s="226">
        <v>46132</v>
      </c>
      <c r="C11548" s="227">
        <v>0.49429398148148151</v>
      </c>
      <c r="D11548" s="228">
        <v>10</v>
      </c>
      <c r="E11548" s="225" t="s">
        <v>7479</v>
      </c>
      <c r="F11548" s="225" t="s">
        <v>6946</v>
      </c>
    </row>
    <row r="11549" spans="2:6" ht="17.25" thickBot="1">
      <c r="B11549" s="226">
        <v>46132</v>
      </c>
      <c r="C11549" s="227">
        <v>0.46238425925925924</v>
      </c>
      <c r="D11549" s="228">
        <v>10</v>
      </c>
      <c r="E11549" s="225" t="s">
        <v>7480</v>
      </c>
      <c r="F11549" s="225" t="s">
        <v>6946</v>
      </c>
    </row>
    <row r="11550" spans="2:6" ht="17.25" thickBot="1">
      <c r="B11550" s="226">
        <v>46132</v>
      </c>
      <c r="C11550" s="227">
        <v>0.47072916666666664</v>
      </c>
      <c r="D11550" s="228">
        <v>10</v>
      </c>
      <c r="E11550" s="225" t="s">
        <v>7481</v>
      </c>
      <c r="F11550" s="225" t="s">
        <v>6946</v>
      </c>
    </row>
    <row r="11551" spans="2:6" ht="17.25" thickBot="1">
      <c r="B11551" s="226">
        <v>46132</v>
      </c>
      <c r="C11551" s="227">
        <v>0.44244212962962964</v>
      </c>
      <c r="D11551" s="228">
        <v>10</v>
      </c>
      <c r="E11551" s="225" t="s">
        <v>132</v>
      </c>
      <c r="F11551" s="225" t="s">
        <v>6946</v>
      </c>
    </row>
    <row r="11552" spans="2:6" ht="17.25" thickBot="1">
      <c r="B11552" s="226">
        <v>46132</v>
      </c>
      <c r="C11552" s="227">
        <v>0.44105324074074076</v>
      </c>
      <c r="D11552" s="228">
        <v>10</v>
      </c>
      <c r="E11552" s="225" t="s">
        <v>7482</v>
      </c>
      <c r="F11552" s="225" t="s">
        <v>6946</v>
      </c>
    </row>
    <row r="11553" spans="2:6" ht="17.25" thickBot="1">
      <c r="B11553" s="226">
        <v>46132</v>
      </c>
      <c r="C11553" s="227">
        <v>0.46964120370370371</v>
      </c>
      <c r="D11553" s="228">
        <v>10</v>
      </c>
      <c r="E11553" s="225" t="s">
        <v>7483</v>
      </c>
      <c r="F11553" s="225" t="s">
        <v>6946</v>
      </c>
    </row>
    <row r="11554" spans="2:6" ht="17.25" thickBot="1">
      <c r="B11554" s="226">
        <v>46132</v>
      </c>
      <c r="C11554" s="227">
        <v>0.41547453703703702</v>
      </c>
      <c r="D11554" s="228">
        <v>10</v>
      </c>
      <c r="E11554" s="225" t="s">
        <v>448</v>
      </c>
      <c r="F11554" s="225" t="s">
        <v>6946</v>
      </c>
    </row>
    <row r="11555" spans="2:6" ht="17.25" thickBot="1">
      <c r="B11555" s="226">
        <v>46132</v>
      </c>
      <c r="C11555" s="227">
        <v>0.40751157407407407</v>
      </c>
      <c r="D11555" s="228">
        <v>10</v>
      </c>
      <c r="E11555" s="225" t="s">
        <v>7484</v>
      </c>
      <c r="F11555" s="225" t="s">
        <v>6946</v>
      </c>
    </row>
    <row r="11556" spans="2:6" ht="17.25" thickBot="1">
      <c r="B11556" s="226">
        <v>46132</v>
      </c>
      <c r="C11556" s="227">
        <v>0.40884259259259265</v>
      </c>
      <c r="D11556" s="228">
        <v>10</v>
      </c>
      <c r="E11556" s="225" t="s">
        <v>7485</v>
      </c>
      <c r="F11556" s="225" t="s">
        <v>6946</v>
      </c>
    </row>
    <row r="11557" spans="2:6" ht="26.25" thickBot="1">
      <c r="B11557" s="226">
        <v>46132</v>
      </c>
      <c r="C11557" s="227">
        <v>0.40269675925925924</v>
      </c>
      <c r="D11557" s="228">
        <v>10</v>
      </c>
      <c r="E11557" s="225" t="s">
        <v>7486</v>
      </c>
      <c r="F11557" s="225" t="s">
        <v>6946</v>
      </c>
    </row>
    <row r="11558" spans="2:6" ht="17.25" thickBot="1">
      <c r="B11558" s="226">
        <v>46132</v>
      </c>
      <c r="C11558" s="227">
        <v>0.38547453703703699</v>
      </c>
      <c r="D11558" s="228">
        <v>10</v>
      </c>
      <c r="E11558" s="225" t="s">
        <v>7487</v>
      </c>
      <c r="F11558" s="225" t="s">
        <v>6946</v>
      </c>
    </row>
    <row r="11559" spans="2:6" ht="17.25" thickBot="1">
      <c r="B11559" s="226">
        <v>46130</v>
      </c>
      <c r="C11559" s="227">
        <v>0.67959490740740736</v>
      </c>
      <c r="D11559" s="228">
        <v>10</v>
      </c>
      <c r="E11559" s="225" t="s">
        <v>7488</v>
      </c>
      <c r="F11559" s="225" t="s">
        <v>6946</v>
      </c>
    </row>
    <row r="11560" spans="2:6" ht="39" thickBot="1">
      <c r="B11560" s="226">
        <v>46130</v>
      </c>
      <c r="C11560" s="227">
        <v>0.67078703703703713</v>
      </c>
      <c r="D11560" s="228">
        <v>10</v>
      </c>
      <c r="E11560" s="225" t="s">
        <v>7489</v>
      </c>
      <c r="F11560" s="225" t="s">
        <v>6946</v>
      </c>
    </row>
    <row r="11561" spans="2:6" ht="17.25" thickBot="1">
      <c r="B11561" s="226">
        <v>46130</v>
      </c>
      <c r="C11561" s="227">
        <v>0.64091435185185186</v>
      </c>
      <c r="D11561" s="228">
        <v>10</v>
      </c>
      <c r="E11561" s="225" t="s">
        <v>7490</v>
      </c>
      <c r="F11561" s="225" t="s">
        <v>6946</v>
      </c>
    </row>
    <row r="11562" spans="2:6" ht="17.25" thickBot="1">
      <c r="B11562" s="226">
        <v>46130</v>
      </c>
      <c r="C11562" s="227">
        <v>0.62581018518518516</v>
      </c>
      <c r="D11562" s="228">
        <v>10</v>
      </c>
      <c r="E11562" s="225" t="s">
        <v>7491</v>
      </c>
      <c r="F11562" s="225" t="s">
        <v>6946</v>
      </c>
    </row>
    <row r="11563" spans="2:6" ht="17.25" thickBot="1">
      <c r="B11563" s="226">
        <v>46130</v>
      </c>
      <c r="C11563" s="227">
        <v>0.62579861111111112</v>
      </c>
      <c r="D11563" s="228">
        <v>10</v>
      </c>
      <c r="E11563" s="225" t="s">
        <v>4293</v>
      </c>
      <c r="F11563" s="225" t="s">
        <v>6946</v>
      </c>
    </row>
    <row r="11564" spans="2:6" ht="17.25" thickBot="1">
      <c r="B11564" s="226">
        <v>46130</v>
      </c>
      <c r="C11564" s="227">
        <v>0.60997685185185191</v>
      </c>
      <c r="D11564" s="228">
        <v>10</v>
      </c>
      <c r="E11564" s="225" t="s">
        <v>7492</v>
      </c>
      <c r="F11564" s="225" t="s">
        <v>6946</v>
      </c>
    </row>
    <row r="11565" spans="2:6" ht="17.25" thickBot="1">
      <c r="B11565" s="226">
        <v>46130</v>
      </c>
      <c r="C11565" s="227">
        <v>0.52497685185185183</v>
      </c>
      <c r="D11565" s="228">
        <v>10</v>
      </c>
      <c r="E11565" s="225" t="s">
        <v>7493</v>
      </c>
      <c r="F11565" s="225" t="s">
        <v>6946</v>
      </c>
    </row>
    <row r="11566" spans="2:6" ht="17.25" thickBot="1">
      <c r="B11566" s="226">
        <v>46130</v>
      </c>
      <c r="C11566" s="227">
        <v>0.49934027777777779</v>
      </c>
      <c r="D11566" s="228">
        <v>10</v>
      </c>
      <c r="E11566" s="225" t="s">
        <v>7494</v>
      </c>
      <c r="F11566" s="225" t="s">
        <v>6946</v>
      </c>
    </row>
    <row r="11567" spans="2:6" ht="17.25" thickBot="1">
      <c r="B11567" s="226">
        <v>46130</v>
      </c>
      <c r="C11567" s="227">
        <v>0.45462962962962966</v>
      </c>
      <c r="D11567" s="228">
        <v>10</v>
      </c>
      <c r="E11567" s="225" t="s">
        <v>7495</v>
      </c>
      <c r="F11567" s="225" t="s">
        <v>6946</v>
      </c>
    </row>
    <row r="11568" spans="2:6" ht="17.25" thickBot="1">
      <c r="B11568" s="226">
        <v>46130</v>
      </c>
      <c r="C11568" s="227">
        <v>0.44027777777777777</v>
      </c>
      <c r="D11568" s="228">
        <v>10</v>
      </c>
      <c r="E11568" s="225" t="s">
        <v>7496</v>
      </c>
      <c r="F11568" s="225" t="s">
        <v>6946</v>
      </c>
    </row>
    <row r="11569" spans="2:6" ht="17.25" thickBot="1">
      <c r="B11569" s="226">
        <v>46130</v>
      </c>
      <c r="C11569" s="227">
        <v>0.42487268518518517</v>
      </c>
      <c r="D11569" s="228">
        <v>10</v>
      </c>
      <c r="E11569" s="225" t="s">
        <v>7497</v>
      </c>
      <c r="F11569" s="225" t="s">
        <v>6946</v>
      </c>
    </row>
    <row r="11570" spans="2:6" ht="17.25" thickBot="1">
      <c r="B11570" s="226">
        <v>46130</v>
      </c>
      <c r="C11570" s="227">
        <v>0.39399305555555553</v>
      </c>
      <c r="D11570" s="228">
        <v>10</v>
      </c>
      <c r="E11570" s="225" t="s">
        <v>1488</v>
      </c>
      <c r="F11570" s="225" t="s">
        <v>6946</v>
      </c>
    </row>
    <row r="11571" spans="2:6" ht="17.25" thickBot="1">
      <c r="B11571" s="226">
        <v>46129</v>
      </c>
      <c r="C11571" s="227">
        <v>0.89561342592592597</v>
      </c>
      <c r="D11571" s="228">
        <v>10</v>
      </c>
      <c r="E11571" s="225" t="s">
        <v>179</v>
      </c>
      <c r="F11571" s="225" t="s">
        <v>6946</v>
      </c>
    </row>
    <row r="11572" spans="2:6" ht="26.25" thickBot="1">
      <c r="B11572" s="226">
        <v>46129</v>
      </c>
      <c r="C11572" s="227">
        <v>0.86793981481481486</v>
      </c>
      <c r="D11572" s="228">
        <v>10</v>
      </c>
      <c r="E11572" s="225" t="s">
        <v>7498</v>
      </c>
      <c r="F11572" s="225" t="s">
        <v>6946</v>
      </c>
    </row>
    <row r="11573" spans="2:6" ht="17.25" thickBot="1">
      <c r="B11573" s="226">
        <v>46129</v>
      </c>
      <c r="C11573" s="227">
        <v>0.83984953703703702</v>
      </c>
      <c r="D11573" s="228">
        <v>10</v>
      </c>
      <c r="E11573" s="225" t="s">
        <v>7499</v>
      </c>
      <c r="F11573" s="225" t="s">
        <v>6946</v>
      </c>
    </row>
    <row r="11574" spans="2:6" ht="17.25" thickBot="1">
      <c r="B11574" s="226">
        <v>46129</v>
      </c>
      <c r="C11574" s="227">
        <v>0.85348379629629623</v>
      </c>
      <c r="D11574" s="228">
        <v>10</v>
      </c>
      <c r="E11574" s="225" t="s">
        <v>7500</v>
      </c>
      <c r="F11574" s="225" t="s">
        <v>6946</v>
      </c>
    </row>
    <row r="11575" spans="2:6" ht="17.25" thickBot="1">
      <c r="B11575" s="226">
        <v>46129</v>
      </c>
      <c r="C11575" s="227">
        <v>0.85174768518518518</v>
      </c>
      <c r="D11575" s="228">
        <v>10</v>
      </c>
      <c r="E11575" s="225" t="s">
        <v>179</v>
      </c>
      <c r="F11575" s="225" t="s">
        <v>6946</v>
      </c>
    </row>
    <row r="11576" spans="2:6" ht="17.25" thickBot="1">
      <c r="B11576" s="226">
        <v>46129</v>
      </c>
      <c r="C11576" s="227">
        <v>0.78362268518518519</v>
      </c>
      <c r="D11576" s="228">
        <v>10</v>
      </c>
      <c r="E11576" s="225" t="s">
        <v>7501</v>
      </c>
      <c r="F11576" s="225" t="s">
        <v>6946</v>
      </c>
    </row>
    <row r="11577" spans="2:6" ht="17.25" thickBot="1">
      <c r="B11577" s="226">
        <v>46129</v>
      </c>
      <c r="C11577" s="227">
        <v>0.75226851851851861</v>
      </c>
      <c r="D11577" s="228">
        <v>10</v>
      </c>
      <c r="E11577" s="225" t="s">
        <v>7502</v>
      </c>
      <c r="F11577" s="225" t="s">
        <v>6946</v>
      </c>
    </row>
    <row r="11578" spans="2:6" ht="17.25" thickBot="1">
      <c r="B11578" s="226">
        <v>46129</v>
      </c>
      <c r="C11578" s="227">
        <v>0.75506944444444446</v>
      </c>
      <c r="D11578" s="228">
        <v>10</v>
      </c>
      <c r="E11578" s="225" t="s">
        <v>7503</v>
      </c>
      <c r="F11578" s="225" t="s">
        <v>6946</v>
      </c>
    </row>
    <row r="11579" spans="2:6" ht="17.25" thickBot="1">
      <c r="B11579" s="226">
        <v>46129</v>
      </c>
      <c r="C11579" s="227">
        <v>0.74788194444444445</v>
      </c>
      <c r="D11579" s="228">
        <v>10</v>
      </c>
      <c r="E11579" s="225" t="s">
        <v>7504</v>
      </c>
      <c r="F11579" s="225" t="s">
        <v>6946</v>
      </c>
    </row>
    <row r="11580" spans="2:6" ht="17.25" thickBot="1">
      <c r="B11580" s="226">
        <v>46129</v>
      </c>
      <c r="C11580" s="227">
        <v>0.72084490740740748</v>
      </c>
      <c r="D11580" s="228">
        <v>10</v>
      </c>
      <c r="E11580" s="225" t="s">
        <v>244</v>
      </c>
      <c r="F11580" s="225" t="s">
        <v>6946</v>
      </c>
    </row>
    <row r="11581" spans="2:6" ht="17.25" thickBot="1">
      <c r="B11581" s="226">
        <v>46129</v>
      </c>
      <c r="C11581" s="227">
        <v>0.71178240740740739</v>
      </c>
      <c r="D11581" s="228">
        <v>10</v>
      </c>
      <c r="E11581" s="225" t="s">
        <v>7505</v>
      </c>
      <c r="F11581" s="225" t="s">
        <v>6946</v>
      </c>
    </row>
    <row r="11582" spans="2:6" ht="17.25" thickBot="1">
      <c r="B11582" s="226">
        <v>46129</v>
      </c>
      <c r="C11582" s="227">
        <v>0.69384259259259251</v>
      </c>
      <c r="D11582" s="228">
        <v>10</v>
      </c>
      <c r="E11582" s="225" t="s">
        <v>7506</v>
      </c>
      <c r="F11582" s="225" t="s">
        <v>6946</v>
      </c>
    </row>
    <row r="11583" spans="2:6" ht="17.25" thickBot="1">
      <c r="B11583" s="226">
        <v>46129</v>
      </c>
      <c r="C11583" s="227">
        <v>0.67782407407407408</v>
      </c>
      <c r="D11583" s="228">
        <v>10</v>
      </c>
      <c r="E11583" s="225" t="s">
        <v>1668</v>
      </c>
      <c r="F11583" s="225" t="s">
        <v>6946</v>
      </c>
    </row>
    <row r="11584" spans="2:6" ht="17.25" thickBot="1">
      <c r="B11584" s="226">
        <v>46129</v>
      </c>
      <c r="C11584" s="227">
        <v>0.67538194444444455</v>
      </c>
      <c r="D11584" s="228">
        <v>8</v>
      </c>
      <c r="E11584" s="225" t="s">
        <v>7507</v>
      </c>
      <c r="F11584" s="225" t="s">
        <v>6946</v>
      </c>
    </row>
    <row r="11585" spans="2:6" ht="17.25" thickBot="1">
      <c r="B11585" s="226">
        <v>46129</v>
      </c>
      <c r="C11585" s="227">
        <v>0.67694444444444446</v>
      </c>
      <c r="D11585" s="228">
        <v>10</v>
      </c>
      <c r="E11585" s="225" t="s">
        <v>7508</v>
      </c>
      <c r="F11585" s="225" t="s">
        <v>6946</v>
      </c>
    </row>
    <row r="11586" spans="2:6" ht="17.25" thickBot="1">
      <c r="B11586" s="226">
        <v>46129</v>
      </c>
      <c r="C11586" s="227">
        <v>0.63278935185185181</v>
      </c>
      <c r="D11586" s="228">
        <v>10</v>
      </c>
      <c r="E11586" s="225" t="s">
        <v>7509</v>
      </c>
      <c r="F11586" s="225" t="s">
        <v>6946</v>
      </c>
    </row>
    <row r="11587" spans="2:6" ht="17.25" thickBot="1">
      <c r="B11587" s="226">
        <v>46129</v>
      </c>
      <c r="C11587" s="227">
        <v>0.71865740740740736</v>
      </c>
      <c r="D11587" s="228">
        <v>10</v>
      </c>
      <c r="E11587" s="225" t="s">
        <v>7510</v>
      </c>
      <c r="F11587" s="225" t="s">
        <v>6946</v>
      </c>
    </row>
    <row r="11588" spans="2:6" ht="17.25" thickBot="1">
      <c r="B11588" s="226">
        <v>46129</v>
      </c>
      <c r="C11588" s="227">
        <v>0.63179398148148147</v>
      </c>
      <c r="D11588" s="228">
        <v>10</v>
      </c>
      <c r="E11588" s="225" t="s">
        <v>7511</v>
      </c>
      <c r="F11588" s="225" t="s">
        <v>6946</v>
      </c>
    </row>
    <row r="11589" spans="2:6" ht="17.25" thickBot="1">
      <c r="B11589" s="226">
        <v>46129</v>
      </c>
      <c r="C11589" s="227">
        <v>0.58576388888888886</v>
      </c>
      <c r="D11589" s="228">
        <v>10</v>
      </c>
      <c r="E11589" s="225" t="s">
        <v>7512</v>
      </c>
      <c r="F11589" s="225" t="s">
        <v>6946</v>
      </c>
    </row>
    <row r="11590" spans="2:6" ht="17.25" thickBot="1">
      <c r="B11590" s="226">
        <v>46129</v>
      </c>
      <c r="C11590" s="227">
        <v>0.5835069444444444</v>
      </c>
      <c r="D11590" s="228">
        <v>10</v>
      </c>
      <c r="E11590" s="225" t="s">
        <v>7513</v>
      </c>
      <c r="F11590" s="225" t="s">
        <v>6946</v>
      </c>
    </row>
    <row r="11591" spans="2:6" ht="17.25" thickBot="1">
      <c r="B11591" s="226">
        <v>46129</v>
      </c>
      <c r="C11591" s="227">
        <v>0.57975694444444448</v>
      </c>
      <c r="D11591" s="228">
        <v>10</v>
      </c>
      <c r="E11591" s="225" t="s">
        <v>1668</v>
      </c>
      <c r="F11591" s="225" t="s">
        <v>6946</v>
      </c>
    </row>
    <row r="11592" spans="2:6" ht="17.25" thickBot="1">
      <c r="B11592" s="226">
        <v>46129</v>
      </c>
      <c r="C11592" s="227">
        <v>0.56870370370370371</v>
      </c>
      <c r="D11592" s="228">
        <v>10</v>
      </c>
      <c r="E11592" s="225" t="s">
        <v>7514</v>
      </c>
      <c r="F11592" s="225" t="s">
        <v>6946</v>
      </c>
    </row>
    <row r="11593" spans="2:6" ht="17.25" thickBot="1">
      <c r="B11593" s="226">
        <v>46129</v>
      </c>
      <c r="C11593" s="227">
        <v>0.56662037037037039</v>
      </c>
      <c r="D11593" s="228">
        <v>10</v>
      </c>
      <c r="E11593" s="225" t="s">
        <v>7515</v>
      </c>
      <c r="F11593" s="225" t="s">
        <v>6946</v>
      </c>
    </row>
    <row r="11594" spans="2:6" ht="17.25" thickBot="1">
      <c r="B11594" s="226">
        <v>46129</v>
      </c>
      <c r="C11594" s="227">
        <v>0.55530092592592595</v>
      </c>
      <c r="D11594" s="228">
        <v>10</v>
      </c>
      <c r="E11594" s="225" t="s">
        <v>7516</v>
      </c>
      <c r="F11594" s="225" t="s">
        <v>6946</v>
      </c>
    </row>
    <row r="11595" spans="2:6" ht="17.25" thickBot="1">
      <c r="B11595" s="226">
        <v>46129</v>
      </c>
      <c r="C11595" s="227">
        <v>0.46612268518518518</v>
      </c>
      <c r="D11595" s="228">
        <v>10</v>
      </c>
      <c r="E11595" s="225" t="s">
        <v>7517</v>
      </c>
      <c r="F11595" s="225" t="s">
        <v>6946</v>
      </c>
    </row>
    <row r="11596" spans="2:6" ht="17.25" thickBot="1">
      <c r="B11596" s="226">
        <v>46129</v>
      </c>
      <c r="C11596" s="227">
        <v>0.45512731481481478</v>
      </c>
      <c r="D11596" s="228">
        <v>10</v>
      </c>
      <c r="E11596" s="225" t="s">
        <v>7518</v>
      </c>
      <c r="F11596" s="225" t="s">
        <v>6946</v>
      </c>
    </row>
    <row r="11597" spans="2:6" ht="17.25" thickBot="1">
      <c r="B11597" s="226">
        <v>46129</v>
      </c>
      <c r="C11597" s="227">
        <v>0.45425925925925931</v>
      </c>
      <c r="D11597" s="228">
        <v>10</v>
      </c>
      <c r="E11597" s="225" t="s">
        <v>7519</v>
      </c>
      <c r="F11597" s="225" t="s">
        <v>6946</v>
      </c>
    </row>
    <row r="11598" spans="2:6" ht="17.25" thickBot="1">
      <c r="B11598" s="226">
        <v>46129</v>
      </c>
      <c r="C11598" s="227">
        <v>0.4380208333333333</v>
      </c>
      <c r="D11598" s="228">
        <v>10</v>
      </c>
      <c r="E11598" s="225" t="s">
        <v>7520</v>
      </c>
      <c r="F11598" s="225" t="s">
        <v>6946</v>
      </c>
    </row>
    <row r="11599" spans="2:6" ht="17.25" thickBot="1">
      <c r="B11599" s="226">
        <v>46129</v>
      </c>
      <c r="C11599" s="227">
        <v>0.43754629629629632</v>
      </c>
      <c r="D11599" s="228">
        <v>10</v>
      </c>
      <c r="E11599" s="225" t="s">
        <v>7521</v>
      </c>
      <c r="F11599" s="225" t="s">
        <v>6946</v>
      </c>
    </row>
    <row r="11600" spans="2:6" ht="17.25" thickBot="1">
      <c r="B11600" s="226">
        <v>46129</v>
      </c>
      <c r="C11600" s="227">
        <v>0.41809027777777774</v>
      </c>
      <c r="D11600" s="228">
        <v>10</v>
      </c>
      <c r="E11600" s="225" t="s">
        <v>7522</v>
      </c>
      <c r="F11600" s="225" t="s">
        <v>6946</v>
      </c>
    </row>
    <row r="11601" spans="2:6" ht="17.25" thickBot="1">
      <c r="B11601" s="226">
        <v>46129</v>
      </c>
      <c r="C11601" s="227">
        <v>0.38984953703703701</v>
      </c>
      <c r="D11601" s="228">
        <v>10</v>
      </c>
      <c r="E11601" s="225"/>
      <c r="F11601" s="225" t="s">
        <v>6946</v>
      </c>
    </row>
    <row r="11602" spans="2:6" ht="17.25" thickBot="1">
      <c r="B11602" s="226">
        <v>46129</v>
      </c>
      <c r="C11602" s="227">
        <v>0.38540509259259265</v>
      </c>
      <c r="D11602" s="228">
        <v>10</v>
      </c>
      <c r="E11602" s="225" t="s">
        <v>7523</v>
      </c>
      <c r="F11602" s="225" t="s">
        <v>6946</v>
      </c>
    </row>
    <row r="11603" spans="2:6" ht="17.25" thickBot="1">
      <c r="B11603" s="226">
        <v>46128</v>
      </c>
      <c r="C11603" s="227">
        <v>0.89820601851851845</v>
      </c>
      <c r="D11603" s="228">
        <v>10</v>
      </c>
      <c r="E11603" s="225" t="s">
        <v>313</v>
      </c>
      <c r="F11603" s="225" t="s">
        <v>6946</v>
      </c>
    </row>
    <row r="11604" spans="2:6" ht="17.25" thickBot="1">
      <c r="B11604" s="226">
        <v>46128</v>
      </c>
      <c r="C11604" s="227">
        <v>0.89982638888888899</v>
      </c>
      <c r="D11604" s="228">
        <v>10</v>
      </c>
      <c r="E11604" s="225" t="s">
        <v>7524</v>
      </c>
      <c r="F11604" s="225" t="s">
        <v>6946</v>
      </c>
    </row>
    <row r="11605" spans="2:6" ht="17.25" thickBot="1">
      <c r="B11605" s="226">
        <v>46128</v>
      </c>
      <c r="C11605" s="227">
        <v>0.83018518518518514</v>
      </c>
      <c r="D11605" s="228">
        <v>10</v>
      </c>
      <c r="E11605" s="225" t="s">
        <v>5677</v>
      </c>
      <c r="F11605" s="225" t="s">
        <v>6946</v>
      </c>
    </row>
    <row r="11606" spans="2:6" ht="17.25" thickBot="1">
      <c r="B11606" s="226">
        <v>46128</v>
      </c>
      <c r="C11606" s="227">
        <v>0.81993055555555561</v>
      </c>
      <c r="D11606" s="228">
        <v>10</v>
      </c>
      <c r="E11606" s="225" t="s">
        <v>7525</v>
      </c>
      <c r="F11606" s="225" t="s">
        <v>6946</v>
      </c>
    </row>
    <row r="11607" spans="2:6" ht="17.25" thickBot="1">
      <c r="B11607" s="226">
        <v>46128</v>
      </c>
      <c r="C11607" s="227">
        <v>0.76172453703703702</v>
      </c>
      <c r="D11607" s="228">
        <v>10</v>
      </c>
      <c r="E11607" s="225" t="s">
        <v>132</v>
      </c>
      <c r="F11607" s="225" t="s">
        <v>6946</v>
      </c>
    </row>
    <row r="11608" spans="2:6" ht="17.25" thickBot="1">
      <c r="B11608" s="226">
        <v>46128</v>
      </c>
      <c r="C11608" s="227">
        <v>0.75503472222222223</v>
      </c>
      <c r="D11608" s="228">
        <v>10</v>
      </c>
      <c r="E11608" s="225" t="s">
        <v>7526</v>
      </c>
      <c r="F11608" s="225" t="s">
        <v>6946</v>
      </c>
    </row>
    <row r="11609" spans="2:6" ht="17.25" thickBot="1">
      <c r="B11609" s="226">
        <v>46128</v>
      </c>
      <c r="C11609" s="227">
        <v>0.75667824074074075</v>
      </c>
      <c r="D11609" s="228">
        <v>10</v>
      </c>
      <c r="E11609" s="225" t="s">
        <v>7527</v>
      </c>
      <c r="F11609" s="225" t="s">
        <v>6946</v>
      </c>
    </row>
    <row r="11610" spans="2:6" ht="17.25" thickBot="1">
      <c r="B11610" s="226">
        <v>46128</v>
      </c>
      <c r="C11610" s="227">
        <v>0.74774305555555554</v>
      </c>
      <c r="D11610" s="228">
        <v>10</v>
      </c>
      <c r="E11610" s="225" t="s">
        <v>7528</v>
      </c>
      <c r="F11610" s="225" t="s">
        <v>6946</v>
      </c>
    </row>
    <row r="11611" spans="2:6" ht="17.25" thickBot="1">
      <c r="B11611" s="226">
        <v>46128</v>
      </c>
      <c r="C11611" s="227">
        <v>0.74732638888888892</v>
      </c>
      <c r="D11611" s="228">
        <v>10</v>
      </c>
      <c r="E11611" s="225" t="s">
        <v>7529</v>
      </c>
      <c r="F11611" s="225" t="s">
        <v>6946</v>
      </c>
    </row>
    <row r="11612" spans="2:6" ht="17.25" thickBot="1">
      <c r="B11612" s="226">
        <v>46128</v>
      </c>
      <c r="C11612" s="227">
        <v>0.7386921296296296</v>
      </c>
      <c r="D11612" s="228">
        <v>10</v>
      </c>
      <c r="E11612" s="225" t="s">
        <v>7530</v>
      </c>
      <c r="F11612" s="225" t="s">
        <v>6946</v>
      </c>
    </row>
    <row r="11613" spans="2:6" ht="17.25" thickBot="1">
      <c r="B11613" s="226">
        <v>46128</v>
      </c>
      <c r="C11613" s="227">
        <v>0.73700231481481471</v>
      </c>
      <c r="D11613" s="228">
        <v>10</v>
      </c>
      <c r="E11613" s="225" t="s">
        <v>7531</v>
      </c>
      <c r="F11613" s="225" t="s">
        <v>6946</v>
      </c>
    </row>
    <row r="11614" spans="2:6" ht="17.25" thickBot="1">
      <c r="B11614" s="226">
        <v>46128</v>
      </c>
      <c r="C11614" s="227">
        <v>0.70930555555555552</v>
      </c>
      <c r="D11614" s="228">
        <v>10</v>
      </c>
      <c r="E11614" s="225" t="s">
        <v>7532</v>
      </c>
      <c r="F11614" s="225" t="s">
        <v>6946</v>
      </c>
    </row>
    <row r="11615" spans="2:6" ht="17.25" thickBot="1">
      <c r="B11615" s="226">
        <v>46128</v>
      </c>
      <c r="C11615" s="227">
        <v>0.71400462962962974</v>
      </c>
      <c r="D11615" s="228">
        <v>10</v>
      </c>
      <c r="E11615" s="225" t="s">
        <v>7533</v>
      </c>
      <c r="F11615" s="225" t="s">
        <v>6946</v>
      </c>
    </row>
    <row r="11616" spans="2:6" ht="17.25" thickBot="1">
      <c r="B11616" s="226">
        <v>46128</v>
      </c>
      <c r="C11616" s="227">
        <v>0.68436342592592592</v>
      </c>
      <c r="D11616" s="228">
        <v>10</v>
      </c>
      <c r="E11616" s="225" t="s">
        <v>7534</v>
      </c>
      <c r="F11616" s="225" t="s">
        <v>6946</v>
      </c>
    </row>
    <row r="11617" spans="2:6" ht="17.25" thickBot="1">
      <c r="B11617" s="226">
        <v>46128</v>
      </c>
      <c r="C11617" s="227">
        <v>0.66796296296296298</v>
      </c>
      <c r="D11617" s="228">
        <v>10</v>
      </c>
      <c r="E11617" s="225" t="s">
        <v>492</v>
      </c>
      <c r="F11617" s="225" t="s">
        <v>6946</v>
      </c>
    </row>
    <row r="11618" spans="2:6" ht="17.25" thickBot="1">
      <c r="B11618" s="226">
        <v>46128</v>
      </c>
      <c r="C11618" s="227">
        <v>0.67061342592592599</v>
      </c>
      <c r="D11618" s="228">
        <v>10</v>
      </c>
      <c r="E11618" s="225" t="s">
        <v>273</v>
      </c>
      <c r="F11618" s="225" t="s">
        <v>6946</v>
      </c>
    </row>
    <row r="11619" spans="2:6" ht="17.25" thickBot="1">
      <c r="B11619" s="226">
        <v>46128</v>
      </c>
      <c r="C11619" s="227">
        <v>0.65797453703703701</v>
      </c>
      <c r="D11619" s="228">
        <v>10</v>
      </c>
      <c r="E11619" s="225" t="s">
        <v>7535</v>
      </c>
      <c r="F11619" s="225" t="s">
        <v>6946</v>
      </c>
    </row>
    <row r="11620" spans="2:6" ht="17.25" thickBot="1">
      <c r="B11620" s="226">
        <v>46128</v>
      </c>
      <c r="C11620" s="227">
        <v>0.6590625</v>
      </c>
      <c r="D11620" s="228">
        <v>10</v>
      </c>
      <c r="E11620" s="225" t="s">
        <v>7536</v>
      </c>
      <c r="F11620" s="225" t="s">
        <v>6946</v>
      </c>
    </row>
    <row r="11621" spans="2:6" ht="17.25" thickBot="1">
      <c r="B11621" s="226">
        <v>46128</v>
      </c>
      <c r="C11621" s="227">
        <v>0.6419097222222222</v>
      </c>
      <c r="D11621" s="228">
        <v>10</v>
      </c>
      <c r="E11621" s="225" t="s">
        <v>7537</v>
      </c>
      <c r="F11621" s="225" t="s">
        <v>6946</v>
      </c>
    </row>
    <row r="11622" spans="2:6" ht="17.25" thickBot="1">
      <c r="B11622" s="226">
        <v>46128</v>
      </c>
      <c r="C11622" s="227">
        <v>0.63185185185185189</v>
      </c>
      <c r="D11622" s="228">
        <v>10</v>
      </c>
      <c r="E11622" s="225" t="s">
        <v>7538</v>
      </c>
      <c r="F11622" s="225" t="s">
        <v>6946</v>
      </c>
    </row>
    <row r="11623" spans="2:6" ht="17.25" thickBot="1">
      <c r="B11623" s="226">
        <v>46128</v>
      </c>
      <c r="C11623" s="227">
        <v>0.61039351851851853</v>
      </c>
      <c r="D11623" s="228">
        <v>10</v>
      </c>
      <c r="E11623" s="225" t="s">
        <v>132</v>
      </c>
      <c r="F11623" s="225" t="s">
        <v>6946</v>
      </c>
    </row>
    <row r="11624" spans="2:6" ht="17.25" thickBot="1">
      <c r="B11624" s="226">
        <v>46128</v>
      </c>
      <c r="C11624" s="227">
        <v>0.59059027777777773</v>
      </c>
      <c r="D11624" s="228">
        <v>10</v>
      </c>
      <c r="E11624" s="225" t="s">
        <v>132</v>
      </c>
      <c r="F11624" s="225" t="s">
        <v>6946</v>
      </c>
    </row>
    <row r="11625" spans="2:6" ht="17.25" thickBot="1">
      <c r="B11625" s="226">
        <v>46128</v>
      </c>
      <c r="C11625" s="227">
        <v>0.58283564814814814</v>
      </c>
      <c r="D11625" s="228">
        <v>10</v>
      </c>
      <c r="E11625" s="225" t="s">
        <v>1688</v>
      </c>
      <c r="F11625" s="225" t="s">
        <v>6946</v>
      </c>
    </row>
    <row r="11626" spans="2:6" ht="17.25" thickBot="1">
      <c r="B11626" s="226">
        <v>46128</v>
      </c>
      <c r="C11626" s="227">
        <v>0.57555555555555549</v>
      </c>
      <c r="D11626" s="228">
        <v>10</v>
      </c>
      <c r="E11626" s="225" t="s">
        <v>7539</v>
      </c>
      <c r="F11626" s="225" t="s">
        <v>6946</v>
      </c>
    </row>
    <row r="11627" spans="2:6" ht="17.25" thickBot="1">
      <c r="B11627" s="226">
        <v>46128</v>
      </c>
      <c r="C11627" s="227">
        <v>0.53447916666666673</v>
      </c>
      <c r="D11627" s="228">
        <v>10</v>
      </c>
      <c r="E11627" s="225" t="s">
        <v>7540</v>
      </c>
      <c r="F11627" s="225" t="s">
        <v>6946</v>
      </c>
    </row>
    <row r="11628" spans="2:6" ht="17.25" thickBot="1">
      <c r="B11628" s="226">
        <v>46128</v>
      </c>
      <c r="C11628" s="227">
        <v>0.51320601851851855</v>
      </c>
      <c r="D11628" s="228">
        <v>10</v>
      </c>
      <c r="E11628" s="225" t="s">
        <v>132</v>
      </c>
      <c r="F11628" s="225" t="s">
        <v>6946</v>
      </c>
    </row>
    <row r="11629" spans="2:6" ht="17.25" thickBot="1">
      <c r="B11629" s="226">
        <v>46128</v>
      </c>
      <c r="C11629" s="227">
        <v>0.47289351851851852</v>
      </c>
      <c r="D11629" s="228">
        <v>10</v>
      </c>
      <c r="E11629" s="225" t="s">
        <v>7541</v>
      </c>
      <c r="F11629" s="225" t="s">
        <v>6946</v>
      </c>
    </row>
    <row r="11630" spans="2:6" ht="17.25" thickBot="1">
      <c r="B11630" s="226">
        <v>46128</v>
      </c>
      <c r="C11630" s="227">
        <v>0.45075231481481487</v>
      </c>
      <c r="D11630" s="228">
        <v>10</v>
      </c>
      <c r="E11630" s="225" t="s">
        <v>7542</v>
      </c>
      <c r="F11630" s="225" t="s">
        <v>6946</v>
      </c>
    </row>
    <row r="11631" spans="2:6" ht="17.25" thickBot="1">
      <c r="B11631" s="226">
        <v>46128</v>
      </c>
      <c r="C11631" s="227">
        <v>0.46087962962962964</v>
      </c>
      <c r="D11631" s="228">
        <v>10</v>
      </c>
      <c r="E11631" s="225" t="s">
        <v>7543</v>
      </c>
      <c r="F11631" s="225" t="s">
        <v>6946</v>
      </c>
    </row>
    <row r="11632" spans="2:6" ht="17.25" thickBot="1">
      <c r="B11632" s="226">
        <v>46128</v>
      </c>
      <c r="C11632" s="227">
        <v>0.45314814814814813</v>
      </c>
      <c r="D11632" s="228">
        <v>10</v>
      </c>
      <c r="E11632" s="225" t="s">
        <v>7544</v>
      </c>
      <c r="F11632" s="225" t="s">
        <v>6946</v>
      </c>
    </row>
    <row r="11633" spans="2:6" ht="17.25" thickBot="1">
      <c r="B11633" s="226">
        <v>46128</v>
      </c>
      <c r="C11633" s="227">
        <v>0.46017361111111116</v>
      </c>
      <c r="D11633" s="228">
        <v>10</v>
      </c>
      <c r="E11633" s="225" t="s">
        <v>7545</v>
      </c>
      <c r="F11633" s="225" t="s">
        <v>6946</v>
      </c>
    </row>
    <row r="11634" spans="2:6" ht="17.25" thickBot="1">
      <c r="B11634" s="226">
        <v>46128</v>
      </c>
      <c r="C11634" s="227">
        <v>0.45891203703703703</v>
      </c>
      <c r="D11634" s="228">
        <v>10</v>
      </c>
      <c r="E11634" s="225" t="s">
        <v>7546</v>
      </c>
      <c r="F11634" s="225" t="s">
        <v>6946</v>
      </c>
    </row>
    <row r="11635" spans="2:6" ht="17.25" thickBot="1">
      <c r="B11635" s="226">
        <v>46128</v>
      </c>
      <c r="C11635" s="227">
        <v>0.45973379629629635</v>
      </c>
      <c r="D11635" s="228">
        <v>10</v>
      </c>
      <c r="E11635" s="225" t="s">
        <v>7547</v>
      </c>
      <c r="F11635" s="225" t="s">
        <v>6946</v>
      </c>
    </row>
    <row r="11636" spans="2:6" ht="26.25" thickBot="1">
      <c r="B11636" s="226">
        <v>46127</v>
      </c>
      <c r="C11636" s="227">
        <v>0.82667824074074081</v>
      </c>
      <c r="D11636" s="228">
        <v>10</v>
      </c>
      <c r="E11636" s="225" t="s">
        <v>7548</v>
      </c>
      <c r="F11636" s="225" t="s">
        <v>6946</v>
      </c>
    </row>
    <row r="11637" spans="2:6" ht="17.25" thickBot="1">
      <c r="B11637" s="226">
        <v>46127</v>
      </c>
      <c r="C11637" s="227">
        <v>0.81885416666666666</v>
      </c>
      <c r="D11637" s="228">
        <v>10</v>
      </c>
      <c r="E11637" s="225" t="s">
        <v>7549</v>
      </c>
      <c r="F11637" s="225" t="s">
        <v>6946</v>
      </c>
    </row>
    <row r="11638" spans="2:6" ht="17.25" thickBot="1">
      <c r="B11638" s="226">
        <v>46127</v>
      </c>
      <c r="C11638" s="227">
        <v>0.81421296296296297</v>
      </c>
      <c r="D11638" s="228">
        <v>10</v>
      </c>
      <c r="E11638" s="225" t="s">
        <v>7550</v>
      </c>
      <c r="F11638" s="225" t="s">
        <v>6946</v>
      </c>
    </row>
    <row r="11639" spans="2:6" ht="17.25" thickBot="1">
      <c r="B11639" s="226">
        <v>46127</v>
      </c>
      <c r="C11639" s="227">
        <v>0.78763888888888889</v>
      </c>
      <c r="D11639" s="228">
        <v>10</v>
      </c>
      <c r="E11639" s="225" t="s">
        <v>7551</v>
      </c>
      <c r="F11639" s="225" t="s">
        <v>6946</v>
      </c>
    </row>
    <row r="11640" spans="2:6" ht="17.25" thickBot="1">
      <c r="B11640" s="226">
        <v>46127</v>
      </c>
      <c r="C11640" s="227">
        <v>0.77829861111111109</v>
      </c>
      <c r="D11640" s="228">
        <v>10</v>
      </c>
      <c r="E11640" s="225" t="s">
        <v>7552</v>
      </c>
      <c r="F11640" s="225" t="s">
        <v>6946</v>
      </c>
    </row>
    <row r="11641" spans="2:6" ht="17.25" thickBot="1">
      <c r="B11641" s="226">
        <v>46127</v>
      </c>
      <c r="C11641" s="227">
        <v>0.76894675925925926</v>
      </c>
      <c r="D11641" s="228">
        <v>10</v>
      </c>
      <c r="E11641" s="225" t="s">
        <v>7553</v>
      </c>
      <c r="F11641" s="225" t="s">
        <v>6946</v>
      </c>
    </row>
    <row r="11642" spans="2:6" ht="17.25" thickBot="1">
      <c r="B11642" s="226">
        <v>46127</v>
      </c>
      <c r="C11642" s="227">
        <v>0.75944444444444448</v>
      </c>
      <c r="D11642" s="228">
        <v>10</v>
      </c>
      <c r="E11642" s="225" t="s">
        <v>7554</v>
      </c>
      <c r="F11642" s="225" t="s">
        <v>6946</v>
      </c>
    </row>
    <row r="11643" spans="2:6" ht="26.25" thickBot="1">
      <c r="B11643" s="226">
        <v>46127</v>
      </c>
      <c r="C11643" s="227">
        <v>0.75736111111111104</v>
      </c>
      <c r="D11643" s="228">
        <v>10</v>
      </c>
      <c r="E11643" s="225" t="s">
        <v>7555</v>
      </c>
      <c r="F11643" s="225" t="s">
        <v>6946</v>
      </c>
    </row>
    <row r="11644" spans="2:6" ht="17.25" thickBot="1">
      <c r="B11644" s="226">
        <v>46127</v>
      </c>
      <c r="C11644" s="227">
        <v>0.75061342592592595</v>
      </c>
      <c r="D11644" s="228">
        <v>10</v>
      </c>
      <c r="E11644" s="225" t="s">
        <v>1579</v>
      </c>
      <c r="F11644" s="225" t="s">
        <v>6946</v>
      </c>
    </row>
    <row r="11645" spans="2:6" ht="17.25" thickBot="1">
      <c r="B11645" s="226">
        <v>46127</v>
      </c>
      <c r="C11645" s="227">
        <v>0.75322916666666673</v>
      </c>
      <c r="D11645" s="228">
        <v>10</v>
      </c>
      <c r="E11645" s="225" t="s">
        <v>7556</v>
      </c>
      <c r="F11645" s="225" t="s">
        <v>6946</v>
      </c>
    </row>
    <row r="11646" spans="2:6" ht="17.25" thickBot="1">
      <c r="B11646" s="226">
        <v>46127</v>
      </c>
      <c r="C11646" s="227">
        <v>0.74545138888888884</v>
      </c>
      <c r="D11646" s="228">
        <v>10</v>
      </c>
      <c r="E11646" s="225" t="s">
        <v>4048</v>
      </c>
      <c r="F11646" s="225" t="s">
        <v>6946</v>
      </c>
    </row>
    <row r="11647" spans="2:6" ht="17.25" thickBot="1">
      <c r="B11647" s="226">
        <v>46127</v>
      </c>
      <c r="C11647" s="227">
        <v>0.73281249999999998</v>
      </c>
      <c r="D11647" s="228">
        <v>10</v>
      </c>
      <c r="E11647" s="225" t="s">
        <v>132</v>
      </c>
      <c r="F11647" s="225" t="s">
        <v>6946</v>
      </c>
    </row>
    <row r="11648" spans="2:6" ht="17.25" thickBot="1">
      <c r="B11648" s="226">
        <v>46127</v>
      </c>
      <c r="C11648" s="227">
        <v>0.71450231481481474</v>
      </c>
      <c r="D11648" s="228">
        <v>10</v>
      </c>
      <c r="E11648" s="225" t="s">
        <v>7557</v>
      </c>
      <c r="F11648" s="225" t="s">
        <v>6946</v>
      </c>
    </row>
    <row r="11649" spans="2:6" ht="26.25" thickBot="1">
      <c r="B11649" s="226">
        <v>46127</v>
      </c>
      <c r="C11649" s="227">
        <v>0.70269675925925934</v>
      </c>
      <c r="D11649" s="228">
        <v>10</v>
      </c>
      <c r="E11649" s="225" t="s">
        <v>7558</v>
      </c>
      <c r="F11649" s="225" t="s">
        <v>6946</v>
      </c>
    </row>
    <row r="11650" spans="2:6" ht="17.25" thickBot="1">
      <c r="B11650" s="226">
        <v>46127</v>
      </c>
      <c r="C11650" s="227">
        <v>0.69138888888888894</v>
      </c>
      <c r="D11650" s="228">
        <v>10</v>
      </c>
      <c r="E11650" s="225" t="s">
        <v>7559</v>
      </c>
      <c r="F11650" s="225" t="s">
        <v>6946</v>
      </c>
    </row>
    <row r="11651" spans="2:6" ht="17.25" thickBot="1">
      <c r="B11651" s="226">
        <v>46127</v>
      </c>
      <c r="C11651" s="227">
        <v>0.67834490740740738</v>
      </c>
      <c r="D11651" s="228">
        <v>10</v>
      </c>
      <c r="E11651" s="225" t="s">
        <v>7560</v>
      </c>
      <c r="F11651" s="225" t="s">
        <v>6946</v>
      </c>
    </row>
    <row r="11652" spans="2:6" ht="17.25" thickBot="1">
      <c r="B11652" s="226">
        <v>46127</v>
      </c>
      <c r="C11652" s="227">
        <v>0.67366898148148147</v>
      </c>
      <c r="D11652" s="228">
        <v>10</v>
      </c>
      <c r="E11652" s="225" t="s">
        <v>565</v>
      </c>
      <c r="F11652" s="225" t="s">
        <v>6946</v>
      </c>
    </row>
    <row r="11653" spans="2:6" ht="17.25" thickBot="1">
      <c r="B11653" s="226">
        <v>46127</v>
      </c>
      <c r="C11653" s="227">
        <v>0.64785879629629628</v>
      </c>
      <c r="D11653" s="228">
        <v>10</v>
      </c>
      <c r="E11653" s="225" t="s">
        <v>7561</v>
      </c>
      <c r="F11653" s="225" t="s">
        <v>6946</v>
      </c>
    </row>
    <row r="11654" spans="2:6" ht="17.25" thickBot="1">
      <c r="B11654" s="226">
        <v>46127</v>
      </c>
      <c r="C11654" s="227">
        <v>0.60445601851851849</v>
      </c>
      <c r="D11654" s="228">
        <v>10</v>
      </c>
      <c r="E11654" s="225" t="s">
        <v>7562</v>
      </c>
      <c r="F11654" s="225" t="s">
        <v>6946</v>
      </c>
    </row>
    <row r="11655" spans="2:6" ht="17.25" thickBot="1">
      <c r="B11655" s="226">
        <v>46127</v>
      </c>
      <c r="C11655" s="227">
        <v>0.52706018518518516</v>
      </c>
      <c r="D11655" s="228">
        <v>10</v>
      </c>
      <c r="E11655" s="225" t="s">
        <v>7563</v>
      </c>
      <c r="F11655" s="225" t="s">
        <v>6946</v>
      </c>
    </row>
    <row r="11656" spans="2:6" ht="17.25" thickBot="1">
      <c r="B11656" s="226">
        <v>46127</v>
      </c>
      <c r="C11656" s="227">
        <v>0.49175925925925923</v>
      </c>
      <c r="D11656" s="228">
        <v>10</v>
      </c>
      <c r="E11656" s="225" t="s">
        <v>7564</v>
      </c>
      <c r="F11656" s="225" t="s">
        <v>6946</v>
      </c>
    </row>
    <row r="11657" spans="2:6" ht="17.25" thickBot="1">
      <c r="B11657" s="226">
        <v>46127</v>
      </c>
      <c r="C11657" s="227">
        <v>0.48603009259259261</v>
      </c>
      <c r="D11657" s="228">
        <v>10</v>
      </c>
      <c r="E11657" s="225" t="s">
        <v>7565</v>
      </c>
      <c r="F11657" s="225" t="s">
        <v>6946</v>
      </c>
    </row>
    <row r="11658" spans="2:6" ht="17.25" thickBot="1">
      <c r="B11658" s="226">
        <v>46127</v>
      </c>
      <c r="C11658" s="227">
        <v>0.47496527777777775</v>
      </c>
      <c r="D11658" s="228">
        <v>10</v>
      </c>
      <c r="E11658" s="225" t="s">
        <v>7566</v>
      </c>
      <c r="F11658" s="225" t="s">
        <v>6946</v>
      </c>
    </row>
    <row r="11659" spans="2:6" ht="17.25" thickBot="1">
      <c r="B11659" s="226">
        <v>46127</v>
      </c>
      <c r="C11659" s="227">
        <v>0.43776620370370373</v>
      </c>
      <c r="D11659" s="228">
        <v>10</v>
      </c>
      <c r="E11659" s="225" t="s">
        <v>7567</v>
      </c>
      <c r="F11659" s="225" t="s">
        <v>6946</v>
      </c>
    </row>
    <row r="11660" spans="2:6" ht="17.25" thickBot="1">
      <c r="B11660" s="226">
        <v>46127</v>
      </c>
      <c r="C11660" s="227">
        <v>0.39430555555555552</v>
      </c>
      <c r="D11660" s="228">
        <v>10</v>
      </c>
      <c r="E11660" s="225" t="s">
        <v>7568</v>
      </c>
      <c r="F11660" s="225" t="s">
        <v>6946</v>
      </c>
    </row>
    <row r="11661" spans="2:6" ht="17.25" thickBot="1">
      <c r="B11661" s="226">
        <v>46126</v>
      </c>
      <c r="C11661" s="227">
        <v>0.86719907407407415</v>
      </c>
      <c r="D11661" s="228">
        <v>10</v>
      </c>
      <c r="E11661" s="225" t="s">
        <v>7569</v>
      </c>
      <c r="F11661" s="225" t="s">
        <v>6946</v>
      </c>
    </row>
    <row r="11662" spans="2:6" ht="17.25" thickBot="1">
      <c r="B11662" s="226">
        <v>46126</v>
      </c>
      <c r="C11662" s="227">
        <v>0.85556712962962955</v>
      </c>
      <c r="D11662" s="228">
        <v>10</v>
      </c>
      <c r="E11662" s="225" t="s">
        <v>7570</v>
      </c>
      <c r="F11662" s="225" t="s">
        <v>6946</v>
      </c>
    </row>
    <row r="11663" spans="2:6" ht="17.25" thickBot="1">
      <c r="B11663" s="226">
        <v>46126</v>
      </c>
      <c r="C11663" s="227">
        <v>0.83193287037037045</v>
      </c>
      <c r="D11663" s="228">
        <v>10</v>
      </c>
      <c r="E11663" s="225" t="s">
        <v>7571</v>
      </c>
      <c r="F11663" s="225" t="s">
        <v>6946</v>
      </c>
    </row>
    <row r="11664" spans="2:6" ht="17.25" thickBot="1">
      <c r="B11664" s="226">
        <v>46126</v>
      </c>
      <c r="C11664" s="227">
        <v>0.74677083333333327</v>
      </c>
      <c r="D11664" s="228">
        <v>10</v>
      </c>
      <c r="E11664" s="225" t="s">
        <v>1206</v>
      </c>
      <c r="F11664" s="225" t="s">
        <v>6946</v>
      </c>
    </row>
    <row r="11665" spans="2:6" ht="17.25" thickBot="1">
      <c r="B11665" s="226">
        <v>46126</v>
      </c>
      <c r="C11665" s="227">
        <v>0.7490162037037037</v>
      </c>
      <c r="D11665" s="228">
        <v>10</v>
      </c>
      <c r="E11665" s="225" t="s">
        <v>7572</v>
      </c>
      <c r="F11665" s="225" t="s">
        <v>6946</v>
      </c>
    </row>
    <row r="11666" spans="2:6" ht="17.25" thickBot="1">
      <c r="B11666" s="226">
        <v>46126</v>
      </c>
      <c r="C11666" s="227">
        <v>0.73172453703703699</v>
      </c>
      <c r="D11666" s="228">
        <v>10</v>
      </c>
      <c r="E11666" s="225" t="s">
        <v>575</v>
      </c>
      <c r="F11666" s="225" t="s">
        <v>6946</v>
      </c>
    </row>
    <row r="11667" spans="2:6" ht="17.25" thickBot="1">
      <c r="B11667" s="226">
        <v>46126</v>
      </c>
      <c r="C11667" s="227">
        <v>0.7181481481481482</v>
      </c>
      <c r="D11667" s="228">
        <v>10</v>
      </c>
      <c r="E11667" s="225" t="s">
        <v>7573</v>
      </c>
      <c r="F11667" s="225" t="s">
        <v>6946</v>
      </c>
    </row>
    <row r="11668" spans="2:6" ht="17.25" thickBot="1">
      <c r="B11668" s="226">
        <v>46126</v>
      </c>
      <c r="C11668" s="227">
        <v>0.71758101851851841</v>
      </c>
      <c r="D11668" s="228">
        <v>10</v>
      </c>
      <c r="E11668" s="225" t="s">
        <v>7574</v>
      </c>
      <c r="F11668" s="225" t="s">
        <v>6946</v>
      </c>
    </row>
    <row r="11669" spans="2:6" ht="17.25" thickBot="1">
      <c r="B11669" s="226">
        <v>46126</v>
      </c>
      <c r="C11669" s="227">
        <v>0.69325231481481486</v>
      </c>
      <c r="D11669" s="228">
        <v>10</v>
      </c>
      <c r="E11669" s="225" t="s">
        <v>7575</v>
      </c>
      <c r="F11669" s="225" t="s">
        <v>6946</v>
      </c>
    </row>
    <row r="11670" spans="2:6" ht="17.25" thickBot="1">
      <c r="B11670" s="226">
        <v>46126</v>
      </c>
      <c r="C11670" s="227">
        <v>0.6780787037037036</v>
      </c>
      <c r="D11670" s="228">
        <v>10</v>
      </c>
      <c r="E11670" s="225" t="s">
        <v>7576</v>
      </c>
      <c r="F11670" s="225" t="s">
        <v>6946</v>
      </c>
    </row>
    <row r="11671" spans="2:6" ht="26.25" thickBot="1">
      <c r="B11671" s="226">
        <v>46126</v>
      </c>
      <c r="C11671" s="227">
        <v>0.66706018518518517</v>
      </c>
      <c r="D11671" s="228">
        <v>10</v>
      </c>
      <c r="E11671" s="225" t="s">
        <v>7577</v>
      </c>
      <c r="F11671" s="225" t="s">
        <v>6946</v>
      </c>
    </row>
    <row r="11672" spans="2:6" ht="17.25" thickBot="1">
      <c r="B11672" s="226">
        <v>46126</v>
      </c>
      <c r="C11672" s="227">
        <v>0.64320601851851855</v>
      </c>
      <c r="D11672" s="228">
        <v>10</v>
      </c>
      <c r="E11672" s="225" t="s">
        <v>7578</v>
      </c>
      <c r="F11672" s="225" t="s">
        <v>6946</v>
      </c>
    </row>
    <row r="11673" spans="2:6" ht="17.25" thickBot="1">
      <c r="B11673" s="226">
        <v>46126</v>
      </c>
      <c r="C11673" s="227">
        <v>0.62353009259259262</v>
      </c>
      <c r="D11673" s="228">
        <v>10</v>
      </c>
      <c r="E11673" s="225" t="s">
        <v>313</v>
      </c>
      <c r="F11673" s="225" t="s">
        <v>6946</v>
      </c>
    </row>
    <row r="11674" spans="2:6" ht="17.25" thickBot="1">
      <c r="B11674" s="226">
        <v>46126</v>
      </c>
      <c r="C11674" s="227">
        <v>0.6130902777777778</v>
      </c>
      <c r="D11674" s="228">
        <v>10</v>
      </c>
      <c r="E11674" s="225" t="s">
        <v>7579</v>
      </c>
      <c r="F11674" s="225" t="s">
        <v>6946</v>
      </c>
    </row>
    <row r="11675" spans="2:6" ht="17.25" thickBot="1">
      <c r="B11675" s="226">
        <v>46126</v>
      </c>
      <c r="C11675" s="227">
        <v>0.60711805555555554</v>
      </c>
      <c r="D11675" s="228">
        <v>10</v>
      </c>
      <c r="E11675" s="225" t="s">
        <v>7580</v>
      </c>
      <c r="F11675" s="225" t="s">
        <v>6946</v>
      </c>
    </row>
    <row r="11676" spans="2:6" ht="17.25" thickBot="1">
      <c r="B11676" s="226">
        <v>46126</v>
      </c>
      <c r="C11676" s="227">
        <v>0.59225694444444443</v>
      </c>
      <c r="D11676" s="228">
        <v>10</v>
      </c>
      <c r="E11676" s="225" t="s">
        <v>7581</v>
      </c>
      <c r="F11676" s="225" t="s">
        <v>6946</v>
      </c>
    </row>
    <row r="11677" spans="2:6" ht="17.25" thickBot="1">
      <c r="B11677" s="226">
        <v>46126</v>
      </c>
      <c r="C11677" s="227">
        <v>0.59695601851851854</v>
      </c>
      <c r="D11677" s="228">
        <v>10</v>
      </c>
      <c r="E11677" s="225" t="s">
        <v>7582</v>
      </c>
      <c r="F11677" s="225" t="s">
        <v>6946</v>
      </c>
    </row>
    <row r="11678" spans="2:6" ht="17.25" thickBot="1">
      <c r="B11678" s="226">
        <v>46126</v>
      </c>
      <c r="C11678" s="227">
        <v>0.60268518518518521</v>
      </c>
      <c r="D11678" s="228">
        <v>10</v>
      </c>
      <c r="E11678" s="225" t="s">
        <v>7583</v>
      </c>
      <c r="F11678" s="225" t="s">
        <v>6946</v>
      </c>
    </row>
    <row r="11679" spans="2:6" ht="17.25" thickBot="1">
      <c r="B11679" s="226">
        <v>46126</v>
      </c>
      <c r="C11679" s="227">
        <v>0.58111111111111113</v>
      </c>
      <c r="D11679" s="228">
        <v>10</v>
      </c>
      <c r="E11679" s="225" t="s">
        <v>1668</v>
      </c>
      <c r="F11679" s="225" t="s">
        <v>6946</v>
      </c>
    </row>
    <row r="11680" spans="2:6" ht="17.25" thickBot="1">
      <c r="B11680" s="226">
        <v>46126</v>
      </c>
      <c r="C11680" s="227">
        <v>0.56111111111111112</v>
      </c>
      <c r="D11680" s="228">
        <v>10</v>
      </c>
      <c r="E11680" s="225" t="s">
        <v>7584</v>
      </c>
      <c r="F11680" s="225" t="s">
        <v>6946</v>
      </c>
    </row>
    <row r="11681" spans="2:6" ht="17.25" thickBot="1">
      <c r="B11681" s="226">
        <v>46126</v>
      </c>
      <c r="C11681" s="227">
        <v>0.55885416666666665</v>
      </c>
      <c r="D11681" s="228">
        <v>10</v>
      </c>
      <c r="E11681" s="225" t="s">
        <v>7585</v>
      </c>
      <c r="F11681" s="225" t="s">
        <v>6946</v>
      </c>
    </row>
    <row r="11682" spans="2:6" ht="17.25" thickBot="1">
      <c r="B11682" s="226">
        <v>46126</v>
      </c>
      <c r="C11682" s="227">
        <v>0.56767361111111114</v>
      </c>
      <c r="D11682" s="228">
        <v>10</v>
      </c>
      <c r="E11682" s="225" t="s">
        <v>7586</v>
      </c>
      <c r="F11682" s="225" t="s">
        <v>6946</v>
      </c>
    </row>
    <row r="11683" spans="2:6" ht="17.25" thickBot="1">
      <c r="B11683" s="226">
        <v>46126</v>
      </c>
      <c r="C11683" s="227">
        <v>0.48493055555555559</v>
      </c>
      <c r="D11683" s="228">
        <v>10</v>
      </c>
      <c r="E11683" s="225" t="s">
        <v>7587</v>
      </c>
      <c r="F11683" s="225" t="s">
        <v>6946</v>
      </c>
    </row>
    <row r="11684" spans="2:6" ht="17.25" thickBot="1">
      <c r="B11684" s="226">
        <v>46126</v>
      </c>
      <c r="C11684" s="227">
        <v>0.45908564814814817</v>
      </c>
      <c r="D11684" s="228">
        <v>10</v>
      </c>
      <c r="E11684" s="225" t="s">
        <v>7588</v>
      </c>
      <c r="F11684" s="225" t="s">
        <v>6946</v>
      </c>
    </row>
    <row r="11685" spans="2:6" ht="17.25" thickBot="1">
      <c r="B11685" s="226">
        <v>46126</v>
      </c>
      <c r="C11685" s="227">
        <v>0.44319444444444445</v>
      </c>
      <c r="D11685" s="228">
        <v>10</v>
      </c>
      <c r="E11685" s="225" t="s">
        <v>7589</v>
      </c>
      <c r="F11685" s="225" t="s">
        <v>6946</v>
      </c>
    </row>
    <row r="11686" spans="2:6" ht="17.25" thickBot="1">
      <c r="B11686" s="226">
        <v>46126</v>
      </c>
      <c r="C11686" s="227">
        <v>0.38069444444444445</v>
      </c>
      <c r="D11686" s="228">
        <v>10</v>
      </c>
      <c r="E11686" s="225" t="s">
        <v>291</v>
      </c>
      <c r="F11686" s="225" t="s">
        <v>6946</v>
      </c>
    </row>
    <row r="11687" spans="2:6" ht="26.25" thickBot="1">
      <c r="B11687" s="226">
        <v>46125</v>
      </c>
      <c r="C11687" s="227">
        <v>0.88480324074074079</v>
      </c>
      <c r="D11687" s="228">
        <v>10</v>
      </c>
      <c r="E11687" s="225" t="s">
        <v>7590</v>
      </c>
      <c r="F11687" s="225" t="s">
        <v>6946</v>
      </c>
    </row>
    <row r="11688" spans="2:6" ht="17.25" thickBot="1">
      <c r="B11688" s="226">
        <v>46125</v>
      </c>
      <c r="C11688" s="227">
        <v>0.86760416666666673</v>
      </c>
      <c r="D11688" s="228">
        <v>10</v>
      </c>
      <c r="E11688" s="225" t="s">
        <v>7591</v>
      </c>
      <c r="F11688" s="225" t="s">
        <v>6946</v>
      </c>
    </row>
    <row r="11689" spans="2:6" ht="17.25" thickBot="1">
      <c r="B11689" s="226">
        <v>46125</v>
      </c>
      <c r="C11689" s="227">
        <v>0.8461805555555556</v>
      </c>
      <c r="D11689" s="228">
        <v>10</v>
      </c>
      <c r="E11689" s="225" t="s">
        <v>7592</v>
      </c>
      <c r="F11689" s="225" t="s">
        <v>6946</v>
      </c>
    </row>
    <row r="11690" spans="2:6" ht="17.25" thickBot="1">
      <c r="B11690" s="226">
        <v>46125</v>
      </c>
      <c r="C11690" s="227">
        <v>0.83207175925925936</v>
      </c>
      <c r="D11690" s="228">
        <v>10</v>
      </c>
      <c r="E11690" s="225" t="s">
        <v>7593</v>
      </c>
      <c r="F11690" s="225" t="s">
        <v>6946</v>
      </c>
    </row>
    <row r="11691" spans="2:6" ht="17.25" thickBot="1">
      <c r="B11691" s="226">
        <v>46125</v>
      </c>
      <c r="C11691" s="227">
        <v>0.8306365740740741</v>
      </c>
      <c r="D11691" s="228">
        <v>10</v>
      </c>
      <c r="E11691" s="225" t="s">
        <v>7594</v>
      </c>
      <c r="F11691" s="225" t="s">
        <v>6946</v>
      </c>
    </row>
    <row r="11692" spans="2:6" ht="17.25" thickBot="1">
      <c r="B11692" s="226">
        <v>46125</v>
      </c>
      <c r="C11692" s="227">
        <v>0.83136574074074077</v>
      </c>
      <c r="D11692" s="228">
        <v>10</v>
      </c>
      <c r="E11692" s="225" t="s">
        <v>7595</v>
      </c>
      <c r="F11692" s="225" t="s">
        <v>6946</v>
      </c>
    </row>
    <row r="11693" spans="2:6" ht="17.25" thickBot="1">
      <c r="B11693" s="226">
        <v>46125</v>
      </c>
      <c r="C11693" s="227">
        <v>0.80534722222222221</v>
      </c>
      <c r="D11693" s="228">
        <v>10</v>
      </c>
      <c r="E11693" s="228">
        <v>1</v>
      </c>
      <c r="F11693" s="225" t="s">
        <v>6946</v>
      </c>
    </row>
    <row r="11694" spans="2:6" ht="26.25" thickBot="1">
      <c r="B11694" s="226">
        <v>46125</v>
      </c>
      <c r="C11694" s="227">
        <v>0.79556712962962972</v>
      </c>
      <c r="D11694" s="228">
        <v>10</v>
      </c>
      <c r="E11694" s="225" t="s">
        <v>7596</v>
      </c>
      <c r="F11694" s="225" t="s">
        <v>6946</v>
      </c>
    </row>
    <row r="11695" spans="2:6" ht="17.25" thickBot="1">
      <c r="B11695" s="226">
        <v>46125</v>
      </c>
      <c r="C11695" s="227">
        <v>0.77206018518518515</v>
      </c>
      <c r="D11695" s="228">
        <v>10</v>
      </c>
      <c r="E11695" s="225" t="s">
        <v>7597</v>
      </c>
      <c r="F11695" s="225" t="s">
        <v>6946</v>
      </c>
    </row>
    <row r="11696" spans="2:6" ht="17.25" thickBot="1">
      <c r="B11696" s="226">
        <v>46125</v>
      </c>
      <c r="C11696" s="227">
        <v>0.77157407407407408</v>
      </c>
      <c r="D11696" s="228">
        <v>10</v>
      </c>
      <c r="E11696" s="225" t="s">
        <v>7598</v>
      </c>
      <c r="F11696" s="225" t="s">
        <v>6946</v>
      </c>
    </row>
    <row r="11697" spans="2:6" ht="17.25" thickBot="1">
      <c r="B11697" s="226">
        <v>46125</v>
      </c>
      <c r="C11697" s="227">
        <v>0.77162037037037035</v>
      </c>
      <c r="D11697" s="228">
        <v>10</v>
      </c>
      <c r="E11697" s="225" t="s">
        <v>545</v>
      </c>
      <c r="F11697" s="225" t="s">
        <v>6946</v>
      </c>
    </row>
    <row r="11698" spans="2:6" ht="17.25" thickBot="1">
      <c r="B11698" s="226">
        <v>46125</v>
      </c>
      <c r="C11698" s="227">
        <v>0.77166666666666661</v>
      </c>
      <c r="D11698" s="228">
        <v>10</v>
      </c>
      <c r="E11698" s="225" t="s">
        <v>7599</v>
      </c>
      <c r="F11698" s="225" t="s">
        <v>6946</v>
      </c>
    </row>
    <row r="11699" spans="2:6" ht="26.25" thickBot="1">
      <c r="B11699" s="226">
        <v>46125</v>
      </c>
      <c r="C11699" s="227">
        <v>0.75597222222222227</v>
      </c>
      <c r="D11699" s="228">
        <v>10</v>
      </c>
      <c r="E11699" s="225" t="s">
        <v>7600</v>
      </c>
      <c r="F11699" s="225" t="s">
        <v>6946</v>
      </c>
    </row>
    <row r="11700" spans="2:6" ht="17.25" thickBot="1">
      <c r="B11700" s="226">
        <v>46125</v>
      </c>
      <c r="C11700" s="227">
        <v>0.74898148148148147</v>
      </c>
      <c r="D11700" s="228">
        <v>10</v>
      </c>
      <c r="E11700" s="225" t="s">
        <v>7601</v>
      </c>
      <c r="F11700" s="225" t="s">
        <v>6946</v>
      </c>
    </row>
    <row r="11701" spans="2:6" ht="17.25" thickBot="1">
      <c r="B11701" s="226">
        <v>46125</v>
      </c>
      <c r="C11701" s="227">
        <v>0.74842592592592594</v>
      </c>
      <c r="D11701" s="228">
        <v>10</v>
      </c>
      <c r="E11701" s="225" t="s">
        <v>7602</v>
      </c>
      <c r="F11701" s="225" t="s">
        <v>6946</v>
      </c>
    </row>
    <row r="11702" spans="2:6" ht="17.25" thickBot="1">
      <c r="B11702" s="226">
        <v>46125</v>
      </c>
      <c r="C11702" s="227">
        <v>0.73002314814814817</v>
      </c>
      <c r="D11702" s="228">
        <v>10</v>
      </c>
      <c r="E11702" s="225" t="s">
        <v>7603</v>
      </c>
      <c r="F11702" s="225" t="s">
        <v>6946</v>
      </c>
    </row>
    <row r="11703" spans="2:6" ht="17.25" thickBot="1">
      <c r="B11703" s="226">
        <v>46125</v>
      </c>
      <c r="C11703" s="227">
        <v>0.72767361111111117</v>
      </c>
      <c r="D11703" s="228">
        <v>10</v>
      </c>
      <c r="E11703" s="225" t="s">
        <v>7604</v>
      </c>
      <c r="F11703" s="225" t="s">
        <v>6946</v>
      </c>
    </row>
    <row r="11704" spans="2:6" ht="17.25" thickBot="1">
      <c r="B11704" s="226">
        <v>46125</v>
      </c>
      <c r="C11704" s="227">
        <v>0.72023148148148142</v>
      </c>
      <c r="D11704" s="228">
        <v>10</v>
      </c>
      <c r="E11704" s="225" t="s">
        <v>7605</v>
      </c>
      <c r="F11704" s="225" t="s">
        <v>6946</v>
      </c>
    </row>
    <row r="11705" spans="2:6" ht="17.25" thickBot="1">
      <c r="B11705" s="226">
        <v>46125</v>
      </c>
      <c r="C11705" s="227">
        <v>0.72288194444444442</v>
      </c>
      <c r="D11705" s="228">
        <v>10</v>
      </c>
      <c r="E11705" s="225" t="s">
        <v>7606</v>
      </c>
      <c r="F11705" s="225" t="s">
        <v>6946</v>
      </c>
    </row>
    <row r="11706" spans="2:6" ht="17.25" thickBot="1">
      <c r="B11706" s="226">
        <v>46125</v>
      </c>
      <c r="C11706" s="227">
        <v>0.71096064814814808</v>
      </c>
      <c r="D11706" s="228">
        <v>9</v>
      </c>
      <c r="E11706" s="225" t="s">
        <v>244</v>
      </c>
      <c r="F11706" s="225" t="s">
        <v>6946</v>
      </c>
    </row>
    <row r="11707" spans="2:6" ht="17.25" thickBot="1">
      <c r="B11707" s="226">
        <v>46125</v>
      </c>
      <c r="C11707" s="227">
        <v>0.72834490740740743</v>
      </c>
      <c r="D11707" s="228">
        <v>10</v>
      </c>
      <c r="E11707" s="225" t="s">
        <v>7607</v>
      </c>
      <c r="F11707" s="225" t="s">
        <v>6946</v>
      </c>
    </row>
    <row r="11708" spans="2:6" ht="17.25" thickBot="1">
      <c r="B11708" s="226">
        <v>46125</v>
      </c>
      <c r="C11708" s="227">
        <v>0.69393518518518515</v>
      </c>
      <c r="D11708" s="228">
        <v>10</v>
      </c>
      <c r="E11708" s="225" t="s">
        <v>7608</v>
      </c>
      <c r="F11708" s="225" t="s">
        <v>6946</v>
      </c>
    </row>
    <row r="11709" spans="2:6" ht="17.25" thickBot="1">
      <c r="B11709" s="226">
        <v>46125</v>
      </c>
      <c r="C11709" s="227">
        <v>0.68738425925925928</v>
      </c>
      <c r="D11709" s="228">
        <v>10</v>
      </c>
      <c r="E11709" s="225" t="s">
        <v>7609</v>
      </c>
      <c r="F11709" s="225" t="s">
        <v>6946</v>
      </c>
    </row>
    <row r="11710" spans="2:6" ht="17.25" thickBot="1">
      <c r="B11710" s="226">
        <v>46125</v>
      </c>
      <c r="C11710" s="227">
        <v>0.68524305555555554</v>
      </c>
      <c r="D11710" s="228">
        <v>10</v>
      </c>
      <c r="E11710" s="225" t="s">
        <v>7610</v>
      </c>
      <c r="F11710" s="225" t="s">
        <v>6946</v>
      </c>
    </row>
    <row r="11711" spans="2:6" ht="17.25" thickBot="1">
      <c r="B11711" s="226">
        <v>46125</v>
      </c>
      <c r="C11711" s="227">
        <v>0.67706018518518529</v>
      </c>
      <c r="D11711" s="228">
        <v>10</v>
      </c>
      <c r="E11711" s="225" t="s">
        <v>7611</v>
      </c>
      <c r="F11711" s="225" t="s">
        <v>6946</v>
      </c>
    </row>
    <row r="11712" spans="2:6" ht="17.25" thickBot="1">
      <c r="B11712" s="226">
        <v>46125</v>
      </c>
      <c r="C11712" s="227">
        <v>0.66697916666666668</v>
      </c>
      <c r="D11712" s="228">
        <v>10</v>
      </c>
      <c r="E11712" s="225" t="s">
        <v>7612</v>
      </c>
      <c r="F11712" s="225" t="s">
        <v>6946</v>
      </c>
    </row>
    <row r="11713" spans="2:6" ht="17.25" thickBot="1">
      <c r="B11713" s="226">
        <v>46125</v>
      </c>
      <c r="C11713" s="227">
        <v>0.65276620370370375</v>
      </c>
      <c r="D11713" s="228">
        <v>10</v>
      </c>
      <c r="E11713" s="225" t="s">
        <v>7613</v>
      </c>
      <c r="F11713" s="225" t="s">
        <v>6946</v>
      </c>
    </row>
    <row r="11714" spans="2:6" ht="17.25" thickBot="1">
      <c r="B11714" s="226">
        <v>46125</v>
      </c>
      <c r="C11714" s="227">
        <v>0.63337962962962957</v>
      </c>
      <c r="D11714" s="228">
        <v>10</v>
      </c>
      <c r="E11714" s="225" t="s">
        <v>7614</v>
      </c>
      <c r="F11714" s="225" t="s">
        <v>6946</v>
      </c>
    </row>
    <row r="11715" spans="2:6" ht="17.25" thickBot="1">
      <c r="B11715" s="226">
        <v>46125</v>
      </c>
      <c r="C11715" s="227">
        <v>0.62642361111111111</v>
      </c>
      <c r="D11715" s="228">
        <v>10</v>
      </c>
      <c r="E11715" s="225" t="s">
        <v>7615</v>
      </c>
      <c r="F11715" s="225" t="s">
        <v>6946</v>
      </c>
    </row>
    <row r="11716" spans="2:6" ht="17.25" thickBot="1">
      <c r="B11716" s="226">
        <v>46125</v>
      </c>
      <c r="C11716" s="227">
        <v>0.6206828703703704</v>
      </c>
      <c r="D11716" s="228">
        <v>10</v>
      </c>
      <c r="E11716" s="225" t="s">
        <v>7616</v>
      </c>
      <c r="F11716" s="225" t="s">
        <v>6946</v>
      </c>
    </row>
    <row r="11717" spans="2:6" ht="17.25" thickBot="1">
      <c r="B11717" s="226">
        <v>46125</v>
      </c>
      <c r="C11717" s="227">
        <v>0.61472222222222228</v>
      </c>
      <c r="D11717" s="228">
        <v>10</v>
      </c>
      <c r="E11717" s="225" t="s">
        <v>7617</v>
      </c>
      <c r="F11717" s="225" t="s">
        <v>6946</v>
      </c>
    </row>
    <row r="11718" spans="2:6" ht="17.25" thickBot="1">
      <c r="B11718" s="226">
        <v>46125</v>
      </c>
      <c r="C11718" s="227">
        <v>0.62054398148148149</v>
      </c>
      <c r="D11718" s="228">
        <v>10</v>
      </c>
      <c r="E11718" s="225" t="s">
        <v>7618</v>
      </c>
      <c r="F11718" s="225" t="s">
        <v>6946</v>
      </c>
    </row>
    <row r="11719" spans="2:6" ht="26.25" thickBot="1">
      <c r="B11719" s="226">
        <v>46125</v>
      </c>
      <c r="C11719" s="227">
        <v>0.61407407407407411</v>
      </c>
      <c r="D11719" s="228">
        <v>10</v>
      </c>
      <c r="E11719" s="225" t="s">
        <v>7619</v>
      </c>
      <c r="F11719" s="225" t="s">
        <v>6946</v>
      </c>
    </row>
    <row r="11720" spans="2:6" ht="17.25" thickBot="1">
      <c r="B11720" s="226">
        <v>46125</v>
      </c>
      <c r="C11720" s="227">
        <v>0.60200231481481481</v>
      </c>
      <c r="D11720" s="228">
        <v>10</v>
      </c>
      <c r="E11720" s="225" t="s">
        <v>7620</v>
      </c>
      <c r="F11720" s="225" t="s">
        <v>6946</v>
      </c>
    </row>
    <row r="11721" spans="2:6" ht="26.25" thickBot="1">
      <c r="B11721" s="226">
        <v>46125</v>
      </c>
      <c r="C11721" s="227">
        <v>0.58600694444444446</v>
      </c>
      <c r="D11721" s="228">
        <v>10</v>
      </c>
      <c r="E11721" s="225" t="s">
        <v>7621</v>
      </c>
      <c r="F11721" s="225" t="s">
        <v>6946</v>
      </c>
    </row>
    <row r="11722" spans="2:6" ht="17.25" thickBot="1">
      <c r="B11722" s="226">
        <v>46125</v>
      </c>
      <c r="C11722" s="227">
        <v>0.56928240740740743</v>
      </c>
      <c r="D11722" s="228">
        <v>10</v>
      </c>
      <c r="E11722" s="225" t="s">
        <v>7622</v>
      </c>
      <c r="F11722" s="225" t="s">
        <v>6946</v>
      </c>
    </row>
    <row r="11723" spans="2:6" ht="17.25" thickBot="1">
      <c r="B11723" s="226">
        <v>46125</v>
      </c>
      <c r="C11723" s="227">
        <v>0.56214120370370368</v>
      </c>
      <c r="D11723" s="228">
        <v>10</v>
      </c>
      <c r="E11723" s="225" t="s">
        <v>7623</v>
      </c>
      <c r="F11723" s="225" t="s">
        <v>6946</v>
      </c>
    </row>
    <row r="11724" spans="2:6" ht="17.25" thickBot="1">
      <c r="B11724" s="226">
        <v>46125</v>
      </c>
      <c r="C11724" s="227">
        <v>0.52181712962962956</v>
      </c>
      <c r="D11724" s="228">
        <v>10</v>
      </c>
      <c r="E11724" s="225" t="s">
        <v>7624</v>
      </c>
      <c r="F11724" s="225" t="s">
        <v>6946</v>
      </c>
    </row>
    <row r="11725" spans="2:6" ht="17.25" thickBot="1">
      <c r="B11725" s="226">
        <v>46125</v>
      </c>
      <c r="C11725" s="227">
        <v>0.50495370370370374</v>
      </c>
      <c r="D11725" s="228">
        <v>10</v>
      </c>
      <c r="E11725" s="225" t="s">
        <v>7625</v>
      </c>
      <c r="F11725" s="225" t="s">
        <v>6946</v>
      </c>
    </row>
    <row r="11726" spans="2:6" ht="17.25" thickBot="1">
      <c r="B11726" s="226">
        <v>46125</v>
      </c>
      <c r="C11726" s="227">
        <v>0.4956712962962963</v>
      </c>
      <c r="D11726" s="228">
        <v>10</v>
      </c>
      <c r="E11726" s="225" t="s">
        <v>7626</v>
      </c>
      <c r="F11726" s="225" t="s">
        <v>6946</v>
      </c>
    </row>
    <row r="11727" spans="2:6" ht="17.25" thickBot="1">
      <c r="B11727" s="226">
        <v>46125</v>
      </c>
      <c r="C11727" s="227">
        <v>0.61686342592592591</v>
      </c>
      <c r="D11727" s="228">
        <v>10</v>
      </c>
      <c r="E11727" s="225" t="s">
        <v>7627</v>
      </c>
      <c r="F11727" s="225" t="s">
        <v>6946</v>
      </c>
    </row>
    <row r="11728" spans="2:6" ht="17.25" thickBot="1">
      <c r="B11728" s="226">
        <v>46125</v>
      </c>
      <c r="C11728" s="227">
        <v>0.49167824074074074</v>
      </c>
      <c r="D11728" s="228">
        <v>10</v>
      </c>
      <c r="E11728" s="225" t="s">
        <v>7627</v>
      </c>
      <c r="F11728" s="225" t="s">
        <v>6946</v>
      </c>
    </row>
    <row r="11729" spans="2:6" ht="26.25" thickBot="1">
      <c r="B11729" s="226">
        <v>46125</v>
      </c>
      <c r="C11729" s="227">
        <v>0.48206018518518517</v>
      </c>
      <c r="D11729" s="228">
        <v>10</v>
      </c>
      <c r="E11729" s="225" t="s">
        <v>7628</v>
      </c>
      <c r="F11729" s="225" t="s">
        <v>6946</v>
      </c>
    </row>
    <row r="11730" spans="2:6" ht="17.25" thickBot="1">
      <c r="B11730" s="226">
        <v>46125</v>
      </c>
      <c r="C11730" s="227">
        <v>0.4597222222222222</v>
      </c>
      <c r="D11730" s="228">
        <v>10</v>
      </c>
      <c r="E11730" s="225" t="s">
        <v>7629</v>
      </c>
      <c r="F11730" s="225" t="s">
        <v>6946</v>
      </c>
    </row>
    <row r="11731" spans="2:6" ht="17.25" thickBot="1">
      <c r="B11731" s="226">
        <v>46125</v>
      </c>
      <c r="C11731" s="227">
        <v>0.45909722222222221</v>
      </c>
      <c r="D11731" s="228">
        <v>10</v>
      </c>
      <c r="E11731" s="225" t="s">
        <v>7630</v>
      </c>
      <c r="F11731" s="225" t="s">
        <v>6946</v>
      </c>
    </row>
    <row r="11732" spans="2:6" ht="17.25" thickBot="1">
      <c r="B11732" s="226">
        <v>46125</v>
      </c>
      <c r="C11732" s="227">
        <v>0.45640046296296299</v>
      </c>
      <c r="D11732" s="228">
        <v>10</v>
      </c>
      <c r="E11732" s="225" t="s">
        <v>1114</v>
      </c>
      <c r="F11732" s="225" t="s">
        <v>6946</v>
      </c>
    </row>
    <row r="11733" spans="2:6" ht="17.25" thickBot="1">
      <c r="B11733" s="226">
        <v>46125</v>
      </c>
      <c r="C11733" s="227">
        <v>0.45599537037037036</v>
      </c>
      <c r="D11733" s="228">
        <v>10</v>
      </c>
      <c r="E11733" s="225"/>
      <c r="F11733" s="225" t="s">
        <v>6946</v>
      </c>
    </row>
    <row r="11734" spans="2:6" ht="17.25" thickBot="1">
      <c r="B11734" s="226">
        <v>46125</v>
      </c>
      <c r="C11734" s="227">
        <v>0.42685185185185182</v>
      </c>
      <c r="D11734" s="228">
        <v>10</v>
      </c>
      <c r="E11734" s="225" t="s">
        <v>7631</v>
      </c>
      <c r="F11734" s="225" t="s">
        <v>6946</v>
      </c>
    </row>
    <row r="11735" spans="2:6" ht="17.25" thickBot="1">
      <c r="B11735" s="226">
        <v>46125</v>
      </c>
      <c r="C11735" s="227">
        <v>0.38751157407407405</v>
      </c>
      <c r="D11735" s="228">
        <v>10</v>
      </c>
      <c r="E11735" s="225" t="s">
        <v>7632</v>
      </c>
      <c r="F11735" s="225" t="s">
        <v>6946</v>
      </c>
    </row>
    <row r="11736" spans="2:6" ht="17.25" thickBot="1">
      <c r="B11736" s="226">
        <v>46123</v>
      </c>
      <c r="C11736" s="227">
        <v>0.70984953703703713</v>
      </c>
      <c r="D11736" s="228">
        <v>10</v>
      </c>
      <c r="E11736" s="225"/>
      <c r="F11736" s="225" t="s">
        <v>6946</v>
      </c>
    </row>
    <row r="11737" spans="2:6" ht="17.25" thickBot="1">
      <c r="B11737" s="226">
        <v>46123</v>
      </c>
      <c r="C11737" s="227">
        <v>0.70201388888888883</v>
      </c>
      <c r="D11737" s="228">
        <v>10</v>
      </c>
      <c r="E11737" s="225" t="s">
        <v>7633</v>
      </c>
      <c r="F11737" s="225" t="s">
        <v>6946</v>
      </c>
    </row>
    <row r="11738" spans="2:6" ht="17.25" thickBot="1">
      <c r="B11738" s="226">
        <v>46123</v>
      </c>
      <c r="C11738" s="227">
        <v>0.68282407407407408</v>
      </c>
      <c r="D11738" s="228">
        <v>10</v>
      </c>
      <c r="E11738" s="225" t="s">
        <v>7634</v>
      </c>
      <c r="F11738" s="225" t="s">
        <v>6946</v>
      </c>
    </row>
    <row r="11739" spans="2:6" ht="17.25" thickBot="1">
      <c r="B11739" s="226">
        <v>46123</v>
      </c>
      <c r="C11739" s="227">
        <v>0.68056712962962962</v>
      </c>
      <c r="D11739" s="228">
        <v>10</v>
      </c>
      <c r="E11739" s="225" t="s">
        <v>7635</v>
      </c>
      <c r="F11739" s="225" t="s">
        <v>6946</v>
      </c>
    </row>
    <row r="11740" spans="2:6" ht="17.25" thickBot="1">
      <c r="B11740" s="226">
        <v>46123</v>
      </c>
      <c r="C11740" s="227">
        <v>0.60821759259259256</v>
      </c>
      <c r="D11740" s="228">
        <v>10</v>
      </c>
      <c r="E11740" s="225" t="s">
        <v>7636</v>
      </c>
      <c r="F11740" s="225" t="s">
        <v>6946</v>
      </c>
    </row>
    <row r="11741" spans="2:6" ht="17.25" thickBot="1">
      <c r="B11741" s="226">
        <v>46123</v>
      </c>
      <c r="C11741" s="227">
        <v>0.60293981481481485</v>
      </c>
      <c r="D11741" s="228">
        <v>10</v>
      </c>
      <c r="E11741" s="225" t="s">
        <v>7637</v>
      </c>
      <c r="F11741" s="225" t="s">
        <v>6946</v>
      </c>
    </row>
    <row r="11742" spans="2:6" ht="17.25" thickBot="1">
      <c r="B11742" s="226">
        <v>46123</v>
      </c>
      <c r="C11742" s="227">
        <v>0.56304398148148149</v>
      </c>
      <c r="D11742" s="228">
        <v>10</v>
      </c>
      <c r="E11742" s="225" t="s">
        <v>7638</v>
      </c>
      <c r="F11742" s="225" t="s">
        <v>6946</v>
      </c>
    </row>
    <row r="11743" spans="2:6" ht="17.25" thickBot="1">
      <c r="B11743" s="226">
        <v>46123</v>
      </c>
      <c r="C11743" s="227">
        <v>0.54100694444444442</v>
      </c>
      <c r="D11743" s="228">
        <v>10</v>
      </c>
      <c r="E11743" s="225" t="s">
        <v>244</v>
      </c>
      <c r="F11743" s="225" t="s">
        <v>6946</v>
      </c>
    </row>
    <row r="11744" spans="2:6" ht="17.25" thickBot="1">
      <c r="B11744" s="226">
        <v>46123</v>
      </c>
      <c r="C11744" s="227">
        <v>0.50487268518518513</v>
      </c>
      <c r="D11744" s="228">
        <v>10</v>
      </c>
      <c r="E11744" s="225" t="s">
        <v>7639</v>
      </c>
      <c r="F11744" s="225" t="s">
        <v>6946</v>
      </c>
    </row>
    <row r="11745" spans="2:6" ht="17.25" thickBot="1">
      <c r="B11745" s="226">
        <v>46123</v>
      </c>
      <c r="C11745" s="227">
        <v>0.40895833333333331</v>
      </c>
      <c r="D11745" s="228">
        <v>10</v>
      </c>
      <c r="E11745" s="225" t="s">
        <v>7640</v>
      </c>
      <c r="F11745" s="225" t="s">
        <v>6946</v>
      </c>
    </row>
    <row r="11746" spans="2:6" ht="17.25" thickBot="1">
      <c r="B11746" s="226">
        <v>46122</v>
      </c>
      <c r="C11746" s="227">
        <v>0.90790509259259267</v>
      </c>
      <c r="D11746" s="228">
        <v>10</v>
      </c>
      <c r="E11746" s="225" t="s">
        <v>7641</v>
      </c>
      <c r="F11746" s="225" t="s">
        <v>6946</v>
      </c>
    </row>
    <row r="11747" spans="2:6" ht="17.25" thickBot="1">
      <c r="B11747" s="226">
        <v>46122</v>
      </c>
      <c r="C11747" s="227">
        <v>0.89766203703703706</v>
      </c>
      <c r="D11747" s="228">
        <v>10</v>
      </c>
      <c r="E11747" s="225" t="s">
        <v>7642</v>
      </c>
      <c r="F11747" s="225" t="s">
        <v>6946</v>
      </c>
    </row>
    <row r="11748" spans="2:6" ht="17.25" thickBot="1">
      <c r="B11748" s="226">
        <v>46122</v>
      </c>
      <c r="C11748" s="227">
        <v>0.87953703703703701</v>
      </c>
      <c r="D11748" s="228">
        <v>10</v>
      </c>
      <c r="E11748" s="225" t="s">
        <v>7643</v>
      </c>
      <c r="F11748" s="225" t="s">
        <v>6946</v>
      </c>
    </row>
    <row r="11749" spans="2:6" ht="17.25" thickBot="1">
      <c r="B11749" s="226">
        <v>46122</v>
      </c>
      <c r="C11749" s="227">
        <v>0.87043981481481481</v>
      </c>
      <c r="D11749" s="228">
        <v>10</v>
      </c>
      <c r="E11749" s="225" t="s">
        <v>7644</v>
      </c>
      <c r="F11749" s="225" t="s">
        <v>6946</v>
      </c>
    </row>
    <row r="11750" spans="2:6" ht="17.25" thickBot="1">
      <c r="B11750" s="226">
        <v>46122</v>
      </c>
      <c r="C11750" s="227">
        <v>0.83521990740740737</v>
      </c>
      <c r="D11750" s="228">
        <v>10</v>
      </c>
      <c r="E11750" s="225" t="s">
        <v>7645</v>
      </c>
      <c r="F11750" s="225" t="s">
        <v>6946</v>
      </c>
    </row>
    <row r="11751" spans="2:6" ht="17.25" thickBot="1">
      <c r="B11751" s="226">
        <v>46122</v>
      </c>
      <c r="C11751" s="227">
        <v>0.82412037037037045</v>
      </c>
      <c r="D11751" s="228">
        <v>10</v>
      </c>
      <c r="E11751" s="225" t="s">
        <v>7646</v>
      </c>
      <c r="F11751" s="225" t="s">
        <v>6946</v>
      </c>
    </row>
    <row r="11752" spans="2:6" ht="17.25" thickBot="1">
      <c r="B11752" s="226">
        <v>46122</v>
      </c>
      <c r="C11752" s="227">
        <v>0.82792824074074067</v>
      </c>
      <c r="D11752" s="228">
        <v>10</v>
      </c>
      <c r="E11752" s="225" t="s">
        <v>7647</v>
      </c>
      <c r="F11752" s="225" t="s">
        <v>6946</v>
      </c>
    </row>
    <row r="11753" spans="2:6" ht="26.25" thickBot="1">
      <c r="B11753" s="226">
        <v>46122</v>
      </c>
      <c r="C11753" s="227">
        <v>0.77201388888888889</v>
      </c>
      <c r="D11753" s="228">
        <v>10</v>
      </c>
      <c r="E11753" s="225" t="s">
        <v>7648</v>
      </c>
      <c r="F11753" s="225" t="s">
        <v>6946</v>
      </c>
    </row>
    <row r="11754" spans="2:6" ht="26.25" thickBot="1">
      <c r="B11754" s="226">
        <v>46122</v>
      </c>
      <c r="C11754" s="227">
        <v>0.72637731481481482</v>
      </c>
      <c r="D11754" s="228">
        <v>10</v>
      </c>
      <c r="E11754" s="225" t="s">
        <v>7649</v>
      </c>
      <c r="F11754" s="225" t="s">
        <v>6946</v>
      </c>
    </row>
    <row r="11755" spans="2:6" ht="17.25" thickBot="1">
      <c r="B11755" s="226">
        <v>46122</v>
      </c>
      <c r="C11755" s="227">
        <v>0.72186342592592589</v>
      </c>
      <c r="D11755" s="228">
        <v>10</v>
      </c>
      <c r="E11755" s="225" t="s">
        <v>7650</v>
      </c>
      <c r="F11755" s="225" t="s">
        <v>6946</v>
      </c>
    </row>
    <row r="11756" spans="2:6" ht="17.25" thickBot="1">
      <c r="B11756" s="226">
        <v>46122</v>
      </c>
      <c r="C11756" s="227">
        <v>0.70659722222222221</v>
      </c>
      <c r="D11756" s="228">
        <v>10</v>
      </c>
      <c r="E11756" s="225" t="s">
        <v>7651</v>
      </c>
      <c r="F11756" s="225" t="s">
        <v>6946</v>
      </c>
    </row>
    <row r="11757" spans="2:6" ht="17.25" thickBot="1">
      <c r="B11757" s="226">
        <v>46122</v>
      </c>
      <c r="C11757" s="227">
        <v>0.70247685185185194</v>
      </c>
      <c r="D11757" s="228">
        <v>10</v>
      </c>
      <c r="E11757" s="225" t="s">
        <v>7652</v>
      </c>
      <c r="F11757" s="225" t="s">
        <v>6946</v>
      </c>
    </row>
    <row r="11758" spans="2:6" ht="39" thickBot="1">
      <c r="B11758" s="226">
        <v>46122</v>
      </c>
      <c r="C11758" s="227">
        <v>0.63119212962962956</v>
      </c>
      <c r="D11758" s="228">
        <v>10</v>
      </c>
      <c r="E11758" s="225" t="s">
        <v>7653</v>
      </c>
      <c r="F11758" s="225" t="s">
        <v>6946</v>
      </c>
    </row>
    <row r="11759" spans="2:6" ht="26.25" thickBot="1">
      <c r="B11759" s="226">
        <v>46122</v>
      </c>
      <c r="C11759" s="227">
        <v>0.62562499999999999</v>
      </c>
      <c r="D11759" s="228">
        <v>10</v>
      </c>
      <c r="E11759" s="225" t="s">
        <v>7654</v>
      </c>
      <c r="F11759" s="225" t="s">
        <v>6946</v>
      </c>
    </row>
    <row r="11760" spans="2:6" ht="17.25" thickBot="1">
      <c r="B11760" s="226">
        <v>46122</v>
      </c>
      <c r="C11760" s="227">
        <v>0.60333333333333339</v>
      </c>
      <c r="D11760" s="228">
        <v>10</v>
      </c>
      <c r="E11760" s="225" t="s">
        <v>7655</v>
      </c>
      <c r="F11760" s="225" t="s">
        <v>6946</v>
      </c>
    </row>
    <row r="11761" spans="2:6" ht="17.25" thickBot="1">
      <c r="B11761" s="226">
        <v>46122</v>
      </c>
      <c r="C11761" s="227">
        <v>0.59841435185185188</v>
      </c>
      <c r="D11761" s="228">
        <v>10</v>
      </c>
      <c r="E11761" s="225" t="s">
        <v>7656</v>
      </c>
      <c r="F11761" s="225" t="s">
        <v>6946</v>
      </c>
    </row>
    <row r="11762" spans="2:6" ht="17.25" thickBot="1">
      <c r="B11762" s="226">
        <v>46122</v>
      </c>
      <c r="C11762" s="227">
        <v>0.59454861111111112</v>
      </c>
      <c r="D11762" s="228">
        <v>10</v>
      </c>
      <c r="E11762" s="225" t="s">
        <v>7657</v>
      </c>
      <c r="F11762" s="225" t="s">
        <v>6946</v>
      </c>
    </row>
    <row r="11763" spans="2:6" ht="17.25" thickBot="1">
      <c r="B11763" s="226">
        <v>46122</v>
      </c>
      <c r="C11763" s="227">
        <v>0.58328703703703699</v>
      </c>
      <c r="D11763" s="228">
        <v>10</v>
      </c>
      <c r="E11763" s="225" t="s">
        <v>7658</v>
      </c>
      <c r="F11763" s="225" t="s">
        <v>6946</v>
      </c>
    </row>
    <row r="11764" spans="2:6" ht="17.25" thickBot="1">
      <c r="B11764" s="226">
        <v>46122</v>
      </c>
      <c r="C11764" s="227">
        <v>0.55765046296296295</v>
      </c>
      <c r="D11764" s="228">
        <v>10</v>
      </c>
      <c r="E11764" s="225" t="s">
        <v>7659</v>
      </c>
      <c r="F11764" s="225" t="s">
        <v>6946</v>
      </c>
    </row>
    <row r="11765" spans="2:6" ht="26.25" thickBot="1">
      <c r="B11765" s="226">
        <v>46122</v>
      </c>
      <c r="C11765" s="227">
        <v>0.45614583333333331</v>
      </c>
      <c r="D11765" s="228">
        <v>10</v>
      </c>
      <c r="E11765" s="225" t="s">
        <v>7660</v>
      </c>
      <c r="F11765" s="225" t="s">
        <v>6946</v>
      </c>
    </row>
    <row r="11766" spans="2:6" ht="17.25" thickBot="1">
      <c r="B11766" s="226">
        <v>46122</v>
      </c>
      <c r="C11766" s="227">
        <v>0.45453703703703702</v>
      </c>
      <c r="D11766" s="228">
        <v>10</v>
      </c>
      <c r="E11766" s="225" t="s">
        <v>7661</v>
      </c>
      <c r="F11766" s="225" t="s">
        <v>6946</v>
      </c>
    </row>
    <row r="11767" spans="2:6" ht="17.25" thickBot="1">
      <c r="B11767" s="226">
        <v>46122</v>
      </c>
      <c r="C11767" s="227">
        <v>0.4554050925925926</v>
      </c>
      <c r="D11767" s="228">
        <v>10</v>
      </c>
      <c r="E11767" s="225" t="s">
        <v>7662</v>
      </c>
      <c r="F11767" s="225" t="s">
        <v>6946</v>
      </c>
    </row>
    <row r="11768" spans="2:6" ht="17.25" thickBot="1">
      <c r="B11768" s="226">
        <v>46122</v>
      </c>
      <c r="C11768" s="227">
        <v>0.4539583333333333</v>
      </c>
      <c r="D11768" s="228">
        <v>10</v>
      </c>
      <c r="E11768" s="225" t="s">
        <v>7663</v>
      </c>
      <c r="F11768" s="225" t="s">
        <v>6946</v>
      </c>
    </row>
    <row r="11769" spans="2:6" ht="17.25" thickBot="1">
      <c r="B11769" s="226">
        <v>46121</v>
      </c>
      <c r="C11769" s="227">
        <v>0.91153935185185186</v>
      </c>
      <c r="D11769" s="228">
        <v>10</v>
      </c>
      <c r="E11769" s="225" t="s">
        <v>7664</v>
      </c>
      <c r="F11769" s="225" t="s">
        <v>6946</v>
      </c>
    </row>
    <row r="11770" spans="2:6" ht="17.25" thickBot="1">
      <c r="B11770" s="226">
        <v>46121</v>
      </c>
      <c r="C11770" s="227">
        <v>0.90591435185185187</v>
      </c>
      <c r="D11770" s="228">
        <v>10</v>
      </c>
      <c r="E11770" s="225" t="s">
        <v>7665</v>
      </c>
      <c r="F11770" s="225" t="s">
        <v>6946</v>
      </c>
    </row>
    <row r="11771" spans="2:6" ht="17.25" thickBot="1">
      <c r="B11771" s="226">
        <v>46121</v>
      </c>
      <c r="C11771" s="227">
        <v>0.85663194444444446</v>
      </c>
      <c r="D11771" s="228">
        <v>10</v>
      </c>
      <c r="E11771" s="225" t="s">
        <v>7666</v>
      </c>
      <c r="F11771" s="225" t="s">
        <v>6946</v>
      </c>
    </row>
    <row r="11772" spans="2:6" ht="17.25" thickBot="1">
      <c r="B11772" s="226">
        <v>46121</v>
      </c>
      <c r="C11772" s="227">
        <v>0.84652777777777777</v>
      </c>
      <c r="D11772" s="228">
        <v>10</v>
      </c>
      <c r="E11772" s="225" t="s">
        <v>7667</v>
      </c>
      <c r="F11772" s="225" t="s">
        <v>6946</v>
      </c>
    </row>
    <row r="11773" spans="2:6" ht="17.25" thickBot="1">
      <c r="B11773" s="226">
        <v>46121</v>
      </c>
      <c r="C11773" s="227">
        <v>0.82652777777777775</v>
      </c>
      <c r="D11773" s="228">
        <v>10</v>
      </c>
      <c r="E11773" s="225" t="s">
        <v>7668</v>
      </c>
      <c r="F11773" s="225" t="s">
        <v>6946</v>
      </c>
    </row>
    <row r="11774" spans="2:6" ht="17.25" thickBot="1">
      <c r="B11774" s="226">
        <v>46121</v>
      </c>
      <c r="C11774" s="227">
        <v>0.82069444444444439</v>
      </c>
      <c r="D11774" s="228">
        <v>10</v>
      </c>
      <c r="E11774" s="225" t="s">
        <v>7669</v>
      </c>
      <c r="F11774" s="225" t="s">
        <v>6946</v>
      </c>
    </row>
    <row r="11775" spans="2:6" ht="17.25" thickBot="1">
      <c r="B11775" s="226">
        <v>46121</v>
      </c>
      <c r="C11775" s="227">
        <v>0.81409722222222225</v>
      </c>
      <c r="D11775" s="228">
        <v>10</v>
      </c>
      <c r="E11775" s="225" t="s">
        <v>7670</v>
      </c>
      <c r="F11775" s="225" t="s">
        <v>6946</v>
      </c>
    </row>
    <row r="11776" spans="2:6" ht="17.25" thickBot="1">
      <c r="B11776" s="226">
        <v>46121</v>
      </c>
      <c r="C11776" s="227">
        <v>0.74646990740740737</v>
      </c>
      <c r="D11776" s="228">
        <v>10</v>
      </c>
      <c r="E11776" s="225" t="s">
        <v>7671</v>
      </c>
      <c r="F11776" s="225" t="s">
        <v>6946</v>
      </c>
    </row>
    <row r="11777" spans="2:6" ht="17.25" thickBot="1">
      <c r="B11777" s="226">
        <v>46121</v>
      </c>
      <c r="C11777" s="227">
        <v>0.73493055555555553</v>
      </c>
      <c r="D11777" s="228">
        <v>10</v>
      </c>
      <c r="E11777" s="225" t="s">
        <v>7672</v>
      </c>
      <c r="F11777" s="225" t="s">
        <v>6946</v>
      </c>
    </row>
    <row r="11778" spans="2:6" ht="17.25" thickBot="1">
      <c r="B11778" s="226">
        <v>46121</v>
      </c>
      <c r="C11778" s="227">
        <v>0.71116898148148155</v>
      </c>
      <c r="D11778" s="228">
        <v>10</v>
      </c>
      <c r="E11778" s="225" t="s">
        <v>7673</v>
      </c>
      <c r="F11778" s="225" t="s">
        <v>6946</v>
      </c>
    </row>
    <row r="11779" spans="2:6" ht="17.25" thickBot="1">
      <c r="B11779" s="226">
        <v>46121</v>
      </c>
      <c r="C11779" s="227">
        <v>0.69609953703703698</v>
      </c>
      <c r="D11779" s="228">
        <v>10</v>
      </c>
      <c r="E11779" s="225" t="s">
        <v>7674</v>
      </c>
      <c r="F11779" s="225" t="s">
        <v>6946</v>
      </c>
    </row>
    <row r="11780" spans="2:6" ht="17.25" thickBot="1">
      <c r="B11780" s="226">
        <v>46121</v>
      </c>
      <c r="C11780" s="227">
        <v>0.69489583333333327</v>
      </c>
      <c r="D11780" s="228">
        <v>10</v>
      </c>
      <c r="E11780" s="225" t="s">
        <v>7675</v>
      </c>
      <c r="F11780" s="225" t="s">
        <v>6946</v>
      </c>
    </row>
    <row r="11781" spans="2:6" ht="17.25" thickBot="1">
      <c r="B11781" s="226">
        <v>46121</v>
      </c>
      <c r="C11781" s="227">
        <v>0.68864583333333329</v>
      </c>
      <c r="D11781" s="228">
        <v>10</v>
      </c>
      <c r="E11781" s="225" t="s">
        <v>7676</v>
      </c>
      <c r="F11781" s="225" t="s">
        <v>6946</v>
      </c>
    </row>
    <row r="11782" spans="2:6" ht="17.25" thickBot="1">
      <c r="B11782" s="226">
        <v>46121</v>
      </c>
      <c r="C11782" s="227">
        <v>0.70781250000000007</v>
      </c>
      <c r="D11782" s="228">
        <v>10</v>
      </c>
      <c r="E11782" s="225" t="s">
        <v>7677</v>
      </c>
      <c r="F11782" s="225" t="s">
        <v>6946</v>
      </c>
    </row>
    <row r="11783" spans="2:6" ht="17.25" thickBot="1">
      <c r="B11783" s="226">
        <v>46121</v>
      </c>
      <c r="C11783" s="227">
        <v>0.70443287037037028</v>
      </c>
      <c r="D11783" s="228">
        <v>10</v>
      </c>
      <c r="E11783" s="225" t="s">
        <v>7678</v>
      </c>
      <c r="F11783" s="225" t="s">
        <v>6946</v>
      </c>
    </row>
    <row r="11784" spans="2:6" ht="17.25" thickBot="1">
      <c r="B11784" s="226">
        <v>46121</v>
      </c>
      <c r="C11784" s="227">
        <v>0.68056712962962962</v>
      </c>
      <c r="D11784" s="228">
        <v>10</v>
      </c>
      <c r="E11784" s="225" t="s">
        <v>7679</v>
      </c>
      <c r="F11784" s="225" t="s">
        <v>6946</v>
      </c>
    </row>
    <row r="11785" spans="2:6" ht="17.25" thickBot="1">
      <c r="B11785" s="226">
        <v>46121</v>
      </c>
      <c r="C11785" s="227">
        <v>0.64504629629629628</v>
      </c>
      <c r="D11785" s="228">
        <v>10</v>
      </c>
      <c r="E11785" s="225" t="s">
        <v>7680</v>
      </c>
      <c r="F11785" s="225" t="s">
        <v>6946</v>
      </c>
    </row>
    <row r="11786" spans="2:6" ht="17.25" thickBot="1">
      <c r="B11786" s="226">
        <v>46121</v>
      </c>
      <c r="C11786" s="227">
        <v>0.61120370370370369</v>
      </c>
      <c r="D11786" s="228">
        <v>10</v>
      </c>
      <c r="E11786" s="225" t="s">
        <v>7681</v>
      </c>
      <c r="F11786" s="225" t="s">
        <v>6946</v>
      </c>
    </row>
    <row r="11787" spans="2:6" ht="17.25" thickBot="1">
      <c r="B11787" s="226">
        <v>46121</v>
      </c>
      <c r="C11787" s="227">
        <v>0.61359953703703707</v>
      </c>
      <c r="D11787" s="228">
        <v>10</v>
      </c>
      <c r="E11787" s="225" t="s">
        <v>7682</v>
      </c>
      <c r="F11787" s="225" t="s">
        <v>6946</v>
      </c>
    </row>
    <row r="11788" spans="2:6" ht="17.25" thickBot="1">
      <c r="B11788" s="226">
        <v>46121</v>
      </c>
      <c r="C11788" s="227">
        <v>0.60253472222222226</v>
      </c>
      <c r="D11788" s="228">
        <v>10</v>
      </c>
      <c r="E11788" s="225" t="s">
        <v>173</v>
      </c>
      <c r="F11788" s="225" t="s">
        <v>6946</v>
      </c>
    </row>
    <row r="11789" spans="2:6" ht="17.25" thickBot="1">
      <c r="B11789" s="226">
        <v>46121</v>
      </c>
      <c r="C11789" s="227">
        <v>0.57026620370370373</v>
      </c>
      <c r="D11789" s="228">
        <v>10</v>
      </c>
      <c r="E11789" s="225" t="s">
        <v>7683</v>
      </c>
      <c r="F11789" s="225" t="s">
        <v>6946</v>
      </c>
    </row>
    <row r="11790" spans="2:6" ht="17.25" thickBot="1">
      <c r="B11790" s="226">
        <v>46121</v>
      </c>
      <c r="C11790" s="227">
        <v>0.56803240740740735</v>
      </c>
      <c r="D11790" s="228">
        <v>10</v>
      </c>
      <c r="E11790" s="225" t="s">
        <v>7684</v>
      </c>
      <c r="F11790" s="225" t="s">
        <v>6946</v>
      </c>
    </row>
    <row r="11791" spans="2:6" ht="17.25" thickBot="1">
      <c r="B11791" s="226">
        <v>46121</v>
      </c>
      <c r="C11791" s="227">
        <v>0.56234953703703705</v>
      </c>
      <c r="D11791" s="228">
        <v>10</v>
      </c>
      <c r="E11791" s="225" t="s">
        <v>5121</v>
      </c>
      <c r="F11791" s="225" t="s">
        <v>6946</v>
      </c>
    </row>
    <row r="11792" spans="2:6" ht="17.25" thickBot="1">
      <c r="B11792" s="226">
        <v>46121</v>
      </c>
      <c r="C11792" s="227">
        <v>0.56254629629629627</v>
      </c>
      <c r="D11792" s="228">
        <v>10</v>
      </c>
      <c r="E11792" s="225" t="s">
        <v>273</v>
      </c>
      <c r="F11792" s="225" t="s">
        <v>6946</v>
      </c>
    </row>
    <row r="11793" spans="2:6" ht="17.25" thickBot="1">
      <c r="B11793" s="226">
        <v>46121</v>
      </c>
      <c r="C11793" s="227">
        <v>0.56332175925925931</v>
      </c>
      <c r="D11793" s="228">
        <v>10</v>
      </c>
      <c r="E11793" s="225" t="s">
        <v>132</v>
      </c>
      <c r="F11793" s="225" t="s">
        <v>6946</v>
      </c>
    </row>
    <row r="11794" spans="2:6" ht="26.25" thickBot="1">
      <c r="B11794" s="226">
        <v>46121</v>
      </c>
      <c r="C11794" s="227">
        <v>0.5626620370370371</v>
      </c>
      <c r="D11794" s="228">
        <v>10</v>
      </c>
      <c r="E11794" s="225" t="s">
        <v>7685</v>
      </c>
      <c r="F11794" s="225" t="s">
        <v>6946</v>
      </c>
    </row>
    <row r="11795" spans="2:6" ht="17.25" thickBot="1">
      <c r="B11795" s="226">
        <v>46121</v>
      </c>
      <c r="C11795" s="227">
        <v>0.47758101851851853</v>
      </c>
      <c r="D11795" s="228">
        <v>10</v>
      </c>
      <c r="E11795" s="225" t="s">
        <v>7686</v>
      </c>
      <c r="F11795" s="225" t="s">
        <v>6946</v>
      </c>
    </row>
    <row r="11796" spans="2:6" ht="17.25" thickBot="1">
      <c r="B11796" s="226">
        <v>46121</v>
      </c>
      <c r="C11796" s="227">
        <v>0.47278935185185184</v>
      </c>
      <c r="D11796" s="228">
        <v>10</v>
      </c>
      <c r="E11796" s="225" t="s">
        <v>246</v>
      </c>
      <c r="F11796" s="225" t="s">
        <v>6946</v>
      </c>
    </row>
    <row r="11797" spans="2:6" ht="17.25" thickBot="1">
      <c r="B11797" s="226">
        <v>46121</v>
      </c>
      <c r="C11797" s="227">
        <v>0.45782407407407405</v>
      </c>
      <c r="D11797" s="228">
        <v>10</v>
      </c>
      <c r="E11797" s="225" t="s">
        <v>7687</v>
      </c>
      <c r="F11797" s="225" t="s">
        <v>6946</v>
      </c>
    </row>
    <row r="11798" spans="2:6" ht="17.25" thickBot="1">
      <c r="B11798" s="226">
        <v>46121</v>
      </c>
      <c r="C11798" s="227">
        <v>0.44299768518518517</v>
      </c>
      <c r="D11798" s="228">
        <v>10</v>
      </c>
      <c r="E11798" s="225" t="s">
        <v>6192</v>
      </c>
      <c r="F11798" s="225" t="s">
        <v>6946</v>
      </c>
    </row>
    <row r="11799" spans="2:6" ht="17.25" thickBot="1">
      <c r="B11799" s="226">
        <v>46121</v>
      </c>
      <c r="C11799" s="227">
        <v>0.44388888888888894</v>
      </c>
      <c r="D11799" s="228">
        <v>10</v>
      </c>
      <c r="E11799" s="225" t="s">
        <v>7276</v>
      </c>
      <c r="F11799" s="225" t="s">
        <v>6946</v>
      </c>
    </row>
    <row r="11800" spans="2:6" ht="17.25" thickBot="1">
      <c r="B11800" s="226">
        <v>46121</v>
      </c>
      <c r="C11800" s="227">
        <v>0.43972222222222218</v>
      </c>
      <c r="D11800" s="228">
        <v>10</v>
      </c>
      <c r="E11800" s="225" t="s">
        <v>7688</v>
      </c>
      <c r="F11800" s="225" t="s">
        <v>6946</v>
      </c>
    </row>
    <row r="11801" spans="2:6" ht="17.25" thickBot="1">
      <c r="B11801" s="226">
        <v>46121</v>
      </c>
      <c r="C11801" s="227">
        <v>0.42737268518518517</v>
      </c>
      <c r="D11801" s="228">
        <v>10</v>
      </c>
      <c r="E11801" s="225" t="s">
        <v>7689</v>
      </c>
      <c r="F11801" s="225" t="s">
        <v>6946</v>
      </c>
    </row>
    <row r="11802" spans="2:6" ht="17.25" thickBot="1">
      <c r="B11802" s="226">
        <v>46121</v>
      </c>
      <c r="C11802" s="227">
        <v>0.39423611111111106</v>
      </c>
      <c r="D11802" s="228">
        <v>10</v>
      </c>
      <c r="E11802" s="225" t="s">
        <v>7690</v>
      </c>
      <c r="F11802" s="225" t="s">
        <v>6946</v>
      </c>
    </row>
    <row r="11803" spans="2:6" ht="17.25" thickBot="1">
      <c r="B11803" s="226">
        <v>46121</v>
      </c>
      <c r="C11803" s="227">
        <v>0.3909259259259259</v>
      </c>
      <c r="D11803" s="228">
        <v>10</v>
      </c>
      <c r="E11803" s="225" t="s">
        <v>1579</v>
      </c>
      <c r="F11803" s="225" t="s">
        <v>6946</v>
      </c>
    </row>
    <row r="11804" spans="2:6" ht="17.25" thickBot="1">
      <c r="B11804" s="226">
        <v>46120</v>
      </c>
      <c r="C11804" s="227">
        <v>0.87012731481481476</v>
      </c>
      <c r="D11804" s="228">
        <v>10</v>
      </c>
      <c r="E11804" s="225" t="s">
        <v>7691</v>
      </c>
      <c r="F11804" s="225" t="s">
        <v>6946</v>
      </c>
    </row>
    <row r="11805" spans="2:6" ht="17.25" thickBot="1">
      <c r="B11805" s="226">
        <v>46120</v>
      </c>
      <c r="C11805" s="227">
        <v>0.86440972222222223</v>
      </c>
      <c r="D11805" s="228">
        <v>10</v>
      </c>
      <c r="E11805" s="225" t="s">
        <v>7692</v>
      </c>
      <c r="F11805" s="225" t="s">
        <v>6946</v>
      </c>
    </row>
    <row r="11806" spans="2:6" ht="17.25" thickBot="1">
      <c r="B11806" s="226">
        <v>46120</v>
      </c>
      <c r="C11806" s="227">
        <v>0.85283564814814816</v>
      </c>
      <c r="D11806" s="228">
        <v>10</v>
      </c>
      <c r="E11806" s="225" t="s">
        <v>7693</v>
      </c>
      <c r="F11806" s="225" t="s">
        <v>6946</v>
      </c>
    </row>
    <row r="11807" spans="2:6" ht="17.25" thickBot="1">
      <c r="B11807" s="226">
        <v>46120</v>
      </c>
      <c r="C11807" s="227">
        <v>0.81128472222222225</v>
      </c>
      <c r="D11807" s="228">
        <v>10</v>
      </c>
      <c r="E11807" s="225" t="s">
        <v>7694</v>
      </c>
      <c r="F11807" s="225" t="s">
        <v>6946</v>
      </c>
    </row>
    <row r="11808" spans="2:6" ht="17.25" thickBot="1">
      <c r="B11808" s="226">
        <v>46120</v>
      </c>
      <c r="C11808" s="227">
        <v>0.78462962962962957</v>
      </c>
      <c r="D11808" s="228">
        <v>10</v>
      </c>
      <c r="E11808" s="225" t="s">
        <v>7695</v>
      </c>
      <c r="F11808" s="225" t="s">
        <v>6946</v>
      </c>
    </row>
    <row r="11809" spans="2:6" ht="17.25" thickBot="1">
      <c r="B11809" s="226">
        <v>46120</v>
      </c>
      <c r="C11809" s="227">
        <v>0.77711805555555558</v>
      </c>
      <c r="D11809" s="228">
        <v>10</v>
      </c>
      <c r="E11809" s="225" t="s">
        <v>7696</v>
      </c>
      <c r="F11809" s="225" t="s">
        <v>6946</v>
      </c>
    </row>
    <row r="11810" spans="2:6" ht="17.25" thickBot="1">
      <c r="B11810" s="226">
        <v>46120</v>
      </c>
      <c r="C11810" s="227">
        <v>0.74894675925925924</v>
      </c>
      <c r="D11810" s="228">
        <v>10</v>
      </c>
      <c r="E11810" s="225" t="s">
        <v>7697</v>
      </c>
      <c r="F11810" s="225" t="s">
        <v>6946</v>
      </c>
    </row>
    <row r="11811" spans="2:6" ht="17.25" thickBot="1">
      <c r="B11811" s="226">
        <v>46120</v>
      </c>
      <c r="C11811" s="227">
        <v>0.72525462962962972</v>
      </c>
      <c r="D11811" s="228">
        <v>10</v>
      </c>
      <c r="E11811" s="225" t="s">
        <v>6516</v>
      </c>
      <c r="F11811" s="225" t="s">
        <v>6946</v>
      </c>
    </row>
    <row r="11812" spans="2:6" ht="17.25" thickBot="1">
      <c r="B11812" s="226">
        <v>46120</v>
      </c>
      <c r="C11812" s="227">
        <v>0.72152777777777777</v>
      </c>
      <c r="D11812" s="228">
        <v>10</v>
      </c>
      <c r="E11812" s="225" t="s">
        <v>7698</v>
      </c>
      <c r="F11812" s="225" t="s">
        <v>6946</v>
      </c>
    </row>
    <row r="11813" spans="2:6" ht="17.25" thickBot="1">
      <c r="B11813" s="226">
        <v>46120</v>
      </c>
      <c r="C11813" s="227">
        <v>0.70510416666666664</v>
      </c>
      <c r="D11813" s="228">
        <v>10</v>
      </c>
      <c r="E11813" s="225" t="s">
        <v>7699</v>
      </c>
      <c r="F11813" s="225" t="s">
        <v>6946</v>
      </c>
    </row>
    <row r="11814" spans="2:6" ht="17.25" thickBot="1">
      <c r="B11814" s="226">
        <v>46120</v>
      </c>
      <c r="C11814" s="227">
        <v>0.71290509259259249</v>
      </c>
      <c r="D11814" s="228">
        <v>10</v>
      </c>
      <c r="E11814" s="225" t="s">
        <v>7700</v>
      </c>
      <c r="F11814" s="225" t="s">
        <v>6946</v>
      </c>
    </row>
    <row r="11815" spans="2:6" ht="17.25" thickBot="1">
      <c r="B11815" s="226">
        <v>46120</v>
      </c>
      <c r="C11815" s="227">
        <v>0.70521990740740748</v>
      </c>
      <c r="D11815" s="228">
        <v>10</v>
      </c>
      <c r="E11815" s="225" t="s">
        <v>7701</v>
      </c>
      <c r="F11815" s="225" t="s">
        <v>6946</v>
      </c>
    </row>
    <row r="11816" spans="2:6" ht="17.25" thickBot="1">
      <c r="B11816" s="226">
        <v>46120</v>
      </c>
      <c r="C11816" s="227">
        <v>0.69438657407407411</v>
      </c>
      <c r="D11816" s="228">
        <v>10</v>
      </c>
      <c r="E11816" s="225" t="s">
        <v>7702</v>
      </c>
      <c r="F11816" s="225" t="s">
        <v>6946</v>
      </c>
    </row>
    <row r="11817" spans="2:6" ht="17.25" thickBot="1">
      <c r="B11817" s="226">
        <v>46120</v>
      </c>
      <c r="C11817" s="227">
        <v>0.68233796296296301</v>
      </c>
      <c r="D11817" s="228">
        <v>10</v>
      </c>
      <c r="E11817" s="225" t="s">
        <v>7703</v>
      </c>
      <c r="F11817" s="225" t="s">
        <v>6946</v>
      </c>
    </row>
    <row r="11818" spans="2:6" ht="17.25" thickBot="1">
      <c r="B11818" s="226">
        <v>46120</v>
      </c>
      <c r="C11818" s="227">
        <v>0.67487268518518517</v>
      </c>
      <c r="D11818" s="228">
        <v>10</v>
      </c>
      <c r="E11818" s="225" t="s">
        <v>7704</v>
      </c>
      <c r="F11818" s="225" t="s">
        <v>6946</v>
      </c>
    </row>
    <row r="11819" spans="2:6" ht="17.25" thickBot="1">
      <c r="B11819" s="226">
        <v>46120</v>
      </c>
      <c r="C11819" s="227">
        <v>0.68009259259259258</v>
      </c>
      <c r="D11819" s="228">
        <v>10</v>
      </c>
      <c r="E11819" s="225" t="s">
        <v>7705</v>
      </c>
      <c r="F11819" s="225" t="s">
        <v>6946</v>
      </c>
    </row>
    <row r="11820" spans="2:6" ht="17.25" thickBot="1">
      <c r="B11820" s="226">
        <v>46120</v>
      </c>
      <c r="C11820" s="227">
        <v>0.65809027777777784</v>
      </c>
      <c r="D11820" s="228">
        <v>10</v>
      </c>
      <c r="E11820" s="225" t="s">
        <v>7706</v>
      </c>
      <c r="F11820" s="225" t="s">
        <v>6946</v>
      </c>
    </row>
    <row r="11821" spans="2:6" ht="26.25" thickBot="1">
      <c r="B11821" s="226">
        <v>46120</v>
      </c>
      <c r="C11821" s="227">
        <v>0.66011574074074075</v>
      </c>
      <c r="D11821" s="228">
        <v>10</v>
      </c>
      <c r="E11821" s="225" t="s">
        <v>7707</v>
      </c>
      <c r="F11821" s="225" t="s">
        <v>6946</v>
      </c>
    </row>
    <row r="11822" spans="2:6" ht="17.25" thickBot="1">
      <c r="B11822" s="226">
        <v>46120</v>
      </c>
      <c r="C11822" s="227">
        <v>0.66364583333333338</v>
      </c>
      <c r="D11822" s="228">
        <v>10</v>
      </c>
      <c r="E11822" s="225" t="s">
        <v>7708</v>
      </c>
      <c r="F11822" s="225" t="s">
        <v>6946</v>
      </c>
    </row>
    <row r="11823" spans="2:6" ht="17.25" thickBot="1">
      <c r="B11823" s="226">
        <v>46120</v>
      </c>
      <c r="C11823" s="227">
        <v>0.65175925925925926</v>
      </c>
      <c r="D11823" s="228">
        <v>10</v>
      </c>
      <c r="E11823" s="225" t="s">
        <v>7709</v>
      </c>
      <c r="F11823" s="225" t="s">
        <v>6946</v>
      </c>
    </row>
    <row r="11824" spans="2:6" ht="17.25" thickBot="1">
      <c r="B11824" s="226">
        <v>46120</v>
      </c>
      <c r="C11824" s="227">
        <v>0.65909722222222222</v>
      </c>
      <c r="D11824" s="228">
        <v>10</v>
      </c>
      <c r="E11824" s="225" t="s">
        <v>7710</v>
      </c>
      <c r="F11824" s="225" t="s">
        <v>6946</v>
      </c>
    </row>
    <row r="11825" spans="2:6" ht="17.25" thickBot="1">
      <c r="B11825" s="226">
        <v>46120</v>
      </c>
      <c r="C11825" s="227">
        <v>0.64673611111111107</v>
      </c>
      <c r="D11825" s="228">
        <v>10</v>
      </c>
      <c r="E11825" s="225" t="s">
        <v>7711</v>
      </c>
      <c r="F11825" s="225" t="s">
        <v>6946</v>
      </c>
    </row>
    <row r="11826" spans="2:6" ht="17.25" thickBot="1">
      <c r="B11826" s="226">
        <v>46120</v>
      </c>
      <c r="C11826" s="227">
        <v>0.6393402777777778</v>
      </c>
      <c r="D11826" s="228">
        <v>10</v>
      </c>
      <c r="E11826" s="225" t="s">
        <v>7712</v>
      </c>
      <c r="F11826" s="225" t="s">
        <v>6946</v>
      </c>
    </row>
    <row r="11827" spans="2:6" ht="17.25" thickBot="1">
      <c r="B11827" s="226">
        <v>46120</v>
      </c>
      <c r="C11827" s="227">
        <v>0.63210648148148152</v>
      </c>
      <c r="D11827" s="228">
        <v>10</v>
      </c>
      <c r="E11827" s="225" t="s">
        <v>7713</v>
      </c>
      <c r="F11827" s="225" t="s">
        <v>6946</v>
      </c>
    </row>
    <row r="11828" spans="2:6" ht="17.25" thickBot="1">
      <c r="B11828" s="226">
        <v>46120</v>
      </c>
      <c r="C11828" s="227">
        <v>0.61853009259259262</v>
      </c>
      <c r="D11828" s="228">
        <v>10</v>
      </c>
      <c r="E11828" s="225" t="s">
        <v>7714</v>
      </c>
      <c r="F11828" s="225" t="s">
        <v>6946</v>
      </c>
    </row>
    <row r="11829" spans="2:6" ht="17.25" thickBot="1">
      <c r="B11829" s="226">
        <v>46120</v>
      </c>
      <c r="C11829" s="227">
        <v>0.60870370370370364</v>
      </c>
      <c r="D11829" s="228">
        <v>10</v>
      </c>
      <c r="E11829" s="225" t="s">
        <v>7715</v>
      </c>
      <c r="F11829" s="225" t="s">
        <v>6946</v>
      </c>
    </row>
    <row r="11830" spans="2:6" ht="17.25" thickBot="1">
      <c r="B11830" s="226">
        <v>46120</v>
      </c>
      <c r="C11830" s="227">
        <v>0.6055208333333334</v>
      </c>
      <c r="D11830" s="228">
        <v>10</v>
      </c>
      <c r="E11830" s="225" t="s">
        <v>7716</v>
      </c>
      <c r="F11830" s="225" t="s">
        <v>6946</v>
      </c>
    </row>
    <row r="11831" spans="2:6" ht="17.25" thickBot="1">
      <c r="B11831" s="226">
        <v>46120</v>
      </c>
      <c r="C11831" s="227">
        <v>0.60843749999999996</v>
      </c>
      <c r="D11831" s="228">
        <v>10</v>
      </c>
      <c r="E11831" s="225" t="s">
        <v>836</v>
      </c>
      <c r="F11831" s="225" t="s">
        <v>6946</v>
      </c>
    </row>
    <row r="11832" spans="2:6" ht="17.25" thickBot="1">
      <c r="B11832" s="226">
        <v>46120</v>
      </c>
      <c r="C11832" s="227">
        <v>0.5930671296296296</v>
      </c>
      <c r="D11832" s="228">
        <v>10</v>
      </c>
      <c r="E11832" s="225" t="s">
        <v>7717</v>
      </c>
      <c r="F11832" s="225" t="s">
        <v>6946</v>
      </c>
    </row>
    <row r="11833" spans="2:6" ht="17.25" thickBot="1">
      <c r="B11833" s="226">
        <v>46120</v>
      </c>
      <c r="C11833" s="227">
        <v>0.57406250000000003</v>
      </c>
      <c r="D11833" s="228">
        <v>10</v>
      </c>
      <c r="E11833" s="225" t="s">
        <v>7718</v>
      </c>
      <c r="F11833" s="225" t="s">
        <v>6946</v>
      </c>
    </row>
    <row r="11834" spans="2:6" ht="17.25" thickBot="1">
      <c r="B11834" s="226">
        <v>46120</v>
      </c>
      <c r="C11834" s="227">
        <v>0.55997685185185186</v>
      </c>
      <c r="D11834" s="228">
        <v>10</v>
      </c>
      <c r="E11834" s="225" t="s">
        <v>7719</v>
      </c>
      <c r="F11834" s="225" t="s">
        <v>6946</v>
      </c>
    </row>
    <row r="11835" spans="2:6" ht="17.25" thickBot="1">
      <c r="B11835" s="226">
        <v>46120</v>
      </c>
      <c r="C11835" s="227">
        <v>0.50450231481481478</v>
      </c>
      <c r="D11835" s="228">
        <v>10</v>
      </c>
      <c r="E11835" s="225" t="s">
        <v>7720</v>
      </c>
      <c r="F11835" s="225" t="s">
        <v>6946</v>
      </c>
    </row>
    <row r="11836" spans="2:6" ht="17.25" thickBot="1">
      <c r="B11836" s="226">
        <v>46120</v>
      </c>
      <c r="C11836" s="227">
        <v>0.51123842592592594</v>
      </c>
      <c r="D11836" s="228">
        <v>10</v>
      </c>
      <c r="E11836" s="225" t="s">
        <v>7721</v>
      </c>
      <c r="F11836" s="225" t="s">
        <v>6946</v>
      </c>
    </row>
    <row r="11837" spans="2:6" ht="17.25" thickBot="1">
      <c r="B11837" s="226">
        <v>46120</v>
      </c>
      <c r="C11837" s="227">
        <v>0.50502314814814808</v>
      </c>
      <c r="D11837" s="228">
        <v>10</v>
      </c>
      <c r="E11837" s="225" t="s">
        <v>7722</v>
      </c>
      <c r="F11837" s="225" t="s">
        <v>6946</v>
      </c>
    </row>
    <row r="11838" spans="2:6" ht="17.25" thickBot="1">
      <c r="B11838" s="226">
        <v>46120</v>
      </c>
      <c r="C11838" s="227">
        <v>0.49299768518518516</v>
      </c>
      <c r="D11838" s="228">
        <v>10</v>
      </c>
      <c r="E11838" s="225" t="s">
        <v>7723</v>
      </c>
      <c r="F11838" s="225" t="s">
        <v>6946</v>
      </c>
    </row>
    <row r="11839" spans="2:6" ht="17.25" thickBot="1">
      <c r="B11839" s="226">
        <v>46120</v>
      </c>
      <c r="C11839" s="227">
        <v>0.45653935185185185</v>
      </c>
      <c r="D11839" s="228">
        <v>10</v>
      </c>
      <c r="E11839" s="225" t="s">
        <v>3170</v>
      </c>
      <c r="F11839" s="225" t="s">
        <v>6946</v>
      </c>
    </row>
    <row r="11840" spans="2:6" ht="17.25" thickBot="1">
      <c r="B11840" s="226">
        <v>46120</v>
      </c>
      <c r="C11840" s="227">
        <v>0.45202546296296298</v>
      </c>
      <c r="D11840" s="228">
        <v>10</v>
      </c>
      <c r="E11840" s="225" t="s">
        <v>7724</v>
      </c>
      <c r="F11840" s="225" t="s">
        <v>6946</v>
      </c>
    </row>
    <row r="11841" spans="2:6" ht="17.25" thickBot="1">
      <c r="B11841" s="226">
        <v>46120</v>
      </c>
      <c r="C11841" s="227">
        <v>0.44458333333333333</v>
      </c>
      <c r="D11841" s="228">
        <v>10</v>
      </c>
      <c r="E11841" s="225" t="s">
        <v>7725</v>
      </c>
      <c r="F11841" s="225" t="s">
        <v>6946</v>
      </c>
    </row>
    <row r="11842" spans="2:6" ht="17.25" thickBot="1">
      <c r="B11842" s="226">
        <v>46120</v>
      </c>
      <c r="C11842" s="227">
        <v>0.4443171296296296</v>
      </c>
      <c r="D11842" s="228">
        <v>10</v>
      </c>
      <c r="E11842" s="225" t="s">
        <v>7726</v>
      </c>
      <c r="F11842" s="225" t="s">
        <v>6946</v>
      </c>
    </row>
    <row r="11843" spans="2:6" ht="17.25" thickBot="1">
      <c r="B11843" s="226">
        <v>46120</v>
      </c>
      <c r="C11843" s="227">
        <v>0.4430324074074074</v>
      </c>
      <c r="D11843" s="228">
        <v>10</v>
      </c>
      <c r="E11843" s="225" t="s">
        <v>7727</v>
      </c>
      <c r="F11843" s="225" t="s">
        <v>6946</v>
      </c>
    </row>
    <row r="11844" spans="2:6" ht="17.25" thickBot="1">
      <c r="B11844" s="226">
        <v>46120</v>
      </c>
      <c r="C11844" s="227">
        <v>0.41627314814814814</v>
      </c>
      <c r="D11844" s="228">
        <v>10</v>
      </c>
      <c r="E11844" s="225" t="s">
        <v>7728</v>
      </c>
      <c r="F11844" s="225" t="s">
        <v>6946</v>
      </c>
    </row>
    <row r="11845" spans="2:6" ht="17.25" thickBot="1">
      <c r="B11845" s="226">
        <v>46120</v>
      </c>
      <c r="C11845" s="227">
        <v>0.43884259259259256</v>
      </c>
      <c r="D11845" s="228">
        <v>10</v>
      </c>
      <c r="E11845" s="225" t="s">
        <v>7729</v>
      </c>
      <c r="F11845" s="225" t="s">
        <v>6946</v>
      </c>
    </row>
    <row r="11846" spans="2:6" ht="17.25" thickBot="1">
      <c r="B11846" s="226">
        <v>46120</v>
      </c>
      <c r="C11846" s="227">
        <v>0.41467592592592589</v>
      </c>
      <c r="D11846" s="228">
        <v>10</v>
      </c>
      <c r="E11846" s="225" t="s">
        <v>132</v>
      </c>
      <c r="F11846" s="225" t="s">
        <v>6946</v>
      </c>
    </row>
    <row r="11847" spans="2:6" ht="17.25" thickBot="1">
      <c r="B11847" s="226">
        <v>46120</v>
      </c>
      <c r="C11847" s="227">
        <v>0.40104166666666669</v>
      </c>
      <c r="D11847" s="228">
        <v>10</v>
      </c>
      <c r="E11847" s="225" t="s">
        <v>537</v>
      </c>
      <c r="F11847" s="225" t="s">
        <v>6946</v>
      </c>
    </row>
    <row r="11848" spans="2:6" ht="17.25" thickBot="1">
      <c r="B11848" s="226">
        <v>46120</v>
      </c>
      <c r="C11848" s="227">
        <v>0.39733796296296298</v>
      </c>
      <c r="D11848" s="228">
        <v>10</v>
      </c>
      <c r="E11848" s="225" t="s">
        <v>244</v>
      </c>
      <c r="F11848" s="225" t="s">
        <v>6946</v>
      </c>
    </row>
    <row r="11849" spans="2:6" ht="17.25" thickBot="1">
      <c r="B11849" s="226">
        <v>46119</v>
      </c>
      <c r="C11849" s="227">
        <v>0.89255787037037038</v>
      </c>
      <c r="D11849" s="228">
        <v>10</v>
      </c>
      <c r="E11849" s="225" t="s">
        <v>7730</v>
      </c>
      <c r="F11849" s="225" t="s">
        <v>6946</v>
      </c>
    </row>
    <row r="11850" spans="2:6" ht="17.25" thickBot="1">
      <c r="B11850" s="226">
        <v>46119</v>
      </c>
      <c r="C11850" s="227">
        <v>0.86993055555555554</v>
      </c>
      <c r="D11850" s="228">
        <v>10</v>
      </c>
      <c r="E11850" s="225" t="s">
        <v>7731</v>
      </c>
      <c r="F11850" s="225" t="s">
        <v>6946</v>
      </c>
    </row>
    <row r="11851" spans="2:6" ht="17.25" thickBot="1">
      <c r="B11851" s="226">
        <v>46119</v>
      </c>
      <c r="C11851" s="227">
        <v>0.80105324074074069</v>
      </c>
      <c r="D11851" s="228">
        <v>10</v>
      </c>
      <c r="E11851" s="225" t="s">
        <v>7732</v>
      </c>
      <c r="F11851" s="225" t="s">
        <v>6946</v>
      </c>
    </row>
    <row r="11852" spans="2:6" ht="26.25" thickBot="1">
      <c r="B11852" s="226">
        <v>46119</v>
      </c>
      <c r="C11852" s="227">
        <v>0.79756944444444444</v>
      </c>
      <c r="D11852" s="228">
        <v>10</v>
      </c>
      <c r="E11852" s="225" t="s">
        <v>7733</v>
      </c>
      <c r="F11852" s="225" t="s">
        <v>6946</v>
      </c>
    </row>
    <row r="11853" spans="2:6" ht="17.25" thickBot="1">
      <c r="B11853" s="226">
        <v>46119</v>
      </c>
      <c r="C11853" s="227">
        <v>0.78475694444444455</v>
      </c>
      <c r="D11853" s="228">
        <v>10</v>
      </c>
      <c r="E11853" s="225" t="s">
        <v>7734</v>
      </c>
      <c r="F11853" s="225" t="s">
        <v>6946</v>
      </c>
    </row>
    <row r="11854" spans="2:6" ht="17.25" thickBot="1">
      <c r="B11854" s="226">
        <v>46119</v>
      </c>
      <c r="C11854" s="227">
        <v>0.77187499999999998</v>
      </c>
      <c r="D11854" s="228">
        <v>10</v>
      </c>
      <c r="E11854" s="225" t="s">
        <v>7735</v>
      </c>
      <c r="F11854" s="225" t="s">
        <v>6946</v>
      </c>
    </row>
    <row r="11855" spans="2:6" ht="17.25" thickBot="1">
      <c r="B11855" s="226">
        <v>46119</v>
      </c>
      <c r="C11855" s="227">
        <v>0.76971064814814805</v>
      </c>
      <c r="D11855" s="228">
        <v>10</v>
      </c>
      <c r="E11855" s="225" t="s">
        <v>7736</v>
      </c>
      <c r="F11855" s="225" t="s">
        <v>6946</v>
      </c>
    </row>
    <row r="11856" spans="2:6" ht="17.25" thickBot="1">
      <c r="B11856" s="226">
        <v>46119</v>
      </c>
      <c r="C11856" s="227">
        <v>0.75208333333333333</v>
      </c>
      <c r="D11856" s="228">
        <v>10</v>
      </c>
      <c r="E11856" s="225" t="s">
        <v>313</v>
      </c>
      <c r="F11856" s="225" t="s">
        <v>6946</v>
      </c>
    </row>
    <row r="11857" spans="2:6" ht="17.25" thickBot="1">
      <c r="B11857" s="226">
        <v>46119</v>
      </c>
      <c r="C11857" s="227">
        <v>0.74890046296296298</v>
      </c>
      <c r="D11857" s="228">
        <v>10</v>
      </c>
      <c r="E11857" s="225" t="s">
        <v>7737</v>
      </c>
      <c r="F11857" s="225" t="s">
        <v>6946</v>
      </c>
    </row>
    <row r="11858" spans="2:6" ht="17.25" thickBot="1">
      <c r="B11858" s="226">
        <v>46119</v>
      </c>
      <c r="C11858" s="227">
        <v>0.73496527777777787</v>
      </c>
      <c r="D11858" s="228">
        <v>10</v>
      </c>
      <c r="E11858" s="225" t="s">
        <v>1495</v>
      </c>
      <c r="F11858" s="225" t="s">
        <v>6946</v>
      </c>
    </row>
    <row r="11859" spans="2:6" ht="17.25" thickBot="1">
      <c r="B11859" s="226">
        <v>46119</v>
      </c>
      <c r="C11859" s="227">
        <v>0.74586805555555558</v>
      </c>
      <c r="D11859" s="228">
        <v>10</v>
      </c>
      <c r="E11859" s="225" t="s">
        <v>7738</v>
      </c>
      <c r="F11859" s="225" t="s">
        <v>6946</v>
      </c>
    </row>
    <row r="11860" spans="2:6" ht="17.25" thickBot="1">
      <c r="B11860" s="226">
        <v>46119</v>
      </c>
      <c r="C11860" s="227">
        <v>0.71740740740740738</v>
      </c>
      <c r="D11860" s="228">
        <v>10</v>
      </c>
      <c r="E11860" s="225" t="s">
        <v>7739</v>
      </c>
      <c r="F11860" s="225" t="s">
        <v>6946</v>
      </c>
    </row>
    <row r="11861" spans="2:6" ht="17.25" thickBot="1">
      <c r="B11861" s="226">
        <v>46119</v>
      </c>
      <c r="C11861" s="227">
        <v>0.71008101851851846</v>
      </c>
      <c r="D11861" s="228">
        <v>10</v>
      </c>
      <c r="E11861" s="225" t="s">
        <v>7740</v>
      </c>
      <c r="F11861" s="225" t="s">
        <v>6946</v>
      </c>
    </row>
    <row r="11862" spans="2:6" ht="17.25" thickBot="1">
      <c r="B11862" s="226">
        <v>46119</v>
      </c>
      <c r="C11862" s="227">
        <v>0.70305555555555566</v>
      </c>
      <c r="D11862" s="228">
        <v>10</v>
      </c>
      <c r="E11862" s="225" t="s">
        <v>7741</v>
      </c>
      <c r="F11862" s="225" t="s">
        <v>6946</v>
      </c>
    </row>
    <row r="11863" spans="2:6" ht="17.25" thickBot="1">
      <c r="B11863" s="226">
        <v>46119</v>
      </c>
      <c r="C11863" s="227">
        <v>0.68914351851851852</v>
      </c>
      <c r="D11863" s="228">
        <v>10</v>
      </c>
      <c r="E11863" s="225" t="s">
        <v>7742</v>
      </c>
      <c r="F11863" s="225" t="s">
        <v>6946</v>
      </c>
    </row>
    <row r="11864" spans="2:6" ht="17.25" thickBot="1">
      <c r="B11864" s="226">
        <v>46119</v>
      </c>
      <c r="C11864" s="227">
        <v>0.67287037037037034</v>
      </c>
      <c r="D11864" s="228">
        <v>10</v>
      </c>
      <c r="E11864" s="225" t="s">
        <v>7743</v>
      </c>
      <c r="F11864" s="225" t="s">
        <v>6946</v>
      </c>
    </row>
    <row r="11865" spans="2:6" ht="17.25" thickBot="1">
      <c r="B11865" s="226">
        <v>46119</v>
      </c>
      <c r="C11865" s="227">
        <v>0.65628472222222223</v>
      </c>
      <c r="D11865" s="228">
        <v>10</v>
      </c>
      <c r="E11865" s="225" t="s">
        <v>7744</v>
      </c>
      <c r="F11865" s="225" t="s">
        <v>6946</v>
      </c>
    </row>
    <row r="11866" spans="2:6" ht="17.25" thickBot="1">
      <c r="B11866" s="226">
        <v>46119</v>
      </c>
      <c r="C11866" s="227">
        <v>0.64311342592592591</v>
      </c>
      <c r="D11866" s="228">
        <v>10</v>
      </c>
      <c r="E11866" s="225" t="s">
        <v>7745</v>
      </c>
      <c r="F11866" s="225" t="s">
        <v>6946</v>
      </c>
    </row>
    <row r="11867" spans="2:6" ht="17.25" thickBot="1">
      <c r="B11867" s="226">
        <v>46119</v>
      </c>
      <c r="C11867" s="227">
        <v>0.63049768518518523</v>
      </c>
      <c r="D11867" s="228">
        <v>10</v>
      </c>
      <c r="E11867" s="225" t="s">
        <v>7746</v>
      </c>
      <c r="F11867" s="225" t="s">
        <v>6946</v>
      </c>
    </row>
    <row r="11868" spans="2:6" ht="17.25" thickBot="1">
      <c r="B11868" s="226">
        <v>46119</v>
      </c>
      <c r="C11868" s="227">
        <v>0.63539351851851855</v>
      </c>
      <c r="D11868" s="228">
        <v>10</v>
      </c>
      <c r="E11868" s="225" t="s">
        <v>7747</v>
      </c>
      <c r="F11868" s="225" t="s">
        <v>6946</v>
      </c>
    </row>
    <row r="11869" spans="2:6" ht="17.25" thickBot="1">
      <c r="B11869" s="226">
        <v>46119</v>
      </c>
      <c r="C11869" s="227">
        <v>0.61099537037037044</v>
      </c>
      <c r="D11869" s="228">
        <v>10</v>
      </c>
      <c r="E11869" s="225" t="s">
        <v>7748</v>
      </c>
      <c r="F11869" s="225" t="s">
        <v>6946</v>
      </c>
    </row>
    <row r="11870" spans="2:6" ht="17.25" thickBot="1">
      <c r="B11870" s="226">
        <v>46119</v>
      </c>
      <c r="C11870" s="227">
        <v>0.58857638888888886</v>
      </c>
      <c r="D11870" s="228">
        <v>10</v>
      </c>
      <c r="E11870" s="225" t="s">
        <v>7749</v>
      </c>
      <c r="F11870" s="225" t="s">
        <v>6946</v>
      </c>
    </row>
    <row r="11871" spans="2:6" ht="26.25" thickBot="1">
      <c r="B11871" s="226">
        <v>46119</v>
      </c>
      <c r="C11871" s="227">
        <v>0.56262731481481476</v>
      </c>
      <c r="D11871" s="228">
        <v>10</v>
      </c>
      <c r="E11871" s="225" t="s">
        <v>7750</v>
      </c>
      <c r="F11871" s="225" t="s">
        <v>6946</v>
      </c>
    </row>
    <row r="11872" spans="2:6" ht="17.25" thickBot="1">
      <c r="B11872" s="226">
        <v>46119</v>
      </c>
      <c r="C11872" s="227">
        <v>0.55688657407407405</v>
      </c>
      <c r="D11872" s="228">
        <v>10</v>
      </c>
      <c r="E11872" s="225" t="s">
        <v>7751</v>
      </c>
      <c r="F11872" s="225" t="s">
        <v>6946</v>
      </c>
    </row>
    <row r="11873" spans="2:6" ht="17.25" thickBot="1">
      <c r="B11873" s="226">
        <v>46119</v>
      </c>
      <c r="C11873" s="227">
        <v>0.50304398148148144</v>
      </c>
      <c r="D11873" s="228">
        <v>10</v>
      </c>
      <c r="E11873" s="225" t="s">
        <v>7752</v>
      </c>
      <c r="F11873" s="225" t="s">
        <v>6946</v>
      </c>
    </row>
    <row r="11874" spans="2:6" ht="26.25" thickBot="1">
      <c r="B11874" s="226">
        <v>46119</v>
      </c>
      <c r="C11874" s="227">
        <v>0.54562500000000003</v>
      </c>
      <c r="D11874" s="228">
        <v>10</v>
      </c>
      <c r="E11874" s="225" t="s">
        <v>7753</v>
      </c>
      <c r="F11874" s="225" t="s">
        <v>6946</v>
      </c>
    </row>
    <row r="11875" spans="2:6" ht="17.25" thickBot="1">
      <c r="B11875" s="226">
        <v>46119</v>
      </c>
      <c r="C11875" s="227">
        <v>0.47469907407407402</v>
      </c>
      <c r="D11875" s="228">
        <v>10</v>
      </c>
      <c r="E11875" s="225" t="s">
        <v>5121</v>
      </c>
      <c r="F11875" s="225" t="s">
        <v>6946</v>
      </c>
    </row>
    <row r="11876" spans="2:6" ht="17.25" thickBot="1">
      <c r="B11876" s="226">
        <v>46119</v>
      </c>
      <c r="C11876" s="227">
        <v>0.45423611111111112</v>
      </c>
      <c r="D11876" s="228">
        <v>10</v>
      </c>
      <c r="E11876" s="225" t="s">
        <v>7754</v>
      </c>
      <c r="F11876" s="225" t="s">
        <v>6946</v>
      </c>
    </row>
    <row r="11877" spans="2:6" ht="17.25" thickBot="1">
      <c r="B11877" s="226">
        <v>46119</v>
      </c>
      <c r="C11877" s="227">
        <v>0.46056712962962965</v>
      </c>
      <c r="D11877" s="228">
        <v>10</v>
      </c>
      <c r="E11877" s="225" t="s">
        <v>132</v>
      </c>
      <c r="F11877" s="225" t="s">
        <v>6946</v>
      </c>
    </row>
    <row r="11878" spans="2:6" ht="17.25" thickBot="1">
      <c r="B11878" s="226">
        <v>46119</v>
      </c>
      <c r="C11878" s="227">
        <v>0.44383101851851853</v>
      </c>
      <c r="D11878" s="228">
        <v>10</v>
      </c>
      <c r="E11878" s="225" t="s">
        <v>7755</v>
      </c>
      <c r="F11878" s="225" t="s">
        <v>6946</v>
      </c>
    </row>
    <row r="11879" spans="2:6" ht="17.25" thickBot="1">
      <c r="B11879" s="226">
        <v>46119</v>
      </c>
      <c r="C11879" s="227">
        <v>0.40971064814814812</v>
      </c>
      <c r="D11879" s="228">
        <v>10</v>
      </c>
      <c r="E11879" s="225" t="s">
        <v>7756</v>
      </c>
      <c r="F11879" s="225" t="s">
        <v>6946</v>
      </c>
    </row>
    <row r="11880" spans="2:6" ht="17.25" thickBot="1">
      <c r="B11880" s="226">
        <v>46119</v>
      </c>
      <c r="C11880" s="227">
        <v>0.42200231481481482</v>
      </c>
      <c r="D11880" s="228">
        <v>10</v>
      </c>
      <c r="E11880" s="225" t="s">
        <v>132</v>
      </c>
      <c r="F11880" s="225" t="s">
        <v>6946</v>
      </c>
    </row>
    <row r="11881" spans="2:6" ht="17.25" thickBot="1">
      <c r="B11881" s="226">
        <v>46119</v>
      </c>
      <c r="C11881" s="227">
        <v>0.3759143518518519</v>
      </c>
      <c r="D11881" s="228">
        <v>10</v>
      </c>
      <c r="E11881" s="225" t="s">
        <v>7757</v>
      </c>
      <c r="F11881" s="225" t="s">
        <v>6946</v>
      </c>
    </row>
    <row r="11882" spans="2:6" ht="17.25" thickBot="1">
      <c r="B11882" s="226">
        <v>46118</v>
      </c>
      <c r="C11882" s="227">
        <v>0.89884259259259258</v>
      </c>
      <c r="D11882" s="228">
        <v>10</v>
      </c>
      <c r="E11882" s="225" t="s">
        <v>7758</v>
      </c>
      <c r="F11882" s="225" t="s">
        <v>6946</v>
      </c>
    </row>
    <row r="11883" spans="2:6" ht="17.25" thickBot="1">
      <c r="B11883" s="226">
        <v>46118</v>
      </c>
      <c r="C11883" s="227">
        <v>0.8273611111111111</v>
      </c>
      <c r="D11883" s="228">
        <v>10</v>
      </c>
      <c r="E11883" s="225" t="s">
        <v>7759</v>
      </c>
      <c r="F11883" s="225" t="s">
        <v>6946</v>
      </c>
    </row>
    <row r="11884" spans="2:6" ht="17.25" thickBot="1">
      <c r="B11884" s="226">
        <v>46118</v>
      </c>
      <c r="C11884" s="227">
        <v>0.78410879629629626</v>
      </c>
      <c r="D11884" s="228">
        <v>10</v>
      </c>
      <c r="E11884" s="225" t="s">
        <v>7760</v>
      </c>
      <c r="F11884" s="225" t="s">
        <v>6946</v>
      </c>
    </row>
    <row r="11885" spans="2:6" ht="17.25" thickBot="1">
      <c r="B11885" s="226">
        <v>46118</v>
      </c>
      <c r="C11885" s="227">
        <v>0.77645833333333336</v>
      </c>
      <c r="D11885" s="228">
        <v>10</v>
      </c>
      <c r="E11885" s="225" t="s">
        <v>7761</v>
      </c>
      <c r="F11885" s="225" t="s">
        <v>6946</v>
      </c>
    </row>
    <row r="11886" spans="2:6" ht="17.25" thickBot="1">
      <c r="B11886" s="226">
        <v>46118</v>
      </c>
      <c r="C11886" s="227">
        <v>0.76725694444444448</v>
      </c>
      <c r="D11886" s="228">
        <v>10</v>
      </c>
      <c r="E11886" s="225" t="s">
        <v>7762</v>
      </c>
      <c r="F11886" s="225" t="s">
        <v>6946</v>
      </c>
    </row>
    <row r="11887" spans="2:6" ht="17.25" thickBot="1">
      <c r="B11887" s="226">
        <v>46118</v>
      </c>
      <c r="C11887" s="227">
        <v>0.76010416666666669</v>
      </c>
      <c r="D11887" s="228">
        <v>10</v>
      </c>
      <c r="E11887" s="225" t="s">
        <v>418</v>
      </c>
      <c r="F11887" s="225" t="s">
        <v>6946</v>
      </c>
    </row>
    <row r="11888" spans="2:6" ht="17.25" thickBot="1">
      <c r="B11888" s="226">
        <v>46118</v>
      </c>
      <c r="C11888" s="227">
        <v>0.75506944444444446</v>
      </c>
      <c r="D11888" s="228">
        <v>10</v>
      </c>
      <c r="E11888" s="225" t="s">
        <v>537</v>
      </c>
      <c r="F11888" s="225" t="s">
        <v>6946</v>
      </c>
    </row>
    <row r="11889" spans="2:6" ht="17.25" thickBot="1">
      <c r="B11889" s="226">
        <v>46118</v>
      </c>
      <c r="C11889" s="227">
        <v>0.74915509259259261</v>
      </c>
      <c r="D11889" s="228">
        <v>10</v>
      </c>
      <c r="E11889" s="225" t="s">
        <v>7763</v>
      </c>
      <c r="F11889" s="225" t="s">
        <v>6946</v>
      </c>
    </row>
    <row r="11890" spans="2:6" ht="17.25" thickBot="1">
      <c r="B11890" s="226">
        <v>46118</v>
      </c>
      <c r="C11890" s="227">
        <v>0.75434027777777779</v>
      </c>
      <c r="D11890" s="228">
        <v>10</v>
      </c>
      <c r="E11890" s="225" t="s">
        <v>3675</v>
      </c>
      <c r="F11890" s="225" t="s">
        <v>6946</v>
      </c>
    </row>
    <row r="11891" spans="2:6" ht="17.25" thickBot="1">
      <c r="B11891" s="226">
        <v>46118</v>
      </c>
      <c r="C11891" s="227">
        <v>0.74908564814814815</v>
      </c>
      <c r="D11891" s="228">
        <v>10</v>
      </c>
      <c r="E11891" s="225" t="s">
        <v>7764</v>
      </c>
      <c r="F11891" s="225" t="s">
        <v>6946</v>
      </c>
    </row>
    <row r="11892" spans="2:6" ht="17.25" thickBot="1">
      <c r="B11892" s="226">
        <v>46118</v>
      </c>
      <c r="C11892" s="227">
        <v>0.75493055555555555</v>
      </c>
      <c r="D11892" s="228">
        <v>10</v>
      </c>
      <c r="E11892" s="225" t="s">
        <v>313</v>
      </c>
      <c r="F11892" s="225" t="s">
        <v>6946</v>
      </c>
    </row>
    <row r="11893" spans="2:6" ht="17.25" thickBot="1">
      <c r="B11893" s="226">
        <v>46118</v>
      </c>
      <c r="C11893" s="227">
        <v>0.73408564814814825</v>
      </c>
      <c r="D11893" s="228">
        <v>10</v>
      </c>
      <c r="E11893" s="225" t="s">
        <v>7765</v>
      </c>
      <c r="F11893" s="225" t="s">
        <v>6946</v>
      </c>
    </row>
    <row r="11894" spans="2:6" ht="17.25" thickBot="1">
      <c r="B11894" s="226">
        <v>46118</v>
      </c>
      <c r="C11894" s="227">
        <v>0.75618055555555552</v>
      </c>
      <c r="D11894" s="228">
        <v>10</v>
      </c>
      <c r="E11894" s="225" t="s">
        <v>1203</v>
      </c>
      <c r="F11894" s="225" t="s">
        <v>6946</v>
      </c>
    </row>
    <row r="11895" spans="2:6" ht="17.25" thickBot="1">
      <c r="B11895" s="226">
        <v>46118</v>
      </c>
      <c r="C11895" s="227">
        <v>0.70182870370370365</v>
      </c>
      <c r="D11895" s="228">
        <v>10</v>
      </c>
      <c r="E11895" s="225" t="s">
        <v>7766</v>
      </c>
      <c r="F11895" s="225" t="s">
        <v>6946</v>
      </c>
    </row>
    <row r="11896" spans="2:6" ht="17.25" thickBot="1">
      <c r="B11896" s="226">
        <v>46118</v>
      </c>
      <c r="C11896" s="227">
        <v>0.69400462962962972</v>
      </c>
      <c r="D11896" s="228">
        <v>10</v>
      </c>
      <c r="E11896" s="225" t="s">
        <v>7767</v>
      </c>
      <c r="F11896" s="225" t="s">
        <v>6946</v>
      </c>
    </row>
    <row r="11897" spans="2:6" ht="17.25" thickBot="1">
      <c r="B11897" s="226">
        <v>46118</v>
      </c>
      <c r="C11897" s="227">
        <v>0.69410879629629629</v>
      </c>
      <c r="D11897" s="228">
        <v>10</v>
      </c>
      <c r="E11897" s="225" t="s">
        <v>7768</v>
      </c>
      <c r="F11897" s="225" t="s">
        <v>6946</v>
      </c>
    </row>
    <row r="11898" spans="2:6" ht="17.25" thickBot="1">
      <c r="B11898" s="226">
        <v>46118</v>
      </c>
      <c r="C11898" s="227">
        <v>0.68024305555555553</v>
      </c>
      <c r="D11898" s="228">
        <v>10</v>
      </c>
      <c r="E11898" s="225" t="s">
        <v>7769</v>
      </c>
      <c r="F11898" s="225" t="s">
        <v>6946</v>
      </c>
    </row>
    <row r="11899" spans="2:6" ht="17.25" thickBot="1">
      <c r="B11899" s="226">
        <v>46118</v>
      </c>
      <c r="C11899" s="227">
        <v>0.6676157407407407</v>
      </c>
      <c r="D11899" s="228">
        <v>10</v>
      </c>
      <c r="E11899" s="225" t="s">
        <v>7770</v>
      </c>
      <c r="F11899" s="225" t="s">
        <v>6946</v>
      </c>
    </row>
    <row r="11900" spans="2:6" ht="17.25" thickBot="1">
      <c r="B11900" s="226">
        <v>46118</v>
      </c>
      <c r="C11900" s="227">
        <v>0.66910879629629638</v>
      </c>
      <c r="D11900" s="228">
        <v>10</v>
      </c>
      <c r="E11900" s="225" t="s">
        <v>132</v>
      </c>
      <c r="F11900" s="225" t="s">
        <v>6946</v>
      </c>
    </row>
    <row r="11901" spans="2:6" ht="17.25" thickBot="1">
      <c r="B11901" s="226">
        <v>46118</v>
      </c>
      <c r="C11901" s="227">
        <v>0.65781250000000002</v>
      </c>
      <c r="D11901" s="228">
        <v>10</v>
      </c>
      <c r="E11901" s="225" t="s">
        <v>7771</v>
      </c>
      <c r="F11901" s="225" t="s">
        <v>6946</v>
      </c>
    </row>
    <row r="11902" spans="2:6" ht="17.25" thickBot="1">
      <c r="B11902" s="226">
        <v>46118</v>
      </c>
      <c r="C11902" s="227">
        <v>0.64606481481481481</v>
      </c>
      <c r="D11902" s="228">
        <v>10</v>
      </c>
      <c r="E11902" s="225" t="s">
        <v>7772</v>
      </c>
      <c r="F11902" s="225" t="s">
        <v>6946</v>
      </c>
    </row>
    <row r="11903" spans="2:6" ht="17.25" thickBot="1">
      <c r="B11903" s="226">
        <v>46118</v>
      </c>
      <c r="C11903" s="227">
        <v>0.64406249999999998</v>
      </c>
      <c r="D11903" s="228">
        <v>10</v>
      </c>
      <c r="E11903" s="225" t="s">
        <v>7773</v>
      </c>
      <c r="F11903" s="225" t="s">
        <v>6946</v>
      </c>
    </row>
    <row r="11904" spans="2:6" ht="17.25" thickBot="1">
      <c r="B11904" s="226">
        <v>46118</v>
      </c>
      <c r="C11904" s="227">
        <v>0.61885416666666659</v>
      </c>
      <c r="D11904" s="228">
        <v>10</v>
      </c>
      <c r="E11904" s="225" t="s">
        <v>7774</v>
      </c>
      <c r="F11904" s="225" t="s">
        <v>6946</v>
      </c>
    </row>
    <row r="11905" spans="2:6" ht="17.25" thickBot="1">
      <c r="B11905" s="226">
        <v>46118</v>
      </c>
      <c r="C11905" s="227">
        <v>0.60871527777777779</v>
      </c>
      <c r="D11905" s="228">
        <v>10</v>
      </c>
      <c r="E11905" s="225" t="s">
        <v>7775</v>
      </c>
      <c r="F11905" s="225" t="s">
        <v>6946</v>
      </c>
    </row>
    <row r="11906" spans="2:6" ht="17.25" thickBot="1">
      <c r="B11906" s="226">
        <v>46118</v>
      </c>
      <c r="C11906" s="227">
        <v>0.60252314814814811</v>
      </c>
      <c r="D11906" s="228">
        <v>10</v>
      </c>
      <c r="E11906" s="225" t="s">
        <v>7776</v>
      </c>
      <c r="F11906" s="225" t="s">
        <v>6946</v>
      </c>
    </row>
    <row r="11907" spans="2:6" ht="17.25" thickBot="1">
      <c r="B11907" s="226">
        <v>46118</v>
      </c>
      <c r="C11907" s="227">
        <v>0.59274305555555562</v>
      </c>
      <c r="D11907" s="228">
        <v>10</v>
      </c>
      <c r="E11907" s="225" t="s">
        <v>7777</v>
      </c>
      <c r="F11907" s="225" t="s">
        <v>6946</v>
      </c>
    </row>
    <row r="11908" spans="2:6" ht="26.25" thickBot="1">
      <c r="B11908" s="226">
        <v>46118</v>
      </c>
      <c r="C11908" s="227">
        <v>0.58096064814814818</v>
      </c>
      <c r="D11908" s="228">
        <v>10</v>
      </c>
      <c r="E11908" s="225" t="s">
        <v>7778</v>
      </c>
      <c r="F11908" s="225" t="s">
        <v>6946</v>
      </c>
    </row>
    <row r="11909" spans="2:6" ht="17.25" thickBot="1">
      <c r="B11909" s="226">
        <v>46118</v>
      </c>
      <c r="C11909" s="227">
        <v>0.57689814814814822</v>
      </c>
      <c r="D11909" s="228">
        <v>10</v>
      </c>
      <c r="E11909" s="225" t="s">
        <v>2396</v>
      </c>
      <c r="F11909" s="225" t="s">
        <v>6946</v>
      </c>
    </row>
    <row r="11910" spans="2:6" ht="17.25" thickBot="1">
      <c r="B11910" s="226">
        <v>46118</v>
      </c>
      <c r="C11910" s="227">
        <v>0.58129629629629631</v>
      </c>
      <c r="D11910" s="228">
        <v>10</v>
      </c>
      <c r="E11910" s="225" t="s">
        <v>7232</v>
      </c>
      <c r="F11910" s="225" t="s">
        <v>6946</v>
      </c>
    </row>
    <row r="11911" spans="2:6" ht="17.25" thickBot="1">
      <c r="B11911" s="226">
        <v>46118</v>
      </c>
      <c r="C11911" s="227">
        <v>0.55905092592592587</v>
      </c>
      <c r="D11911" s="228">
        <v>10</v>
      </c>
      <c r="E11911" s="225" t="s">
        <v>7779</v>
      </c>
      <c r="F11911" s="225" t="s">
        <v>6946</v>
      </c>
    </row>
    <row r="11912" spans="2:6" ht="17.25" thickBot="1">
      <c r="B11912" s="226">
        <v>46118</v>
      </c>
      <c r="C11912" s="227">
        <v>0.55530092592592595</v>
      </c>
      <c r="D11912" s="228">
        <v>10</v>
      </c>
      <c r="E11912" s="225" t="s">
        <v>679</v>
      </c>
      <c r="F11912" s="225" t="s">
        <v>6946</v>
      </c>
    </row>
    <row r="11913" spans="2:6" ht="17.25" thickBot="1">
      <c r="B11913" s="226">
        <v>46118</v>
      </c>
      <c r="C11913" s="227">
        <v>0.49439814814814814</v>
      </c>
      <c r="D11913" s="228">
        <v>10</v>
      </c>
      <c r="E11913" s="225" t="s">
        <v>7780</v>
      </c>
      <c r="F11913" s="225" t="s">
        <v>6946</v>
      </c>
    </row>
    <row r="11914" spans="2:6" ht="17.25" thickBot="1">
      <c r="B11914" s="226">
        <v>46118</v>
      </c>
      <c r="C11914" s="227">
        <v>0.50326388888888884</v>
      </c>
      <c r="D11914" s="228">
        <v>10</v>
      </c>
      <c r="E11914" s="225" t="s">
        <v>7781</v>
      </c>
      <c r="F11914" s="225" t="s">
        <v>6946</v>
      </c>
    </row>
    <row r="11915" spans="2:6" ht="17.25" thickBot="1">
      <c r="B11915" s="226">
        <v>46118</v>
      </c>
      <c r="C11915" s="227">
        <v>0.48107638888888887</v>
      </c>
      <c r="D11915" s="228">
        <v>10</v>
      </c>
      <c r="E11915" s="225" t="s">
        <v>7782</v>
      </c>
      <c r="F11915" s="225" t="s">
        <v>6946</v>
      </c>
    </row>
    <row r="11916" spans="2:6" ht="17.25" thickBot="1">
      <c r="B11916" s="226">
        <v>46118</v>
      </c>
      <c r="C11916" s="227">
        <v>0.48261574074074076</v>
      </c>
      <c r="D11916" s="228">
        <v>10</v>
      </c>
      <c r="E11916" s="225" t="s">
        <v>7783</v>
      </c>
      <c r="F11916" s="225" t="s">
        <v>6946</v>
      </c>
    </row>
    <row r="11917" spans="2:6" ht="17.25" thickBot="1">
      <c r="B11917" s="226">
        <v>46118</v>
      </c>
      <c r="C11917" s="227">
        <v>0.51222222222222225</v>
      </c>
      <c r="D11917" s="228">
        <v>8</v>
      </c>
      <c r="E11917" s="225" t="s">
        <v>7784</v>
      </c>
      <c r="F11917" s="225" t="s">
        <v>6946</v>
      </c>
    </row>
    <row r="11918" spans="2:6" ht="17.25" thickBot="1">
      <c r="B11918" s="226">
        <v>46118</v>
      </c>
      <c r="C11918" s="227">
        <v>0.46839120370370368</v>
      </c>
      <c r="D11918" s="228">
        <v>10</v>
      </c>
      <c r="E11918" s="225" t="s">
        <v>7785</v>
      </c>
      <c r="F11918" s="225" t="s">
        <v>6946</v>
      </c>
    </row>
    <row r="11919" spans="2:6" ht="17.25" thickBot="1">
      <c r="B11919" s="226">
        <v>46118</v>
      </c>
      <c r="C11919" s="227">
        <v>0.46462962962962967</v>
      </c>
      <c r="D11919" s="228">
        <v>10</v>
      </c>
      <c r="E11919" s="225" t="s">
        <v>7786</v>
      </c>
      <c r="F11919" s="225" t="s">
        <v>6946</v>
      </c>
    </row>
    <row r="11920" spans="2:6" ht="26.25" thickBot="1">
      <c r="B11920" s="226">
        <v>46118</v>
      </c>
      <c r="C11920" s="227">
        <v>0.45682870370370371</v>
      </c>
      <c r="D11920" s="228">
        <v>10</v>
      </c>
      <c r="E11920" s="225" t="s">
        <v>7787</v>
      </c>
      <c r="F11920" s="225" t="s">
        <v>6946</v>
      </c>
    </row>
    <row r="11921" spans="2:6" ht="17.25" thickBot="1">
      <c r="B11921" s="226">
        <v>46118</v>
      </c>
      <c r="C11921" s="227">
        <v>0.46788194444444442</v>
      </c>
      <c r="D11921" s="228">
        <v>10</v>
      </c>
      <c r="E11921" s="225" t="s">
        <v>7788</v>
      </c>
      <c r="F11921" s="225" t="s">
        <v>6946</v>
      </c>
    </row>
    <row r="11922" spans="2:6" ht="17.25" thickBot="1">
      <c r="B11922" s="226">
        <v>46118</v>
      </c>
      <c r="C11922" s="227">
        <v>0.42737268518518517</v>
      </c>
      <c r="D11922" s="228">
        <v>10</v>
      </c>
      <c r="E11922" s="225" t="s">
        <v>7789</v>
      </c>
      <c r="F11922" s="225" t="s">
        <v>6946</v>
      </c>
    </row>
    <row r="11923" spans="2:6" ht="17.25" thickBot="1">
      <c r="B11923" s="226">
        <v>46118</v>
      </c>
      <c r="C11923" s="227">
        <v>0.4192939814814815</v>
      </c>
      <c r="D11923" s="228">
        <v>10</v>
      </c>
      <c r="E11923" s="225" t="s">
        <v>7790</v>
      </c>
      <c r="F11923" s="225" t="s">
        <v>6946</v>
      </c>
    </row>
    <row r="11924" spans="2:6" ht="17.25" thickBot="1">
      <c r="B11924" s="226">
        <v>46118</v>
      </c>
      <c r="C11924" s="227">
        <v>0.40842592592592591</v>
      </c>
      <c r="D11924" s="228">
        <v>10</v>
      </c>
      <c r="E11924" s="225" t="s">
        <v>7791</v>
      </c>
      <c r="F11924" s="225" t="s">
        <v>6946</v>
      </c>
    </row>
    <row r="11925" spans="2:6" ht="17.25" thickBot="1">
      <c r="B11925" s="226">
        <v>46118</v>
      </c>
      <c r="C11925" s="227">
        <v>0.39784722222222224</v>
      </c>
      <c r="D11925" s="228">
        <v>10</v>
      </c>
      <c r="E11925" s="225" t="s">
        <v>7792</v>
      </c>
      <c r="F11925" s="225" t="s">
        <v>6946</v>
      </c>
    </row>
    <row r="11926" spans="2:6" ht="17.25" thickBot="1">
      <c r="B11926" s="226">
        <v>46118</v>
      </c>
      <c r="C11926" s="227">
        <v>0.39527777777777778</v>
      </c>
      <c r="D11926" s="228">
        <v>10</v>
      </c>
      <c r="E11926" s="225" t="s">
        <v>7793</v>
      </c>
      <c r="F11926" s="225" t="s">
        <v>6946</v>
      </c>
    </row>
    <row r="11927" spans="2:6" ht="17.25" thickBot="1">
      <c r="B11927" s="226">
        <v>46116</v>
      </c>
      <c r="C11927" s="227">
        <v>0.72675925925925933</v>
      </c>
      <c r="D11927" s="228">
        <v>10</v>
      </c>
      <c r="E11927" s="225" t="s">
        <v>7794</v>
      </c>
      <c r="F11927" s="225" t="s">
        <v>6946</v>
      </c>
    </row>
    <row r="11928" spans="2:6" ht="17.25" thickBot="1">
      <c r="B11928" s="226">
        <v>46116</v>
      </c>
      <c r="C11928" s="227">
        <v>0.71118055555555548</v>
      </c>
      <c r="D11928" s="228">
        <v>10</v>
      </c>
      <c r="E11928" s="225" t="s">
        <v>7795</v>
      </c>
      <c r="F11928" s="225" t="s">
        <v>6946</v>
      </c>
    </row>
    <row r="11929" spans="2:6" ht="17.25" thickBot="1">
      <c r="B11929" s="226">
        <v>46116</v>
      </c>
      <c r="C11929" s="227">
        <v>0.69453703703703706</v>
      </c>
      <c r="D11929" s="228">
        <v>10</v>
      </c>
      <c r="E11929" s="225" t="s">
        <v>7796</v>
      </c>
      <c r="F11929" s="225" t="s">
        <v>6946</v>
      </c>
    </row>
    <row r="11930" spans="2:6" ht="17.25" thickBot="1">
      <c r="B11930" s="226">
        <v>46116</v>
      </c>
      <c r="C11930" s="227">
        <v>0.67447916666666663</v>
      </c>
      <c r="D11930" s="228">
        <v>10</v>
      </c>
      <c r="E11930" s="225" t="s">
        <v>7797</v>
      </c>
      <c r="F11930" s="225" t="s">
        <v>6946</v>
      </c>
    </row>
    <row r="11931" spans="2:6" ht="17.25" thickBot="1">
      <c r="B11931" s="226">
        <v>46116</v>
      </c>
      <c r="C11931" s="227">
        <v>0.68142361111111116</v>
      </c>
      <c r="D11931" s="228">
        <v>10</v>
      </c>
      <c r="E11931" s="225" t="s">
        <v>7798</v>
      </c>
      <c r="F11931" s="225" t="s">
        <v>6946</v>
      </c>
    </row>
    <row r="11932" spans="2:6" ht="17.25" thickBot="1">
      <c r="B11932" s="226">
        <v>46116</v>
      </c>
      <c r="C11932" s="227">
        <v>0.66293981481481479</v>
      </c>
      <c r="D11932" s="228">
        <v>10</v>
      </c>
      <c r="E11932" s="225" t="s">
        <v>7799</v>
      </c>
      <c r="F11932" s="225" t="s">
        <v>6946</v>
      </c>
    </row>
    <row r="11933" spans="2:6" ht="17.25" thickBot="1">
      <c r="B11933" s="226">
        <v>46116</v>
      </c>
      <c r="C11933" s="227">
        <v>0.66878472222222218</v>
      </c>
      <c r="D11933" s="228">
        <v>10</v>
      </c>
      <c r="E11933" s="225" t="s">
        <v>7800</v>
      </c>
      <c r="F11933" s="225" t="s">
        <v>6946</v>
      </c>
    </row>
    <row r="11934" spans="2:6" ht="17.25" thickBot="1">
      <c r="B11934" s="226">
        <v>46116</v>
      </c>
      <c r="C11934" s="227">
        <v>0.60792824074074081</v>
      </c>
      <c r="D11934" s="228">
        <v>10</v>
      </c>
      <c r="E11934" s="225" t="s">
        <v>7801</v>
      </c>
      <c r="F11934" s="225" t="s">
        <v>6946</v>
      </c>
    </row>
    <row r="11935" spans="2:6" ht="17.25" thickBot="1">
      <c r="B11935" s="226">
        <v>46116</v>
      </c>
      <c r="C11935" s="227">
        <v>0.58428240740740744</v>
      </c>
      <c r="D11935" s="228">
        <v>10</v>
      </c>
      <c r="E11935" s="225" t="s">
        <v>7802</v>
      </c>
      <c r="F11935" s="225" t="s">
        <v>6946</v>
      </c>
    </row>
    <row r="11936" spans="2:6" ht="17.25" thickBot="1">
      <c r="B11936" s="226">
        <v>46116</v>
      </c>
      <c r="C11936" s="227">
        <v>0.57351851851851854</v>
      </c>
      <c r="D11936" s="228">
        <v>10</v>
      </c>
      <c r="E11936" s="225" t="s">
        <v>7803</v>
      </c>
      <c r="F11936" s="225" t="s">
        <v>6946</v>
      </c>
    </row>
    <row r="11937" spans="2:6" ht="39" thickBot="1">
      <c r="B11937" s="226">
        <v>46116</v>
      </c>
      <c r="C11937" s="227">
        <v>0.55732638888888886</v>
      </c>
      <c r="D11937" s="228">
        <v>10</v>
      </c>
      <c r="E11937" s="225" t="s">
        <v>7804</v>
      </c>
      <c r="F11937" s="225" t="s">
        <v>6946</v>
      </c>
    </row>
    <row r="11938" spans="2:6" ht="17.25" thickBot="1">
      <c r="B11938" s="226">
        <v>46116</v>
      </c>
      <c r="C11938" s="227">
        <v>0.55660879629629634</v>
      </c>
      <c r="D11938" s="228">
        <v>10</v>
      </c>
      <c r="E11938" s="225" t="s">
        <v>7805</v>
      </c>
      <c r="F11938" s="225" t="s">
        <v>6946</v>
      </c>
    </row>
    <row r="11939" spans="2:6" ht="17.25" thickBot="1">
      <c r="B11939" s="226">
        <v>46116</v>
      </c>
      <c r="C11939" s="227">
        <v>0.49510416666666668</v>
      </c>
      <c r="D11939" s="228">
        <v>10</v>
      </c>
      <c r="E11939" s="225" t="s">
        <v>7806</v>
      </c>
      <c r="F11939" s="225" t="s">
        <v>6946</v>
      </c>
    </row>
    <row r="11940" spans="2:6" ht="17.25" thickBot="1">
      <c r="B11940" s="226">
        <v>46116</v>
      </c>
      <c r="C11940" s="227">
        <v>0.46697916666666667</v>
      </c>
      <c r="D11940" s="228">
        <v>10</v>
      </c>
      <c r="E11940" s="225" t="s">
        <v>2385</v>
      </c>
      <c r="F11940" s="225" t="s">
        <v>6946</v>
      </c>
    </row>
    <row r="11941" spans="2:6" ht="17.25" thickBot="1">
      <c r="B11941" s="226">
        <v>46116</v>
      </c>
      <c r="C11941" s="227">
        <v>0.45585648148148145</v>
      </c>
      <c r="D11941" s="228">
        <v>5</v>
      </c>
      <c r="E11941" s="225" t="s">
        <v>273</v>
      </c>
      <c r="F11941" s="225" t="s">
        <v>6946</v>
      </c>
    </row>
    <row r="11942" spans="2:6" ht="17.25" thickBot="1">
      <c r="B11942" s="226">
        <v>46116</v>
      </c>
      <c r="C11942" s="227">
        <v>0.44212962962962959</v>
      </c>
      <c r="D11942" s="228">
        <v>10</v>
      </c>
      <c r="E11942" s="225" t="s">
        <v>7807</v>
      </c>
      <c r="F11942" s="225" t="s">
        <v>6946</v>
      </c>
    </row>
    <row r="11943" spans="2:6" ht="17.25" thickBot="1">
      <c r="B11943" s="226">
        <v>46116</v>
      </c>
      <c r="C11943" s="227">
        <v>0.45846064814814813</v>
      </c>
      <c r="D11943" s="228">
        <v>10</v>
      </c>
      <c r="E11943" s="225" t="s">
        <v>7808</v>
      </c>
      <c r="F11943" s="225" t="s">
        <v>6946</v>
      </c>
    </row>
    <row r="11944" spans="2:6" ht="17.25" thickBot="1">
      <c r="B11944" s="226">
        <v>46116</v>
      </c>
      <c r="C11944" s="227">
        <v>0.42496527777777776</v>
      </c>
      <c r="D11944" s="228">
        <v>10</v>
      </c>
      <c r="E11944" s="225" t="s">
        <v>7809</v>
      </c>
      <c r="F11944" s="225" t="s">
        <v>6946</v>
      </c>
    </row>
    <row r="11945" spans="2:6" ht="17.25" thickBot="1">
      <c r="B11945" s="226">
        <v>46115</v>
      </c>
      <c r="C11945" s="227">
        <v>0.88401620370370371</v>
      </c>
      <c r="D11945" s="228">
        <v>10</v>
      </c>
      <c r="E11945" s="225" t="s">
        <v>7810</v>
      </c>
      <c r="F11945" s="225" t="s">
        <v>6946</v>
      </c>
    </row>
    <row r="11946" spans="2:6" ht="17.25" thickBot="1">
      <c r="B11946" s="226">
        <v>46115</v>
      </c>
      <c r="C11946" s="227">
        <v>0.73572916666666666</v>
      </c>
      <c r="D11946" s="228">
        <v>10</v>
      </c>
      <c r="E11946" s="225" t="s">
        <v>7036</v>
      </c>
      <c r="F11946" s="225" t="s">
        <v>6946</v>
      </c>
    </row>
    <row r="11947" spans="2:6" ht="17.25" thickBot="1">
      <c r="B11947" s="226">
        <v>46115</v>
      </c>
      <c r="C11947" s="227">
        <v>0.72483796296296299</v>
      </c>
      <c r="D11947" s="228">
        <v>10</v>
      </c>
      <c r="E11947" s="225" t="s">
        <v>7811</v>
      </c>
      <c r="F11947" s="225" t="s">
        <v>6946</v>
      </c>
    </row>
    <row r="11948" spans="2:6" ht="17.25" thickBot="1">
      <c r="B11948" s="226">
        <v>46115</v>
      </c>
      <c r="C11948" s="227">
        <v>0.70194444444444448</v>
      </c>
      <c r="D11948" s="228">
        <v>10</v>
      </c>
      <c r="E11948" s="225" t="s">
        <v>132</v>
      </c>
      <c r="F11948" s="225" t="s">
        <v>6946</v>
      </c>
    </row>
    <row r="11949" spans="2:6" ht="17.25" thickBot="1">
      <c r="B11949" s="226">
        <v>46115</v>
      </c>
      <c r="C11949" s="227">
        <v>0.70333333333333325</v>
      </c>
      <c r="D11949" s="228">
        <v>10</v>
      </c>
      <c r="E11949" s="225" t="s">
        <v>3444</v>
      </c>
      <c r="F11949" s="225" t="s">
        <v>6946</v>
      </c>
    </row>
    <row r="11950" spans="2:6" ht="17.25" thickBot="1">
      <c r="B11950" s="226">
        <v>46115</v>
      </c>
      <c r="C11950" s="227">
        <v>0.69758101851851861</v>
      </c>
      <c r="D11950" s="228">
        <v>10</v>
      </c>
      <c r="E11950" s="225" t="s">
        <v>7812</v>
      </c>
      <c r="F11950" s="225" t="s">
        <v>6946</v>
      </c>
    </row>
    <row r="11951" spans="2:6" ht="17.25" thickBot="1">
      <c r="B11951" s="226">
        <v>46115</v>
      </c>
      <c r="C11951" s="227">
        <v>0.69601851851851848</v>
      </c>
      <c r="D11951" s="228">
        <v>10</v>
      </c>
      <c r="E11951" s="225" t="s">
        <v>7813</v>
      </c>
      <c r="F11951" s="225" t="s">
        <v>6946</v>
      </c>
    </row>
    <row r="11952" spans="2:6" ht="17.25" thickBot="1">
      <c r="B11952" s="226">
        <v>46115</v>
      </c>
      <c r="C11952" s="227">
        <v>0.6802083333333333</v>
      </c>
      <c r="D11952" s="228">
        <v>10</v>
      </c>
      <c r="E11952" s="225" t="s">
        <v>7033</v>
      </c>
      <c r="F11952" s="225" t="s">
        <v>6946</v>
      </c>
    </row>
    <row r="11953" spans="2:6" ht="17.25" thickBot="1">
      <c r="B11953" s="226">
        <v>46115</v>
      </c>
      <c r="C11953" s="227">
        <v>0.67563657407407407</v>
      </c>
      <c r="D11953" s="228">
        <v>10</v>
      </c>
      <c r="E11953" s="225" t="s">
        <v>7814</v>
      </c>
      <c r="F11953" s="225" t="s">
        <v>6946</v>
      </c>
    </row>
    <row r="11954" spans="2:6" ht="17.25" thickBot="1">
      <c r="B11954" s="226">
        <v>46115</v>
      </c>
      <c r="C11954" s="227">
        <v>0.69810185185185192</v>
      </c>
      <c r="D11954" s="228">
        <v>10</v>
      </c>
      <c r="E11954" s="225" t="s">
        <v>7815</v>
      </c>
      <c r="F11954" s="225" t="s">
        <v>6946</v>
      </c>
    </row>
    <row r="11955" spans="2:6" ht="17.25" thickBot="1">
      <c r="B11955" s="226">
        <v>46115</v>
      </c>
      <c r="C11955" s="227">
        <v>0.67277777777777781</v>
      </c>
      <c r="D11955" s="228">
        <v>10</v>
      </c>
      <c r="E11955" s="225" t="s">
        <v>7816</v>
      </c>
      <c r="F11955" s="225" t="s">
        <v>6946</v>
      </c>
    </row>
    <row r="11956" spans="2:6" ht="17.25" thickBot="1">
      <c r="B11956" s="226">
        <v>46115</v>
      </c>
      <c r="C11956" s="227">
        <v>0.65530092592592593</v>
      </c>
      <c r="D11956" s="228">
        <v>10</v>
      </c>
      <c r="E11956" s="225" t="s">
        <v>7817</v>
      </c>
      <c r="F11956" s="225" t="s">
        <v>6946</v>
      </c>
    </row>
    <row r="11957" spans="2:6" ht="17.25" thickBot="1">
      <c r="B11957" s="226">
        <v>46115</v>
      </c>
      <c r="C11957" s="227">
        <v>0.66100694444444441</v>
      </c>
      <c r="D11957" s="228">
        <v>10</v>
      </c>
      <c r="E11957" s="225" t="s">
        <v>7818</v>
      </c>
      <c r="F11957" s="225" t="s">
        <v>6946</v>
      </c>
    </row>
    <row r="11958" spans="2:6" ht="17.25" thickBot="1">
      <c r="B11958" s="226">
        <v>46115</v>
      </c>
      <c r="C11958" s="227">
        <v>0.63541666666666663</v>
      </c>
      <c r="D11958" s="228">
        <v>10</v>
      </c>
      <c r="E11958" s="225" t="s">
        <v>194</v>
      </c>
      <c r="F11958" s="225" t="s">
        <v>6946</v>
      </c>
    </row>
    <row r="11959" spans="2:6" ht="17.25" thickBot="1">
      <c r="B11959" s="226">
        <v>46115</v>
      </c>
      <c r="C11959" s="227">
        <v>0.63215277777777779</v>
      </c>
      <c r="D11959" s="228">
        <v>10</v>
      </c>
      <c r="E11959" s="225" t="s">
        <v>7819</v>
      </c>
      <c r="F11959" s="225" t="s">
        <v>6946</v>
      </c>
    </row>
    <row r="11960" spans="2:6" ht="17.25" thickBot="1">
      <c r="B11960" s="226">
        <v>46115</v>
      </c>
      <c r="C11960" s="227">
        <v>0.62489583333333332</v>
      </c>
      <c r="D11960" s="228">
        <v>10</v>
      </c>
      <c r="E11960" s="225" t="s">
        <v>7820</v>
      </c>
      <c r="F11960" s="225" t="s">
        <v>6946</v>
      </c>
    </row>
    <row r="11961" spans="2:6" ht="17.25" thickBot="1">
      <c r="B11961" s="226">
        <v>46115</v>
      </c>
      <c r="C11961" s="227">
        <v>0.62083333333333335</v>
      </c>
      <c r="D11961" s="228">
        <v>10</v>
      </c>
      <c r="E11961" s="225" t="s">
        <v>7821</v>
      </c>
      <c r="F11961" s="225" t="s">
        <v>6946</v>
      </c>
    </row>
    <row r="11962" spans="2:6" ht="17.25" thickBot="1">
      <c r="B11962" s="226">
        <v>46115</v>
      </c>
      <c r="C11962" s="227">
        <v>0.60777777777777775</v>
      </c>
      <c r="D11962" s="228">
        <v>10</v>
      </c>
      <c r="E11962" s="225" t="s">
        <v>7822</v>
      </c>
      <c r="F11962" s="225" t="s">
        <v>6946</v>
      </c>
    </row>
    <row r="11963" spans="2:6" ht="17.25" thickBot="1">
      <c r="B11963" s="226">
        <v>46115</v>
      </c>
      <c r="C11963" s="227">
        <v>0.60678240740740741</v>
      </c>
      <c r="D11963" s="228">
        <v>10</v>
      </c>
      <c r="E11963" s="225" t="s">
        <v>132</v>
      </c>
      <c r="F11963" s="225" t="s">
        <v>6946</v>
      </c>
    </row>
    <row r="11964" spans="2:6" ht="17.25" thickBot="1">
      <c r="B11964" s="226">
        <v>46115</v>
      </c>
      <c r="C11964" s="227">
        <v>0.58983796296296298</v>
      </c>
      <c r="D11964" s="228">
        <v>10</v>
      </c>
      <c r="E11964" s="225" t="s">
        <v>132</v>
      </c>
      <c r="F11964" s="225" t="s">
        <v>6946</v>
      </c>
    </row>
    <row r="11965" spans="2:6" ht="17.25" thickBot="1">
      <c r="B11965" s="226">
        <v>46115</v>
      </c>
      <c r="C11965" s="227">
        <v>0.59753472222222215</v>
      </c>
      <c r="D11965" s="228">
        <v>10</v>
      </c>
      <c r="E11965" s="225" t="s">
        <v>7823</v>
      </c>
      <c r="F11965" s="225" t="s">
        <v>6946</v>
      </c>
    </row>
    <row r="11966" spans="2:6" ht="17.25" thickBot="1">
      <c r="B11966" s="226">
        <v>46115</v>
      </c>
      <c r="C11966" s="227">
        <v>0.50821759259259258</v>
      </c>
      <c r="D11966" s="228">
        <v>10</v>
      </c>
      <c r="E11966" s="225" t="s">
        <v>7824</v>
      </c>
      <c r="F11966" s="225" t="s">
        <v>6946</v>
      </c>
    </row>
    <row r="11967" spans="2:6" ht="17.25" thickBot="1">
      <c r="B11967" s="226">
        <v>46115</v>
      </c>
      <c r="C11967" s="227">
        <v>0.49353009259259256</v>
      </c>
      <c r="D11967" s="228">
        <v>10</v>
      </c>
      <c r="E11967" s="225" t="s">
        <v>7825</v>
      </c>
      <c r="F11967" s="225" t="s">
        <v>6946</v>
      </c>
    </row>
    <row r="11968" spans="2:6" ht="17.25" thickBot="1">
      <c r="B11968" s="226">
        <v>46115</v>
      </c>
      <c r="C11968" s="227">
        <v>0.47628472222222223</v>
      </c>
      <c r="D11968" s="228">
        <v>10</v>
      </c>
      <c r="E11968" s="225" t="s">
        <v>7826</v>
      </c>
      <c r="F11968" s="225" t="s">
        <v>6946</v>
      </c>
    </row>
    <row r="11969" spans="2:6" ht="17.25" thickBot="1">
      <c r="B11969" s="226">
        <v>46115</v>
      </c>
      <c r="C11969" s="227">
        <v>0.46280092592592598</v>
      </c>
      <c r="D11969" s="228">
        <v>10</v>
      </c>
      <c r="E11969" s="225" t="s">
        <v>7827</v>
      </c>
      <c r="F11969" s="225" t="s">
        <v>6946</v>
      </c>
    </row>
    <row r="11970" spans="2:6" ht="17.25" thickBot="1">
      <c r="B11970" s="226">
        <v>46115</v>
      </c>
      <c r="C11970" s="227">
        <v>0.435</v>
      </c>
      <c r="D11970" s="228">
        <v>10</v>
      </c>
      <c r="E11970" s="225" t="s">
        <v>7828</v>
      </c>
      <c r="F11970" s="225" t="s">
        <v>6946</v>
      </c>
    </row>
    <row r="11971" spans="2:6" ht="17.25" thickBot="1">
      <c r="B11971" s="226">
        <v>46115</v>
      </c>
      <c r="C11971" s="227">
        <v>0.42410879629629633</v>
      </c>
      <c r="D11971" s="228">
        <v>10</v>
      </c>
      <c r="E11971" s="225" t="s">
        <v>4676</v>
      </c>
      <c r="F11971" s="225" t="s">
        <v>6946</v>
      </c>
    </row>
    <row r="11972" spans="2:6" ht="17.25" thickBot="1">
      <c r="B11972" s="226">
        <v>46115</v>
      </c>
      <c r="C11972" s="227">
        <v>0.42222222222222222</v>
      </c>
      <c r="D11972" s="228">
        <v>10</v>
      </c>
      <c r="E11972" s="225" t="s">
        <v>7829</v>
      </c>
      <c r="F11972" s="225" t="s">
        <v>6946</v>
      </c>
    </row>
    <row r="11973" spans="2:6" ht="17.25" thickBot="1">
      <c r="B11973" s="226">
        <v>46115</v>
      </c>
      <c r="C11973" s="227">
        <v>0.4067013888888889</v>
      </c>
      <c r="D11973" s="228">
        <v>10</v>
      </c>
      <c r="E11973" s="225" t="s">
        <v>7830</v>
      </c>
      <c r="F11973" s="225" t="s">
        <v>6946</v>
      </c>
    </row>
    <row r="11974" spans="2:6" ht="17.25" thickBot="1">
      <c r="B11974" s="226">
        <v>46115</v>
      </c>
      <c r="C11974" s="227">
        <v>0.41239583333333335</v>
      </c>
      <c r="D11974" s="228">
        <v>10</v>
      </c>
      <c r="E11974" s="225" t="s">
        <v>7831</v>
      </c>
      <c r="F11974" s="225" t="s">
        <v>6946</v>
      </c>
    </row>
    <row r="11975" spans="2:6" ht="26.25" thickBot="1">
      <c r="B11975" s="226">
        <v>46115</v>
      </c>
      <c r="C11975" s="227">
        <v>0.39126157407407408</v>
      </c>
      <c r="D11975" s="228">
        <v>10</v>
      </c>
      <c r="E11975" s="225" t="s">
        <v>7832</v>
      </c>
      <c r="F11975" s="225" t="s">
        <v>6946</v>
      </c>
    </row>
    <row r="11976" spans="2:6" ht="17.25" thickBot="1">
      <c r="B11976" s="226">
        <v>46114</v>
      </c>
      <c r="C11976" s="227">
        <v>0.90679398148148149</v>
      </c>
      <c r="D11976" s="228">
        <v>10</v>
      </c>
      <c r="E11976" s="225" t="s">
        <v>7833</v>
      </c>
      <c r="F11976" s="225" t="s">
        <v>6946</v>
      </c>
    </row>
    <row r="11977" spans="2:6" ht="17.25" thickBot="1">
      <c r="B11977" s="226">
        <v>46114</v>
      </c>
      <c r="C11977" s="227">
        <v>0.8934375</v>
      </c>
      <c r="D11977" s="228">
        <v>10</v>
      </c>
      <c r="E11977" s="225" t="s">
        <v>1042</v>
      </c>
      <c r="F11977" s="225" t="s">
        <v>6946</v>
      </c>
    </row>
    <row r="11978" spans="2:6" ht="17.25" thickBot="1">
      <c r="B11978" s="226">
        <v>46114</v>
      </c>
      <c r="C11978" s="227">
        <v>0.86474537037037036</v>
      </c>
      <c r="D11978" s="228">
        <v>10</v>
      </c>
      <c r="E11978" s="225" t="s">
        <v>7834</v>
      </c>
      <c r="F11978" s="225" t="s">
        <v>6946</v>
      </c>
    </row>
    <row r="11979" spans="2:6" ht="26.25" thickBot="1">
      <c r="B11979" s="226">
        <v>46114</v>
      </c>
      <c r="C11979" s="227">
        <v>0.86869212962962961</v>
      </c>
      <c r="D11979" s="228">
        <v>10</v>
      </c>
      <c r="E11979" s="225" t="s">
        <v>7835</v>
      </c>
      <c r="F11979" s="225" t="s">
        <v>6946</v>
      </c>
    </row>
    <row r="11980" spans="2:6" ht="17.25" thickBot="1">
      <c r="B11980" s="226">
        <v>46114</v>
      </c>
      <c r="C11980" s="227">
        <v>0.81297453703703704</v>
      </c>
      <c r="D11980" s="228">
        <v>10</v>
      </c>
      <c r="E11980" s="225" t="s">
        <v>7836</v>
      </c>
      <c r="F11980" s="225" t="s">
        <v>6946</v>
      </c>
    </row>
    <row r="11981" spans="2:6" ht="17.25" thickBot="1">
      <c r="B11981" s="226">
        <v>46114</v>
      </c>
      <c r="C11981" s="227">
        <v>0.78403935185185192</v>
      </c>
      <c r="D11981" s="228">
        <v>10</v>
      </c>
      <c r="E11981" s="225" t="s">
        <v>7008</v>
      </c>
      <c r="F11981" s="225" t="s">
        <v>6946</v>
      </c>
    </row>
    <row r="11982" spans="2:6" ht="17.25" thickBot="1">
      <c r="B11982" s="226">
        <v>46114</v>
      </c>
      <c r="C11982" s="227">
        <v>0.77021990740740742</v>
      </c>
      <c r="D11982" s="228">
        <v>10</v>
      </c>
      <c r="E11982" s="225" t="s">
        <v>7837</v>
      </c>
      <c r="F11982" s="225" t="s">
        <v>6946</v>
      </c>
    </row>
    <row r="11983" spans="2:6" ht="17.25" thickBot="1">
      <c r="B11983" s="226">
        <v>46114</v>
      </c>
      <c r="C11983" s="227">
        <v>0.76819444444444451</v>
      </c>
      <c r="D11983" s="228">
        <v>10</v>
      </c>
      <c r="E11983" s="225" t="s">
        <v>7838</v>
      </c>
      <c r="F11983" s="225" t="s">
        <v>6946</v>
      </c>
    </row>
    <row r="11984" spans="2:6" ht="17.25" thickBot="1">
      <c r="B11984" s="226">
        <v>46114</v>
      </c>
      <c r="C11984" s="227">
        <v>0.74844907407407402</v>
      </c>
      <c r="D11984" s="228">
        <v>10</v>
      </c>
      <c r="E11984" s="225" t="s">
        <v>7839</v>
      </c>
      <c r="F11984" s="225" t="s">
        <v>6946</v>
      </c>
    </row>
    <row r="11985" spans="2:6" ht="17.25" thickBot="1">
      <c r="B11985" s="226">
        <v>46114</v>
      </c>
      <c r="C11985" s="227">
        <v>0.75299768518518517</v>
      </c>
      <c r="D11985" s="228">
        <v>10</v>
      </c>
      <c r="E11985" s="225" t="s">
        <v>7840</v>
      </c>
      <c r="F11985" s="225" t="s">
        <v>6946</v>
      </c>
    </row>
    <row r="11986" spans="2:6" ht="17.25" thickBot="1">
      <c r="B11986" s="226">
        <v>46114</v>
      </c>
      <c r="C11986" s="227">
        <v>0.72978009259259258</v>
      </c>
      <c r="D11986" s="228">
        <v>10</v>
      </c>
      <c r="E11986" s="225" t="s">
        <v>3687</v>
      </c>
      <c r="F11986" s="225" t="s">
        <v>6946</v>
      </c>
    </row>
    <row r="11987" spans="2:6" ht="17.25" thickBot="1">
      <c r="B11987" s="226">
        <v>46114</v>
      </c>
      <c r="C11987" s="227">
        <v>0.72219907407407413</v>
      </c>
      <c r="D11987" s="228">
        <v>10</v>
      </c>
      <c r="E11987" s="225" t="s">
        <v>246</v>
      </c>
      <c r="F11987" s="225" t="s">
        <v>6946</v>
      </c>
    </row>
    <row r="11988" spans="2:6" ht="17.25" thickBot="1">
      <c r="B11988" s="226">
        <v>46114</v>
      </c>
      <c r="C11988" s="227">
        <v>0.72767361111111117</v>
      </c>
      <c r="D11988" s="228">
        <v>10</v>
      </c>
      <c r="E11988" s="225" t="s">
        <v>6360</v>
      </c>
      <c r="F11988" s="225" t="s">
        <v>6946</v>
      </c>
    </row>
    <row r="11989" spans="2:6" ht="17.25" thickBot="1">
      <c r="B11989" s="226">
        <v>46114</v>
      </c>
      <c r="C11989" s="227">
        <v>0.69643518518518521</v>
      </c>
      <c r="D11989" s="228">
        <v>10</v>
      </c>
      <c r="E11989" s="225" t="s">
        <v>132</v>
      </c>
      <c r="F11989" s="225" t="s">
        <v>6946</v>
      </c>
    </row>
    <row r="11990" spans="2:6" ht="17.25" thickBot="1">
      <c r="B11990" s="226">
        <v>46114</v>
      </c>
      <c r="C11990" s="227">
        <v>0.68998842592592602</v>
      </c>
      <c r="D11990" s="228">
        <v>10</v>
      </c>
      <c r="E11990" s="225" t="s">
        <v>7841</v>
      </c>
      <c r="F11990" s="225" t="s">
        <v>6946</v>
      </c>
    </row>
    <row r="11991" spans="2:6" ht="17.25" thickBot="1">
      <c r="B11991" s="226">
        <v>46114</v>
      </c>
      <c r="C11991" s="227">
        <v>0.69192129629629628</v>
      </c>
      <c r="D11991" s="228">
        <v>10</v>
      </c>
      <c r="E11991" s="225" t="s">
        <v>2385</v>
      </c>
      <c r="F11991" s="225" t="s">
        <v>6946</v>
      </c>
    </row>
    <row r="11992" spans="2:6" ht="17.25" thickBot="1">
      <c r="B11992" s="226">
        <v>46114</v>
      </c>
      <c r="C11992" s="227">
        <v>0.68909722222222225</v>
      </c>
      <c r="D11992" s="228">
        <v>10</v>
      </c>
      <c r="E11992" s="225" t="s">
        <v>7842</v>
      </c>
      <c r="F11992" s="225" t="s">
        <v>6946</v>
      </c>
    </row>
    <row r="11993" spans="2:6" ht="17.25" thickBot="1">
      <c r="B11993" s="226">
        <v>46114</v>
      </c>
      <c r="C11993" s="227">
        <v>0.67879629629629623</v>
      </c>
      <c r="D11993" s="228">
        <v>10</v>
      </c>
      <c r="E11993" s="225" t="s">
        <v>246</v>
      </c>
      <c r="F11993" s="225" t="s">
        <v>6946</v>
      </c>
    </row>
    <row r="11994" spans="2:6" ht="17.25" thickBot="1">
      <c r="B11994" s="226">
        <v>46114</v>
      </c>
      <c r="C11994" s="227">
        <v>0.67795138888888884</v>
      </c>
      <c r="D11994" s="228">
        <v>10</v>
      </c>
      <c r="E11994" s="225" t="s">
        <v>214</v>
      </c>
      <c r="F11994" s="225" t="s">
        <v>6946</v>
      </c>
    </row>
    <row r="11995" spans="2:6" ht="17.25" thickBot="1">
      <c r="B11995" s="226">
        <v>46114</v>
      </c>
      <c r="C11995" s="227">
        <v>0.67443287037037036</v>
      </c>
      <c r="D11995" s="228">
        <v>10</v>
      </c>
      <c r="E11995" s="225" t="s">
        <v>7843</v>
      </c>
      <c r="F11995" s="225" t="s">
        <v>6946</v>
      </c>
    </row>
    <row r="11996" spans="2:6" ht="17.25" thickBot="1">
      <c r="B11996" s="226">
        <v>46114</v>
      </c>
      <c r="C11996" s="227">
        <v>0.67622685185185183</v>
      </c>
      <c r="D11996" s="228">
        <v>10</v>
      </c>
      <c r="E11996" s="225" t="s">
        <v>7844</v>
      </c>
      <c r="F11996" s="225" t="s">
        <v>6946</v>
      </c>
    </row>
    <row r="11997" spans="2:6" ht="17.25" thickBot="1">
      <c r="B11997" s="226">
        <v>46114</v>
      </c>
      <c r="C11997" s="227">
        <v>0.67162037037037037</v>
      </c>
      <c r="D11997" s="228">
        <v>10</v>
      </c>
      <c r="E11997" s="225" t="s">
        <v>7845</v>
      </c>
      <c r="F11997" s="225" t="s">
        <v>6946</v>
      </c>
    </row>
    <row r="11998" spans="2:6" ht="17.25" thickBot="1">
      <c r="B11998" s="226">
        <v>46114</v>
      </c>
      <c r="C11998" s="227">
        <v>0.66765046296296304</v>
      </c>
      <c r="D11998" s="228">
        <v>10</v>
      </c>
      <c r="E11998" s="225" t="s">
        <v>7846</v>
      </c>
      <c r="F11998" s="225" t="s">
        <v>6946</v>
      </c>
    </row>
    <row r="11999" spans="2:6" ht="17.25" thickBot="1">
      <c r="B11999" s="226">
        <v>46114</v>
      </c>
      <c r="C11999" s="227">
        <v>0.64777777777777779</v>
      </c>
      <c r="D11999" s="228">
        <v>10</v>
      </c>
      <c r="E11999" s="225" t="s">
        <v>313</v>
      </c>
      <c r="F11999" s="225" t="s">
        <v>6946</v>
      </c>
    </row>
    <row r="12000" spans="2:6" ht="17.25" thickBot="1">
      <c r="B12000" s="226">
        <v>46114</v>
      </c>
      <c r="C12000" s="227">
        <v>0.63167824074074075</v>
      </c>
      <c r="D12000" s="228">
        <v>10</v>
      </c>
      <c r="E12000" s="225" t="s">
        <v>7847</v>
      </c>
      <c r="F12000" s="225" t="s">
        <v>6946</v>
      </c>
    </row>
    <row r="12001" spans="2:6" ht="17.25" thickBot="1">
      <c r="B12001" s="226">
        <v>46114</v>
      </c>
      <c r="C12001" s="227">
        <v>0.63853009259259264</v>
      </c>
      <c r="D12001" s="228">
        <v>10</v>
      </c>
      <c r="E12001" s="225" t="s">
        <v>7848</v>
      </c>
      <c r="F12001" s="225" t="s">
        <v>6946</v>
      </c>
    </row>
    <row r="12002" spans="2:6" ht="17.25" thickBot="1">
      <c r="B12002" s="226">
        <v>46114</v>
      </c>
      <c r="C12002" s="227">
        <v>0.62936342592592587</v>
      </c>
      <c r="D12002" s="228">
        <v>10</v>
      </c>
      <c r="E12002" s="225" t="s">
        <v>4375</v>
      </c>
      <c r="F12002" s="225" t="s">
        <v>6946</v>
      </c>
    </row>
    <row r="12003" spans="2:6" ht="17.25" thickBot="1">
      <c r="B12003" s="226">
        <v>46114</v>
      </c>
      <c r="C12003" s="227">
        <v>0.62457175925925923</v>
      </c>
      <c r="D12003" s="228">
        <v>10</v>
      </c>
      <c r="E12003" s="225" t="s">
        <v>7849</v>
      </c>
      <c r="F12003" s="225" t="s">
        <v>6946</v>
      </c>
    </row>
    <row r="12004" spans="2:6" ht="17.25" thickBot="1">
      <c r="B12004" s="226">
        <v>46114</v>
      </c>
      <c r="C12004" s="227">
        <v>0.62880787037037034</v>
      </c>
      <c r="D12004" s="228">
        <v>10</v>
      </c>
      <c r="E12004" s="225" t="s">
        <v>7850</v>
      </c>
      <c r="F12004" s="225" t="s">
        <v>6946</v>
      </c>
    </row>
    <row r="12005" spans="2:6" ht="17.25" thickBot="1">
      <c r="B12005" s="226">
        <v>46114</v>
      </c>
      <c r="C12005" s="227">
        <v>0.61626157407407411</v>
      </c>
      <c r="D12005" s="228">
        <v>10</v>
      </c>
      <c r="E12005" s="225" t="s">
        <v>244</v>
      </c>
      <c r="F12005" s="225" t="s">
        <v>6946</v>
      </c>
    </row>
    <row r="12006" spans="2:6" ht="17.25" thickBot="1">
      <c r="B12006" s="226">
        <v>46114</v>
      </c>
      <c r="C12006" s="227">
        <v>0.60376157407407405</v>
      </c>
      <c r="D12006" s="228">
        <v>10</v>
      </c>
      <c r="E12006" s="225" t="s">
        <v>7851</v>
      </c>
      <c r="F12006" s="225" t="s">
        <v>6946</v>
      </c>
    </row>
    <row r="12007" spans="2:6" ht="17.25" thickBot="1">
      <c r="B12007" s="226">
        <v>46114</v>
      </c>
      <c r="C12007" s="227">
        <v>0.59987268518518522</v>
      </c>
      <c r="D12007" s="228">
        <v>10</v>
      </c>
      <c r="E12007" s="225" t="s">
        <v>7852</v>
      </c>
      <c r="F12007" s="225" t="s">
        <v>6946</v>
      </c>
    </row>
    <row r="12008" spans="2:6" ht="17.25" thickBot="1">
      <c r="B12008" s="226">
        <v>46114</v>
      </c>
      <c r="C12008" s="227">
        <v>0.59375</v>
      </c>
      <c r="D12008" s="228">
        <v>10</v>
      </c>
      <c r="E12008" s="225" t="s">
        <v>7853</v>
      </c>
      <c r="F12008" s="225" t="s">
        <v>6946</v>
      </c>
    </row>
    <row r="12009" spans="2:6" ht="17.25" thickBot="1">
      <c r="B12009" s="226">
        <v>46114</v>
      </c>
      <c r="C12009" s="227">
        <v>0.57572916666666674</v>
      </c>
      <c r="D12009" s="228">
        <v>10</v>
      </c>
      <c r="E12009" s="225" t="s">
        <v>7854</v>
      </c>
      <c r="F12009" s="225" t="s">
        <v>6946</v>
      </c>
    </row>
    <row r="12010" spans="2:6" ht="17.25" thickBot="1">
      <c r="B12010" s="226">
        <v>46114</v>
      </c>
      <c r="C12010" s="227">
        <v>0.56994212962962965</v>
      </c>
      <c r="D12010" s="228">
        <v>10</v>
      </c>
      <c r="E12010" s="225" t="s">
        <v>244</v>
      </c>
      <c r="F12010" s="225" t="s">
        <v>6946</v>
      </c>
    </row>
    <row r="12011" spans="2:6" ht="17.25" thickBot="1">
      <c r="B12011" s="226">
        <v>46114</v>
      </c>
      <c r="C12011" s="227">
        <v>0.57225694444444442</v>
      </c>
      <c r="D12011" s="228">
        <v>10</v>
      </c>
      <c r="E12011" s="225" t="s">
        <v>244</v>
      </c>
      <c r="F12011" s="225" t="s">
        <v>6946</v>
      </c>
    </row>
    <row r="12012" spans="2:6" ht="17.25" thickBot="1">
      <c r="B12012" s="226">
        <v>46114</v>
      </c>
      <c r="C12012" s="227">
        <v>0.5681018518518518</v>
      </c>
      <c r="D12012" s="228">
        <v>10</v>
      </c>
      <c r="E12012" s="225" t="s">
        <v>7855</v>
      </c>
      <c r="F12012" s="225" t="s">
        <v>6946</v>
      </c>
    </row>
    <row r="12013" spans="2:6" ht="17.25" thickBot="1">
      <c r="B12013" s="226">
        <v>46114</v>
      </c>
      <c r="C12013" s="227">
        <v>0.57461805555555556</v>
      </c>
      <c r="D12013" s="228">
        <v>10</v>
      </c>
      <c r="E12013" s="225" t="s">
        <v>7856</v>
      </c>
      <c r="F12013" s="225" t="s">
        <v>6946</v>
      </c>
    </row>
    <row r="12014" spans="2:6" ht="17.25" thickBot="1">
      <c r="B12014" s="226">
        <v>46114</v>
      </c>
      <c r="C12014" s="227">
        <v>0.55707175925925922</v>
      </c>
      <c r="D12014" s="228">
        <v>10</v>
      </c>
      <c r="E12014" s="225" t="s">
        <v>7857</v>
      </c>
      <c r="F12014" s="225" t="s">
        <v>6946</v>
      </c>
    </row>
    <row r="12015" spans="2:6" ht="17.25" thickBot="1">
      <c r="B12015" s="226">
        <v>46114</v>
      </c>
      <c r="C12015" s="227">
        <v>0.5192592592592592</v>
      </c>
      <c r="D12015" s="228">
        <v>10</v>
      </c>
      <c r="E12015" s="225" t="s">
        <v>7858</v>
      </c>
      <c r="F12015" s="225" t="s">
        <v>6946</v>
      </c>
    </row>
    <row r="12016" spans="2:6" ht="17.25" thickBot="1">
      <c r="B12016" s="226">
        <v>46114</v>
      </c>
      <c r="C12016" s="227">
        <v>0.48754629629629626</v>
      </c>
      <c r="D12016" s="228">
        <v>10</v>
      </c>
      <c r="E12016" s="225" t="s">
        <v>7859</v>
      </c>
      <c r="F12016" s="225" t="s">
        <v>6946</v>
      </c>
    </row>
    <row r="12017" spans="2:6" ht="17.25" thickBot="1">
      <c r="B12017" s="226">
        <v>46114</v>
      </c>
      <c r="C12017" s="227">
        <v>0.4689699074074074</v>
      </c>
      <c r="D12017" s="228">
        <v>10</v>
      </c>
      <c r="E12017" s="225" t="s">
        <v>7860</v>
      </c>
      <c r="F12017" s="225" t="s">
        <v>6946</v>
      </c>
    </row>
    <row r="12018" spans="2:6" ht="17.25" thickBot="1">
      <c r="B12018" s="226">
        <v>46114</v>
      </c>
      <c r="C12018" s="227">
        <v>0.47817129629629629</v>
      </c>
      <c r="D12018" s="228">
        <v>10</v>
      </c>
      <c r="E12018" s="225" t="s">
        <v>7861</v>
      </c>
      <c r="F12018" s="225" t="s">
        <v>6946</v>
      </c>
    </row>
    <row r="12019" spans="2:6" ht="17.25" thickBot="1">
      <c r="B12019" s="226">
        <v>46114</v>
      </c>
      <c r="C12019" s="227">
        <v>0.4568402777777778</v>
      </c>
      <c r="D12019" s="228">
        <v>10</v>
      </c>
      <c r="E12019" s="225" t="s">
        <v>7862</v>
      </c>
      <c r="F12019" s="225" t="s">
        <v>6946</v>
      </c>
    </row>
    <row r="12020" spans="2:6" ht="17.25" thickBot="1">
      <c r="B12020" s="226">
        <v>46114</v>
      </c>
      <c r="C12020" s="227">
        <v>0.43443287037037037</v>
      </c>
      <c r="D12020" s="228">
        <v>10</v>
      </c>
      <c r="E12020" s="225" t="s">
        <v>7863</v>
      </c>
      <c r="F12020" s="225" t="s">
        <v>6946</v>
      </c>
    </row>
    <row r="12021" spans="2:6" ht="17.25" thickBot="1">
      <c r="B12021" s="226">
        <v>46114</v>
      </c>
      <c r="C12021" s="227">
        <v>0.4223958333333333</v>
      </c>
      <c r="D12021" s="228">
        <v>10</v>
      </c>
      <c r="E12021" s="225" t="s">
        <v>7864</v>
      </c>
      <c r="F12021" s="225" t="s">
        <v>6946</v>
      </c>
    </row>
    <row r="12022" spans="2:6" ht="17.25" thickBot="1">
      <c r="B12022" s="226">
        <v>46114</v>
      </c>
      <c r="C12022" s="227">
        <v>0.61075231481481485</v>
      </c>
      <c r="D12022" s="228">
        <v>10</v>
      </c>
      <c r="E12022" s="225" t="s">
        <v>7865</v>
      </c>
      <c r="F12022" s="225" t="s">
        <v>6946</v>
      </c>
    </row>
    <row r="12023" spans="2:6" ht="17.25" thickBot="1">
      <c r="B12023" s="226">
        <v>46114</v>
      </c>
      <c r="C12023" s="227">
        <v>0.41252314814814817</v>
      </c>
      <c r="D12023" s="228">
        <v>10</v>
      </c>
      <c r="E12023" s="225" t="s">
        <v>7866</v>
      </c>
      <c r="F12023" s="225" t="s">
        <v>6946</v>
      </c>
    </row>
    <row r="12024" spans="2:6" ht="17.25" thickBot="1">
      <c r="B12024" s="226">
        <v>46114</v>
      </c>
      <c r="C12024" s="227">
        <v>0.39802083333333332</v>
      </c>
      <c r="D12024" s="228">
        <v>9</v>
      </c>
      <c r="E12024" s="225" t="s">
        <v>7867</v>
      </c>
      <c r="F12024" s="225" t="s">
        <v>6946</v>
      </c>
    </row>
    <row r="12025" spans="2:6" ht="17.25" thickBot="1">
      <c r="B12025" s="226">
        <v>46114</v>
      </c>
      <c r="C12025" s="227">
        <v>0.38675925925925925</v>
      </c>
      <c r="D12025" s="228">
        <v>10</v>
      </c>
      <c r="E12025" s="225" t="s">
        <v>1533</v>
      </c>
      <c r="F12025" s="225" t="s">
        <v>6946</v>
      </c>
    </row>
    <row r="12026" spans="2:6" ht="17.25" thickBot="1">
      <c r="B12026" s="226">
        <v>46114</v>
      </c>
      <c r="C12026" s="227">
        <v>0.60803240740740738</v>
      </c>
      <c r="D12026" s="228">
        <v>10</v>
      </c>
      <c r="E12026" s="225" t="s">
        <v>7868</v>
      </c>
      <c r="F12026" s="225" t="s">
        <v>6946</v>
      </c>
    </row>
    <row r="12027" spans="2:6" ht="17.25" thickBot="1">
      <c r="B12027" s="226">
        <v>46113</v>
      </c>
      <c r="C12027" s="227">
        <v>0.92008101851851853</v>
      </c>
      <c r="D12027" s="228">
        <v>10</v>
      </c>
      <c r="E12027" s="225" t="s">
        <v>7869</v>
      </c>
      <c r="F12027" s="225" t="s">
        <v>6946</v>
      </c>
    </row>
    <row r="12028" spans="2:6" ht="17.25" thickBot="1">
      <c r="B12028" s="226">
        <v>46113</v>
      </c>
      <c r="C12028" s="227">
        <v>0.8924537037037038</v>
      </c>
      <c r="D12028" s="228">
        <v>10</v>
      </c>
      <c r="E12028" s="225" t="s">
        <v>7870</v>
      </c>
      <c r="F12028" s="225" t="s">
        <v>6946</v>
      </c>
    </row>
    <row r="12029" spans="2:6" ht="17.25" thickBot="1">
      <c r="B12029" s="226">
        <v>46113</v>
      </c>
      <c r="C12029" s="227">
        <v>0.8483680555555555</v>
      </c>
      <c r="D12029" s="228">
        <v>10</v>
      </c>
      <c r="E12029" s="225" t="s">
        <v>7871</v>
      </c>
      <c r="F12029" s="225" t="s">
        <v>6946</v>
      </c>
    </row>
    <row r="12030" spans="2:6" ht="17.25" thickBot="1">
      <c r="B12030" s="226">
        <v>46113</v>
      </c>
      <c r="C12030" s="227">
        <v>0.84434027777777787</v>
      </c>
      <c r="D12030" s="228">
        <v>10</v>
      </c>
      <c r="E12030" s="225" t="s">
        <v>6284</v>
      </c>
      <c r="F12030" s="225" t="s">
        <v>6946</v>
      </c>
    </row>
    <row r="12031" spans="2:6" ht="17.25" thickBot="1">
      <c r="B12031" s="226">
        <v>46113</v>
      </c>
      <c r="C12031" s="227">
        <v>0.84354166666666675</v>
      </c>
      <c r="D12031" s="228">
        <v>10</v>
      </c>
      <c r="E12031" s="225" t="s">
        <v>7872</v>
      </c>
      <c r="F12031" s="225" t="s">
        <v>6946</v>
      </c>
    </row>
    <row r="12032" spans="2:6" ht="17.25" thickBot="1">
      <c r="B12032" s="226">
        <v>46113</v>
      </c>
      <c r="C12032" s="227">
        <v>0.79219907407407408</v>
      </c>
      <c r="D12032" s="228">
        <v>10</v>
      </c>
      <c r="E12032" s="225" t="s">
        <v>7873</v>
      </c>
      <c r="F12032" s="225" t="s">
        <v>6946</v>
      </c>
    </row>
    <row r="12033" spans="2:6" ht="17.25" thickBot="1">
      <c r="B12033" s="226">
        <v>46113</v>
      </c>
      <c r="C12033" s="227">
        <v>0.78381944444444451</v>
      </c>
      <c r="D12033" s="228">
        <v>10</v>
      </c>
      <c r="E12033" s="225" t="s">
        <v>7874</v>
      </c>
      <c r="F12033" s="225" t="s">
        <v>6946</v>
      </c>
    </row>
    <row r="12034" spans="2:6" ht="17.25" thickBot="1">
      <c r="B12034" s="226">
        <v>46113</v>
      </c>
      <c r="C12034" s="227">
        <v>0.78238425925925925</v>
      </c>
      <c r="D12034" s="228">
        <v>10</v>
      </c>
      <c r="E12034" s="225" t="s">
        <v>7875</v>
      </c>
      <c r="F12034" s="225" t="s">
        <v>6946</v>
      </c>
    </row>
    <row r="12035" spans="2:6" ht="17.25" thickBot="1">
      <c r="B12035" s="226">
        <v>46113</v>
      </c>
      <c r="C12035" s="227">
        <v>0.7820138888888889</v>
      </c>
      <c r="D12035" s="228">
        <v>10</v>
      </c>
      <c r="E12035" s="225" t="s">
        <v>7876</v>
      </c>
      <c r="F12035" s="225" t="s">
        <v>6946</v>
      </c>
    </row>
    <row r="12036" spans="2:6" ht="17.25" thickBot="1">
      <c r="B12036" s="226">
        <v>46113</v>
      </c>
      <c r="C12036" s="227">
        <v>0.75031250000000005</v>
      </c>
      <c r="D12036" s="228">
        <v>10</v>
      </c>
      <c r="E12036" s="225" t="s">
        <v>7877</v>
      </c>
      <c r="F12036" s="225" t="s">
        <v>6946</v>
      </c>
    </row>
    <row r="12037" spans="2:6" ht="17.25" thickBot="1">
      <c r="B12037" s="226">
        <v>46113</v>
      </c>
      <c r="C12037" s="227">
        <v>0.74986111111111109</v>
      </c>
      <c r="D12037" s="228">
        <v>10</v>
      </c>
      <c r="E12037" s="225" t="s">
        <v>7878</v>
      </c>
      <c r="F12037" s="225" t="s">
        <v>6946</v>
      </c>
    </row>
    <row r="12038" spans="2:6" ht="17.25" thickBot="1">
      <c r="B12038" s="226">
        <v>46113</v>
      </c>
      <c r="C12038" s="227">
        <v>0.74630787037037039</v>
      </c>
      <c r="D12038" s="228">
        <v>10</v>
      </c>
      <c r="E12038" s="225" t="s">
        <v>7879</v>
      </c>
      <c r="F12038" s="225" t="s">
        <v>6946</v>
      </c>
    </row>
    <row r="12039" spans="2:6" ht="17.25" thickBot="1">
      <c r="B12039" s="226">
        <v>46113</v>
      </c>
      <c r="C12039" s="227">
        <v>0.70432870370370371</v>
      </c>
      <c r="D12039" s="228">
        <v>10</v>
      </c>
      <c r="E12039" s="225" t="s">
        <v>1206</v>
      </c>
      <c r="F12039" s="225" t="s">
        <v>6946</v>
      </c>
    </row>
    <row r="12040" spans="2:6" ht="17.25" thickBot="1">
      <c r="B12040" s="226">
        <v>46113</v>
      </c>
      <c r="C12040" s="227">
        <v>0.68493055555555549</v>
      </c>
      <c r="D12040" s="228">
        <v>10</v>
      </c>
      <c r="E12040" s="225" t="s">
        <v>7880</v>
      </c>
      <c r="F12040" s="225" t="s">
        <v>6946</v>
      </c>
    </row>
    <row r="12041" spans="2:6" ht="17.25" thickBot="1">
      <c r="B12041" s="226">
        <v>46113</v>
      </c>
      <c r="C12041" s="227">
        <v>0.66471064814814818</v>
      </c>
      <c r="D12041" s="228">
        <v>10</v>
      </c>
      <c r="E12041" s="225" t="s">
        <v>7881</v>
      </c>
      <c r="F12041" s="225" t="s">
        <v>6946</v>
      </c>
    </row>
    <row r="12042" spans="2:6" ht="17.25" thickBot="1">
      <c r="B12042" s="226">
        <v>46113</v>
      </c>
      <c r="C12042" s="227">
        <v>0.66146990740740741</v>
      </c>
      <c r="D12042" s="228">
        <v>10</v>
      </c>
      <c r="E12042" s="225" t="s">
        <v>7882</v>
      </c>
      <c r="F12042" s="225" t="s">
        <v>6946</v>
      </c>
    </row>
    <row r="12043" spans="2:6" ht="17.25" thickBot="1">
      <c r="B12043" s="226">
        <v>46113</v>
      </c>
      <c r="C12043" s="227">
        <v>0.64853009259259264</v>
      </c>
      <c r="D12043" s="228">
        <v>10</v>
      </c>
      <c r="E12043" s="225" t="s">
        <v>7853</v>
      </c>
      <c r="F12043" s="225" t="s">
        <v>6946</v>
      </c>
    </row>
    <row r="12044" spans="2:6" ht="17.25" thickBot="1">
      <c r="B12044" s="226">
        <v>46113</v>
      </c>
      <c r="C12044" s="227">
        <v>0.64248842592592592</v>
      </c>
      <c r="D12044" s="228">
        <v>10</v>
      </c>
      <c r="E12044" s="225" t="s">
        <v>7883</v>
      </c>
      <c r="F12044" s="225" t="s">
        <v>6946</v>
      </c>
    </row>
    <row r="12045" spans="2:6" ht="17.25" thickBot="1">
      <c r="B12045" s="226">
        <v>46113</v>
      </c>
      <c r="C12045" s="227">
        <v>0.63972222222222219</v>
      </c>
      <c r="D12045" s="228">
        <v>10</v>
      </c>
      <c r="E12045" s="225" t="s">
        <v>246</v>
      </c>
      <c r="F12045" s="225" t="s">
        <v>6946</v>
      </c>
    </row>
    <row r="12046" spans="2:6" ht="17.25" thickBot="1">
      <c r="B12046" s="226">
        <v>46113</v>
      </c>
      <c r="C12046" s="227">
        <v>0.63296296296296295</v>
      </c>
      <c r="D12046" s="228">
        <v>10</v>
      </c>
      <c r="E12046" s="225" t="s">
        <v>7884</v>
      </c>
      <c r="F12046" s="225" t="s">
        <v>6946</v>
      </c>
    </row>
    <row r="12047" spans="2:6" ht="17.25" thickBot="1">
      <c r="B12047" s="226">
        <v>46113</v>
      </c>
      <c r="C12047" s="227">
        <v>0.62563657407407403</v>
      </c>
      <c r="D12047" s="228">
        <v>10</v>
      </c>
      <c r="E12047" s="225" t="s">
        <v>7885</v>
      </c>
      <c r="F12047" s="225" t="s">
        <v>6946</v>
      </c>
    </row>
    <row r="12048" spans="2:6" ht="17.25" thickBot="1">
      <c r="B12048" s="226">
        <v>46113</v>
      </c>
      <c r="C12048" s="227">
        <v>0.62688657407407411</v>
      </c>
      <c r="D12048" s="228">
        <v>10</v>
      </c>
      <c r="E12048" s="225" t="s">
        <v>132</v>
      </c>
      <c r="F12048" s="225" t="s">
        <v>6946</v>
      </c>
    </row>
    <row r="12049" spans="2:6" ht="17.25" thickBot="1">
      <c r="B12049" s="226">
        <v>46113</v>
      </c>
      <c r="C12049" s="227">
        <v>0.60894675925925923</v>
      </c>
      <c r="D12049" s="228">
        <v>10</v>
      </c>
      <c r="E12049" s="225" t="s">
        <v>7886</v>
      </c>
      <c r="F12049" s="225" t="s">
        <v>6946</v>
      </c>
    </row>
    <row r="12050" spans="2:6" ht="17.25" thickBot="1">
      <c r="B12050" s="226">
        <v>46113</v>
      </c>
      <c r="C12050" s="227">
        <v>0.59930555555555554</v>
      </c>
      <c r="D12050" s="228">
        <v>10</v>
      </c>
      <c r="E12050" s="225" t="s">
        <v>7887</v>
      </c>
      <c r="F12050" s="225" t="s">
        <v>6946</v>
      </c>
    </row>
    <row r="12051" spans="2:6" ht="17.25" thickBot="1">
      <c r="B12051" s="226">
        <v>46113</v>
      </c>
      <c r="C12051" s="227">
        <v>0.60270833333333329</v>
      </c>
      <c r="D12051" s="228">
        <v>10</v>
      </c>
      <c r="E12051" s="225" t="s">
        <v>7888</v>
      </c>
      <c r="F12051" s="225" t="s">
        <v>6946</v>
      </c>
    </row>
    <row r="12052" spans="2:6" ht="39" thickBot="1">
      <c r="B12052" s="226">
        <v>46113</v>
      </c>
      <c r="C12052" s="227">
        <v>0.58462962962962961</v>
      </c>
      <c r="D12052" s="228">
        <v>10</v>
      </c>
      <c r="E12052" s="225" t="s">
        <v>7889</v>
      </c>
      <c r="F12052" s="225" t="s">
        <v>6946</v>
      </c>
    </row>
    <row r="12053" spans="2:6" ht="26.25" thickBot="1">
      <c r="B12053" s="226">
        <v>46113</v>
      </c>
      <c r="C12053" s="227">
        <v>0.58195601851851853</v>
      </c>
      <c r="D12053" s="228">
        <v>10</v>
      </c>
      <c r="E12053" s="225" t="s">
        <v>7890</v>
      </c>
      <c r="F12053" s="225" t="s">
        <v>6946</v>
      </c>
    </row>
    <row r="12054" spans="2:6" ht="17.25" thickBot="1">
      <c r="B12054" s="226">
        <v>46113</v>
      </c>
      <c r="C12054" s="227">
        <v>0.56328703703703698</v>
      </c>
      <c r="D12054" s="228">
        <v>10</v>
      </c>
      <c r="E12054" s="225" t="s">
        <v>7891</v>
      </c>
      <c r="F12054" s="225" t="s">
        <v>6946</v>
      </c>
    </row>
    <row r="12055" spans="2:6" ht="17.25" thickBot="1">
      <c r="B12055" s="226">
        <v>46113</v>
      </c>
      <c r="C12055" s="227">
        <v>0.4773958333333333</v>
      </c>
      <c r="D12055" s="228">
        <v>10</v>
      </c>
      <c r="E12055" s="225" t="s">
        <v>7892</v>
      </c>
      <c r="F12055" s="225" t="s">
        <v>6946</v>
      </c>
    </row>
    <row r="12056" spans="2:6" ht="17.25" thickBot="1">
      <c r="B12056" s="226">
        <v>46113</v>
      </c>
      <c r="C12056" s="227">
        <v>0.47358796296296296</v>
      </c>
      <c r="D12056" s="228">
        <v>10</v>
      </c>
      <c r="E12056" s="225" t="s">
        <v>179</v>
      </c>
      <c r="F12056" s="225" t="s">
        <v>6946</v>
      </c>
    </row>
    <row r="12057" spans="2:6" ht="26.25" thickBot="1">
      <c r="B12057" s="226">
        <v>46113</v>
      </c>
      <c r="C12057" s="227">
        <v>0.46423611111111113</v>
      </c>
      <c r="D12057" s="228">
        <v>10</v>
      </c>
      <c r="E12057" s="225" t="s">
        <v>7893</v>
      </c>
      <c r="F12057" s="225" t="s">
        <v>6946</v>
      </c>
    </row>
    <row r="12058" spans="2:6" ht="26.25" thickBot="1">
      <c r="B12058" s="226">
        <v>46113</v>
      </c>
      <c r="C12058" s="227">
        <v>0.44960648148148147</v>
      </c>
      <c r="D12058" s="228">
        <v>10</v>
      </c>
      <c r="E12058" s="225" t="s">
        <v>7894</v>
      </c>
      <c r="F12058" s="225" t="s">
        <v>6946</v>
      </c>
    </row>
  </sheetData>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M77"/>
  <sheetViews>
    <sheetView topLeftCell="A34" zoomScaleNormal="100" workbookViewId="0">
      <selection activeCell="V63" sqref="V63"/>
    </sheetView>
  </sheetViews>
  <sheetFormatPr defaultColWidth="9" defaultRowHeight="16.5"/>
  <cols>
    <col min="1" max="1" width="1.625" style="62" customWidth="1"/>
    <col min="2" max="2" width="20.75" style="62" customWidth="1"/>
    <col min="3" max="3" width="13.875" style="62" customWidth="1"/>
    <col min="4" max="4" width="7.75" style="62" customWidth="1"/>
    <col min="5" max="35" width="5.75" style="62" customWidth="1"/>
    <col min="36" max="16384" width="9" style="62"/>
  </cols>
  <sheetData>
    <row r="1" spans="2:39" ht="17.25">
      <c r="B1" s="268" t="s">
        <v>120</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c r="AF1" s="268"/>
      <c r="AG1" s="268"/>
      <c r="AH1" s="268"/>
    </row>
    <row r="2" spans="2:39" s="76" customFormat="1" ht="13.5"/>
    <row r="3" spans="2:39" s="76" customFormat="1" ht="13.5">
      <c r="B3" s="137" t="s">
        <v>16</v>
      </c>
    </row>
    <row r="4" spans="2:39" s="76" customFormat="1" ht="13.5">
      <c r="B4" s="269" t="s">
        <v>23</v>
      </c>
      <c r="C4" s="270"/>
      <c r="D4" s="271"/>
      <c r="E4" s="275" t="s">
        <v>91</v>
      </c>
      <c r="F4" s="275"/>
      <c r="G4" s="275"/>
      <c r="H4" s="275"/>
      <c r="I4" s="275"/>
      <c r="J4" s="275"/>
      <c r="K4" s="275"/>
      <c r="L4" s="275"/>
      <c r="M4" s="275"/>
      <c r="N4" s="275"/>
      <c r="O4" s="275"/>
      <c r="P4" s="275"/>
      <c r="Q4" s="275"/>
      <c r="R4" s="275"/>
      <c r="S4" s="275"/>
      <c r="T4" s="275"/>
      <c r="U4" s="275"/>
      <c r="V4" s="275"/>
      <c r="W4" s="275"/>
      <c r="X4" s="275"/>
      <c r="Y4" s="275"/>
      <c r="Z4" s="275"/>
      <c r="AA4" s="275"/>
      <c r="AB4" s="275"/>
      <c r="AC4" s="275"/>
      <c r="AD4" s="275"/>
      <c r="AE4" s="275"/>
      <c r="AF4" s="275"/>
      <c r="AG4" s="275"/>
      <c r="AH4" s="275"/>
      <c r="AI4" s="138"/>
    </row>
    <row r="5" spans="2:39" s="76" customFormat="1" ht="13.5">
      <c r="B5" s="272"/>
      <c r="C5" s="273"/>
      <c r="D5" s="274"/>
      <c r="E5" s="79">
        <v>1</v>
      </c>
      <c r="F5" s="79">
        <v>2</v>
      </c>
      <c r="G5" s="79">
        <v>3</v>
      </c>
      <c r="H5" s="79">
        <v>4</v>
      </c>
      <c r="I5" s="79">
        <v>5</v>
      </c>
      <c r="J5" s="79">
        <v>6</v>
      </c>
      <c r="K5" s="79">
        <v>7</v>
      </c>
      <c r="L5" s="79">
        <v>8</v>
      </c>
      <c r="M5" s="79">
        <v>9</v>
      </c>
      <c r="N5" s="79">
        <v>10</v>
      </c>
      <c r="O5" s="79">
        <v>11</v>
      </c>
      <c r="P5" s="79">
        <v>12</v>
      </c>
      <c r="Q5" s="79">
        <v>13</v>
      </c>
      <c r="R5" s="79">
        <v>14</v>
      </c>
      <c r="S5" s="79">
        <v>15</v>
      </c>
      <c r="T5" s="79">
        <v>16</v>
      </c>
      <c r="U5" s="79">
        <v>17</v>
      </c>
      <c r="V5" s="79">
        <v>18</v>
      </c>
      <c r="W5" s="79">
        <v>19</v>
      </c>
      <c r="X5" s="79">
        <v>20</v>
      </c>
      <c r="Y5" s="79">
        <v>21</v>
      </c>
      <c r="Z5" s="79">
        <v>22</v>
      </c>
      <c r="AA5" s="79">
        <v>23</v>
      </c>
      <c r="AB5" s="79">
        <v>24</v>
      </c>
      <c r="AC5" s="79">
        <v>25</v>
      </c>
      <c r="AD5" s="79">
        <v>26</v>
      </c>
      <c r="AE5" s="79">
        <v>27</v>
      </c>
      <c r="AF5" s="79">
        <v>28</v>
      </c>
      <c r="AG5" s="79">
        <v>29</v>
      </c>
      <c r="AH5" s="79">
        <v>30</v>
      </c>
    </row>
    <row r="6" spans="2:39" s="139" customFormat="1" ht="13.5" hidden="1">
      <c r="B6" s="38"/>
      <c r="C6" s="38"/>
      <c r="D6" s="38"/>
      <c r="E6" s="39">
        <v>45017</v>
      </c>
      <c r="F6" s="39">
        <v>45018</v>
      </c>
      <c r="G6" s="39">
        <v>45019</v>
      </c>
      <c r="H6" s="39">
        <v>45020</v>
      </c>
      <c r="I6" s="39">
        <v>45021</v>
      </c>
      <c r="J6" s="39">
        <v>45022</v>
      </c>
      <c r="K6" s="39">
        <v>45023</v>
      </c>
      <c r="L6" s="39">
        <v>45024</v>
      </c>
      <c r="M6" s="39">
        <v>45025</v>
      </c>
      <c r="N6" s="39">
        <v>45026</v>
      </c>
      <c r="O6" s="39">
        <v>45027</v>
      </c>
      <c r="P6" s="39">
        <v>45028</v>
      </c>
      <c r="Q6" s="39">
        <v>45029</v>
      </c>
      <c r="R6" s="39">
        <v>45030</v>
      </c>
      <c r="S6" s="39">
        <v>45031</v>
      </c>
      <c r="T6" s="39">
        <v>45032</v>
      </c>
      <c r="U6" s="39">
        <v>45033</v>
      </c>
      <c r="V6" s="39">
        <v>45034</v>
      </c>
      <c r="W6" s="39">
        <v>45035</v>
      </c>
      <c r="X6" s="39">
        <v>45036</v>
      </c>
      <c r="Y6" s="39">
        <v>45037</v>
      </c>
      <c r="Z6" s="39">
        <v>45038</v>
      </c>
      <c r="AA6" s="39">
        <v>45039</v>
      </c>
      <c r="AB6" s="39">
        <v>45040</v>
      </c>
      <c r="AC6" s="39">
        <v>45041</v>
      </c>
      <c r="AD6" s="39">
        <v>45042</v>
      </c>
      <c r="AE6" s="39">
        <v>45043</v>
      </c>
      <c r="AF6" s="39"/>
      <c r="AG6" s="39"/>
      <c r="AH6" s="39"/>
    </row>
    <row r="7" spans="2:39" s="76" customFormat="1" ht="13.5">
      <c r="B7" s="275" t="s">
        <v>13</v>
      </c>
      <c r="C7" s="275"/>
      <c r="D7" s="40">
        <v>952</v>
      </c>
      <c r="E7" s="41">
        <v>97</v>
      </c>
      <c r="F7" s="41">
        <v>92</v>
      </c>
      <c r="G7" s="41">
        <v>100</v>
      </c>
      <c r="H7" s="41">
        <v>114</v>
      </c>
      <c r="I7" s="41">
        <v>34</v>
      </c>
      <c r="J7" s="41">
        <v>0</v>
      </c>
      <c r="K7" s="41">
        <v>103</v>
      </c>
      <c r="L7" s="41">
        <v>101</v>
      </c>
      <c r="M7" s="41">
        <v>98</v>
      </c>
      <c r="N7" s="41">
        <v>94</v>
      </c>
      <c r="O7" s="41">
        <v>95</v>
      </c>
      <c r="P7" s="41">
        <v>24</v>
      </c>
      <c r="Q7" s="41"/>
      <c r="R7" s="41"/>
      <c r="S7" s="41"/>
      <c r="T7" s="41"/>
      <c r="U7" s="41"/>
      <c r="V7" s="41"/>
      <c r="W7" s="41"/>
      <c r="X7" s="41"/>
      <c r="Y7" s="41"/>
      <c r="Z7" s="41"/>
      <c r="AA7" s="41"/>
      <c r="AB7" s="41"/>
      <c r="AC7" s="41"/>
      <c r="AD7" s="41"/>
      <c r="AE7" s="41"/>
      <c r="AF7" s="41"/>
      <c r="AG7" s="41"/>
      <c r="AH7" s="41"/>
      <c r="AJ7" s="140"/>
      <c r="AK7" s="140"/>
      <c r="AL7" s="140"/>
      <c r="AM7" s="140"/>
    </row>
    <row r="8" spans="2:39" s="76" customFormat="1" ht="13.5">
      <c r="B8" s="275" t="s">
        <v>30</v>
      </c>
      <c r="C8" s="275"/>
      <c r="D8" s="40">
        <v>209</v>
      </c>
      <c r="E8" s="42">
        <v>25</v>
      </c>
      <c r="F8" s="42">
        <v>20</v>
      </c>
      <c r="G8" s="42">
        <v>27</v>
      </c>
      <c r="H8" s="42">
        <v>21</v>
      </c>
      <c r="I8" s="42">
        <v>6</v>
      </c>
      <c r="J8" s="42">
        <v>0</v>
      </c>
      <c r="K8" s="42">
        <v>25</v>
      </c>
      <c r="L8" s="42">
        <v>17</v>
      </c>
      <c r="M8" s="42">
        <v>19</v>
      </c>
      <c r="N8" s="42">
        <v>21</v>
      </c>
      <c r="O8" s="42">
        <v>21</v>
      </c>
      <c r="P8" s="42">
        <v>7</v>
      </c>
      <c r="Q8" s="42"/>
      <c r="R8" s="42"/>
      <c r="S8" s="42"/>
      <c r="T8" s="42"/>
      <c r="U8" s="42"/>
      <c r="V8" s="42"/>
      <c r="W8" s="42"/>
      <c r="X8" s="42"/>
      <c r="Y8" s="42"/>
      <c r="Z8" s="42"/>
      <c r="AA8" s="42"/>
      <c r="AB8" s="42"/>
      <c r="AC8" s="42"/>
      <c r="AD8" s="42"/>
      <c r="AE8" s="42"/>
      <c r="AF8" s="42"/>
      <c r="AG8" s="42"/>
      <c r="AH8" s="42"/>
      <c r="AJ8" s="141"/>
      <c r="AK8" s="140"/>
      <c r="AL8" s="140"/>
      <c r="AM8" s="140"/>
    </row>
    <row r="9" spans="2:39" s="76" customFormat="1" ht="13.5">
      <c r="B9" s="275" t="s">
        <v>32</v>
      </c>
      <c r="C9" s="275"/>
      <c r="D9" s="40">
        <v>180</v>
      </c>
      <c r="E9" s="42">
        <v>18</v>
      </c>
      <c r="F9" s="42">
        <v>23</v>
      </c>
      <c r="G9" s="42">
        <v>17</v>
      </c>
      <c r="H9" s="42">
        <v>26</v>
      </c>
      <c r="I9" s="42">
        <v>7</v>
      </c>
      <c r="J9" s="42">
        <v>0</v>
      </c>
      <c r="K9" s="42">
        <v>17</v>
      </c>
      <c r="L9" s="42">
        <v>17</v>
      </c>
      <c r="M9" s="42">
        <v>19</v>
      </c>
      <c r="N9" s="42">
        <v>18</v>
      </c>
      <c r="O9" s="42">
        <v>14</v>
      </c>
      <c r="P9" s="42">
        <v>4</v>
      </c>
      <c r="Q9" s="42"/>
      <c r="R9" s="42"/>
      <c r="S9" s="42"/>
      <c r="T9" s="42"/>
      <c r="U9" s="42"/>
      <c r="V9" s="42"/>
      <c r="W9" s="42"/>
      <c r="X9" s="42"/>
      <c r="Y9" s="42"/>
      <c r="Z9" s="42"/>
      <c r="AA9" s="42"/>
      <c r="AB9" s="42"/>
      <c r="AC9" s="42"/>
      <c r="AD9" s="42"/>
      <c r="AE9" s="42"/>
      <c r="AF9" s="42"/>
      <c r="AG9" s="42"/>
      <c r="AH9" s="42"/>
      <c r="AJ9" s="140"/>
      <c r="AK9" s="140"/>
      <c r="AL9" s="140"/>
      <c r="AM9" s="140"/>
    </row>
    <row r="10" spans="2:39" s="76" customFormat="1" ht="13.5">
      <c r="B10" s="275" t="s">
        <v>33</v>
      </c>
      <c r="C10" s="275"/>
      <c r="D10" s="40">
        <v>160</v>
      </c>
      <c r="E10" s="42">
        <v>14</v>
      </c>
      <c r="F10" s="42">
        <v>11</v>
      </c>
      <c r="G10" s="42">
        <v>21</v>
      </c>
      <c r="H10" s="42">
        <v>19</v>
      </c>
      <c r="I10" s="42">
        <v>6</v>
      </c>
      <c r="J10" s="42">
        <v>0</v>
      </c>
      <c r="K10" s="42">
        <v>15</v>
      </c>
      <c r="L10" s="42">
        <v>19</v>
      </c>
      <c r="M10" s="42">
        <v>17</v>
      </c>
      <c r="N10" s="42">
        <v>16</v>
      </c>
      <c r="O10" s="42">
        <v>20</v>
      </c>
      <c r="P10" s="42">
        <v>2</v>
      </c>
      <c r="Q10" s="42"/>
      <c r="R10" s="42"/>
      <c r="S10" s="42"/>
      <c r="T10" s="42"/>
      <c r="U10" s="42"/>
      <c r="V10" s="42"/>
      <c r="W10" s="42"/>
      <c r="X10" s="42"/>
      <c r="Y10" s="42"/>
      <c r="Z10" s="42"/>
      <c r="AA10" s="42"/>
      <c r="AB10" s="42"/>
      <c r="AC10" s="42"/>
      <c r="AD10" s="42"/>
      <c r="AE10" s="42"/>
      <c r="AF10" s="42"/>
      <c r="AG10" s="42"/>
      <c r="AH10" s="42"/>
      <c r="AJ10" s="140"/>
      <c r="AK10" s="140"/>
      <c r="AL10" s="140"/>
      <c r="AM10" s="140"/>
    </row>
    <row r="11" spans="2:39" s="76" customFormat="1" ht="13.5">
      <c r="B11" s="275" t="s">
        <v>29</v>
      </c>
      <c r="C11" s="275"/>
      <c r="D11" s="40">
        <v>148</v>
      </c>
      <c r="E11" s="42">
        <v>13</v>
      </c>
      <c r="F11" s="42">
        <v>11</v>
      </c>
      <c r="G11" s="42">
        <v>14</v>
      </c>
      <c r="H11" s="42">
        <v>22</v>
      </c>
      <c r="I11" s="42">
        <v>4</v>
      </c>
      <c r="J11" s="42">
        <v>0</v>
      </c>
      <c r="K11" s="42">
        <v>19</v>
      </c>
      <c r="L11" s="42">
        <v>17</v>
      </c>
      <c r="M11" s="42">
        <v>15</v>
      </c>
      <c r="N11" s="42">
        <v>16</v>
      </c>
      <c r="O11" s="42">
        <v>13</v>
      </c>
      <c r="P11" s="42">
        <v>4</v>
      </c>
      <c r="Q11" s="42"/>
      <c r="R11" s="42"/>
      <c r="S11" s="42"/>
      <c r="T11" s="42"/>
      <c r="U11" s="42"/>
      <c r="V11" s="42"/>
      <c r="W11" s="42"/>
      <c r="X11" s="42"/>
      <c r="Y11" s="42"/>
      <c r="Z11" s="42"/>
      <c r="AA11" s="42"/>
      <c r="AB11" s="42"/>
      <c r="AC11" s="42"/>
      <c r="AD11" s="42"/>
      <c r="AE11" s="42"/>
      <c r="AF11" s="42"/>
      <c r="AG11" s="42"/>
      <c r="AH11" s="42"/>
      <c r="AJ11" s="140"/>
      <c r="AK11" s="140"/>
      <c r="AL11" s="140"/>
      <c r="AM11" s="140"/>
    </row>
    <row r="12" spans="2:39" s="76" customFormat="1" ht="13.5">
      <c r="B12" s="275" t="s">
        <v>31</v>
      </c>
      <c r="C12" s="275"/>
      <c r="D12" s="40">
        <v>228</v>
      </c>
      <c r="E12" s="42">
        <v>23</v>
      </c>
      <c r="F12" s="42">
        <v>23</v>
      </c>
      <c r="G12" s="42">
        <v>19</v>
      </c>
      <c r="H12" s="42">
        <v>24</v>
      </c>
      <c r="I12" s="42">
        <v>10</v>
      </c>
      <c r="J12" s="42">
        <v>0</v>
      </c>
      <c r="K12" s="42">
        <v>26</v>
      </c>
      <c r="L12" s="42">
        <v>29</v>
      </c>
      <c r="M12" s="42">
        <v>23</v>
      </c>
      <c r="N12" s="42">
        <v>21</v>
      </c>
      <c r="O12" s="42">
        <v>24</v>
      </c>
      <c r="P12" s="42">
        <v>6</v>
      </c>
      <c r="Q12" s="42"/>
      <c r="R12" s="42"/>
      <c r="S12" s="42"/>
      <c r="T12" s="42"/>
      <c r="U12" s="42"/>
      <c r="V12" s="42"/>
      <c r="W12" s="42"/>
      <c r="X12" s="42"/>
      <c r="Y12" s="42"/>
      <c r="Z12" s="42"/>
      <c r="AA12" s="42"/>
      <c r="AB12" s="42"/>
      <c r="AC12" s="42"/>
      <c r="AD12" s="42"/>
      <c r="AE12" s="42"/>
      <c r="AF12" s="42"/>
      <c r="AG12" s="42"/>
      <c r="AH12" s="42"/>
      <c r="AJ12" s="140"/>
      <c r="AK12" s="140"/>
      <c r="AL12" s="140"/>
      <c r="AM12" s="140"/>
    </row>
    <row r="13" spans="2:39" s="76" customFormat="1" ht="13.5">
      <c r="B13" s="275" t="s">
        <v>28</v>
      </c>
      <c r="C13" s="275"/>
      <c r="D13" s="40">
        <v>27</v>
      </c>
      <c r="E13" s="43">
        <v>4</v>
      </c>
      <c r="F13" s="43">
        <v>4</v>
      </c>
      <c r="G13" s="43">
        <v>2</v>
      </c>
      <c r="H13" s="43">
        <v>2</v>
      </c>
      <c r="I13" s="43">
        <v>1</v>
      </c>
      <c r="J13" s="43">
        <v>0</v>
      </c>
      <c r="K13" s="43">
        <v>1</v>
      </c>
      <c r="L13" s="43">
        <v>2</v>
      </c>
      <c r="M13" s="43">
        <v>5</v>
      </c>
      <c r="N13" s="43">
        <v>2</v>
      </c>
      <c r="O13" s="43">
        <v>3</v>
      </c>
      <c r="P13" s="43">
        <v>1</v>
      </c>
      <c r="Q13" s="43"/>
      <c r="R13" s="43"/>
      <c r="S13" s="43"/>
      <c r="T13" s="43"/>
      <c r="U13" s="43"/>
      <c r="V13" s="43"/>
      <c r="W13" s="43"/>
      <c r="X13" s="43"/>
      <c r="Y13" s="43"/>
      <c r="Z13" s="43"/>
      <c r="AA13" s="43"/>
      <c r="AB13" s="43"/>
      <c r="AC13" s="43"/>
      <c r="AD13" s="43"/>
      <c r="AE13" s="43"/>
      <c r="AF13" s="43"/>
      <c r="AG13" s="43"/>
      <c r="AH13" s="43"/>
    </row>
    <row r="14" spans="2:39" s="76" customFormat="1" ht="6" customHeight="1">
      <c r="B14" s="45"/>
      <c r="C14" s="45"/>
      <c r="D14" s="142"/>
    </row>
    <row r="15" spans="2:39" s="139" customFormat="1" ht="16.5" customHeight="1">
      <c r="B15" s="266" t="s">
        <v>27</v>
      </c>
      <c r="C15" s="267"/>
      <c r="D15" s="94">
        <v>0</v>
      </c>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row>
    <row r="16" spans="2:39" s="139" customFormat="1" ht="16.5" customHeight="1">
      <c r="B16" s="266" t="s">
        <v>57</v>
      </c>
      <c r="C16" s="267"/>
      <c r="D16" s="94">
        <v>119</v>
      </c>
      <c r="E16" s="77">
        <v>15</v>
      </c>
      <c r="F16" s="77">
        <v>11</v>
      </c>
      <c r="G16" s="77">
        <v>9</v>
      </c>
      <c r="H16" s="77">
        <v>11</v>
      </c>
      <c r="I16" s="77">
        <v>5</v>
      </c>
      <c r="J16" s="77">
        <v>0</v>
      </c>
      <c r="K16" s="77">
        <v>12</v>
      </c>
      <c r="L16" s="77">
        <v>18</v>
      </c>
      <c r="M16" s="77">
        <v>14</v>
      </c>
      <c r="N16" s="77">
        <v>7</v>
      </c>
      <c r="O16" s="77">
        <v>15</v>
      </c>
      <c r="P16" s="77">
        <v>2</v>
      </c>
      <c r="Q16" s="77"/>
      <c r="R16" s="77"/>
      <c r="S16" s="77"/>
      <c r="T16" s="77"/>
      <c r="U16" s="77"/>
      <c r="V16" s="77"/>
      <c r="W16" s="77"/>
      <c r="X16" s="77"/>
      <c r="Y16" s="77"/>
      <c r="Z16" s="77"/>
      <c r="AA16" s="77"/>
      <c r="AB16" s="77"/>
      <c r="AC16" s="77"/>
      <c r="AD16" s="77"/>
      <c r="AE16" s="77"/>
      <c r="AF16" s="77"/>
      <c r="AG16" s="77"/>
      <c r="AH16" s="77"/>
    </row>
    <row r="17" spans="2:34" s="76" customFormat="1" ht="13.5">
      <c r="C17" s="143"/>
      <c r="D17" s="48"/>
    </row>
    <row r="18" spans="2:34">
      <c r="B18" s="48" t="s">
        <v>92</v>
      </c>
      <c r="D18" s="78"/>
    </row>
    <row r="19" spans="2:34">
      <c r="B19" s="276" t="s">
        <v>93</v>
      </c>
      <c r="C19" s="144" t="s">
        <v>94</v>
      </c>
      <c r="D19" s="95">
        <v>38</v>
      </c>
      <c r="E19" s="49">
        <v>5</v>
      </c>
      <c r="F19" s="49">
        <v>4</v>
      </c>
      <c r="G19" s="49">
        <v>3</v>
      </c>
      <c r="H19" s="49">
        <v>2</v>
      </c>
      <c r="I19" s="49">
        <v>1</v>
      </c>
      <c r="J19" s="49">
        <v>0</v>
      </c>
      <c r="K19" s="49">
        <v>9</v>
      </c>
      <c r="L19" s="49">
        <v>1</v>
      </c>
      <c r="M19" s="49">
        <v>2</v>
      </c>
      <c r="N19" s="49">
        <v>5</v>
      </c>
      <c r="O19" s="49">
        <v>4</v>
      </c>
      <c r="P19" s="49">
        <v>2</v>
      </c>
      <c r="Q19" s="49"/>
      <c r="R19" s="49"/>
      <c r="S19" s="49"/>
      <c r="T19" s="49"/>
      <c r="U19" s="49"/>
      <c r="V19" s="49"/>
      <c r="W19" s="49"/>
      <c r="X19" s="49"/>
      <c r="Y19" s="49"/>
      <c r="Z19" s="49"/>
      <c r="AA19" s="49"/>
      <c r="AB19" s="49"/>
      <c r="AC19" s="49"/>
      <c r="AD19" s="49"/>
      <c r="AE19" s="49"/>
      <c r="AF19" s="49"/>
      <c r="AG19" s="49"/>
      <c r="AH19" s="49"/>
    </row>
    <row r="20" spans="2:34">
      <c r="B20" s="276"/>
      <c r="C20" s="3" t="s">
        <v>8</v>
      </c>
      <c r="D20" s="95">
        <v>50</v>
      </c>
      <c r="E20" s="49">
        <v>6</v>
      </c>
      <c r="F20" s="49">
        <v>5</v>
      </c>
      <c r="G20" s="49">
        <v>8</v>
      </c>
      <c r="H20" s="49">
        <v>5</v>
      </c>
      <c r="I20" s="49">
        <v>0</v>
      </c>
      <c r="J20" s="49">
        <v>0</v>
      </c>
      <c r="K20" s="49">
        <v>6</v>
      </c>
      <c r="L20" s="49">
        <v>3</v>
      </c>
      <c r="M20" s="49">
        <v>5</v>
      </c>
      <c r="N20" s="49">
        <v>6</v>
      </c>
      <c r="O20" s="49">
        <v>4</v>
      </c>
      <c r="P20" s="49">
        <v>2</v>
      </c>
      <c r="Q20" s="49"/>
      <c r="R20" s="49"/>
      <c r="S20" s="49"/>
      <c r="T20" s="49"/>
      <c r="U20" s="49"/>
      <c r="V20" s="49"/>
      <c r="W20" s="49"/>
      <c r="X20" s="49"/>
      <c r="Y20" s="49"/>
      <c r="Z20" s="49"/>
      <c r="AA20" s="49"/>
      <c r="AB20" s="49"/>
      <c r="AC20" s="49"/>
      <c r="AD20" s="49"/>
      <c r="AE20" s="49"/>
      <c r="AF20" s="49"/>
      <c r="AG20" s="49"/>
      <c r="AH20" s="49"/>
    </row>
    <row r="21" spans="2:34">
      <c r="B21" s="276"/>
      <c r="C21" s="3" t="s">
        <v>9</v>
      </c>
      <c r="D21" s="95">
        <v>41</v>
      </c>
      <c r="E21" s="49">
        <v>1</v>
      </c>
      <c r="F21" s="49">
        <v>3</v>
      </c>
      <c r="G21" s="49">
        <v>6</v>
      </c>
      <c r="H21" s="49">
        <v>5</v>
      </c>
      <c r="I21" s="49">
        <v>2</v>
      </c>
      <c r="J21" s="49">
        <v>0</v>
      </c>
      <c r="K21" s="49">
        <v>3</v>
      </c>
      <c r="L21" s="49">
        <v>4</v>
      </c>
      <c r="M21" s="49">
        <v>5</v>
      </c>
      <c r="N21" s="49">
        <v>5</v>
      </c>
      <c r="O21" s="49">
        <v>4</v>
      </c>
      <c r="P21" s="49">
        <v>3</v>
      </c>
      <c r="Q21" s="49"/>
      <c r="R21" s="49"/>
      <c r="S21" s="49"/>
      <c r="T21" s="49"/>
      <c r="U21" s="49"/>
      <c r="V21" s="49"/>
      <c r="W21" s="49"/>
      <c r="X21" s="49"/>
      <c r="Y21" s="49"/>
      <c r="Z21" s="49"/>
      <c r="AA21" s="49"/>
      <c r="AB21" s="49"/>
      <c r="AC21" s="49"/>
      <c r="AD21" s="49"/>
      <c r="AE21" s="49"/>
      <c r="AF21" s="49"/>
      <c r="AG21" s="49"/>
      <c r="AH21" s="49"/>
    </row>
    <row r="22" spans="2:34">
      <c r="B22" s="276"/>
      <c r="C22" s="3" t="s">
        <v>1</v>
      </c>
      <c r="D22" s="95">
        <v>0</v>
      </c>
      <c r="E22" s="49">
        <v>0</v>
      </c>
      <c r="F22" s="49">
        <v>0</v>
      </c>
      <c r="G22" s="49">
        <v>0</v>
      </c>
      <c r="H22" s="49">
        <v>0</v>
      </c>
      <c r="I22" s="49">
        <v>0</v>
      </c>
      <c r="J22" s="49">
        <v>0</v>
      </c>
      <c r="K22" s="49">
        <v>0</v>
      </c>
      <c r="L22" s="49">
        <v>0</v>
      </c>
      <c r="M22" s="49">
        <v>0</v>
      </c>
      <c r="N22" s="49">
        <v>0</v>
      </c>
      <c r="O22" s="49">
        <v>0</v>
      </c>
      <c r="P22" s="49">
        <v>0</v>
      </c>
      <c r="Q22" s="49"/>
      <c r="R22" s="49"/>
      <c r="S22" s="49"/>
      <c r="T22" s="49"/>
      <c r="U22" s="49"/>
      <c r="V22" s="49"/>
      <c r="W22" s="49"/>
      <c r="X22" s="49"/>
      <c r="Y22" s="49"/>
      <c r="Z22" s="49"/>
      <c r="AA22" s="49"/>
      <c r="AB22" s="49"/>
      <c r="AC22" s="49"/>
      <c r="AD22" s="49"/>
      <c r="AE22" s="49"/>
      <c r="AF22" s="49"/>
      <c r="AG22" s="49"/>
      <c r="AH22" s="49"/>
    </row>
    <row r="23" spans="2:34">
      <c r="B23" s="276"/>
      <c r="C23" s="3" t="s">
        <v>10</v>
      </c>
      <c r="D23" s="95">
        <v>0</v>
      </c>
      <c r="E23" s="49">
        <v>0</v>
      </c>
      <c r="F23" s="49">
        <v>0</v>
      </c>
      <c r="G23" s="49">
        <v>0</v>
      </c>
      <c r="H23" s="49">
        <v>0</v>
      </c>
      <c r="I23" s="49">
        <v>0</v>
      </c>
      <c r="J23" s="49">
        <v>0</v>
      </c>
      <c r="K23" s="49">
        <v>0</v>
      </c>
      <c r="L23" s="49">
        <v>0</v>
      </c>
      <c r="M23" s="49">
        <v>0</v>
      </c>
      <c r="N23" s="49">
        <v>0</v>
      </c>
      <c r="O23" s="49">
        <v>0</v>
      </c>
      <c r="P23" s="49">
        <v>0</v>
      </c>
      <c r="Q23" s="49"/>
      <c r="R23" s="49"/>
      <c r="S23" s="49"/>
      <c r="T23" s="49"/>
      <c r="U23" s="49"/>
      <c r="V23" s="49"/>
      <c r="W23" s="49"/>
      <c r="X23" s="49"/>
      <c r="Y23" s="49"/>
      <c r="Z23" s="49"/>
      <c r="AA23" s="49"/>
      <c r="AB23" s="49"/>
      <c r="AC23" s="49"/>
      <c r="AD23" s="49"/>
      <c r="AE23" s="49"/>
      <c r="AF23" s="49"/>
      <c r="AG23" s="49"/>
      <c r="AH23" s="49"/>
    </row>
    <row r="24" spans="2:34">
      <c r="B24" s="276"/>
      <c r="C24" s="3" t="s">
        <v>15</v>
      </c>
      <c r="D24" s="95">
        <v>0</v>
      </c>
      <c r="E24" s="49">
        <v>0</v>
      </c>
      <c r="F24" s="49">
        <v>0</v>
      </c>
      <c r="G24" s="49">
        <v>0</v>
      </c>
      <c r="H24" s="49">
        <v>0</v>
      </c>
      <c r="I24" s="49">
        <v>0</v>
      </c>
      <c r="J24" s="49">
        <v>0</v>
      </c>
      <c r="K24" s="49">
        <v>0</v>
      </c>
      <c r="L24" s="49">
        <v>0</v>
      </c>
      <c r="M24" s="49">
        <v>0</v>
      </c>
      <c r="N24" s="49">
        <v>0</v>
      </c>
      <c r="O24" s="49">
        <v>0</v>
      </c>
      <c r="P24" s="49">
        <v>0</v>
      </c>
      <c r="Q24" s="49"/>
      <c r="R24" s="49"/>
      <c r="S24" s="49"/>
      <c r="T24" s="49"/>
      <c r="U24" s="49"/>
      <c r="V24" s="49"/>
      <c r="W24" s="49"/>
      <c r="X24" s="49"/>
      <c r="Y24" s="49"/>
      <c r="Z24" s="49"/>
      <c r="AA24" s="49"/>
      <c r="AB24" s="49"/>
      <c r="AC24" s="49"/>
      <c r="AD24" s="49"/>
      <c r="AE24" s="49"/>
      <c r="AF24" s="49"/>
      <c r="AG24" s="49"/>
      <c r="AH24" s="49"/>
    </row>
    <row r="25" spans="2:34">
      <c r="B25" s="276"/>
      <c r="C25" s="3" t="s">
        <v>96</v>
      </c>
      <c r="D25" s="95">
        <v>9</v>
      </c>
      <c r="E25" s="49">
        <v>2</v>
      </c>
      <c r="F25" s="49">
        <v>0</v>
      </c>
      <c r="G25" s="49">
        <v>1</v>
      </c>
      <c r="H25" s="49">
        <v>1</v>
      </c>
      <c r="I25" s="49">
        <v>0</v>
      </c>
      <c r="J25" s="49">
        <v>0</v>
      </c>
      <c r="K25" s="49">
        <v>2</v>
      </c>
      <c r="L25" s="49">
        <v>0</v>
      </c>
      <c r="M25" s="49">
        <v>2</v>
      </c>
      <c r="N25" s="49">
        <v>1</v>
      </c>
      <c r="O25" s="49">
        <v>0</v>
      </c>
      <c r="P25" s="49">
        <v>0</v>
      </c>
      <c r="Q25" s="49"/>
      <c r="R25" s="49"/>
      <c r="S25" s="49"/>
      <c r="T25" s="49"/>
      <c r="U25" s="49"/>
      <c r="V25" s="49"/>
      <c r="W25" s="49"/>
      <c r="X25" s="49"/>
      <c r="Y25" s="49"/>
      <c r="Z25" s="49"/>
      <c r="AA25" s="49"/>
      <c r="AB25" s="49"/>
      <c r="AC25" s="49"/>
      <c r="AD25" s="49"/>
      <c r="AE25" s="49"/>
      <c r="AF25" s="49"/>
      <c r="AG25" s="49"/>
      <c r="AH25" s="49"/>
    </row>
    <row r="26" spans="2:34">
      <c r="B26" s="276"/>
      <c r="C26" s="3" t="s">
        <v>97</v>
      </c>
      <c r="D26" s="95">
        <v>13</v>
      </c>
      <c r="E26" s="49">
        <v>2</v>
      </c>
      <c r="F26" s="49">
        <v>2</v>
      </c>
      <c r="G26" s="49">
        <v>1</v>
      </c>
      <c r="H26" s="49">
        <v>1</v>
      </c>
      <c r="I26" s="49">
        <v>0</v>
      </c>
      <c r="J26" s="49">
        <v>0</v>
      </c>
      <c r="K26" s="49">
        <v>1</v>
      </c>
      <c r="L26" s="49">
        <v>2</v>
      </c>
      <c r="M26" s="49">
        <v>2</v>
      </c>
      <c r="N26" s="49">
        <v>0</v>
      </c>
      <c r="O26" s="49">
        <v>2</v>
      </c>
      <c r="P26" s="49">
        <v>0</v>
      </c>
      <c r="Q26" s="49"/>
      <c r="R26" s="49"/>
      <c r="S26" s="49"/>
      <c r="T26" s="49"/>
      <c r="U26" s="49"/>
      <c r="V26" s="49"/>
      <c r="W26" s="49"/>
      <c r="X26" s="49"/>
      <c r="Y26" s="49"/>
      <c r="Z26" s="49"/>
      <c r="AA26" s="49"/>
      <c r="AB26" s="49"/>
      <c r="AC26" s="49"/>
      <c r="AD26" s="49"/>
      <c r="AE26" s="49"/>
      <c r="AF26" s="49"/>
      <c r="AG26" s="49"/>
      <c r="AH26" s="49"/>
    </row>
    <row r="27" spans="2:34">
      <c r="B27" s="276"/>
      <c r="C27" s="3" t="s">
        <v>98</v>
      </c>
      <c r="D27" s="95">
        <v>46</v>
      </c>
      <c r="E27" s="49">
        <v>8</v>
      </c>
      <c r="F27" s="49">
        <v>6</v>
      </c>
      <c r="G27" s="49">
        <v>7</v>
      </c>
      <c r="H27" s="49">
        <v>6</v>
      </c>
      <c r="I27" s="49">
        <v>0</v>
      </c>
      <c r="J27" s="49">
        <v>0</v>
      </c>
      <c r="K27" s="49">
        <v>3</v>
      </c>
      <c r="L27" s="49">
        <v>5</v>
      </c>
      <c r="M27" s="49">
        <v>3</v>
      </c>
      <c r="N27" s="49">
        <v>2</v>
      </c>
      <c r="O27" s="49">
        <v>6</v>
      </c>
      <c r="P27" s="49">
        <v>0</v>
      </c>
      <c r="Q27" s="49"/>
      <c r="R27" s="49"/>
      <c r="S27" s="49"/>
      <c r="T27" s="49"/>
      <c r="U27" s="49"/>
      <c r="V27" s="49"/>
      <c r="W27" s="49"/>
      <c r="X27" s="49"/>
      <c r="Y27" s="49"/>
      <c r="Z27" s="49"/>
      <c r="AA27" s="49"/>
      <c r="AB27" s="49"/>
      <c r="AC27" s="49"/>
      <c r="AD27" s="49"/>
      <c r="AE27" s="49"/>
      <c r="AF27" s="49"/>
      <c r="AG27" s="49"/>
      <c r="AH27" s="49"/>
    </row>
    <row r="28" spans="2:34">
      <c r="B28" s="276"/>
      <c r="C28" s="3" t="s">
        <v>99</v>
      </c>
      <c r="D28" s="95">
        <v>9</v>
      </c>
      <c r="E28" s="49">
        <v>1</v>
      </c>
      <c r="F28" s="49">
        <v>0</v>
      </c>
      <c r="G28" s="49">
        <v>1</v>
      </c>
      <c r="H28" s="49">
        <v>1</v>
      </c>
      <c r="I28" s="49">
        <v>0</v>
      </c>
      <c r="J28" s="49">
        <v>0</v>
      </c>
      <c r="K28" s="49">
        <v>1</v>
      </c>
      <c r="L28" s="49">
        <v>2</v>
      </c>
      <c r="M28" s="49">
        <v>0</v>
      </c>
      <c r="N28" s="49">
        <v>2</v>
      </c>
      <c r="O28" s="49">
        <v>1</v>
      </c>
      <c r="P28" s="49">
        <v>0</v>
      </c>
      <c r="Q28" s="49"/>
      <c r="R28" s="49"/>
      <c r="S28" s="49"/>
      <c r="T28" s="49"/>
      <c r="U28" s="49"/>
      <c r="V28" s="49"/>
      <c r="W28" s="49"/>
      <c r="X28" s="49"/>
      <c r="Y28" s="49"/>
      <c r="Z28" s="49"/>
      <c r="AA28" s="49"/>
      <c r="AB28" s="49"/>
      <c r="AC28" s="49"/>
      <c r="AD28" s="49"/>
      <c r="AE28" s="49"/>
      <c r="AF28" s="49"/>
      <c r="AG28" s="49"/>
      <c r="AH28" s="49"/>
    </row>
    <row r="29" spans="2:34">
      <c r="B29" s="276"/>
      <c r="C29" s="3" t="s">
        <v>100</v>
      </c>
      <c r="D29" s="95">
        <v>3</v>
      </c>
      <c r="E29" s="49">
        <v>0</v>
      </c>
      <c r="F29" s="49">
        <v>0</v>
      </c>
      <c r="G29" s="49">
        <v>0</v>
      </c>
      <c r="H29" s="49">
        <v>0</v>
      </c>
      <c r="I29" s="49">
        <v>3</v>
      </c>
      <c r="J29" s="49">
        <v>0</v>
      </c>
      <c r="K29" s="49">
        <v>0</v>
      </c>
      <c r="L29" s="49">
        <v>0</v>
      </c>
      <c r="M29" s="49">
        <v>0</v>
      </c>
      <c r="N29" s="49">
        <v>0</v>
      </c>
      <c r="O29" s="49">
        <v>0</v>
      </c>
      <c r="P29" s="49">
        <v>0</v>
      </c>
      <c r="Q29" s="49"/>
      <c r="R29" s="49"/>
      <c r="S29" s="49"/>
      <c r="T29" s="49"/>
      <c r="U29" s="49"/>
      <c r="V29" s="49"/>
      <c r="W29" s="49"/>
      <c r="X29" s="49"/>
      <c r="Y29" s="49"/>
      <c r="Z29" s="49"/>
      <c r="AA29" s="49"/>
      <c r="AB29" s="49"/>
      <c r="AC29" s="49"/>
      <c r="AD29" s="49"/>
      <c r="AE29" s="49"/>
      <c r="AF29" s="49"/>
      <c r="AG29" s="49"/>
      <c r="AH29" s="49"/>
    </row>
    <row r="30" spans="2:34">
      <c r="B30" s="78"/>
      <c r="C30" s="44"/>
      <c r="D30" s="78"/>
    </row>
    <row r="31" spans="2:34">
      <c r="B31" s="276" t="s">
        <v>101</v>
      </c>
      <c r="C31" s="144" t="s">
        <v>94</v>
      </c>
      <c r="D31" s="95">
        <v>8</v>
      </c>
      <c r="E31" s="49">
        <v>2</v>
      </c>
      <c r="F31" s="49">
        <v>0</v>
      </c>
      <c r="G31" s="49">
        <v>0</v>
      </c>
      <c r="H31" s="49">
        <v>1</v>
      </c>
      <c r="I31" s="49">
        <v>0</v>
      </c>
      <c r="J31" s="49">
        <v>0</v>
      </c>
      <c r="K31" s="49">
        <v>0</v>
      </c>
      <c r="L31" s="49">
        <v>2</v>
      </c>
      <c r="M31" s="49">
        <v>2</v>
      </c>
      <c r="N31" s="49">
        <v>1</v>
      </c>
      <c r="O31" s="49">
        <v>0</v>
      </c>
      <c r="P31" s="49">
        <v>0</v>
      </c>
      <c r="Q31" s="49"/>
      <c r="R31" s="49"/>
      <c r="S31" s="49"/>
      <c r="T31" s="49"/>
      <c r="U31" s="49"/>
      <c r="V31" s="49"/>
      <c r="W31" s="49"/>
      <c r="X31" s="49"/>
      <c r="Y31" s="49"/>
      <c r="Z31" s="49"/>
      <c r="AA31" s="49"/>
      <c r="AB31" s="49"/>
      <c r="AC31" s="49"/>
      <c r="AD31" s="49"/>
      <c r="AE31" s="49"/>
      <c r="AF31" s="49"/>
      <c r="AG31" s="49"/>
      <c r="AH31" s="49"/>
    </row>
    <row r="32" spans="2:34">
      <c r="B32" s="276"/>
      <c r="C32" s="3" t="s">
        <v>8</v>
      </c>
      <c r="D32" s="95">
        <v>41</v>
      </c>
      <c r="E32" s="49">
        <v>8</v>
      </c>
      <c r="F32" s="49">
        <v>3</v>
      </c>
      <c r="G32" s="49">
        <v>5</v>
      </c>
      <c r="H32" s="49">
        <v>5</v>
      </c>
      <c r="I32" s="49">
        <v>0</v>
      </c>
      <c r="J32" s="49">
        <v>0</v>
      </c>
      <c r="K32" s="49">
        <v>6</v>
      </c>
      <c r="L32" s="49">
        <v>4</v>
      </c>
      <c r="M32" s="49">
        <v>5</v>
      </c>
      <c r="N32" s="49">
        <v>3</v>
      </c>
      <c r="O32" s="49">
        <v>2</v>
      </c>
      <c r="P32" s="49">
        <v>0</v>
      </c>
      <c r="Q32" s="49"/>
      <c r="R32" s="49"/>
      <c r="S32" s="49"/>
      <c r="T32" s="49"/>
      <c r="U32" s="49"/>
      <c r="V32" s="49"/>
      <c r="W32" s="49"/>
      <c r="X32" s="49"/>
      <c r="Y32" s="49"/>
      <c r="Z32" s="49"/>
      <c r="AA32" s="49"/>
      <c r="AB32" s="49"/>
      <c r="AC32" s="49"/>
      <c r="AD32" s="49"/>
      <c r="AE32" s="49"/>
      <c r="AF32" s="49"/>
      <c r="AG32" s="49"/>
      <c r="AH32" s="49"/>
    </row>
    <row r="33" spans="2:34">
      <c r="B33" s="276"/>
      <c r="C33" s="3" t="s">
        <v>9</v>
      </c>
      <c r="D33" s="95">
        <v>62</v>
      </c>
      <c r="E33" s="49">
        <v>5</v>
      </c>
      <c r="F33" s="49">
        <v>11</v>
      </c>
      <c r="G33" s="49">
        <v>4</v>
      </c>
      <c r="H33" s="49">
        <v>10</v>
      </c>
      <c r="I33" s="49">
        <v>0</v>
      </c>
      <c r="J33" s="49">
        <v>0</v>
      </c>
      <c r="K33" s="49">
        <v>7</v>
      </c>
      <c r="L33" s="49">
        <v>6</v>
      </c>
      <c r="M33" s="49">
        <v>6</v>
      </c>
      <c r="N33" s="49">
        <v>4</v>
      </c>
      <c r="O33" s="49">
        <v>6</v>
      </c>
      <c r="P33" s="49">
        <v>3</v>
      </c>
      <c r="Q33" s="49"/>
      <c r="R33" s="49"/>
      <c r="S33" s="49"/>
      <c r="T33" s="49"/>
      <c r="U33" s="49"/>
      <c r="V33" s="49"/>
      <c r="W33" s="49"/>
      <c r="X33" s="49"/>
      <c r="Y33" s="49"/>
      <c r="Z33" s="49"/>
      <c r="AA33" s="49"/>
      <c r="AB33" s="49"/>
      <c r="AC33" s="49"/>
      <c r="AD33" s="49"/>
      <c r="AE33" s="49"/>
      <c r="AF33" s="49"/>
      <c r="AG33" s="49"/>
      <c r="AH33" s="49"/>
    </row>
    <row r="34" spans="2:34">
      <c r="B34" s="276"/>
      <c r="C34" s="3" t="s">
        <v>1</v>
      </c>
      <c r="D34" s="95">
        <v>42</v>
      </c>
      <c r="E34" s="49">
        <v>2</v>
      </c>
      <c r="F34" s="49">
        <v>7</v>
      </c>
      <c r="G34" s="49">
        <v>6</v>
      </c>
      <c r="H34" s="49">
        <v>4</v>
      </c>
      <c r="I34" s="49">
        <v>4</v>
      </c>
      <c r="J34" s="49">
        <v>0</v>
      </c>
      <c r="K34" s="49">
        <v>4</v>
      </c>
      <c r="L34" s="49">
        <v>3</v>
      </c>
      <c r="M34" s="49">
        <v>2</v>
      </c>
      <c r="N34" s="49">
        <v>7</v>
      </c>
      <c r="O34" s="49">
        <v>3</v>
      </c>
      <c r="P34" s="49">
        <v>0</v>
      </c>
      <c r="Q34" s="49"/>
      <c r="R34" s="49"/>
      <c r="S34" s="49"/>
      <c r="T34" s="49"/>
      <c r="U34" s="49"/>
      <c r="V34" s="49"/>
      <c r="W34" s="49"/>
      <c r="X34" s="49"/>
      <c r="Y34" s="49"/>
      <c r="Z34" s="49"/>
      <c r="AA34" s="49"/>
      <c r="AB34" s="49"/>
      <c r="AC34" s="49"/>
      <c r="AD34" s="49"/>
      <c r="AE34" s="49"/>
      <c r="AF34" s="49"/>
      <c r="AG34" s="49"/>
      <c r="AH34" s="49"/>
    </row>
    <row r="35" spans="2:34">
      <c r="B35" s="276"/>
      <c r="C35" s="3" t="s">
        <v>10</v>
      </c>
      <c r="D35" s="95">
        <v>0</v>
      </c>
      <c r="E35" s="49">
        <v>0</v>
      </c>
      <c r="F35" s="49">
        <v>0</v>
      </c>
      <c r="G35" s="49">
        <v>0</v>
      </c>
      <c r="H35" s="49">
        <v>0</v>
      </c>
      <c r="I35" s="49">
        <v>0</v>
      </c>
      <c r="J35" s="49">
        <v>0</v>
      </c>
      <c r="K35" s="49">
        <v>0</v>
      </c>
      <c r="L35" s="49">
        <v>0</v>
      </c>
      <c r="M35" s="49">
        <v>0</v>
      </c>
      <c r="N35" s="49">
        <v>0</v>
      </c>
      <c r="O35" s="49">
        <v>0</v>
      </c>
      <c r="P35" s="49">
        <v>0</v>
      </c>
      <c r="Q35" s="49"/>
      <c r="R35" s="49"/>
      <c r="S35" s="49"/>
      <c r="T35" s="49"/>
      <c r="U35" s="49"/>
      <c r="V35" s="49"/>
      <c r="W35" s="49"/>
      <c r="X35" s="49"/>
      <c r="Y35" s="49"/>
      <c r="Z35" s="49"/>
      <c r="AA35" s="49"/>
      <c r="AB35" s="49"/>
      <c r="AC35" s="49"/>
      <c r="AD35" s="49"/>
      <c r="AE35" s="49"/>
      <c r="AF35" s="49"/>
      <c r="AG35" s="49"/>
      <c r="AH35" s="49"/>
    </row>
    <row r="36" spans="2:34">
      <c r="B36" s="276"/>
      <c r="C36" s="3" t="s">
        <v>15</v>
      </c>
      <c r="D36" s="95">
        <v>0</v>
      </c>
      <c r="E36" s="49">
        <v>0</v>
      </c>
      <c r="F36" s="49">
        <v>0</v>
      </c>
      <c r="G36" s="49">
        <v>0</v>
      </c>
      <c r="H36" s="49">
        <v>0</v>
      </c>
      <c r="I36" s="49">
        <v>0</v>
      </c>
      <c r="J36" s="49">
        <v>0</v>
      </c>
      <c r="K36" s="49">
        <v>0</v>
      </c>
      <c r="L36" s="49">
        <v>0</v>
      </c>
      <c r="M36" s="49">
        <v>0</v>
      </c>
      <c r="N36" s="49">
        <v>0</v>
      </c>
      <c r="O36" s="49">
        <v>0</v>
      </c>
      <c r="P36" s="49">
        <v>0</v>
      </c>
      <c r="Q36" s="49"/>
      <c r="R36" s="49"/>
      <c r="S36" s="49"/>
      <c r="T36" s="49"/>
      <c r="U36" s="49"/>
      <c r="V36" s="49"/>
      <c r="W36" s="49"/>
      <c r="X36" s="49"/>
      <c r="Y36" s="49"/>
      <c r="Z36" s="49"/>
      <c r="AA36" s="49"/>
      <c r="AB36" s="49"/>
      <c r="AC36" s="49"/>
      <c r="AD36" s="49"/>
      <c r="AE36" s="49"/>
      <c r="AF36" s="49"/>
      <c r="AG36" s="49"/>
      <c r="AH36" s="49"/>
    </row>
    <row r="37" spans="2:34">
      <c r="B37" s="276"/>
      <c r="C37" s="3" t="s">
        <v>95</v>
      </c>
      <c r="D37" s="95">
        <v>5</v>
      </c>
      <c r="E37" s="49">
        <v>1</v>
      </c>
      <c r="F37" s="49">
        <v>0</v>
      </c>
      <c r="G37" s="49">
        <v>2</v>
      </c>
      <c r="H37" s="49">
        <v>0</v>
      </c>
      <c r="I37" s="49">
        <v>0</v>
      </c>
      <c r="J37" s="49">
        <v>0</v>
      </c>
      <c r="K37" s="49">
        <v>0</v>
      </c>
      <c r="L37" s="49">
        <v>0</v>
      </c>
      <c r="M37" s="49">
        <v>1</v>
      </c>
      <c r="N37" s="49">
        <v>1</v>
      </c>
      <c r="O37" s="49">
        <v>0</v>
      </c>
      <c r="P37" s="49">
        <v>0</v>
      </c>
      <c r="Q37" s="49"/>
      <c r="R37" s="49"/>
      <c r="S37" s="49"/>
      <c r="T37" s="49"/>
      <c r="U37" s="49"/>
      <c r="V37" s="49"/>
      <c r="W37" s="49"/>
      <c r="X37" s="49"/>
      <c r="Y37" s="49"/>
      <c r="Z37" s="49"/>
      <c r="AA37" s="49"/>
      <c r="AB37" s="49"/>
      <c r="AC37" s="49"/>
      <c r="AD37" s="49"/>
      <c r="AE37" s="49"/>
      <c r="AF37" s="49"/>
      <c r="AG37" s="49"/>
      <c r="AH37" s="49"/>
    </row>
    <row r="38" spans="2:34">
      <c r="B38" s="276"/>
      <c r="C38" s="3" t="s">
        <v>97</v>
      </c>
      <c r="D38" s="95">
        <v>3</v>
      </c>
      <c r="E38" s="49">
        <v>0</v>
      </c>
      <c r="F38" s="49">
        <v>0</v>
      </c>
      <c r="G38" s="49">
        <v>0</v>
      </c>
      <c r="H38" s="49">
        <v>1</v>
      </c>
      <c r="I38" s="49">
        <v>0</v>
      </c>
      <c r="J38" s="49">
        <v>0</v>
      </c>
      <c r="K38" s="49">
        <v>0</v>
      </c>
      <c r="L38" s="49">
        <v>0</v>
      </c>
      <c r="M38" s="49">
        <v>1</v>
      </c>
      <c r="N38" s="49">
        <v>0</v>
      </c>
      <c r="O38" s="49">
        <v>1</v>
      </c>
      <c r="P38" s="49">
        <v>0</v>
      </c>
      <c r="Q38" s="49"/>
      <c r="R38" s="49"/>
      <c r="S38" s="49"/>
      <c r="T38" s="49"/>
      <c r="U38" s="49"/>
      <c r="V38" s="49"/>
      <c r="W38" s="49"/>
      <c r="X38" s="49"/>
      <c r="Y38" s="49"/>
      <c r="Z38" s="49"/>
      <c r="AA38" s="49"/>
      <c r="AB38" s="49"/>
      <c r="AC38" s="49"/>
      <c r="AD38" s="49"/>
      <c r="AE38" s="49"/>
      <c r="AF38" s="49"/>
      <c r="AG38" s="49"/>
      <c r="AH38" s="49"/>
    </row>
    <row r="39" spans="2:34">
      <c r="B39" s="276"/>
      <c r="C39" s="3" t="s">
        <v>102</v>
      </c>
      <c r="D39" s="95">
        <v>17</v>
      </c>
      <c r="E39" s="49">
        <v>0</v>
      </c>
      <c r="F39" s="49">
        <v>2</v>
      </c>
      <c r="G39" s="49">
        <v>0</v>
      </c>
      <c r="H39" s="49">
        <v>5</v>
      </c>
      <c r="I39" s="49">
        <v>2</v>
      </c>
      <c r="J39" s="49">
        <v>0</v>
      </c>
      <c r="K39" s="49">
        <v>0</v>
      </c>
      <c r="L39" s="49">
        <v>2</v>
      </c>
      <c r="M39" s="49">
        <v>2</v>
      </c>
      <c r="N39" s="49">
        <v>2</v>
      </c>
      <c r="O39" s="49">
        <v>2</v>
      </c>
      <c r="P39" s="49">
        <v>0</v>
      </c>
      <c r="Q39" s="49"/>
      <c r="R39" s="49"/>
      <c r="S39" s="49"/>
      <c r="T39" s="49"/>
      <c r="U39" s="49"/>
      <c r="V39" s="49"/>
      <c r="W39" s="49"/>
      <c r="X39" s="49"/>
      <c r="Y39" s="49"/>
      <c r="Z39" s="49"/>
      <c r="AA39" s="49"/>
      <c r="AB39" s="49"/>
      <c r="AC39" s="49"/>
      <c r="AD39" s="49"/>
      <c r="AE39" s="49"/>
      <c r="AF39" s="49"/>
      <c r="AG39" s="49"/>
      <c r="AH39" s="49"/>
    </row>
    <row r="40" spans="2:34">
      <c r="B40" s="276"/>
      <c r="C40" s="3" t="s">
        <v>99</v>
      </c>
      <c r="D40" s="95">
        <v>0</v>
      </c>
      <c r="E40" s="49">
        <v>0</v>
      </c>
      <c r="F40" s="49">
        <v>0</v>
      </c>
      <c r="G40" s="49">
        <v>0</v>
      </c>
      <c r="H40" s="49">
        <v>0</v>
      </c>
      <c r="I40" s="49">
        <v>0</v>
      </c>
      <c r="J40" s="49">
        <v>0</v>
      </c>
      <c r="K40" s="49">
        <v>0</v>
      </c>
      <c r="L40" s="49">
        <v>0</v>
      </c>
      <c r="M40" s="49">
        <v>0</v>
      </c>
      <c r="N40" s="49">
        <v>0</v>
      </c>
      <c r="O40" s="49">
        <v>0</v>
      </c>
      <c r="P40" s="49">
        <v>0</v>
      </c>
      <c r="Q40" s="49"/>
      <c r="R40" s="49"/>
      <c r="S40" s="49"/>
      <c r="T40" s="49"/>
      <c r="U40" s="49"/>
      <c r="V40" s="49"/>
      <c r="W40" s="49"/>
      <c r="X40" s="49"/>
      <c r="Y40" s="49"/>
      <c r="Z40" s="49"/>
      <c r="AA40" s="49"/>
      <c r="AB40" s="49"/>
      <c r="AC40" s="49"/>
      <c r="AD40" s="49"/>
      <c r="AE40" s="49"/>
      <c r="AF40" s="49"/>
      <c r="AG40" s="49"/>
      <c r="AH40" s="49"/>
    </row>
    <row r="41" spans="2:34">
      <c r="B41" s="276"/>
      <c r="C41" s="3" t="s">
        <v>103</v>
      </c>
      <c r="D41" s="95">
        <v>2</v>
      </c>
      <c r="E41" s="49">
        <v>0</v>
      </c>
      <c r="F41" s="49">
        <v>0</v>
      </c>
      <c r="G41" s="49">
        <v>0</v>
      </c>
      <c r="H41" s="49">
        <v>0</v>
      </c>
      <c r="I41" s="49">
        <v>1</v>
      </c>
      <c r="J41" s="49">
        <v>0</v>
      </c>
      <c r="K41" s="49">
        <v>0</v>
      </c>
      <c r="L41" s="49">
        <v>0</v>
      </c>
      <c r="M41" s="49">
        <v>0</v>
      </c>
      <c r="N41" s="49">
        <v>0</v>
      </c>
      <c r="O41" s="49">
        <v>0</v>
      </c>
      <c r="P41" s="49">
        <v>1</v>
      </c>
      <c r="Q41" s="49"/>
      <c r="R41" s="49"/>
      <c r="S41" s="49"/>
      <c r="T41" s="49"/>
      <c r="U41" s="49"/>
      <c r="V41" s="49"/>
      <c r="W41" s="49"/>
      <c r="X41" s="49"/>
      <c r="Y41" s="49"/>
      <c r="Z41" s="49"/>
      <c r="AA41" s="49"/>
      <c r="AB41" s="49"/>
      <c r="AC41" s="49"/>
      <c r="AD41" s="49"/>
      <c r="AE41" s="49"/>
      <c r="AF41" s="49"/>
      <c r="AG41" s="49"/>
      <c r="AH41" s="49"/>
    </row>
    <row r="42" spans="2:34">
      <c r="B42" s="78"/>
      <c r="C42" s="44"/>
      <c r="D42" s="78"/>
    </row>
    <row r="43" spans="2:34">
      <c r="B43" s="276" t="s">
        <v>104</v>
      </c>
      <c r="C43" s="144" t="s">
        <v>105</v>
      </c>
      <c r="D43" s="95">
        <v>29</v>
      </c>
      <c r="E43" s="49">
        <v>3</v>
      </c>
      <c r="F43" s="49">
        <v>3</v>
      </c>
      <c r="G43" s="49">
        <v>4</v>
      </c>
      <c r="H43" s="49">
        <v>2</v>
      </c>
      <c r="I43" s="49">
        <v>3</v>
      </c>
      <c r="J43" s="49">
        <v>0</v>
      </c>
      <c r="K43" s="49">
        <v>2</v>
      </c>
      <c r="L43" s="49">
        <v>2</v>
      </c>
      <c r="M43" s="49">
        <v>6</v>
      </c>
      <c r="N43" s="49">
        <v>1</v>
      </c>
      <c r="O43" s="49">
        <v>3</v>
      </c>
      <c r="P43" s="49">
        <v>0</v>
      </c>
      <c r="Q43" s="49"/>
      <c r="R43" s="49"/>
      <c r="S43" s="49"/>
      <c r="T43" s="49"/>
      <c r="U43" s="49"/>
      <c r="V43" s="49"/>
      <c r="W43" s="49"/>
      <c r="X43" s="49"/>
      <c r="Y43" s="49"/>
      <c r="Z43" s="49"/>
      <c r="AA43" s="49"/>
      <c r="AB43" s="49"/>
      <c r="AC43" s="49"/>
      <c r="AD43" s="49"/>
      <c r="AE43" s="49"/>
      <c r="AF43" s="49"/>
      <c r="AG43" s="49"/>
      <c r="AH43" s="49"/>
    </row>
    <row r="44" spans="2:34">
      <c r="B44" s="276"/>
      <c r="C44" s="3" t="s">
        <v>8</v>
      </c>
      <c r="D44" s="95">
        <v>22</v>
      </c>
      <c r="E44" s="49">
        <v>3</v>
      </c>
      <c r="F44" s="49">
        <v>0</v>
      </c>
      <c r="G44" s="49">
        <v>5</v>
      </c>
      <c r="H44" s="49">
        <v>3</v>
      </c>
      <c r="I44" s="49">
        <v>1</v>
      </c>
      <c r="J44" s="49">
        <v>0</v>
      </c>
      <c r="K44" s="49">
        <v>2</v>
      </c>
      <c r="L44" s="49">
        <v>3</v>
      </c>
      <c r="M44" s="49">
        <v>0</v>
      </c>
      <c r="N44" s="49">
        <v>3</v>
      </c>
      <c r="O44" s="49">
        <v>2</v>
      </c>
      <c r="P44" s="49">
        <v>0</v>
      </c>
      <c r="Q44" s="49"/>
      <c r="R44" s="49"/>
      <c r="S44" s="49"/>
      <c r="T44" s="49"/>
      <c r="U44" s="49"/>
      <c r="V44" s="49"/>
      <c r="W44" s="49"/>
      <c r="X44" s="49"/>
      <c r="Y44" s="49"/>
      <c r="Z44" s="49"/>
      <c r="AA44" s="49"/>
      <c r="AB44" s="49"/>
      <c r="AC44" s="49"/>
      <c r="AD44" s="49"/>
      <c r="AE44" s="49"/>
      <c r="AF44" s="49"/>
      <c r="AG44" s="49"/>
      <c r="AH44" s="49"/>
    </row>
    <row r="45" spans="2:34">
      <c r="B45" s="276"/>
      <c r="C45" s="3" t="s">
        <v>9</v>
      </c>
      <c r="D45" s="95">
        <v>43</v>
      </c>
      <c r="E45" s="49">
        <v>1</v>
      </c>
      <c r="F45" s="49">
        <v>3</v>
      </c>
      <c r="G45" s="49">
        <v>3</v>
      </c>
      <c r="H45" s="49">
        <v>6</v>
      </c>
      <c r="I45" s="49">
        <v>0</v>
      </c>
      <c r="J45" s="49">
        <v>0</v>
      </c>
      <c r="K45" s="49">
        <v>7</v>
      </c>
      <c r="L45" s="49">
        <v>7</v>
      </c>
      <c r="M45" s="49">
        <v>5</v>
      </c>
      <c r="N45" s="49">
        <v>4</v>
      </c>
      <c r="O45" s="49">
        <v>7</v>
      </c>
      <c r="P45" s="49">
        <v>0</v>
      </c>
      <c r="Q45" s="49"/>
      <c r="R45" s="49"/>
      <c r="S45" s="49"/>
      <c r="T45" s="49"/>
      <c r="U45" s="49"/>
      <c r="V45" s="49"/>
      <c r="W45" s="49"/>
      <c r="X45" s="49"/>
      <c r="Y45" s="49"/>
      <c r="Z45" s="49"/>
      <c r="AA45" s="49"/>
      <c r="AB45" s="49"/>
      <c r="AC45" s="49"/>
      <c r="AD45" s="49"/>
      <c r="AE45" s="49"/>
      <c r="AF45" s="49"/>
      <c r="AG45" s="49"/>
      <c r="AH45" s="49"/>
    </row>
    <row r="46" spans="2:34">
      <c r="B46" s="276"/>
      <c r="C46" s="3" t="s">
        <v>1</v>
      </c>
      <c r="D46" s="95">
        <v>0</v>
      </c>
      <c r="E46" s="49">
        <v>0</v>
      </c>
      <c r="F46" s="49">
        <v>0</v>
      </c>
      <c r="G46" s="49">
        <v>0</v>
      </c>
      <c r="H46" s="49">
        <v>0</v>
      </c>
      <c r="I46" s="49">
        <v>0</v>
      </c>
      <c r="J46" s="49">
        <v>0</v>
      </c>
      <c r="K46" s="49">
        <v>0</v>
      </c>
      <c r="L46" s="49">
        <v>0</v>
      </c>
      <c r="M46" s="49">
        <v>0</v>
      </c>
      <c r="N46" s="49">
        <v>0</v>
      </c>
      <c r="O46" s="49">
        <v>0</v>
      </c>
      <c r="P46" s="49">
        <v>0</v>
      </c>
      <c r="Q46" s="49"/>
      <c r="R46" s="49"/>
      <c r="S46" s="49"/>
      <c r="T46" s="49"/>
      <c r="U46" s="49"/>
      <c r="V46" s="49"/>
      <c r="W46" s="49"/>
      <c r="X46" s="49"/>
      <c r="Y46" s="49"/>
      <c r="Z46" s="49"/>
      <c r="AA46" s="49"/>
      <c r="AB46" s="49"/>
      <c r="AC46" s="49"/>
      <c r="AD46" s="49"/>
      <c r="AE46" s="49"/>
      <c r="AF46" s="49"/>
      <c r="AG46" s="49"/>
      <c r="AH46" s="49"/>
    </row>
    <row r="47" spans="2:34">
      <c r="B47" s="276"/>
      <c r="C47" s="3" t="s">
        <v>10</v>
      </c>
      <c r="D47" s="95">
        <v>0</v>
      </c>
      <c r="E47" s="49">
        <v>0</v>
      </c>
      <c r="F47" s="49">
        <v>0</v>
      </c>
      <c r="G47" s="49">
        <v>0</v>
      </c>
      <c r="H47" s="49">
        <v>0</v>
      </c>
      <c r="I47" s="49">
        <v>0</v>
      </c>
      <c r="J47" s="49">
        <v>0</v>
      </c>
      <c r="K47" s="49">
        <v>0</v>
      </c>
      <c r="L47" s="49">
        <v>0</v>
      </c>
      <c r="M47" s="49">
        <v>0</v>
      </c>
      <c r="N47" s="49">
        <v>0</v>
      </c>
      <c r="O47" s="49">
        <v>0</v>
      </c>
      <c r="P47" s="49">
        <v>0</v>
      </c>
      <c r="Q47" s="49"/>
      <c r="R47" s="49"/>
      <c r="S47" s="49"/>
      <c r="T47" s="49"/>
      <c r="U47" s="49"/>
      <c r="V47" s="49"/>
      <c r="W47" s="49"/>
      <c r="X47" s="49"/>
      <c r="Y47" s="49"/>
      <c r="Z47" s="49"/>
      <c r="AA47" s="49"/>
      <c r="AB47" s="49"/>
      <c r="AC47" s="49"/>
      <c r="AD47" s="49"/>
      <c r="AE47" s="49"/>
      <c r="AF47" s="49"/>
      <c r="AG47" s="49"/>
      <c r="AH47" s="49"/>
    </row>
    <row r="48" spans="2:34">
      <c r="B48" s="276"/>
      <c r="C48" s="3" t="s">
        <v>15</v>
      </c>
      <c r="D48" s="95">
        <v>0</v>
      </c>
      <c r="E48" s="49">
        <v>0</v>
      </c>
      <c r="F48" s="49">
        <v>0</v>
      </c>
      <c r="G48" s="49">
        <v>0</v>
      </c>
      <c r="H48" s="49">
        <v>0</v>
      </c>
      <c r="I48" s="49">
        <v>0</v>
      </c>
      <c r="J48" s="49">
        <v>0</v>
      </c>
      <c r="K48" s="49">
        <v>0</v>
      </c>
      <c r="L48" s="49">
        <v>0</v>
      </c>
      <c r="M48" s="49">
        <v>0</v>
      </c>
      <c r="N48" s="49">
        <v>0</v>
      </c>
      <c r="O48" s="49">
        <v>0</v>
      </c>
      <c r="P48" s="49">
        <v>0</v>
      </c>
      <c r="Q48" s="49"/>
      <c r="R48" s="49"/>
      <c r="S48" s="49"/>
      <c r="T48" s="49"/>
      <c r="U48" s="49"/>
      <c r="V48" s="49"/>
      <c r="W48" s="49"/>
      <c r="X48" s="49"/>
      <c r="Y48" s="49"/>
      <c r="Z48" s="49"/>
      <c r="AA48" s="49"/>
      <c r="AB48" s="49"/>
      <c r="AC48" s="49"/>
      <c r="AD48" s="49"/>
      <c r="AE48" s="49"/>
      <c r="AF48" s="49"/>
      <c r="AG48" s="49"/>
      <c r="AH48" s="49"/>
    </row>
    <row r="49" spans="2:34">
      <c r="B49" s="276"/>
      <c r="C49" s="3" t="s">
        <v>96</v>
      </c>
      <c r="D49" s="95">
        <v>10</v>
      </c>
      <c r="E49" s="49">
        <v>4</v>
      </c>
      <c r="F49" s="49">
        <v>1</v>
      </c>
      <c r="G49" s="49">
        <v>0</v>
      </c>
      <c r="H49" s="49">
        <v>0</v>
      </c>
      <c r="I49" s="49">
        <v>0</v>
      </c>
      <c r="J49" s="49">
        <v>0</v>
      </c>
      <c r="K49" s="49">
        <v>0</v>
      </c>
      <c r="L49" s="49">
        <v>2</v>
      </c>
      <c r="M49" s="49">
        <v>1</v>
      </c>
      <c r="N49" s="49">
        <v>0</v>
      </c>
      <c r="O49" s="49">
        <v>2</v>
      </c>
      <c r="P49" s="49">
        <v>0</v>
      </c>
      <c r="Q49" s="49"/>
      <c r="R49" s="49"/>
      <c r="S49" s="49"/>
      <c r="T49" s="49"/>
      <c r="U49" s="49"/>
      <c r="V49" s="49"/>
      <c r="W49" s="49"/>
      <c r="X49" s="49"/>
      <c r="Y49" s="49"/>
      <c r="Z49" s="49"/>
      <c r="AA49" s="49"/>
      <c r="AB49" s="49"/>
      <c r="AC49" s="49"/>
      <c r="AD49" s="49"/>
      <c r="AE49" s="49"/>
      <c r="AF49" s="49"/>
      <c r="AG49" s="49"/>
      <c r="AH49" s="49"/>
    </row>
    <row r="50" spans="2:34">
      <c r="B50" s="276"/>
      <c r="C50" s="3" t="s">
        <v>97</v>
      </c>
      <c r="D50" s="95">
        <v>11</v>
      </c>
      <c r="E50" s="49">
        <v>0</v>
      </c>
      <c r="F50" s="49">
        <v>1</v>
      </c>
      <c r="G50" s="49">
        <v>2</v>
      </c>
      <c r="H50" s="49">
        <v>0</v>
      </c>
      <c r="I50" s="49">
        <v>0</v>
      </c>
      <c r="J50" s="49">
        <v>0</v>
      </c>
      <c r="K50" s="49">
        <v>0</v>
      </c>
      <c r="L50" s="49">
        <v>3</v>
      </c>
      <c r="M50" s="49">
        <v>0</v>
      </c>
      <c r="N50" s="49">
        <v>3</v>
      </c>
      <c r="O50" s="49">
        <v>2</v>
      </c>
      <c r="P50" s="49">
        <v>0</v>
      </c>
      <c r="Q50" s="49"/>
      <c r="R50" s="49"/>
      <c r="S50" s="49"/>
      <c r="T50" s="49"/>
      <c r="U50" s="49"/>
      <c r="V50" s="49"/>
      <c r="W50" s="49"/>
      <c r="X50" s="49"/>
      <c r="Y50" s="49"/>
      <c r="Z50" s="49"/>
      <c r="AA50" s="49"/>
      <c r="AB50" s="49"/>
      <c r="AC50" s="49"/>
      <c r="AD50" s="49"/>
      <c r="AE50" s="49"/>
      <c r="AF50" s="49"/>
      <c r="AG50" s="49"/>
      <c r="AH50" s="49"/>
    </row>
    <row r="51" spans="2:34">
      <c r="B51" s="276"/>
      <c r="C51" s="3" t="s">
        <v>106</v>
      </c>
      <c r="D51" s="95">
        <v>43</v>
      </c>
      <c r="E51" s="49">
        <v>3</v>
      </c>
      <c r="F51" s="49">
        <v>3</v>
      </c>
      <c r="G51" s="49">
        <v>7</v>
      </c>
      <c r="H51" s="49">
        <v>8</v>
      </c>
      <c r="I51" s="49">
        <v>1</v>
      </c>
      <c r="J51" s="49">
        <v>0</v>
      </c>
      <c r="K51" s="49">
        <v>4</v>
      </c>
      <c r="L51" s="49">
        <v>2</v>
      </c>
      <c r="M51" s="49">
        <v>5</v>
      </c>
      <c r="N51" s="49">
        <v>5</v>
      </c>
      <c r="O51" s="49">
        <v>4</v>
      </c>
      <c r="P51" s="49">
        <v>1</v>
      </c>
      <c r="Q51" s="49"/>
      <c r="R51" s="49"/>
      <c r="S51" s="49"/>
      <c r="T51" s="49"/>
      <c r="U51" s="49"/>
      <c r="V51" s="49"/>
      <c r="W51" s="49"/>
      <c r="X51" s="49"/>
      <c r="Y51" s="49"/>
      <c r="Z51" s="49"/>
      <c r="AA51" s="49"/>
      <c r="AB51" s="49"/>
      <c r="AC51" s="49"/>
      <c r="AD51" s="49"/>
      <c r="AE51" s="49"/>
      <c r="AF51" s="49"/>
      <c r="AG51" s="49"/>
      <c r="AH51" s="49"/>
    </row>
    <row r="52" spans="2:34">
      <c r="B52" s="276"/>
      <c r="C52" s="3" t="s">
        <v>107</v>
      </c>
      <c r="D52" s="95">
        <v>0</v>
      </c>
      <c r="E52" s="49">
        <v>0</v>
      </c>
      <c r="F52" s="49">
        <v>0</v>
      </c>
      <c r="G52" s="49">
        <v>0</v>
      </c>
      <c r="H52" s="49">
        <v>0</v>
      </c>
      <c r="I52" s="49">
        <v>0</v>
      </c>
      <c r="J52" s="49">
        <v>0</v>
      </c>
      <c r="K52" s="49">
        <v>0</v>
      </c>
      <c r="L52" s="49">
        <v>0</v>
      </c>
      <c r="M52" s="49">
        <v>0</v>
      </c>
      <c r="N52" s="49">
        <v>0</v>
      </c>
      <c r="O52" s="49">
        <v>0</v>
      </c>
      <c r="P52" s="49">
        <v>0</v>
      </c>
      <c r="Q52" s="49"/>
      <c r="R52" s="49"/>
      <c r="S52" s="49"/>
      <c r="T52" s="49"/>
      <c r="U52" s="49"/>
      <c r="V52" s="49"/>
      <c r="W52" s="49"/>
      <c r="X52" s="49"/>
      <c r="Y52" s="49"/>
      <c r="Z52" s="49"/>
      <c r="AA52" s="49"/>
      <c r="AB52" s="49"/>
      <c r="AC52" s="49"/>
      <c r="AD52" s="49"/>
      <c r="AE52" s="49"/>
      <c r="AF52" s="49"/>
      <c r="AG52" s="49"/>
      <c r="AH52" s="49"/>
    </row>
    <row r="53" spans="2:34">
      <c r="B53" s="276"/>
      <c r="C53" s="3" t="s">
        <v>100</v>
      </c>
      <c r="D53" s="95">
        <v>2</v>
      </c>
      <c r="E53" s="49">
        <v>0</v>
      </c>
      <c r="F53" s="49">
        <v>0</v>
      </c>
      <c r="G53" s="49">
        <v>0</v>
      </c>
      <c r="H53" s="49">
        <v>0</v>
      </c>
      <c r="I53" s="49">
        <v>1</v>
      </c>
      <c r="J53" s="49">
        <v>0</v>
      </c>
      <c r="K53" s="49">
        <v>0</v>
      </c>
      <c r="L53" s="49">
        <v>0</v>
      </c>
      <c r="M53" s="49">
        <v>0</v>
      </c>
      <c r="N53" s="49">
        <v>0</v>
      </c>
      <c r="O53" s="49">
        <v>0</v>
      </c>
      <c r="P53" s="49">
        <v>1</v>
      </c>
      <c r="Q53" s="49"/>
      <c r="R53" s="49"/>
      <c r="S53" s="49"/>
      <c r="T53" s="49"/>
      <c r="U53" s="49"/>
      <c r="V53" s="49"/>
      <c r="W53" s="49"/>
      <c r="X53" s="49"/>
      <c r="Y53" s="49"/>
      <c r="Z53" s="49"/>
      <c r="AA53" s="49"/>
      <c r="AB53" s="49"/>
      <c r="AC53" s="49"/>
      <c r="AD53" s="49"/>
      <c r="AE53" s="49"/>
      <c r="AF53" s="49"/>
      <c r="AG53" s="49"/>
      <c r="AH53" s="49"/>
    </row>
    <row r="54" spans="2:34">
      <c r="B54" s="50"/>
      <c r="C54" s="45"/>
      <c r="D54" s="46"/>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row>
    <row r="55" spans="2:34">
      <c r="B55" s="276" t="s">
        <v>108</v>
      </c>
      <c r="C55" s="144" t="s">
        <v>105</v>
      </c>
      <c r="D55" s="95">
        <v>40</v>
      </c>
      <c r="E55" s="49">
        <v>6</v>
      </c>
      <c r="F55" s="49">
        <v>2</v>
      </c>
      <c r="G55" s="49">
        <v>3</v>
      </c>
      <c r="H55" s="49">
        <v>7</v>
      </c>
      <c r="I55" s="49">
        <v>0</v>
      </c>
      <c r="J55" s="49">
        <v>0</v>
      </c>
      <c r="K55" s="49">
        <v>5</v>
      </c>
      <c r="L55" s="49">
        <v>5</v>
      </c>
      <c r="M55" s="49">
        <v>4</v>
      </c>
      <c r="N55" s="49">
        <v>2</v>
      </c>
      <c r="O55" s="49">
        <v>6</v>
      </c>
      <c r="P55" s="49">
        <v>0</v>
      </c>
      <c r="Q55" s="49"/>
      <c r="R55" s="49"/>
      <c r="S55" s="49"/>
      <c r="T55" s="49"/>
      <c r="U55" s="49"/>
      <c r="V55" s="49"/>
      <c r="W55" s="49"/>
      <c r="X55" s="49"/>
      <c r="Y55" s="49"/>
      <c r="Z55" s="49"/>
      <c r="AA55" s="49"/>
      <c r="AB55" s="49"/>
      <c r="AC55" s="49"/>
      <c r="AD55" s="49"/>
      <c r="AE55" s="49"/>
      <c r="AF55" s="49"/>
      <c r="AG55" s="49"/>
      <c r="AH55" s="49"/>
    </row>
    <row r="56" spans="2:34">
      <c r="B56" s="276"/>
      <c r="C56" s="3" t="s">
        <v>8</v>
      </c>
      <c r="D56" s="95">
        <v>28</v>
      </c>
      <c r="E56" s="49">
        <v>2</v>
      </c>
      <c r="F56" s="49">
        <v>5</v>
      </c>
      <c r="G56" s="49">
        <v>5</v>
      </c>
      <c r="H56" s="49">
        <v>2</v>
      </c>
      <c r="I56" s="49">
        <v>4</v>
      </c>
      <c r="J56" s="49">
        <v>0</v>
      </c>
      <c r="K56" s="49">
        <v>3</v>
      </c>
      <c r="L56" s="49">
        <v>2</v>
      </c>
      <c r="M56" s="49">
        <v>3</v>
      </c>
      <c r="N56" s="49">
        <v>0</v>
      </c>
      <c r="O56" s="49">
        <v>2</v>
      </c>
      <c r="P56" s="49">
        <v>0</v>
      </c>
      <c r="Q56" s="49"/>
      <c r="R56" s="49"/>
      <c r="S56" s="49"/>
      <c r="T56" s="49"/>
      <c r="U56" s="49"/>
      <c r="V56" s="49"/>
      <c r="W56" s="49"/>
      <c r="X56" s="49"/>
      <c r="Y56" s="49"/>
      <c r="Z56" s="49"/>
      <c r="AA56" s="49"/>
      <c r="AB56" s="49"/>
      <c r="AC56" s="49"/>
      <c r="AD56" s="49"/>
      <c r="AE56" s="49"/>
      <c r="AF56" s="49"/>
      <c r="AG56" s="49"/>
      <c r="AH56" s="49"/>
    </row>
    <row r="57" spans="2:34">
      <c r="B57" s="276"/>
      <c r="C57" s="3" t="s">
        <v>9</v>
      </c>
      <c r="D57" s="95">
        <v>42</v>
      </c>
      <c r="E57" s="49">
        <v>2</v>
      </c>
      <c r="F57" s="49">
        <v>1</v>
      </c>
      <c r="G57" s="49">
        <v>4</v>
      </c>
      <c r="H57" s="49">
        <v>7</v>
      </c>
      <c r="I57" s="49">
        <v>0</v>
      </c>
      <c r="J57" s="49">
        <v>0</v>
      </c>
      <c r="K57" s="49">
        <v>5</v>
      </c>
      <c r="L57" s="49">
        <v>3</v>
      </c>
      <c r="M57" s="49">
        <v>6</v>
      </c>
      <c r="N57" s="49">
        <v>8</v>
      </c>
      <c r="O57" s="49">
        <v>2</v>
      </c>
      <c r="P57" s="49">
        <v>4</v>
      </c>
      <c r="Q57" s="49"/>
      <c r="R57" s="49"/>
      <c r="S57" s="49"/>
      <c r="T57" s="49"/>
      <c r="U57" s="49"/>
      <c r="V57" s="49"/>
      <c r="W57" s="49"/>
      <c r="X57" s="49"/>
      <c r="Y57" s="49"/>
      <c r="Z57" s="49"/>
      <c r="AA57" s="49"/>
      <c r="AB57" s="49"/>
      <c r="AC57" s="49"/>
      <c r="AD57" s="49"/>
      <c r="AE57" s="49"/>
      <c r="AF57" s="49"/>
      <c r="AG57" s="49"/>
      <c r="AH57" s="49"/>
    </row>
    <row r="58" spans="2:34">
      <c r="B58" s="276"/>
      <c r="C58" s="3" t="s">
        <v>1</v>
      </c>
      <c r="D58" s="95">
        <v>0</v>
      </c>
      <c r="E58" s="49">
        <v>0</v>
      </c>
      <c r="F58" s="49">
        <v>0</v>
      </c>
      <c r="G58" s="49">
        <v>0</v>
      </c>
      <c r="H58" s="49">
        <v>0</v>
      </c>
      <c r="I58" s="49">
        <v>0</v>
      </c>
      <c r="J58" s="49">
        <v>0</v>
      </c>
      <c r="K58" s="49">
        <v>0</v>
      </c>
      <c r="L58" s="49">
        <v>0</v>
      </c>
      <c r="M58" s="49">
        <v>0</v>
      </c>
      <c r="N58" s="49">
        <v>0</v>
      </c>
      <c r="O58" s="49">
        <v>0</v>
      </c>
      <c r="P58" s="49">
        <v>0</v>
      </c>
      <c r="Q58" s="49"/>
      <c r="R58" s="49"/>
      <c r="S58" s="49"/>
      <c r="T58" s="49"/>
      <c r="U58" s="49"/>
      <c r="V58" s="49"/>
      <c r="W58" s="49"/>
      <c r="X58" s="49"/>
      <c r="Y58" s="49"/>
      <c r="Z58" s="49"/>
      <c r="AA58" s="49"/>
      <c r="AB58" s="49"/>
      <c r="AC58" s="49"/>
      <c r="AD58" s="49"/>
      <c r="AE58" s="49"/>
      <c r="AF58" s="49"/>
      <c r="AG58" s="49"/>
      <c r="AH58" s="49"/>
    </row>
    <row r="59" spans="2:34">
      <c r="B59" s="276"/>
      <c r="C59" s="3" t="s">
        <v>10</v>
      </c>
      <c r="D59" s="95">
        <v>0</v>
      </c>
      <c r="E59" s="49">
        <v>0</v>
      </c>
      <c r="F59" s="49">
        <v>0</v>
      </c>
      <c r="G59" s="49">
        <v>0</v>
      </c>
      <c r="H59" s="49">
        <v>0</v>
      </c>
      <c r="I59" s="49">
        <v>0</v>
      </c>
      <c r="J59" s="49">
        <v>0</v>
      </c>
      <c r="K59" s="49">
        <v>0</v>
      </c>
      <c r="L59" s="49">
        <v>0</v>
      </c>
      <c r="M59" s="49">
        <v>0</v>
      </c>
      <c r="N59" s="49">
        <v>0</v>
      </c>
      <c r="O59" s="49">
        <v>0</v>
      </c>
      <c r="P59" s="49">
        <v>0</v>
      </c>
      <c r="Q59" s="49"/>
      <c r="R59" s="49"/>
      <c r="S59" s="49"/>
      <c r="T59" s="49"/>
      <c r="U59" s="49"/>
      <c r="V59" s="49"/>
      <c r="W59" s="49"/>
      <c r="X59" s="49"/>
      <c r="Y59" s="49"/>
      <c r="Z59" s="49"/>
      <c r="AA59" s="49"/>
      <c r="AB59" s="49"/>
      <c r="AC59" s="49"/>
      <c r="AD59" s="49"/>
      <c r="AE59" s="49"/>
      <c r="AF59" s="49"/>
      <c r="AG59" s="49"/>
      <c r="AH59" s="49"/>
    </row>
    <row r="60" spans="2:34">
      <c r="B60" s="276"/>
      <c r="C60" s="3" t="s">
        <v>15</v>
      </c>
      <c r="D60" s="95">
        <v>0</v>
      </c>
      <c r="E60" s="49">
        <v>0</v>
      </c>
      <c r="F60" s="49">
        <v>0</v>
      </c>
      <c r="G60" s="49">
        <v>0</v>
      </c>
      <c r="H60" s="49">
        <v>0</v>
      </c>
      <c r="I60" s="49">
        <v>0</v>
      </c>
      <c r="J60" s="49">
        <v>0</v>
      </c>
      <c r="K60" s="49">
        <v>0</v>
      </c>
      <c r="L60" s="49">
        <v>0</v>
      </c>
      <c r="M60" s="49">
        <v>0</v>
      </c>
      <c r="N60" s="49">
        <v>0</v>
      </c>
      <c r="O60" s="49">
        <v>0</v>
      </c>
      <c r="P60" s="49">
        <v>0</v>
      </c>
      <c r="Q60" s="49"/>
      <c r="R60" s="49"/>
      <c r="S60" s="49"/>
      <c r="T60" s="49"/>
      <c r="U60" s="49"/>
      <c r="V60" s="49"/>
      <c r="W60" s="49"/>
      <c r="X60" s="49"/>
      <c r="Y60" s="49"/>
      <c r="Z60" s="49"/>
      <c r="AA60" s="49"/>
      <c r="AB60" s="49"/>
      <c r="AC60" s="49"/>
      <c r="AD60" s="49"/>
      <c r="AE60" s="49"/>
      <c r="AF60" s="49"/>
      <c r="AG60" s="49"/>
      <c r="AH60" s="49"/>
    </row>
    <row r="61" spans="2:34">
      <c r="B61" s="276"/>
      <c r="C61" s="3" t="s">
        <v>96</v>
      </c>
      <c r="D61" s="95">
        <v>13</v>
      </c>
      <c r="E61" s="49">
        <v>2</v>
      </c>
      <c r="F61" s="49">
        <v>1</v>
      </c>
      <c r="G61" s="49">
        <v>0</v>
      </c>
      <c r="H61" s="49">
        <v>1</v>
      </c>
      <c r="I61" s="49">
        <v>0</v>
      </c>
      <c r="J61" s="49">
        <v>0</v>
      </c>
      <c r="K61" s="49">
        <v>3</v>
      </c>
      <c r="L61" s="49">
        <v>3</v>
      </c>
      <c r="M61" s="49">
        <v>1</v>
      </c>
      <c r="N61" s="49">
        <v>1</v>
      </c>
      <c r="O61" s="49">
        <v>1</v>
      </c>
      <c r="P61" s="49">
        <v>0</v>
      </c>
      <c r="Q61" s="49"/>
      <c r="R61" s="49"/>
      <c r="S61" s="49"/>
      <c r="T61" s="49"/>
      <c r="U61" s="49"/>
      <c r="V61" s="49"/>
      <c r="W61" s="49"/>
      <c r="X61" s="49"/>
      <c r="Y61" s="49"/>
      <c r="Z61" s="49"/>
      <c r="AA61" s="49"/>
      <c r="AB61" s="49"/>
      <c r="AC61" s="49"/>
      <c r="AD61" s="49"/>
      <c r="AE61" s="49"/>
      <c r="AF61" s="49"/>
      <c r="AG61" s="49"/>
      <c r="AH61" s="49"/>
    </row>
    <row r="62" spans="2:34">
      <c r="B62" s="276"/>
      <c r="C62" s="3" t="s">
        <v>97</v>
      </c>
      <c r="D62" s="95">
        <v>6</v>
      </c>
      <c r="E62" s="49">
        <v>1</v>
      </c>
      <c r="F62" s="49">
        <v>0</v>
      </c>
      <c r="G62" s="49">
        <v>1</v>
      </c>
      <c r="H62" s="49">
        <v>1</v>
      </c>
      <c r="I62" s="49">
        <v>0</v>
      </c>
      <c r="J62" s="49">
        <v>0</v>
      </c>
      <c r="K62" s="49">
        <v>2</v>
      </c>
      <c r="L62" s="49">
        <v>1</v>
      </c>
      <c r="M62" s="49">
        <v>0</v>
      </c>
      <c r="N62" s="49">
        <v>0</v>
      </c>
      <c r="O62" s="49">
        <v>0</v>
      </c>
      <c r="P62" s="49">
        <v>0</v>
      </c>
      <c r="Q62" s="49"/>
      <c r="R62" s="49"/>
      <c r="S62" s="49"/>
      <c r="T62" s="49"/>
      <c r="U62" s="49"/>
      <c r="V62" s="49"/>
      <c r="W62" s="49"/>
      <c r="X62" s="49"/>
      <c r="Y62" s="49"/>
      <c r="Z62" s="49"/>
      <c r="AA62" s="49"/>
      <c r="AB62" s="49"/>
      <c r="AC62" s="49"/>
      <c r="AD62" s="49"/>
      <c r="AE62" s="49"/>
      <c r="AF62" s="49"/>
      <c r="AG62" s="49"/>
      <c r="AH62" s="49"/>
    </row>
    <row r="63" spans="2:34">
      <c r="B63" s="276"/>
      <c r="C63" s="3" t="s">
        <v>98</v>
      </c>
      <c r="D63" s="95">
        <v>19</v>
      </c>
      <c r="E63" s="49">
        <v>0</v>
      </c>
      <c r="F63" s="49">
        <v>2</v>
      </c>
      <c r="G63" s="49">
        <v>1</v>
      </c>
      <c r="H63" s="49">
        <v>4</v>
      </c>
      <c r="I63" s="49">
        <v>0</v>
      </c>
      <c r="J63" s="49">
        <v>0</v>
      </c>
      <c r="K63" s="49">
        <v>1</v>
      </c>
      <c r="L63" s="49">
        <v>3</v>
      </c>
      <c r="M63" s="49">
        <v>1</v>
      </c>
      <c r="N63" s="49">
        <v>5</v>
      </c>
      <c r="O63" s="49">
        <v>2</v>
      </c>
      <c r="P63" s="49">
        <v>0</v>
      </c>
      <c r="Q63" s="49"/>
      <c r="R63" s="49"/>
      <c r="S63" s="49"/>
      <c r="T63" s="49"/>
      <c r="U63" s="49"/>
      <c r="V63" s="49"/>
      <c r="W63" s="49"/>
      <c r="X63" s="49"/>
      <c r="Y63" s="49"/>
      <c r="Z63" s="49"/>
      <c r="AA63" s="49"/>
      <c r="AB63" s="49"/>
      <c r="AC63" s="49"/>
      <c r="AD63" s="49"/>
      <c r="AE63" s="49"/>
      <c r="AF63" s="49"/>
      <c r="AG63" s="49"/>
      <c r="AH63" s="49"/>
    </row>
    <row r="64" spans="2:34">
      <c r="B64" s="276"/>
      <c r="C64" s="3" t="s">
        <v>99</v>
      </c>
      <c r="D64" s="95">
        <v>0</v>
      </c>
      <c r="E64" s="49">
        <v>0</v>
      </c>
      <c r="F64" s="49">
        <v>0</v>
      </c>
      <c r="G64" s="49">
        <v>0</v>
      </c>
      <c r="H64" s="49">
        <v>0</v>
      </c>
      <c r="I64" s="49">
        <v>0</v>
      </c>
      <c r="J64" s="49">
        <v>0</v>
      </c>
      <c r="K64" s="49">
        <v>0</v>
      </c>
      <c r="L64" s="49">
        <v>0</v>
      </c>
      <c r="M64" s="49">
        <v>0</v>
      </c>
      <c r="N64" s="49">
        <v>0</v>
      </c>
      <c r="O64" s="49">
        <v>0</v>
      </c>
      <c r="P64" s="49">
        <v>0</v>
      </c>
      <c r="Q64" s="49"/>
      <c r="R64" s="49"/>
      <c r="S64" s="49"/>
      <c r="T64" s="49"/>
      <c r="U64" s="49"/>
      <c r="V64" s="49"/>
      <c r="W64" s="49"/>
      <c r="X64" s="49"/>
      <c r="Y64" s="49"/>
      <c r="Z64" s="49"/>
      <c r="AA64" s="49"/>
      <c r="AB64" s="49"/>
      <c r="AC64" s="49"/>
      <c r="AD64" s="49"/>
      <c r="AE64" s="49"/>
      <c r="AF64" s="49"/>
      <c r="AG64" s="49"/>
      <c r="AH64" s="49"/>
    </row>
    <row r="65" spans="2:34">
      <c r="B65" s="276"/>
      <c r="C65" s="3" t="s">
        <v>100</v>
      </c>
      <c r="D65" s="95">
        <v>0</v>
      </c>
      <c r="E65" s="49">
        <v>0</v>
      </c>
      <c r="F65" s="49">
        <v>0</v>
      </c>
      <c r="G65" s="49">
        <v>0</v>
      </c>
      <c r="H65" s="49">
        <v>0</v>
      </c>
      <c r="I65" s="49">
        <v>0</v>
      </c>
      <c r="J65" s="49">
        <v>0</v>
      </c>
      <c r="K65" s="49">
        <v>0</v>
      </c>
      <c r="L65" s="49">
        <v>0</v>
      </c>
      <c r="M65" s="49">
        <v>0</v>
      </c>
      <c r="N65" s="49">
        <v>0</v>
      </c>
      <c r="O65" s="49">
        <v>0</v>
      </c>
      <c r="P65" s="49">
        <v>0</v>
      </c>
      <c r="Q65" s="49"/>
      <c r="R65" s="49"/>
      <c r="S65" s="49"/>
      <c r="T65" s="49"/>
      <c r="U65" s="49"/>
      <c r="V65" s="49"/>
      <c r="W65" s="49"/>
      <c r="X65" s="49"/>
      <c r="Y65" s="49"/>
      <c r="Z65" s="49"/>
      <c r="AA65" s="49"/>
      <c r="AB65" s="49"/>
      <c r="AC65" s="49"/>
      <c r="AD65" s="49"/>
      <c r="AE65" s="49"/>
      <c r="AF65" s="49"/>
      <c r="AG65" s="49"/>
      <c r="AH65" s="49"/>
    </row>
    <row r="66" spans="2:34">
      <c r="B66" s="78"/>
      <c r="C66" s="44"/>
      <c r="D66" s="78"/>
    </row>
    <row r="67" spans="2:34">
      <c r="B67" s="276" t="s">
        <v>109</v>
      </c>
      <c r="C67" s="144" t="s">
        <v>110</v>
      </c>
      <c r="D67" s="95">
        <v>50</v>
      </c>
      <c r="E67" s="49">
        <v>4</v>
      </c>
      <c r="F67" s="49">
        <v>3</v>
      </c>
      <c r="G67" s="49">
        <v>5</v>
      </c>
      <c r="H67" s="49">
        <v>7</v>
      </c>
      <c r="I67" s="49">
        <v>5</v>
      </c>
      <c r="J67" s="49">
        <v>0</v>
      </c>
      <c r="K67" s="49">
        <v>5</v>
      </c>
      <c r="L67" s="49">
        <v>5</v>
      </c>
      <c r="M67" s="49">
        <v>4</v>
      </c>
      <c r="N67" s="49">
        <v>5</v>
      </c>
      <c r="O67" s="49">
        <v>7</v>
      </c>
      <c r="P67" s="49">
        <v>0</v>
      </c>
      <c r="Q67" s="49"/>
      <c r="R67" s="49"/>
      <c r="S67" s="49"/>
      <c r="T67" s="49"/>
      <c r="U67" s="49"/>
      <c r="V67" s="49"/>
      <c r="W67" s="49"/>
      <c r="X67" s="49"/>
      <c r="Y67" s="49"/>
      <c r="Z67" s="49"/>
      <c r="AA67" s="49"/>
      <c r="AB67" s="49"/>
      <c r="AC67" s="49"/>
      <c r="AD67" s="49"/>
      <c r="AE67" s="49"/>
      <c r="AF67" s="49"/>
      <c r="AG67" s="49"/>
      <c r="AH67" s="49"/>
    </row>
    <row r="68" spans="2:34">
      <c r="B68" s="276"/>
      <c r="C68" s="3" t="s">
        <v>8</v>
      </c>
      <c r="D68" s="95">
        <v>54</v>
      </c>
      <c r="E68" s="49">
        <v>8</v>
      </c>
      <c r="F68" s="49">
        <v>6</v>
      </c>
      <c r="G68" s="49">
        <v>3</v>
      </c>
      <c r="H68" s="49">
        <v>8</v>
      </c>
      <c r="I68" s="49">
        <v>0</v>
      </c>
      <c r="J68" s="49">
        <v>0</v>
      </c>
      <c r="K68" s="49">
        <v>5</v>
      </c>
      <c r="L68" s="49">
        <v>4</v>
      </c>
      <c r="M68" s="49">
        <v>10</v>
      </c>
      <c r="N68" s="49">
        <v>5</v>
      </c>
      <c r="O68" s="49">
        <v>5</v>
      </c>
      <c r="P68" s="49">
        <v>0</v>
      </c>
      <c r="Q68" s="49"/>
      <c r="R68" s="49"/>
      <c r="S68" s="49"/>
      <c r="T68" s="49"/>
      <c r="U68" s="49"/>
      <c r="V68" s="49"/>
      <c r="W68" s="49"/>
      <c r="X68" s="49"/>
      <c r="Y68" s="49"/>
      <c r="Z68" s="49"/>
      <c r="AA68" s="49"/>
      <c r="AB68" s="49"/>
      <c r="AC68" s="49"/>
      <c r="AD68" s="49"/>
      <c r="AE68" s="49"/>
      <c r="AF68" s="49"/>
      <c r="AG68" s="49"/>
      <c r="AH68" s="49"/>
    </row>
    <row r="69" spans="2:34">
      <c r="B69" s="276"/>
      <c r="C69" s="3" t="s">
        <v>9</v>
      </c>
      <c r="D69" s="95">
        <v>43</v>
      </c>
      <c r="E69" s="49">
        <v>5</v>
      </c>
      <c r="F69" s="49">
        <v>4</v>
      </c>
      <c r="G69" s="49">
        <v>3</v>
      </c>
      <c r="H69" s="49">
        <v>5</v>
      </c>
      <c r="I69" s="49">
        <v>0</v>
      </c>
      <c r="J69" s="49">
        <v>0</v>
      </c>
      <c r="K69" s="49">
        <v>7</v>
      </c>
      <c r="L69" s="49">
        <v>7</v>
      </c>
      <c r="M69" s="49">
        <v>1</v>
      </c>
      <c r="N69" s="49">
        <v>5</v>
      </c>
      <c r="O69" s="49">
        <v>2</v>
      </c>
      <c r="P69" s="49">
        <v>4</v>
      </c>
      <c r="Q69" s="49"/>
      <c r="R69" s="49"/>
      <c r="S69" s="49"/>
      <c r="T69" s="49"/>
      <c r="U69" s="49"/>
      <c r="V69" s="49"/>
      <c r="W69" s="49"/>
      <c r="X69" s="49"/>
      <c r="Y69" s="49"/>
      <c r="Z69" s="49"/>
      <c r="AA69" s="49"/>
      <c r="AB69" s="49"/>
      <c r="AC69" s="49"/>
      <c r="AD69" s="49"/>
      <c r="AE69" s="49"/>
      <c r="AF69" s="49"/>
      <c r="AG69" s="49"/>
      <c r="AH69" s="49"/>
    </row>
    <row r="70" spans="2:34">
      <c r="B70" s="276"/>
      <c r="C70" s="3" t="s">
        <v>1</v>
      </c>
      <c r="D70" s="95">
        <v>0</v>
      </c>
      <c r="E70" s="49">
        <v>0</v>
      </c>
      <c r="F70" s="49">
        <v>0</v>
      </c>
      <c r="G70" s="49">
        <v>0</v>
      </c>
      <c r="H70" s="49">
        <v>0</v>
      </c>
      <c r="I70" s="49">
        <v>0</v>
      </c>
      <c r="J70" s="49">
        <v>0</v>
      </c>
      <c r="K70" s="49">
        <v>0</v>
      </c>
      <c r="L70" s="49">
        <v>0</v>
      </c>
      <c r="M70" s="49">
        <v>0</v>
      </c>
      <c r="N70" s="49">
        <v>0</v>
      </c>
      <c r="O70" s="49">
        <v>0</v>
      </c>
      <c r="P70" s="49">
        <v>0</v>
      </c>
      <c r="Q70" s="49"/>
      <c r="R70" s="49"/>
      <c r="S70" s="49"/>
      <c r="T70" s="49"/>
      <c r="U70" s="49"/>
      <c r="V70" s="49"/>
      <c r="W70" s="49"/>
      <c r="X70" s="49"/>
      <c r="Y70" s="49"/>
      <c r="Z70" s="49"/>
      <c r="AA70" s="49"/>
      <c r="AB70" s="49"/>
      <c r="AC70" s="49"/>
      <c r="AD70" s="49"/>
      <c r="AE70" s="49"/>
      <c r="AF70" s="49"/>
      <c r="AG70" s="49"/>
      <c r="AH70" s="49"/>
    </row>
    <row r="71" spans="2:34">
      <c r="B71" s="276"/>
      <c r="C71" s="3" t="s">
        <v>10</v>
      </c>
      <c r="D71" s="95">
        <v>0</v>
      </c>
      <c r="E71" s="49">
        <v>0</v>
      </c>
      <c r="F71" s="49">
        <v>0</v>
      </c>
      <c r="G71" s="49">
        <v>0</v>
      </c>
      <c r="H71" s="49">
        <v>0</v>
      </c>
      <c r="I71" s="49">
        <v>0</v>
      </c>
      <c r="J71" s="49">
        <v>0</v>
      </c>
      <c r="K71" s="49">
        <v>0</v>
      </c>
      <c r="L71" s="49">
        <v>0</v>
      </c>
      <c r="M71" s="49">
        <v>0</v>
      </c>
      <c r="N71" s="49">
        <v>0</v>
      </c>
      <c r="O71" s="49">
        <v>0</v>
      </c>
      <c r="P71" s="49">
        <v>0</v>
      </c>
      <c r="Q71" s="49"/>
      <c r="R71" s="49"/>
      <c r="S71" s="49"/>
      <c r="T71" s="49"/>
      <c r="U71" s="49"/>
      <c r="V71" s="49"/>
      <c r="W71" s="49"/>
      <c r="X71" s="49"/>
      <c r="Y71" s="49"/>
      <c r="Z71" s="49"/>
      <c r="AA71" s="49"/>
      <c r="AB71" s="49"/>
      <c r="AC71" s="49"/>
      <c r="AD71" s="49"/>
      <c r="AE71" s="49"/>
      <c r="AF71" s="49"/>
      <c r="AG71" s="49"/>
      <c r="AH71" s="49"/>
    </row>
    <row r="72" spans="2:34">
      <c r="B72" s="276"/>
      <c r="C72" s="3" t="s">
        <v>15</v>
      </c>
      <c r="D72" s="95">
        <v>0</v>
      </c>
      <c r="E72" s="49">
        <v>0</v>
      </c>
      <c r="F72" s="49">
        <v>0</v>
      </c>
      <c r="G72" s="49">
        <v>0</v>
      </c>
      <c r="H72" s="49">
        <v>0</v>
      </c>
      <c r="I72" s="49">
        <v>0</v>
      </c>
      <c r="J72" s="49">
        <v>0</v>
      </c>
      <c r="K72" s="49">
        <v>0</v>
      </c>
      <c r="L72" s="49">
        <v>0</v>
      </c>
      <c r="M72" s="49">
        <v>0</v>
      </c>
      <c r="N72" s="49">
        <v>0</v>
      </c>
      <c r="O72" s="49">
        <v>0</v>
      </c>
      <c r="P72" s="49">
        <v>0</v>
      </c>
      <c r="Q72" s="49"/>
      <c r="R72" s="49"/>
      <c r="S72" s="49"/>
      <c r="T72" s="49"/>
      <c r="U72" s="49"/>
      <c r="V72" s="49"/>
      <c r="W72" s="49"/>
      <c r="X72" s="49"/>
      <c r="Y72" s="49"/>
      <c r="Z72" s="49"/>
      <c r="AA72" s="49"/>
      <c r="AB72" s="49"/>
      <c r="AC72" s="49"/>
      <c r="AD72" s="49"/>
      <c r="AE72" s="49"/>
      <c r="AF72" s="49"/>
      <c r="AG72" s="49"/>
      <c r="AH72" s="49"/>
    </row>
    <row r="73" spans="2:34">
      <c r="B73" s="276"/>
      <c r="C73" s="3" t="s">
        <v>95</v>
      </c>
      <c r="D73" s="95">
        <v>16</v>
      </c>
      <c r="E73" s="49">
        <v>3</v>
      </c>
      <c r="F73" s="49">
        <v>1</v>
      </c>
      <c r="G73" s="49">
        <v>1</v>
      </c>
      <c r="H73" s="49">
        <v>2</v>
      </c>
      <c r="I73" s="49">
        <v>0</v>
      </c>
      <c r="J73" s="49">
        <v>0</v>
      </c>
      <c r="K73" s="49">
        <v>2</v>
      </c>
      <c r="L73" s="49">
        <v>1</v>
      </c>
      <c r="M73" s="49">
        <v>3</v>
      </c>
      <c r="N73" s="49">
        <v>2</v>
      </c>
      <c r="O73" s="49">
        <v>1</v>
      </c>
      <c r="P73" s="49">
        <v>0</v>
      </c>
      <c r="Q73" s="49"/>
      <c r="R73" s="49"/>
      <c r="S73" s="49"/>
      <c r="T73" s="49"/>
      <c r="U73" s="49"/>
      <c r="V73" s="49"/>
      <c r="W73" s="49"/>
      <c r="X73" s="49"/>
      <c r="Y73" s="49"/>
      <c r="Z73" s="49"/>
      <c r="AA73" s="49"/>
      <c r="AB73" s="49"/>
      <c r="AC73" s="49"/>
      <c r="AD73" s="49"/>
      <c r="AE73" s="49"/>
      <c r="AF73" s="49"/>
      <c r="AG73" s="49"/>
      <c r="AH73" s="49"/>
    </row>
    <row r="74" spans="2:34">
      <c r="B74" s="276"/>
      <c r="C74" s="3" t="s">
        <v>111</v>
      </c>
      <c r="D74" s="95">
        <v>10</v>
      </c>
      <c r="E74" s="49">
        <v>1</v>
      </c>
      <c r="F74" s="49">
        <v>3</v>
      </c>
      <c r="G74" s="49">
        <v>0</v>
      </c>
      <c r="H74" s="49">
        <v>0</v>
      </c>
      <c r="I74" s="49">
        <v>0</v>
      </c>
      <c r="J74" s="49">
        <v>0</v>
      </c>
      <c r="K74" s="49">
        <v>1</v>
      </c>
      <c r="L74" s="49">
        <v>2</v>
      </c>
      <c r="M74" s="49">
        <v>1</v>
      </c>
      <c r="N74" s="49">
        <v>0</v>
      </c>
      <c r="O74" s="49">
        <v>2</v>
      </c>
      <c r="P74" s="49">
        <v>0</v>
      </c>
      <c r="Q74" s="49"/>
      <c r="R74" s="49"/>
      <c r="S74" s="49"/>
      <c r="T74" s="49"/>
      <c r="U74" s="49"/>
      <c r="V74" s="49"/>
      <c r="W74" s="49"/>
      <c r="X74" s="49"/>
      <c r="Y74" s="49"/>
      <c r="Z74" s="49"/>
      <c r="AA74" s="49"/>
      <c r="AB74" s="49"/>
      <c r="AC74" s="49"/>
      <c r="AD74" s="49"/>
      <c r="AE74" s="49"/>
      <c r="AF74" s="49"/>
      <c r="AG74" s="49"/>
      <c r="AH74" s="49"/>
    </row>
    <row r="75" spans="2:34">
      <c r="B75" s="276"/>
      <c r="C75" s="3" t="s">
        <v>98</v>
      </c>
      <c r="D75" s="95">
        <v>23</v>
      </c>
      <c r="E75" s="49">
        <v>2</v>
      </c>
      <c r="F75" s="49">
        <v>2</v>
      </c>
      <c r="G75" s="49">
        <v>2</v>
      </c>
      <c r="H75" s="49">
        <v>0</v>
      </c>
      <c r="I75" s="49">
        <v>1</v>
      </c>
      <c r="J75" s="49">
        <v>0</v>
      </c>
      <c r="K75" s="49">
        <v>3</v>
      </c>
      <c r="L75" s="49">
        <v>4</v>
      </c>
      <c r="M75" s="49">
        <v>4</v>
      </c>
      <c r="N75" s="49">
        <v>2</v>
      </c>
      <c r="O75" s="49">
        <v>1</v>
      </c>
      <c r="P75" s="49">
        <v>2</v>
      </c>
      <c r="Q75" s="49"/>
      <c r="R75" s="49"/>
      <c r="S75" s="49"/>
      <c r="T75" s="49"/>
      <c r="U75" s="49"/>
      <c r="V75" s="49"/>
      <c r="W75" s="49"/>
      <c r="X75" s="49"/>
      <c r="Y75" s="49"/>
      <c r="Z75" s="49"/>
      <c r="AA75" s="49"/>
      <c r="AB75" s="49"/>
      <c r="AC75" s="49"/>
      <c r="AD75" s="49"/>
      <c r="AE75" s="49"/>
      <c r="AF75" s="49"/>
      <c r="AG75" s="49"/>
      <c r="AH75" s="49"/>
    </row>
    <row r="76" spans="2:34">
      <c r="B76" s="276"/>
      <c r="C76" s="3" t="s">
        <v>99</v>
      </c>
      <c r="D76" s="95">
        <v>28</v>
      </c>
      <c r="E76" s="49">
        <v>0</v>
      </c>
      <c r="F76" s="49">
        <v>4</v>
      </c>
      <c r="G76" s="49">
        <v>5</v>
      </c>
      <c r="H76" s="49">
        <v>2</v>
      </c>
      <c r="I76" s="49">
        <v>0</v>
      </c>
      <c r="J76" s="49">
        <v>0</v>
      </c>
      <c r="K76" s="49">
        <v>3</v>
      </c>
      <c r="L76" s="49">
        <v>6</v>
      </c>
      <c r="M76" s="49">
        <v>0</v>
      </c>
      <c r="N76" s="49">
        <v>2</v>
      </c>
      <c r="O76" s="49">
        <v>6</v>
      </c>
      <c r="P76" s="49">
        <v>0</v>
      </c>
      <c r="Q76" s="49"/>
      <c r="R76" s="49"/>
      <c r="S76" s="49"/>
      <c r="T76" s="49"/>
      <c r="U76" s="49"/>
      <c r="V76" s="49"/>
      <c r="W76" s="49"/>
      <c r="X76" s="49"/>
      <c r="Y76" s="49"/>
      <c r="Z76" s="49"/>
      <c r="AA76" s="49"/>
      <c r="AB76" s="49"/>
      <c r="AC76" s="49"/>
      <c r="AD76" s="49"/>
      <c r="AE76" s="49"/>
      <c r="AF76" s="49"/>
      <c r="AG76" s="49"/>
      <c r="AH76" s="49"/>
    </row>
    <row r="77" spans="2:34">
      <c r="B77" s="276"/>
      <c r="C77" s="3" t="s">
        <v>112</v>
      </c>
      <c r="D77" s="95">
        <v>4</v>
      </c>
      <c r="E77" s="49">
        <v>0</v>
      </c>
      <c r="F77" s="49">
        <v>0</v>
      </c>
      <c r="G77" s="49">
        <v>0</v>
      </c>
      <c r="H77" s="49">
        <v>0</v>
      </c>
      <c r="I77" s="49">
        <v>4</v>
      </c>
      <c r="J77" s="49">
        <v>0</v>
      </c>
      <c r="K77" s="49">
        <v>0</v>
      </c>
      <c r="L77" s="49">
        <v>0</v>
      </c>
      <c r="M77" s="49">
        <v>0</v>
      </c>
      <c r="N77" s="49">
        <v>0</v>
      </c>
      <c r="O77" s="49">
        <v>0</v>
      </c>
      <c r="P77" s="49">
        <v>0</v>
      </c>
      <c r="Q77" s="49"/>
      <c r="R77" s="49"/>
      <c r="S77" s="49"/>
      <c r="T77" s="49"/>
      <c r="U77" s="49"/>
      <c r="V77" s="49"/>
      <c r="W77" s="49"/>
      <c r="X77" s="49"/>
      <c r="Y77" s="49"/>
      <c r="Z77" s="49"/>
      <c r="AA77" s="49"/>
      <c r="AB77" s="49"/>
      <c r="AC77" s="49"/>
      <c r="AD77" s="49"/>
      <c r="AE77" s="49"/>
      <c r="AF77" s="49"/>
      <c r="AG77" s="49"/>
      <c r="AH77" s="49"/>
    </row>
  </sheetData>
  <mergeCells count="17">
    <mergeCell ref="B19:B29"/>
    <mergeCell ref="B31:B41"/>
    <mergeCell ref="B43:B53"/>
    <mergeCell ref="B55:B65"/>
    <mergeCell ref="B67:B77"/>
    <mergeCell ref="B16:C16"/>
    <mergeCell ref="B1:AH1"/>
    <mergeCell ref="B4:D5"/>
    <mergeCell ref="E4:AH4"/>
    <mergeCell ref="B7:C7"/>
    <mergeCell ref="B8:C8"/>
    <mergeCell ref="B9:C9"/>
    <mergeCell ref="B10:C10"/>
    <mergeCell ref="B11:C11"/>
    <mergeCell ref="B12:C12"/>
    <mergeCell ref="B13:C13"/>
    <mergeCell ref="B15:C15"/>
  </mergeCells>
  <phoneticPr fontId="1" type="noConversion"/>
  <conditionalFormatting sqref="E6:AH6">
    <cfRule type="cellIs" dxfId="2" priority="1" operator="equal">
      <formula>$H$1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C1:AJ63"/>
  <sheetViews>
    <sheetView workbookViewId="0">
      <pane xSplit="2" ySplit="6" topLeftCell="C7" activePane="bottomRight" state="frozen"/>
      <selection activeCell="A4" sqref="A4:A5"/>
      <selection pane="topRight" activeCell="A4" sqref="A4:A5"/>
      <selection pane="bottomLeft" activeCell="A4" sqref="A4:A5"/>
      <selection pane="bottomRight" activeCell="A4" sqref="A4:A5"/>
    </sheetView>
  </sheetViews>
  <sheetFormatPr defaultRowHeight="16.5"/>
  <cols>
    <col min="1" max="2" width="4.125" customWidth="1"/>
    <col min="3" max="3" width="5.5" customWidth="1"/>
    <col min="4" max="4" width="10.625" bestFit="1" customWidth="1"/>
    <col min="5" max="5" width="6.5" customWidth="1"/>
    <col min="6" max="33" width="4.25" customWidth="1"/>
    <col min="34" max="34" width="5.375" customWidth="1"/>
    <col min="35" max="36" width="4.25" customWidth="1"/>
  </cols>
  <sheetData>
    <row r="1" spans="3:36" ht="17.25">
      <c r="C1" s="278" t="s">
        <v>25</v>
      </c>
      <c r="D1" s="278"/>
      <c r="E1" s="278"/>
      <c r="F1" s="278"/>
      <c r="G1" s="278"/>
      <c r="H1" s="278"/>
      <c r="I1" s="278"/>
      <c r="J1" s="278"/>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row>
    <row r="3" spans="3:36">
      <c r="C3" s="6" t="s">
        <v>16</v>
      </c>
    </row>
    <row r="4" spans="3:36">
      <c r="C4" s="281" t="s">
        <v>23</v>
      </c>
      <c r="D4" s="282"/>
      <c r="E4" s="24"/>
      <c r="F4" s="279" t="s">
        <v>26</v>
      </c>
      <c r="G4" s="279"/>
      <c r="H4" s="279"/>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row>
    <row r="5" spans="3:36">
      <c r="C5" s="283"/>
      <c r="D5" s="284"/>
      <c r="E5" s="24"/>
      <c r="F5" s="3">
        <v>1</v>
      </c>
      <c r="G5" s="3">
        <v>2</v>
      </c>
      <c r="H5" s="3">
        <v>3</v>
      </c>
      <c r="I5" s="3">
        <v>4</v>
      </c>
      <c r="J5" s="3">
        <v>5</v>
      </c>
      <c r="K5" s="3">
        <v>6</v>
      </c>
      <c r="L5" s="3">
        <v>7</v>
      </c>
      <c r="M5" s="3">
        <v>8</v>
      </c>
      <c r="N5" s="3">
        <v>9</v>
      </c>
      <c r="O5" s="3">
        <v>10</v>
      </c>
      <c r="P5" s="3">
        <v>11</v>
      </c>
      <c r="Q5" s="3">
        <v>12</v>
      </c>
      <c r="R5" s="3">
        <v>13</v>
      </c>
      <c r="S5" s="3">
        <v>14</v>
      </c>
      <c r="T5" s="3">
        <v>15</v>
      </c>
      <c r="U5" s="3">
        <v>16</v>
      </c>
      <c r="V5" s="3">
        <v>17</v>
      </c>
      <c r="W5" s="3">
        <v>18</v>
      </c>
      <c r="X5" s="31">
        <v>19</v>
      </c>
      <c r="Y5" s="31">
        <v>20</v>
      </c>
      <c r="Z5" s="31">
        <v>21</v>
      </c>
      <c r="AA5" s="31">
        <v>22</v>
      </c>
      <c r="AB5" s="31">
        <v>23</v>
      </c>
      <c r="AC5" s="31">
        <v>24</v>
      </c>
      <c r="AD5" s="31">
        <v>25</v>
      </c>
      <c r="AE5" s="31">
        <v>26</v>
      </c>
      <c r="AF5" s="31">
        <v>27</v>
      </c>
      <c r="AG5" s="31">
        <v>28</v>
      </c>
      <c r="AH5" s="31">
        <v>29</v>
      </c>
      <c r="AI5" s="31">
        <v>30</v>
      </c>
      <c r="AJ5" s="31">
        <v>31</v>
      </c>
    </row>
    <row r="6" spans="3:36" s="2" customFormat="1" ht="13.5" hidden="1">
      <c r="C6" s="9"/>
      <c r="D6" s="7"/>
      <c r="E6" s="7"/>
      <c r="F6" s="4">
        <v>43070</v>
      </c>
      <c r="G6" s="4">
        <v>43071</v>
      </c>
      <c r="H6" s="4">
        <v>43072</v>
      </c>
      <c r="I6" s="4">
        <v>43073</v>
      </c>
      <c r="J6" s="4">
        <v>43074</v>
      </c>
      <c r="K6" s="4">
        <v>43075</v>
      </c>
      <c r="L6" s="4">
        <v>43076</v>
      </c>
      <c r="M6" s="4">
        <v>43077</v>
      </c>
      <c r="N6" s="4">
        <v>43078</v>
      </c>
      <c r="O6" s="4">
        <v>43079</v>
      </c>
      <c r="P6" s="4">
        <v>43080</v>
      </c>
      <c r="Q6" s="4">
        <v>43081</v>
      </c>
      <c r="R6" s="4">
        <v>43082</v>
      </c>
      <c r="S6" s="4">
        <v>43083</v>
      </c>
      <c r="T6" s="4">
        <v>43084</v>
      </c>
      <c r="U6" s="4">
        <v>43085</v>
      </c>
      <c r="V6" s="4">
        <v>43086</v>
      </c>
      <c r="W6" s="4">
        <v>43087</v>
      </c>
      <c r="X6" s="32">
        <v>43088</v>
      </c>
      <c r="Y6" s="32">
        <v>43089</v>
      </c>
      <c r="Z6" s="32">
        <v>43090</v>
      </c>
      <c r="AA6" s="32">
        <v>43091</v>
      </c>
      <c r="AB6" s="32">
        <v>43092</v>
      </c>
      <c r="AC6" s="32">
        <v>43093</v>
      </c>
      <c r="AD6" s="32">
        <v>43094</v>
      </c>
      <c r="AE6" s="32">
        <v>43095</v>
      </c>
      <c r="AF6" s="32">
        <v>43096</v>
      </c>
      <c r="AG6" s="32">
        <v>43097</v>
      </c>
      <c r="AH6" s="32">
        <v>43098</v>
      </c>
      <c r="AI6" s="32">
        <v>43099</v>
      </c>
      <c r="AJ6" s="32">
        <v>0</v>
      </c>
    </row>
    <row r="7" spans="3:36">
      <c r="C7" s="280" t="s">
        <v>13</v>
      </c>
      <c r="D7" s="280"/>
      <c r="E7" s="28">
        <f>SUM(F7:AJ7)</f>
        <v>1765</v>
      </c>
      <c r="F7" s="15">
        <v>81</v>
      </c>
      <c r="G7" s="15">
        <v>29</v>
      </c>
      <c r="H7" s="15">
        <v>2</v>
      </c>
      <c r="I7" s="15">
        <v>71</v>
      </c>
      <c r="J7" s="15">
        <v>51</v>
      </c>
      <c r="K7" s="15">
        <v>71</v>
      </c>
      <c r="L7" s="15">
        <v>70</v>
      </c>
      <c r="M7" s="15">
        <v>86</v>
      </c>
      <c r="N7" s="15">
        <v>21</v>
      </c>
      <c r="O7" s="15">
        <v>6</v>
      </c>
      <c r="P7" s="15">
        <v>77</v>
      </c>
      <c r="Q7" s="15">
        <v>74</v>
      </c>
      <c r="R7" s="15">
        <v>86</v>
      </c>
      <c r="S7" s="15">
        <v>87</v>
      </c>
      <c r="T7" s="15">
        <v>59</v>
      </c>
      <c r="U7" s="15">
        <v>27</v>
      </c>
      <c r="V7" s="15">
        <v>2</v>
      </c>
      <c r="W7" s="15">
        <v>92</v>
      </c>
      <c r="X7" s="33">
        <v>77</v>
      </c>
      <c r="Y7" s="33">
        <v>75</v>
      </c>
      <c r="Z7" s="33">
        <v>81</v>
      </c>
      <c r="AA7" s="33">
        <v>73</v>
      </c>
      <c r="AB7" s="33">
        <v>27</v>
      </c>
      <c r="AC7" s="33">
        <v>2</v>
      </c>
      <c r="AD7" s="33">
        <v>1</v>
      </c>
      <c r="AE7" s="33">
        <v>71</v>
      </c>
      <c r="AF7" s="33">
        <v>71</v>
      </c>
      <c r="AG7" s="33">
        <v>82</v>
      </c>
      <c r="AH7" s="33">
        <v>189</v>
      </c>
      <c r="AI7" s="33">
        <v>24</v>
      </c>
      <c r="AJ7" s="33">
        <v>0</v>
      </c>
    </row>
    <row r="8" spans="3:36">
      <c r="C8" s="277" t="s">
        <v>2</v>
      </c>
      <c r="D8" s="277"/>
      <c r="E8" s="28">
        <f t="shared" ref="E8:E13" si="0">SUM(F8:AJ8)</f>
        <v>339</v>
      </c>
      <c r="F8" s="16">
        <v>18</v>
      </c>
      <c r="G8" s="16">
        <v>4</v>
      </c>
      <c r="H8" s="16">
        <v>1</v>
      </c>
      <c r="I8" s="16">
        <v>11</v>
      </c>
      <c r="J8" s="16">
        <v>6</v>
      </c>
      <c r="K8" s="16">
        <v>14</v>
      </c>
      <c r="L8" s="16">
        <v>12</v>
      </c>
      <c r="M8" s="16">
        <v>17</v>
      </c>
      <c r="N8" s="16">
        <v>1</v>
      </c>
      <c r="O8" s="16">
        <v>0</v>
      </c>
      <c r="P8" s="16">
        <v>13</v>
      </c>
      <c r="Q8" s="16">
        <v>11</v>
      </c>
      <c r="R8" s="16">
        <v>13</v>
      </c>
      <c r="S8" s="16">
        <v>5</v>
      </c>
      <c r="T8" s="16">
        <v>10</v>
      </c>
      <c r="U8" s="16">
        <v>6</v>
      </c>
      <c r="V8" s="16">
        <v>0</v>
      </c>
      <c r="W8" s="16">
        <v>24</v>
      </c>
      <c r="X8" s="34">
        <v>14</v>
      </c>
      <c r="Y8" s="34">
        <v>19</v>
      </c>
      <c r="Z8" s="34">
        <v>18</v>
      </c>
      <c r="AA8" s="34">
        <v>11</v>
      </c>
      <c r="AB8" s="34">
        <v>5</v>
      </c>
      <c r="AC8" s="34">
        <v>0</v>
      </c>
      <c r="AD8" s="34">
        <v>0</v>
      </c>
      <c r="AE8" s="34">
        <v>15</v>
      </c>
      <c r="AF8" s="34">
        <v>18</v>
      </c>
      <c r="AG8" s="34">
        <v>23</v>
      </c>
      <c r="AH8" s="34">
        <v>47</v>
      </c>
      <c r="AI8" s="34">
        <v>3</v>
      </c>
      <c r="AJ8" s="34">
        <v>0</v>
      </c>
    </row>
    <row r="9" spans="3:36">
      <c r="C9" s="277" t="s">
        <v>7</v>
      </c>
      <c r="D9" s="277"/>
      <c r="E9" s="28">
        <f t="shared" si="0"/>
        <v>230</v>
      </c>
      <c r="F9" s="16">
        <v>7</v>
      </c>
      <c r="G9" s="16">
        <v>1</v>
      </c>
      <c r="H9" s="16">
        <v>0</v>
      </c>
      <c r="I9" s="16">
        <v>5</v>
      </c>
      <c r="J9" s="16">
        <v>7</v>
      </c>
      <c r="K9" s="16">
        <v>9</v>
      </c>
      <c r="L9" s="16">
        <v>7</v>
      </c>
      <c r="M9" s="16">
        <v>11</v>
      </c>
      <c r="N9" s="16">
        <v>2</v>
      </c>
      <c r="O9" s="16">
        <v>5</v>
      </c>
      <c r="P9" s="16">
        <v>15</v>
      </c>
      <c r="Q9" s="16">
        <v>12</v>
      </c>
      <c r="R9" s="16">
        <v>11</v>
      </c>
      <c r="S9" s="16">
        <v>18</v>
      </c>
      <c r="T9" s="16">
        <v>11</v>
      </c>
      <c r="U9" s="16">
        <v>2</v>
      </c>
      <c r="V9" s="16">
        <v>0</v>
      </c>
      <c r="W9" s="16">
        <v>13</v>
      </c>
      <c r="X9" s="34">
        <v>6</v>
      </c>
      <c r="Y9" s="34">
        <v>18</v>
      </c>
      <c r="Z9" s="34">
        <v>8</v>
      </c>
      <c r="AA9" s="34">
        <v>14</v>
      </c>
      <c r="AB9" s="34">
        <v>1</v>
      </c>
      <c r="AC9" s="34">
        <v>2</v>
      </c>
      <c r="AD9" s="34">
        <v>0</v>
      </c>
      <c r="AE9" s="34">
        <v>5</v>
      </c>
      <c r="AF9" s="34">
        <v>7</v>
      </c>
      <c r="AG9" s="34">
        <v>11</v>
      </c>
      <c r="AH9" s="34">
        <v>17</v>
      </c>
      <c r="AI9" s="34">
        <v>5</v>
      </c>
      <c r="AJ9" s="34">
        <v>0</v>
      </c>
    </row>
    <row r="10" spans="3:36">
      <c r="C10" s="277" t="s">
        <v>3</v>
      </c>
      <c r="D10" s="277"/>
      <c r="E10" s="28">
        <f t="shared" si="0"/>
        <v>375</v>
      </c>
      <c r="F10" s="16">
        <v>19</v>
      </c>
      <c r="G10" s="16">
        <v>10</v>
      </c>
      <c r="H10" s="16">
        <v>1</v>
      </c>
      <c r="I10" s="16">
        <v>15</v>
      </c>
      <c r="J10" s="16">
        <v>13</v>
      </c>
      <c r="K10" s="16">
        <v>16</v>
      </c>
      <c r="L10" s="16">
        <v>17</v>
      </c>
      <c r="M10" s="16">
        <v>16</v>
      </c>
      <c r="N10" s="16">
        <v>8</v>
      </c>
      <c r="O10" s="16">
        <v>1</v>
      </c>
      <c r="P10" s="16">
        <v>20</v>
      </c>
      <c r="Q10" s="16">
        <v>14</v>
      </c>
      <c r="R10" s="16">
        <v>25</v>
      </c>
      <c r="S10" s="16">
        <v>19</v>
      </c>
      <c r="T10" s="16">
        <v>11</v>
      </c>
      <c r="U10" s="16">
        <v>6</v>
      </c>
      <c r="V10" s="16">
        <v>2</v>
      </c>
      <c r="W10" s="16">
        <v>16</v>
      </c>
      <c r="X10" s="34">
        <v>18</v>
      </c>
      <c r="Y10" s="34">
        <v>12</v>
      </c>
      <c r="Z10" s="34">
        <v>16</v>
      </c>
      <c r="AA10" s="34">
        <v>14</v>
      </c>
      <c r="AB10" s="34">
        <v>6</v>
      </c>
      <c r="AC10" s="34">
        <v>0</v>
      </c>
      <c r="AD10" s="34">
        <v>1</v>
      </c>
      <c r="AE10" s="34">
        <v>15</v>
      </c>
      <c r="AF10" s="34">
        <v>16</v>
      </c>
      <c r="AG10" s="34">
        <v>12</v>
      </c>
      <c r="AH10" s="34">
        <v>31</v>
      </c>
      <c r="AI10" s="34">
        <v>5</v>
      </c>
      <c r="AJ10" s="34">
        <v>0</v>
      </c>
    </row>
    <row r="11" spans="3:36">
      <c r="C11" s="277" t="s">
        <v>4</v>
      </c>
      <c r="D11" s="277"/>
      <c r="E11" s="28">
        <f t="shared" si="0"/>
        <v>264</v>
      </c>
      <c r="F11" s="16">
        <v>17</v>
      </c>
      <c r="G11" s="16">
        <v>4</v>
      </c>
      <c r="H11" s="16">
        <v>0</v>
      </c>
      <c r="I11" s="16">
        <v>10</v>
      </c>
      <c r="J11" s="16">
        <v>10</v>
      </c>
      <c r="K11" s="16">
        <v>5</v>
      </c>
      <c r="L11" s="16">
        <v>10</v>
      </c>
      <c r="M11" s="16">
        <v>12</v>
      </c>
      <c r="N11" s="16">
        <v>2</v>
      </c>
      <c r="O11" s="16">
        <v>0</v>
      </c>
      <c r="P11" s="16">
        <v>9</v>
      </c>
      <c r="Q11" s="16">
        <v>11</v>
      </c>
      <c r="R11" s="16">
        <v>17</v>
      </c>
      <c r="S11" s="16">
        <v>8</v>
      </c>
      <c r="T11" s="16">
        <v>11</v>
      </c>
      <c r="U11" s="16">
        <v>4</v>
      </c>
      <c r="V11" s="16">
        <v>0</v>
      </c>
      <c r="W11" s="16">
        <v>14</v>
      </c>
      <c r="X11" s="34">
        <v>10</v>
      </c>
      <c r="Y11" s="34">
        <v>3</v>
      </c>
      <c r="Z11" s="34">
        <v>16</v>
      </c>
      <c r="AA11" s="34">
        <v>10</v>
      </c>
      <c r="AB11" s="34">
        <v>8</v>
      </c>
      <c r="AC11" s="34">
        <v>0</v>
      </c>
      <c r="AD11" s="34">
        <v>0</v>
      </c>
      <c r="AE11" s="34">
        <v>12</v>
      </c>
      <c r="AF11" s="34">
        <v>8</v>
      </c>
      <c r="AG11" s="34">
        <v>13</v>
      </c>
      <c r="AH11" s="34">
        <v>37</v>
      </c>
      <c r="AI11" s="34">
        <v>3</v>
      </c>
      <c r="AJ11" s="34">
        <v>0</v>
      </c>
    </row>
    <row r="12" spans="3:36">
      <c r="C12" s="277" t="s">
        <v>6</v>
      </c>
      <c r="D12" s="277"/>
      <c r="E12" s="28">
        <f t="shared" si="0"/>
        <v>381</v>
      </c>
      <c r="F12" s="16">
        <v>12</v>
      </c>
      <c r="G12" s="16">
        <v>4</v>
      </c>
      <c r="H12" s="16">
        <v>0</v>
      </c>
      <c r="I12" s="16">
        <v>23</v>
      </c>
      <c r="J12" s="16">
        <v>12</v>
      </c>
      <c r="K12" s="16">
        <v>20</v>
      </c>
      <c r="L12" s="16">
        <v>13</v>
      </c>
      <c r="M12" s="16">
        <v>20</v>
      </c>
      <c r="N12" s="16">
        <v>4</v>
      </c>
      <c r="O12" s="16">
        <v>0</v>
      </c>
      <c r="P12" s="16">
        <v>18</v>
      </c>
      <c r="Q12" s="16">
        <v>18</v>
      </c>
      <c r="R12" s="16">
        <v>10</v>
      </c>
      <c r="S12" s="16">
        <v>25</v>
      </c>
      <c r="T12" s="16">
        <v>10</v>
      </c>
      <c r="U12" s="16">
        <v>7</v>
      </c>
      <c r="V12" s="16">
        <v>0</v>
      </c>
      <c r="W12" s="16">
        <v>18</v>
      </c>
      <c r="X12" s="34">
        <v>14</v>
      </c>
      <c r="Y12" s="34">
        <v>17</v>
      </c>
      <c r="Z12" s="34">
        <v>19</v>
      </c>
      <c r="AA12" s="34">
        <v>17</v>
      </c>
      <c r="AB12" s="34">
        <v>6</v>
      </c>
      <c r="AC12" s="34">
        <v>0</v>
      </c>
      <c r="AD12" s="34">
        <v>0</v>
      </c>
      <c r="AE12" s="34">
        <v>16</v>
      </c>
      <c r="AF12" s="34">
        <v>15</v>
      </c>
      <c r="AG12" s="34">
        <v>17</v>
      </c>
      <c r="AH12" s="34">
        <v>40</v>
      </c>
      <c r="AI12" s="34">
        <v>6</v>
      </c>
      <c r="AJ12" s="34">
        <v>0</v>
      </c>
    </row>
    <row r="13" spans="3:36">
      <c r="C13" s="277" t="s">
        <v>12</v>
      </c>
      <c r="D13" s="277"/>
      <c r="E13" s="28">
        <f t="shared" si="0"/>
        <v>176</v>
      </c>
      <c r="F13" s="17">
        <v>8</v>
      </c>
      <c r="G13" s="17">
        <v>6</v>
      </c>
      <c r="H13" s="17">
        <v>0</v>
      </c>
      <c r="I13" s="17">
        <v>7</v>
      </c>
      <c r="J13" s="17">
        <v>3</v>
      </c>
      <c r="K13" s="17">
        <v>7</v>
      </c>
      <c r="L13" s="17">
        <v>11</v>
      </c>
      <c r="M13" s="17">
        <v>10</v>
      </c>
      <c r="N13" s="17">
        <v>4</v>
      </c>
      <c r="O13" s="17">
        <v>0</v>
      </c>
      <c r="P13" s="17">
        <v>2</v>
      </c>
      <c r="Q13" s="17">
        <v>8</v>
      </c>
      <c r="R13" s="17">
        <v>10</v>
      </c>
      <c r="S13" s="17">
        <v>12</v>
      </c>
      <c r="T13" s="17">
        <v>6</v>
      </c>
      <c r="U13" s="17">
        <v>2</v>
      </c>
      <c r="V13" s="17">
        <v>0</v>
      </c>
      <c r="W13" s="17">
        <v>7</v>
      </c>
      <c r="X13" s="35">
        <v>15</v>
      </c>
      <c r="Y13" s="35">
        <v>6</v>
      </c>
      <c r="Z13" s="35">
        <v>4</v>
      </c>
      <c r="AA13" s="35">
        <v>7</v>
      </c>
      <c r="AB13" s="35">
        <v>1</v>
      </c>
      <c r="AC13" s="35">
        <v>0</v>
      </c>
      <c r="AD13" s="35">
        <v>0</v>
      </c>
      <c r="AE13" s="35">
        <v>8</v>
      </c>
      <c r="AF13" s="35">
        <v>7</v>
      </c>
      <c r="AG13" s="35">
        <v>6</v>
      </c>
      <c r="AH13" s="35">
        <v>17</v>
      </c>
      <c r="AI13" s="35">
        <v>2</v>
      </c>
      <c r="AJ13" s="35">
        <v>0</v>
      </c>
    </row>
    <row r="14" spans="3:36" ht="6" customHeight="1">
      <c r="E14" s="29"/>
      <c r="X14" s="36"/>
      <c r="Y14" s="36"/>
      <c r="Z14" s="36"/>
      <c r="AA14" s="36"/>
      <c r="AB14" s="36"/>
      <c r="AC14" s="36"/>
      <c r="AD14" s="36"/>
      <c r="AE14" s="36"/>
      <c r="AF14" s="36"/>
      <c r="AG14" s="36"/>
      <c r="AH14" s="36"/>
      <c r="AI14" s="36"/>
      <c r="AJ14" s="36"/>
    </row>
    <row r="15" spans="3:36" s="6" customFormat="1" ht="16.5" customHeight="1">
      <c r="C15" s="285" t="s">
        <v>27</v>
      </c>
      <c r="D15" s="286"/>
      <c r="E15" s="28">
        <f>SUM(F15:AJ15)</f>
        <v>1905</v>
      </c>
      <c r="F15" s="14">
        <v>96</v>
      </c>
      <c r="G15" s="14">
        <v>31</v>
      </c>
      <c r="H15" s="14"/>
      <c r="I15" s="14">
        <v>76</v>
      </c>
      <c r="J15" s="14">
        <v>53</v>
      </c>
      <c r="K15" s="14">
        <v>74</v>
      </c>
      <c r="L15" s="14">
        <v>83</v>
      </c>
      <c r="M15" s="14">
        <v>92</v>
      </c>
      <c r="N15" s="14">
        <v>26</v>
      </c>
      <c r="O15" s="14">
        <v>6</v>
      </c>
      <c r="P15" s="14">
        <v>81</v>
      </c>
      <c r="Q15" s="14">
        <v>89</v>
      </c>
      <c r="R15" s="14">
        <v>90</v>
      </c>
      <c r="S15" s="14">
        <v>88</v>
      </c>
      <c r="T15" s="14">
        <v>66</v>
      </c>
      <c r="U15" s="14">
        <v>29</v>
      </c>
      <c r="V15" s="14">
        <v>2</v>
      </c>
      <c r="W15" s="14">
        <v>95</v>
      </c>
      <c r="X15" s="37">
        <v>80</v>
      </c>
      <c r="Y15" s="37">
        <v>81</v>
      </c>
      <c r="Z15" s="37">
        <v>88</v>
      </c>
      <c r="AA15" s="37">
        <v>75</v>
      </c>
      <c r="AB15" s="37">
        <v>30</v>
      </c>
      <c r="AC15" s="37">
        <v>2</v>
      </c>
      <c r="AD15" s="37">
        <v>1</v>
      </c>
      <c r="AE15" s="37">
        <v>72</v>
      </c>
      <c r="AF15" s="37">
        <v>73</v>
      </c>
      <c r="AG15" s="37">
        <v>90</v>
      </c>
      <c r="AH15" s="37">
        <v>210</v>
      </c>
      <c r="AI15" s="37">
        <v>26</v>
      </c>
      <c r="AJ15" s="37"/>
    </row>
    <row r="16" spans="3:36">
      <c r="D16" s="30"/>
      <c r="E16" s="18"/>
    </row>
    <row r="17" spans="3:36">
      <c r="C17" s="6" t="s">
        <v>21</v>
      </c>
      <c r="E17" s="18"/>
    </row>
    <row r="18" spans="3:36">
      <c r="C18" s="277" t="s">
        <v>2</v>
      </c>
      <c r="D18" s="26" t="s">
        <v>5</v>
      </c>
      <c r="E18" s="19">
        <f t="shared" ref="E18:E25" si="1">SUM(F18:AJ18)</f>
        <v>63</v>
      </c>
      <c r="F18" s="11">
        <v>5</v>
      </c>
      <c r="G18" s="11">
        <v>0</v>
      </c>
      <c r="H18" s="11">
        <v>0</v>
      </c>
      <c r="I18" s="11">
        <v>3</v>
      </c>
      <c r="J18" s="11">
        <v>1</v>
      </c>
      <c r="K18" s="11">
        <v>2</v>
      </c>
      <c r="L18" s="11">
        <v>0</v>
      </c>
      <c r="M18" s="11">
        <v>5</v>
      </c>
      <c r="N18" s="11">
        <v>0</v>
      </c>
      <c r="O18" s="11">
        <v>0</v>
      </c>
      <c r="P18" s="11">
        <v>1</v>
      </c>
      <c r="Q18" s="11">
        <v>3</v>
      </c>
      <c r="R18" s="11">
        <v>2</v>
      </c>
      <c r="S18" s="11">
        <v>1</v>
      </c>
      <c r="T18" s="11">
        <v>7</v>
      </c>
      <c r="U18" s="11">
        <v>0</v>
      </c>
      <c r="V18" s="11">
        <v>0</v>
      </c>
      <c r="W18" s="11">
        <v>6</v>
      </c>
      <c r="X18" s="11">
        <v>3</v>
      </c>
      <c r="Y18" s="11">
        <v>5</v>
      </c>
      <c r="Z18" s="11">
        <v>2</v>
      </c>
      <c r="AA18" s="11">
        <v>1</v>
      </c>
      <c r="AB18" s="11">
        <v>0</v>
      </c>
      <c r="AC18" s="11">
        <v>0</v>
      </c>
      <c r="AD18" s="11">
        <v>0</v>
      </c>
      <c r="AE18" s="11">
        <v>2</v>
      </c>
      <c r="AF18" s="11">
        <v>2</v>
      </c>
      <c r="AG18" s="11">
        <v>6</v>
      </c>
      <c r="AH18" s="11">
        <v>4</v>
      </c>
      <c r="AI18" s="11">
        <v>2</v>
      </c>
      <c r="AJ18" s="11">
        <v>0</v>
      </c>
    </row>
    <row r="19" spans="3:36">
      <c r="C19" s="277"/>
      <c r="D19" s="25" t="s">
        <v>8</v>
      </c>
      <c r="E19" s="19">
        <f t="shared" si="1"/>
        <v>69</v>
      </c>
      <c r="F19" s="11">
        <v>4</v>
      </c>
      <c r="G19" s="11">
        <v>0</v>
      </c>
      <c r="H19" s="11">
        <v>0</v>
      </c>
      <c r="I19" s="11">
        <v>3</v>
      </c>
      <c r="J19" s="11">
        <v>1</v>
      </c>
      <c r="K19" s="11">
        <v>2</v>
      </c>
      <c r="L19" s="11">
        <v>3</v>
      </c>
      <c r="M19" s="11">
        <v>3</v>
      </c>
      <c r="N19" s="11">
        <v>0</v>
      </c>
      <c r="O19" s="11">
        <v>0</v>
      </c>
      <c r="P19" s="11">
        <v>2</v>
      </c>
      <c r="Q19" s="11">
        <v>2</v>
      </c>
      <c r="R19" s="11">
        <v>3</v>
      </c>
      <c r="S19" s="11">
        <v>2</v>
      </c>
      <c r="T19" s="11">
        <v>2</v>
      </c>
      <c r="U19" s="11">
        <v>1</v>
      </c>
      <c r="V19" s="11">
        <v>0</v>
      </c>
      <c r="W19" s="11">
        <v>4</v>
      </c>
      <c r="X19" s="11">
        <v>4</v>
      </c>
      <c r="Y19" s="11">
        <v>4</v>
      </c>
      <c r="Z19" s="11">
        <v>4</v>
      </c>
      <c r="AA19" s="11">
        <v>4</v>
      </c>
      <c r="AB19" s="11">
        <v>1</v>
      </c>
      <c r="AC19" s="11">
        <v>0</v>
      </c>
      <c r="AD19" s="11">
        <v>0</v>
      </c>
      <c r="AE19" s="11">
        <v>6</v>
      </c>
      <c r="AF19" s="11">
        <v>3</v>
      </c>
      <c r="AG19" s="11">
        <v>4</v>
      </c>
      <c r="AH19" s="11">
        <v>7</v>
      </c>
      <c r="AI19" s="11">
        <v>0</v>
      </c>
      <c r="AJ19" s="12">
        <v>0</v>
      </c>
    </row>
    <row r="20" spans="3:36">
      <c r="C20" s="277"/>
      <c r="D20" s="25" t="s">
        <v>9</v>
      </c>
      <c r="E20" s="19">
        <f t="shared" si="1"/>
        <v>73</v>
      </c>
      <c r="F20" s="11">
        <v>6</v>
      </c>
      <c r="G20" s="11">
        <v>2</v>
      </c>
      <c r="H20" s="11">
        <v>0</v>
      </c>
      <c r="I20" s="11">
        <v>2</v>
      </c>
      <c r="J20" s="11">
        <v>3</v>
      </c>
      <c r="K20" s="11">
        <v>4</v>
      </c>
      <c r="L20" s="11">
        <v>0</v>
      </c>
      <c r="M20" s="11">
        <v>5</v>
      </c>
      <c r="N20" s="11">
        <v>0</v>
      </c>
      <c r="O20" s="11">
        <v>0</v>
      </c>
      <c r="P20" s="11">
        <v>4</v>
      </c>
      <c r="Q20" s="11">
        <v>3</v>
      </c>
      <c r="R20" s="11">
        <v>2</v>
      </c>
      <c r="S20" s="11">
        <v>0</v>
      </c>
      <c r="T20" s="11">
        <v>1</v>
      </c>
      <c r="U20" s="11">
        <v>1</v>
      </c>
      <c r="V20" s="11">
        <v>0</v>
      </c>
      <c r="W20" s="11">
        <v>4</v>
      </c>
      <c r="X20" s="11">
        <v>2</v>
      </c>
      <c r="Y20" s="11">
        <v>5</v>
      </c>
      <c r="Z20" s="11">
        <v>8</v>
      </c>
      <c r="AA20" s="11">
        <v>2</v>
      </c>
      <c r="AB20" s="11">
        <v>0</v>
      </c>
      <c r="AC20" s="11">
        <v>0</v>
      </c>
      <c r="AD20" s="11">
        <v>0</v>
      </c>
      <c r="AE20" s="11">
        <v>1</v>
      </c>
      <c r="AF20" s="11">
        <v>7</v>
      </c>
      <c r="AG20" s="11">
        <v>2</v>
      </c>
      <c r="AH20" s="11">
        <v>8</v>
      </c>
      <c r="AI20" s="11">
        <v>1</v>
      </c>
      <c r="AJ20" s="12">
        <v>0</v>
      </c>
    </row>
    <row r="21" spans="3:36">
      <c r="C21" s="277"/>
      <c r="D21" s="25" t="s">
        <v>1</v>
      </c>
      <c r="E21" s="19">
        <f t="shared" si="1"/>
        <v>72</v>
      </c>
      <c r="F21" s="11">
        <v>2</v>
      </c>
      <c r="G21" s="11">
        <v>1</v>
      </c>
      <c r="H21" s="11">
        <v>0</v>
      </c>
      <c r="I21" s="11">
        <v>1</v>
      </c>
      <c r="J21" s="11">
        <v>0</v>
      </c>
      <c r="K21" s="11">
        <v>1</v>
      </c>
      <c r="L21" s="11">
        <v>5</v>
      </c>
      <c r="M21" s="11">
        <v>2</v>
      </c>
      <c r="N21" s="11">
        <v>0</v>
      </c>
      <c r="O21" s="11">
        <v>0</v>
      </c>
      <c r="P21" s="11">
        <v>4</v>
      </c>
      <c r="Q21" s="11">
        <v>1</v>
      </c>
      <c r="R21" s="11">
        <v>6</v>
      </c>
      <c r="S21" s="11">
        <v>1</v>
      </c>
      <c r="T21" s="11">
        <v>0</v>
      </c>
      <c r="U21" s="11">
        <v>2</v>
      </c>
      <c r="V21" s="11">
        <v>0</v>
      </c>
      <c r="W21" s="11">
        <v>6</v>
      </c>
      <c r="X21" s="11">
        <v>5</v>
      </c>
      <c r="Y21" s="11">
        <v>5</v>
      </c>
      <c r="Z21" s="11">
        <v>3</v>
      </c>
      <c r="AA21" s="11">
        <v>1</v>
      </c>
      <c r="AB21" s="11">
        <v>3</v>
      </c>
      <c r="AC21" s="11">
        <v>0</v>
      </c>
      <c r="AD21" s="11">
        <v>0</v>
      </c>
      <c r="AE21" s="11">
        <v>6</v>
      </c>
      <c r="AF21" s="11">
        <v>2</v>
      </c>
      <c r="AG21" s="11">
        <v>3</v>
      </c>
      <c r="AH21" s="11">
        <v>12</v>
      </c>
      <c r="AI21" s="11">
        <v>0</v>
      </c>
      <c r="AJ21" s="12">
        <v>0</v>
      </c>
    </row>
    <row r="22" spans="3:36">
      <c r="C22" s="277"/>
      <c r="D22" s="25" t="s">
        <v>10</v>
      </c>
      <c r="E22" s="19">
        <f t="shared" si="1"/>
        <v>46</v>
      </c>
      <c r="F22" s="11">
        <v>1</v>
      </c>
      <c r="G22" s="11">
        <v>1</v>
      </c>
      <c r="H22" s="11">
        <v>0</v>
      </c>
      <c r="I22" s="11">
        <v>0</v>
      </c>
      <c r="J22" s="11">
        <v>1</v>
      </c>
      <c r="K22" s="11">
        <v>2</v>
      </c>
      <c r="L22" s="11">
        <v>3</v>
      </c>
      <c r="M22" s="11">
        <v>2</v>
      </c>
      <c r="N22" s="11">
        <v>1</v>
      </c>
      <c r="O22" s="11">
        <v>0</v>
      </c>
      <c r="P22" s="11">
        <v>2</v>
      </c>
      <c r="Q22" s="11">
        <v>2</v>
      </c>
      <c r="R22" s="11">
        <v>0</v>
      </c>
      <c r="S22" s="11">
        <v>0</v>
      </c>
      <c r="T22" s="11">
        <v>0</v>
      </c>
      <c r="U22" s="11">
        <v>2</v>
      </c>
      <c r="V22" s="11">
        <v>0</v>
      </c>
      <c r="W22" s="11">
        <v>2</v>
      </c>
      <c r="X22" s="11">
        <v>0</v>
      </c>
      <c r="Y22" s="11">
        <v>0</v>
      </c>
      <c r="Z22" s="11">
        <v>1</v>
      </c>
      <c r="AA22" s="11">
        <v>3</v>
      </c>
      <c r="AB22" s="11">
        <v>1</v>
      </c>
      <c r="AC22" s="11">
        <v>0</v>
      </c>
      <c r="AD22" s="11">
        <v>0</v>
      </c>
      <c r="AE22" s="11">
        <v>0</v>
      </c>
      <c r="AF22" s="11">
        <v>4</v>
      </c>
      <c r="AG22" s="11">
        <v>6</v>
      </c>
      <c r="AH22" s="11">
        <v>12</v>
      </c>
      <c r="AI22" s="11">
        <v>0</v>
      </c>
      <c r="AJ22" s="12">
        <v>0</v>
      </c>
    </row>
    <row r="23" spans="3:36">
      <c r="C23" s="277"/>
      <c r="D23" s="25" t="s">
        <v>15</v>
      </c>
      <c r="E23" s="19">
        <f t="shared" si="1"/>
        <v>0</v>
      </c>
      <c r="F23" s="11">
        <v>0</v>
      </c>
      <c r="G23" s="11">
        <v>0</v>
      </c>
      <c r="H23" s="11">
        <v>0</v>
      </c>
      <c r="I23" s="11">
        <v>0</v>
      </c>
      <c r="J23" s="11">
        <v>0</v>
      </c>
      <c r="K23" s="11">
        <v>0</v>
      </c>
      <c r="L23" s="11">
        <v>0</v>
      </c>
      <c r="M23" s="11">
        <v>0</v>
      </c>
      <c r="N23" s="11">
        <v>0</v>
      </c>
      <c r="O23" s="11">
        <v>0</v>
      </c>
      <c r="P23" s="11">
        <v>0</v>
      </c>
      <c r="Q23" s="11">
        <v>0</v>
      </c>
      <c r="R23" s="11">
        <v>0</v>
      </c>
      <c r="S23" s="11">
        <v>0</v>
      </c>
      <c r="T23" s="11">
        <v>0</v>
      </c>
      <c r="U23" s="11">
        <v>0</v>
      </c>
      <c r="V23" s="11">
        <v>0</v>
      </c>
      <c r="W23" s="11">
        <v>0</v>
      </c>
      <c r="X23" s="11">
        <v>0</v>
      </c>
      <c r="Y23" s="11">
        <v>0</v>
      </c>
      <c r="Z23" s="11">
        <v>0</v>
      </c>
      <c r="AA23" s="11">
        <v>0</v>
      </c>
      <c r="AB23" s="11">
        <v>0</v>
      </c>
      <c r="AC23" s="11">
        <v>0</v>
      </c>
      <c r="AD23" s="11">
        <v>0</v>
      </c>
      <c r="AE23" s="11">
        <v>0</v>
      </c>
      <c r="AF23" s="11">
        <v>0</v>
      </c>
      <c r="AG23" s="11">
        <v>0</v>
      </c>
      <c r="AH23" s="11">
        <v>0</v>
      </c>
      <c r="AI23" s="11">
        <v>0</v>
      </c>
      <c r="AJ23" s="12">
        <v>0</v>
      </c>
    </row>
    <row r="24" spans="3:36">
      <c r="C24" s="277"/>
      <c r="D24" s="25" t="s">
        <v>11</v>
      </c>
      <c r="E24" s="19">
        <f t="shared" si="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2">
        <v>0</v>
      </c>
    </row>
    <row r="25" spans="3:36">
      <c r="C25" s="277"/>
      <c r="D25" s="25" t="s">
        <v>17</v>
      </c>
      <c r="E25" s="19">
        <f t="shared" si="1"/>
        <v>16</v>
      </c>
      <c r="F25" s="13">
        <v>0</v>
      </c>
      <c r="G25" s="13">
        <v>0</v>
      </c>
      <c r="H25" s="13">
        <v>1</v>
      </c>
      <c r="I25" s="13">
        <v>2</v>
      </c>
      <c r="J25" s="13">
        <v>0</v>
      </c>
      <c r="K25" s="13">
        <v>3</v>
      </c>
      <c r="L25" s="13">
        <v>1</v>
      </c>
      <c r="M25" s="13">
        <v>0</v>
      </c>
      <c r="N25" s="13">
        <v>0</v>
      </c>
      <c r="O25" s="13">
        <v>0</v>
      </c>
      <c r="P25" s="13">
        <v>0</v>
      </c>
      <c r="Q25" s="13">
        <v>0</v>
      </c>
      <c r="R25" s="13">
        <v>0</v>
      </c>
      <c r="S25" s="13">
        <v>1</v>
      </c>
      <c r="T25" s="13">
        <v>0</v>
      </c>
      <c r="U25" s="13">
        <v>0</v>
      </c>
      <c r="V25" s="13">
        <v>0</v>
      </c>
      <c r="W25" s="13">
        <v>2</v>
      </c>
      <c r="X25" s="13">
        <v>0</v>
      </c>
      <c r="Y25" s="13">
        <v>0</v>
      </c>
      <c r="Z25" s="13">
        <v>0</v>
      </c>
      <c r="AA25" s="13">
        <v>0</v>
      </c>
      <c r="AB25" s="13">
        <v>0</v>
      </c>
      <c r="AC25" s="13">
        <v>0</v>
      </c>
      <c r="AD25" s="13">
        <v>0</v>
      </c>
      <c r="AE25" s="13">
        <v>0</v>
      </c>
      <c r="AF25" s="13">
        <v>0</v>
      </c>
      <c r="AG25" s="13">
        <v>2</v>
      </c>
      <c r="AH25" s="13">
        <v>4</v>
      </c>
      <c r="AI25" s="13">
        <v>0</v>
      </c>
      <c r="AJ25" s="13">
        <v>0</v>
      </c>
    </row>
    <row r="26" spans="3:36">
      <c r="D26" s="27"/>
      <c r="E26" s="18"/>
    </row>
    <row r="27" spans="3:36">
      <c r="C27" s="277" t="s">
        <v>0</v>
      </c>
      <c r="D27" s="26" t="s">
        <v>5</v>
      </c>
      <c r="E27" s="19">
        <f t="shared" ref="E27:E34" si="2">SUM(F27:AJ27)</f>
        <v>37</v>
      </c>
      <c r="F27" s="11">
        <v>0</v>
      </c>
      <c r="G27" s="11">
        <v>0</v>
      </c>
      <c r="H27" s="11">
        <v>0</v>
      </c>
      <c r="I27" s="11">
        <v>3</v>
      </c>
      <c r="J27" s="11">
        <v>0</v>
      </c>
      <c r="K27" s="11">
        <v>1</v>
      </c>
      <c r="L27" s="11">
        <v>1</v>
      </c>
      <c r="M27" s="11">
        <v>3</v>
      </c>
      <c r="N27" s="11">
        <v>0</v>
      </c>
      <c r="O27" s="11">
        <v>0</v>
      </c>
      <c r="P27" s="11">
        <v>7</v>
      </c>
      <c r="Q27" s="11">
        <v>2</v>
      </c>
      <c r="R27" s="11">
        <v>0</v>
      </c>
      <c r="S27" s="11">
        <v>1</v>
      </c>
      <c r="T27" s="11">
        <v>3</v>
      </c>
      <c r="U27" s="11">
        <v>0</v>
      </c>
      <c r="V27" s="11">
        <v>0</v>
      </c>
      <c r="W27" s="11">
        <v>0</v>
      </c>
      <c r="X27" s="11">
        <v>0</v>
      </c>
      <c r="Y27" s="11">
        <v>4</v>
      </c>
      <c r="Z27" s="11">
        <v>2</v>
      </c>
      <c r="AA27" s="11">
        <v>1</v>
      </c>
      <c r="AB27" s="11">
        <v>0</v>
      </c>
      <c r="AC27" s="11">
        <v>0</v>
      </c>
      <c r="AD27" s="11">
        <v>0</v>
      </c>
      <c r="AE27" s="11">
        <v>1</v>
      </c>
      <c r="AF27" s="11">
        <v>1</v>
      </c>
      <c r="AG27" s="11">
        <v>0</v>
      </c>
      <c r="AH27" s="11">
        <v>4</v>
      </c>
      <c r="AI27" s="11">
        <v>3</v>
      </c>
      <c r="AJ27" s="11">
        <v>0</v>
      </c>
    </row>
    <row r="28" spans="3:36">
      <c r="C28" s="277"/>
      <c r="D28" s="25" t="s">
        <v>8</v>
      </c>
      <c r="E28" s="19">
        <f t="shared" si="2"/>
        <v>88</v>
      </c>
      <c r="F28" s="11">
        <v>4</v>
      </c>
      <c r="G28" s="11">
        <v>1</v>
      </c>
      <c r="H28" s="11">
        <v>0</v>
      </c>
      <c r="I28" s="11">
        <v>1</v>
      </c>
      <c r="J28" s="11">
        <v>2</v>
      </c>
      <c r="K28" s="11">
        <v>2</v>
      </c>
      <c r="L28" s="11">
        <v>5</v>
      </c>
      <c r="M28" s="11">
        <v>3</v>
      </c>
      <c r="N28" s="11">
        <v>1</v>
      </c>
      <c r="O28" s="11">
        <v>3</v>
      </c>
      <c r="P28" s="11">
        <v>3</v>
      </c>
      <c r="Q28" s="11">
        <v>5</v>
      </c>
      <c r="R28" s="11">
        <v>5</v>
      </c>
      <c r="S28" s="11">
        <v>9</v>
      </c>
      <c r="T28" s="11">
        <v>6</v>
      </c>
      <c r="U28" s="11">
        <v>1</v>
      </c>
      <c r="V28" s="11">
        <v>0</v>
      </c>
      <c r="W28" s="11">
        <v>4</v>
      </c>
      <c r="X28" s="11">
        <v>4</v>
      </c>
      <c r="Y28" s="11">
        <v>5</v>
      </c>
      <c r="Z28" s="11">
        <v>3</v>
      </c>
      <c r="AA28" s="11">
        <v>8</v>
      </c>
      <c r="AB28" s="11">
        <v>0</v>
      </c>
      <c r="AC28" s="11">
        <v>0</v>
      </c>
      <c r="AD28" s="11">
        <v>0</v>
      </c>
      <c r="AE28" s="11">
        <v>2</v>
      </c>
      <c r="AF28" s="11">
        <v>1</v>
      </c>
      <c r="AG28" s="11">
        <v>4</v>
      </c>
      <c r="AH28" s="11">
        <v>5</v>
      </c>
      <c r="AI28" s="11">
        <v>1</v>
      </c>
      <c r="AJ28" s="12">
        <v>0</v>
      </c>
    </row>
    <row r="29" spans="3:36">
      <c r="C29" s="277"/>
      <c r="D29" s="25" t="s">
        <v>9</v>
      </c>
      <c r="E29" s="19">
        <f t="shared" si="2"/>
        <v>39</v>
      </c>
      <c r="F29" s="11">
        <v>0</v>
      </c>
      <c r="G29" s="11">
        <v>0</v>
      </c>
      <c r="H29" s="11">
        <v>0</v>
      </c>
      <c r="I29" s="11">
        <v>0</v>
      </c>
      <c r="J29" s="11">
        <v>1</v>
      </c>
      <c r="K29" s="11">
        <v>4</v>
      </c>
      <c r="L29" s="11">
        <v>1</v>
      </c>
      <c r="M29" s="11">
        <v>4</v>
      </c>
      <c r="N29" s="11">
        <v>0</v>
      </c>
      <c r="O29" s="11">
        <v>0</v>
      </c>
      <c r="P29" s="11">
        <v>2</v>
      </c>
      <c r="Q29" s="11">
        <v>2</v>
      </c>
      <c r="R29" s="11">
        <v>1</v>
      </c>
      <c r="S29" s="11">
        <v>1</v>
      </c>
      <c r="T29" s="11">
        <v>0</v>
      </c>
      <c r="U29" s="11">
        <v>1</v>
      </c>
      <c r="V29" s="11">
        <v>0</v>
      </c>
      <c r="W29" s="11">
        <v>2</v>
      </c>
      <c r="X29" s="11">
        <v>0</v>
      </c>
      <c r="Y29" s="11">
        <v>5</v>
      </c>
      <c r="Z29" s="11">
        <v>2</v>
      </c>
      <c r="AA29" s="11">
        <v>2</v>
      </c>
      <c r="AB29" s="11">
        <v>1</v>
      </c>
      <c r="AC29" s="11">
        <v>2</v>
      </c>
      <c r="AD29" s="11">
        <v>0</v>
      </c>
      <c r="AE29" s="11">
        <v>1</v>
      </c>
      <c r="AF29" s="11">
        <v>1</v>
      </c>
      <c r="AG29" s="11">
        <v>2</v>
      </c>
      <c r="AH29" s="11">
        <v>3</v>
      </c>
      <c r="AI29" s="11">
        <v>1</v>
      </c>
      <c r="AJ29" s="12">
        <v>0</v>
      </c>
    </row>
    <row r="30" spans="3:36">
      <c r="C30" s="277"/>
      <c r="D30" s="25" t="s">
        <v>1</v>
      </c>
      <c r="E30" s="19">
        <f t="shared" si="2"/>
        <v>51</v>
      </c>
      <c r="F30" s="11">
        <v>2</v>
      </c>
      <c r="G30" s="11">
        <v>0</v>
      </c>
      <c r="H30" s="11">
        <v>0</v>
      </c>
      <c r="I30" s="11">
        <v>1</v>
      </c>
      <c r="J30" s="11">
        <v>2</v>
      </c>
      <c r="K30" s="11">
        <v>2</v>
      </c>
      <c r="L30" s="11">
        <v>0</v>
      </c>
      <c r="M30" s="11">
        <v>1</v>
      </c>
      <c r="N30" s="11">
        <v>1</v>
      </c>
      <c r="O30" s="11">
        <v>2</v>
      </c>
      <c r="P30" s="11">
        <v>1</v>
      </c>
      <c r="Q30" s="11">
        <v>2</v>
      </c>
      <c r="R30" s="11">
        <v>5</v>
      </c>
      <c r="S30" s="11">
        <v>5</v>
      </c>
      <c r="T30" s="11">
        <v>2</v>
      </c>
      <c r="U30" s="11">
        <v>0</v>
      </c>
      <c r="V30" s="11">
        <v>0</v>
      </c>
      <c r="W30" s="11">
        <v>7</v>
      </c>
      <c r="X30" s="11">
        <v>1</v>
      </c>
      <c r="Y30" s="11">
        <v>3</v>
      </c>
      <c r="Z30" s="11">
        <v>0</v>
      </c>
      <c r="AA30" s="11">
        <v>2</v>
      </c>
      <c r="AB30" s="11">
        <v>0</v>
      </c>
      <c r="AC30" s="11">
        <v>0</v>
      </c>
      <c r="AD30" s="11">
        <v>0</v>
      </c>
      <c r="AE30" s="11">
        <v>1</v>
      </c>
      <c r="AF30" s="11">
        <v>4</v>
      </c>
      <c r="AG30" s="11">
        <v>4</v>
      </c>
      <c r="AH30" s="11">
        <v>3</v>
      </c>
      <c r="AI30" s="11">
        <v>0</v>
      </c>
      <c r="AJ30" s="12">
        <v>0</v>
      </c>
    </row>
    <row r="31" spans="3:36">
      <c r="C31" s="277"/>
      <c r="D31" s="25" t="s">
        <v>10</v>
      </c>
      <c r="E31" s="19">
        <f t="shared" si="2"/>
        <v>1</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1</v>
      </c>
      <c r="AI31" s="11">
        <v>0</v>
      </c>
      <c r="AJ31" s="12">
        <v>0</v>
      </c>
    </row>
    <row r="32" spans="3:36">
      <c r="C32" s="277"/>
      <c r="D32" s="25" t="s">
        <v>15</v>
      </c>
      <c r="E32" s="19">
        <f t="shared" si="2"/>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2">
        <v>0</v>
      </c>
    </row>
    <row r="33" spans="3:36">
      <c r="C33" s="277"/>
      <c r="D33" s="25" t="s">
        <v>11</v>
      </c>
      <c r="E33" s="19">
        <f t="shared" si="2"/>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2">
        <v>0</v>
      </c>
    </row>
    <row r="34" spans="3:36">
      <c r="C34" s="277"/>
      <c r="D34" s="25" t="s">
        <v>17</v>
      </c>
      <c r="E34" s="19">
        <f t="shared" si="2"/>
        <v>14</v>
      </c>
      <c r="F34" s="13">
        <v>1</v>
      </c>
      <c r="G34" s="13">
        <v>0</v>
      </c>
      <c r="H34" s="13">
        <v>0</v>
      </c>
      <c r="I34" s="13">
        <v>0</v>
      </c>
      <c r="J34" s="13">
        <v>2</v>
      </c>
      <c r="K34" s="13">
        <v>0</v>
      </c>
      <c r="L34" s="13">
        <v>0</v>
      </c>
      <c r="M34" s="13">
        <v>0</v>
      </c>
      <c r="N34" s="13">
        <v>0</v>
      </c>
      <c r="O34" s="13">
        <v>0</v>
      </c>
      <c r="P34" s="13">
        <v>2</v>
      </c>
      <c r="Q34" s="13">
        <v>1</v>
      </c>
      <c r="R34" s="13">
        <v>0</v>
      </c>
      <c r="S34" s="13">
        <v>2</v>
      </c>
      <c r="T34" s="13">
        <v>0</v>
      </c>
      <c r="U34" s="13">
        <v>0</v>
      </c>
      <c r="V34" s="13">
        <v>0</v>
      </c>
      <c r="W34" s="13">
        <v>0</v>
      </c>
      <c r="X34" s="13">
        <v>1</v>
      </c>
      <c r="Y34" s="13">
        <v>1</v>
      </c>
      <c r="Z34" s="13">
        <v>1</v>
      </c>
      <c r="AA34" s="13">
        <v>1</v>
      </c>
      <c r="AB34" s="13">
        <v>0</v>
      </c>
      <c r="AC34" s="13">
        <v>0</v>
      </c>
      <c r="AD34" s="13">
        <v>0</v>
      </c>
      <c r="AE34" s="13">
        <v>0</v>
      </c>
      <c r="AF34" s="13">
        <v>0</v>
      </c>
      <c r="AG34" s="13">
        <v>1</v>
      </c>
      <c r="AH34" s="13">
        <v>1</v>
      </c>
      <c r="AI34" s="13">
        <v>0</v>
      </c>
      <c r="AJ34" s="13">
        <v>0</v>
      </c>
    </row>
    <row r="35" spans="3:36">
      <c r="D35" s="27"/>
      <c r="E35" s="18"/>
    </row>
    <row r="36" spans="3:36">
      <c r="C36" s="277" t="s">
        <v>3</v>
      </c>
      <c r="D36" s="26" t="s">
        <v>5</v>
      </c>
      <c r="E36" s="19">
        <f t="shared" ref="E36:E42" si="3">SUM(F36:AJ36)</f>
        <v>92</v>
      </c>
      <c r="F36" s="11">
        <v>2</v>
      </c>
      <c r="G36" s="11">
        <v>1</v>
      </c>
      <c r="H36" s="11">
        <v>0</v>
      </c>
      <c r="I36" s="11">
        <v>3</v>
      </c>
      <c r="J36" s="11">
        <v>3</v>
      </c>
      <c r="K36" s="11">
        <v>4</v>
      </c>
      <c r="L36" s="11">
        <v>3</v>
      </c>
      <c r="M36" s="11">
        <v>4</v>
      </c>
      <c r="N36" s="11">
        <v>0</v>
      </c>
      <c r="O36" s="11">
        <v>0</v>
      </c>
      <c r="P36" s="11">
        <v>5</v>
      </c>
      <c r="Q36" s="11">
        <v>1</v>
      </c>
      <c r="R36" s="11">
        <v>9</v>
      </c>
      <c r="S36" s="11">
        <v>6</v>
      </c>
      <c r="T36" s="11">
        <v>3</v>
      </c>
      <c r="U36" s="11">
        <v>0</v>
      </c>
      <c r="V36" s="11">
        <v>2</v>
      </c>
      <c r="W36" s="11">
        <v>4</v>
      </c>
      <c r="X36" s="11">
        <v>7</v>
      </c>
      <c r="Y36" s="11">
        <v>5</v>
      </c>
      <c r="Z36" s="11">
        <v>2</v>
      </c>
      <c r="AA36" s="11">
        <v>4</v>
      </c>
      <c r="AB36" s="11">
        <v>2</v>
      </c>
      <c r="AC36" s="11">
        <v>0</v>
      </c>
      <c r="AD36" s="11">
        <v>1</v>
      </c>
      <c r="AE36" s="11">
        <v>5</v>
      </c>
      <c r="AF36" s="11">
        <v>6</v>
      </c>
      <c r="AG36" s="11">
        <v>3</v>
      </c>
      <c r="AH36" s="11">
        <v>6</v>
      </c>
      <c r="AI36" s="11">
        <v>1</v>
      </c>
      <c r="AJ36" s="11">
        <v>0</v>
      </c>
    </row>
    <row r="37" spans="3:36">
      <c r="C37" s="277"/>
      <c r="D37" s="25" t="s">
        <v>8</v>
      </c>
      <c r="E37" s="19">
        <f t="shared" si="3"/>
        <v>87</v>
      </c>
      <c r="F37" s="12">
        <v>7</v>
      </c>
      <c r="G37" s="12">
        <v>0</v>
      </c>
      <c r="H37" s="12">
        <v>0</v>
      </c>
      <c r="I37" s="12">
        <v>3</v>
      </c>
      <c r="J37" s="12">
        <v>3</v>
      </c>
      <c r="K37" s="12">
        <v>4</v>
      </c>
      <c r="L37" s="12">
        <v>4</v>
      </c>
      <c r="M37" s="12">
        <v>4</v>
      </c>
      <c r="N37" s="12">
        <v>1</v>
      </c>
      <c r="O37" s="12">
        <v>0</v>
      </c>
      <c r="P37" s="12">
        <v>3</v>
      </c>
      <c r="Q37" s="12">
        <v>5</v>
      </c>
      <c r="R37" s="12">
        <v>5</v>
      </c>
      <c r="S37" s="12">
        <v>8</v>
      </c>
      <c r="T37" s="12">
        <v>4</v>
      </c>
      <c r="U37" s="12">
        <v>2</v>
      </c>
      <c r="V37" s="12">
        <v>0</v>
      </c>
      <c r="W37" s="12">
        <v>1</v>
      </c>
      <c r="X37" s="12">
        <v>6</v>
      </c>
      <c r="Y37" s="12">
        <v>1</v>
      </c>
      <c r="Z37" s="12">
        <v>7</v>
      </c>
      <c r="AA37" s="12">
        <v>2</v>
      </c>
      <c r="AB37" s="12">
        <v>1</v>
      </c>
      <c r="AC37" s="12">
        <v>0</v>
      </c>
      <c r="AD37" s="12">
        <v>0</v>
      </c>
      <c r="AE37" s="12">
        <v>7</v>
      </c>
      <c r="AF37" s="12">
        <v>5</v>
      </c>
      <c r="AG37" s="12">
        <v>2</v>
      </c>
      <c r="AH37" s="12">
        <v>2</v>
      </c>
      <c r="AI37" s="12">
        <v>0</v>
      </c>
      <c r="AJ37" s="12">
        <v>0</v>
      </c>
    </row>
    <row r="38" spans="3:36">
      <c r="C38" s="277"/>
      <c r="D38" s="25" t="s">
        <v>9</v>
      </c>
      <c r="E38" s="19">
        <f t="shared" si="3"/>
        <v>78</v>
      </c>
      <c r="F38" s="12">
        <v>3</v>
      </c>
      <c r="G38" s="12">
        <v>5</v>
      </c>
      <c r="H38" s="12">
        <v>0</v>
      </c>
      <c r="I38" s="12">
        <v>1</v>
      </c>
      <c r="J38" s="12">
        <v>4</v>
      </c>
      <c r="K38" s="12">
        <v>4</v>
      </c>
      <c r="L38" s="12">
        <v>3</v>
      </c>
      <c r="M38" s="12">
        <v>4</v>
      </c>
      <c r="N38" s="12">
        <v>4</v>
      </c>
      <c r="O38" s="12">
        <v>0</v>
      </c>
      <c r="P38" s="12">
        <v>3</v>
      </c>
      <c r="Q38" s="12">
        <v>4</v>
      </c>
      <c r="R38" s="12">
        <v>5</v>
      </c>
      <c r="S38" s="12">
        <v>3</v>
      </c>
      <c r="T38" s="12">
        <v>2</v>
      </c>
      <c r="U38" s="12">
        <v>4</v>
      </c>
      <c r="V38" s="12">
        <v>0</v>
      </c>
      <c r="W38" s="12">
        <v>4</v>
      </c>
      <c r="X38" s="12">
        <v>2</v>
      </c>
      <c r="Y38" s="12">
        <v>4</v>
      </c>
      <c r="Z38" s="12">
        <v>2</v>
      </c>
      <c r="AA38" s="12">
        <v>2</v>
      </c>
      <c r="AB38" s="12">
        <v>1</v>
      </c>
      <c r="AC38" s="12">
        <v>0</v>
      </c>
      <c r="AD38" s="12">
        <v>0</v>
      </c>
      <c r="AE38" s="12">
        <v>2</v>
      </c>
      <c r="AF38" s="12">
        <v>2</v>
      </c>
      <c r="AG38" s="12">
        <v>3</v>
      </c>
      <c r="AH38" s="12">
        <v>5</v>
      </c>
      <c r="AI38" s="12">
        <v>2</v>
      </c>
      <c r="AJ38" s="12">
        <v>0</v>
      </c>
    </row>
    <row r="39" spans="3:36">
      <c r="C39" s="277"/>
      <c r="D39" s="25" t="s">
        <v>1</v>
      </c>
      <c r="E39" s="19">
        <f t="shared" si="3"/>
        <v>43</v>
      </c>
      <c r="F39" s="12">
        <v>1</v>
      </c>
      <c r="G39" s="12">
        <v>2</v>
      </c>
      <c r="H39" s="12">
        <v>0</v>
      </c>
      <c r="I39" s="12">
        <v>6</v>
      </c>
      <c r="J39" s="12">
        <v>2</v>
      </c>
      <c r="K39" s="12">
        <v>2</v>
      </c>
      <c r="L39" s="12">
        <v>6</v>
      </c>
      <c r="M39" s="12">
        <v>3</v>
      </c>
      <c r="N39" s="12">
        <v>0</v>
      </c>
      <c r="O39" s="12">
        <v>1</v>
      </c>
      <c r="P39" s="12">
        <v>4</v>
      </c>
      <c r="Q39" s="12">
        <v>0</v>
      </c>
      <c r="R39" s="12">
        <v>3</v>
      </c>
      <c r="S39" s="12">
        <v>1</v>
      </c>
      <c r="T39" s="12">
        <v>1</v>
      </c>
      <c r="U39" s="12">
        <v>0</v>
      </c>
      <c r="V39" s="12">
        <v>0</v>
      </c>
      <c r="W39" s="12">
        <v>4</v>
      </c>
      <c r="X39" s="12">
        <v>0</v>
      </c>
      <c r="Y39" s="12">
        <v>0</v>
      </c>
      <c r="Z39" s="12">
        <v>2</v>
      </c>
      <c r="AA39" s="12">
        <v>0</v>
      </c>
      <c r="AB39" s="12">
        <v>0</v>
      </c>
      <c r="AC39" s="12">
        <v>0</v>
      </c>
      <c r="AD39" s="12">
        <v>0</v>
      </c>
      <c r="AE39" s="12">
        <v>0</v>
      </c>
      <c r="AF39" s="12">
        <v>2</v>
      </c>
      <c r="AG39" s="12">
        <v>1</v>
      </c>
      <c r="AH39" s="12">
        <v>1</v>
      </c>
      <c r="AI39" s="12">
        <v>1</v>
      </c>
      <c r="AJ39" s="12">
        <v>0</v>
      </c>
    </row>
    <row r="40" spans="3:36">
      <c r="C40" s="277"/>
      <c r="D40" s="25" t="s">
        <v>10</v>
      </c>
      <c r="E40" s="19">
        <f t="shared" si="3"/>
        <v>37</v>
      </c>
      <c r="F40" s="12">
        <v>3</v>
      </c>
      <c r="G40" s="12">
        <v>2</v>
      </c>
      <c r="H40" s="12">
        <v>0</v>
      </c>
      <c r="I40" s="12">
        <v>1</v>
      </c>
      <c r="J40" s="12">
        <v>1</v>
      </c>
      <c r="K40" s="12">
        <v>1</v>
      </c>
      <c r="L40" s="12">
        <v>1</v>
      </c>
      <c r="M40" s="12">
        <v>1</v>
      </c>
      <c r="N40" s="12">
        <v>3</v>
      </c>
      <c r="O40" s="12">
        <v>0</v>
      </c>
      <c r="P40" s="12">
        <v>1</v>
      </c>
      <c r="Q40" s="12">
        <v>1</v>
      </c>
      <c r="R40" s="12">
        <v>1</v>
      </c>
      <c r="S40" s="12">
        <v>1</v>
      </c>
      <c r="T40" s="12">
        <v>1</v>
      </c>
      <c r="U40" s="12">
        <v>0</v>
      </c>
      <c r="V40" s="12">
        <v>0</v>
      </c>
      <c r="W40" s="12">
        <v>0</v>
      </c>
      <c r="X40" s="12">
        <v>3</v>
      </c>
      <c r="Y40" s="12">
        <v>0</v>
      </c>
      <c r="Z40" s="12">
        <v>1</v>
      </c>
      <c r="AA40" s="12">
        <v>2</v>
      </c>
      <c r="AB40" s="12">
        <v>2</v>
      </c>
      <c r="AC40" s="12">
        <v>0</v>
      </c>
      <c r="AD40" s="12">
        <v>0</v>
      </c>
      <c r="AE40" s="12">
        <v>1</v>
      </c>
      <c r="AF40" s="12">
        <v>0</v>
      </c>
      <c r="AG40" s="12">
        <v>2</v>
      </c>
      <c r="AH40" s="12">
        <v>7</v>
      </c>
      <c r="AI40" s="12">
        <v>1</v>
      </c>
      <c r="AJ40" s="12">
        <v>0</v>
      </c>
    </row>
    <row r="41" spans="3:36">
      <c r="C41" s="277"/>
      <c r="D41" s="25" t="s">
        <v>15</v>
      </c>
      <c r="E41" s="19">
        <f t="shared" si="3"/>
        <v>0</v>
      </c>
      <c r="F41" s="12">
        <v>0</v>
      </c>
      <c r="G41" s="12">
        <v>0</v>
      </c>
      <c r="H41" s="12">
        <v>0</v>
      </c>
      <c r="I41" s="12">
        <v>0</v>
      </c>
      <c r="J41" s="12">
        <v>0</v>
      </c>
      <c r="K41" s="12">
        <v>0</v>
      </c>
      <c r="L41" s="12">
        <v>0</v>
      </c>
      <c r="M41" s="12">
        <v>0</v>
      </c>
      <c r="N41" s="12">
        <v>0</v>
      </c>
      <c r="O41" s="12">
        <v>0</v>
      </c>
      <c r="P41" s="12">
        <v>0</v>
      </c>
      <c r="Q41" s="12">
        <v>0</v>
      </c>
      <c r="R41" s="12">
        <v>0</v>
      </c>
      <c r="S41" s="12">
        <v>0</v>
      </c>
      <c r="T41" s="12">
        <v>0</v>
      </c>
      <c r="U41" s="12">
        <v>0</v>
      </c>
      <c r="V41" s="12">
        <v>0</v>
      </c>
      <c r="W41" s="12">
        <v>0</v>
      </c>
      <c r="X41" s="12">
        <v>0</v>
      </c>
      <c r="Y41" s="12">
        <v>0</v>
      </c>
      <c r="Z41" s="12">
        <v>0</v>
      </c>
      <c r="AA41" s="12">
        <v>0</v>
      </c>
      <c r="AB41" s="12">
        <v>0</v>
      </c>
      <c r="AC41" s="12">
        <v>0</v>
      </c>
      <c r="AD41" s="12">
        <v>0</v>
      </c>
      <c r="AE41" s="12">
        <v>0</v>
      </c>
      <c r="AF41" s="12">
        <v>0</v>
      </c>
      <c r="AG41" s="12">
        <v>0</v>
      </c>
      <c r="AH41" s="12">
        <v>0</v>
      </c>
      <c r="AI41" s="12">
        <v>0</v>
      </c>
      <c r="AJ41" s="12">
        <v>0</v>
      </c>
    </row>
    <row r="42" spans="3:36">
      <c r="C42" s="277"/>
      <c r="D42" s="25" t="s">
        <v>11</v>
      </c>
      <c r="E42" s="19">
        <f t="shared" si="3"/>
        <v>0</v>
      </c>
      <c r="F42" s="12">
        <v>0</v>
      </c>
      <c r="G42" s="12">
        <v>0</v>
      </c>
      <c r="H42" s="12">
        <v>0</v>
      </c>
      <c r="I42" s="12">
        <v>0</v>
      </c>
      <c r="J42" s="12">
        <v>0</v>
      </c>
      <c r="K42" s="12">
        <v>0</v>
      </c>
      <c r="L42" s="12">
        <v>0</v>
      </c>
      <c r="M42" s="12">
        <v>0</v>
      </c>
      <c r="N42" s="12">
        <v>0</v>
      </c>
      <c r="O42" s="12">
        <v>0</v>
      </c>
      <c r="P42" s="12">
        <v>0</v>
      </c>
      <c r="Q42" s="12">
        <v>0</v>
      </c>
      <c r="R42" s="12">
        <v>0</v>
      </c>
      <c r="S42" s="12">
        <v>0</v>
      </c>
      <c r="T42" s="12">
        <v>0</v>
      </c>
      <c r="U42" s="12">
        <v>0</v>
      </c>
      <c r="V42" s="12">
        <v>0</v>
      </c>
      <c r="W42" s="12">
        <v>0</v>
      </c>
      <c r="X42" s="12">
        <v>0</v>
      </c>
      <c r="Y42" s="12">
        <v>0</v>
      </c>
      <c r="Z42" s="12">
        <v>0</v>
      </c>
      <c r="AA42" s="12">
        <v>0</v>
      </c>
      <c r="AB42" s="12">
        <v>0</v>
      </c>
      <c r="AC42" s="12">
        <v>0</v>
      </c>
      <c r="AD42" s="12">
        <v>0</v>
      </c>
      <c r="AE42" s="12">
        <v>0</v>
      </c>
      <c r="AF42" s="12">
        <v>0</v>
      </c>
      <c r="AG42" s="12">
        <v>0</v>
      </c>
      <c r="AH42" s="12">
        <v>0</v>
      </c>
      <c r="AI42" s="12">
        <v>0</v>
      </c>
      <c r="AJ42" s="12">
        <v>0</v>
      </c>
    </row>
    <row r="43" spans="3:36">
      <c r="C43" s="277"/>
      <c r="D43" s="25" t="s">
        <v>17</v>
      </c>
      <c r="E43" s="19">
        <f>SUM(F43:AJ43)</f>
        <v>38</v>
      </c>
      <c r="F43" s="13">
        <v>3</v>
      </c>
      <c r="G43" s="13">
        <v>0</v>
      </c>
      <c r="H43" s="13">
        <v>1</v>
      </c>
      <c r="I43" s="13">
        <v>1</v>
      </c>
      <c r="J43" s="13">
        <v>0</v>
      </c>
      <c r="K43" s="13">
        <v>1</v>
      </c>
      <c r="L43" s="13">
        <v>0</v>
      </c>
      <c r="M43" s="13">
        <v>0</v>
      </c>
      <c r="N43" s="13">
        <v>0</v>
      </c>
      <c r="O43" s="13">
        <v>0</v>
      </c>
      <c r="P43" s="13">
        <v>4</v>
      </c>
      <c r="Q43" s="13">
        <v>3</v>
      </c>
      <c r="R43" s="13">
        <v>2</v>
      </c>
      <c r="S43" s="13">
        <v>0</v>
      </c>
      <c r="T43" s="13">
        <v>0</v>
      </c>
      <c r="U43" s="13">
        <v>0</v>
      </c>
      <c r="V43" s="13">
        <v>0</v>
      </c>
      <c r="W43" s="13">
        <v>3</v>
      </c>
      <c r="X43" s="13">
        <v>0</v>
      </c>
      <c r="Y43" s="13">
        <v>2</v>
      </c>
      <c r="Z43" s="13">
        <v>2</v>
      </c>
      <c r="AA43" s="13">
        <v>4</v>
      </c>
      <c r="AB43" s="13">
        <v>0</v>
      </c>
      <c r="AC43" s="13">
        <v>0</v>
      </c>
      <c r="AD43" s="13">
        <v>0</v>
      </c>
      <c r="AE43" s="13">
        <v>0</v>
      </c>
      <c r="AF43" s="13">
        <v>1</v>
      </c>
      <c r="AG43" s="13">
        <v>1</v>
      </c>
      <c r="AH43" s="13">
        <v>10</v>
      </c>
      <c r="AI43" s="13">
        <v>0</v>
      </c>
      <c r="AJ43" s="13">
        <v>0</v>
      </c>
    </row>
    <row r="44" spans="3:36">
      <c r="C44" s="20"/>
      <c r="D44" s="20"/>
      <c r="E44" s="22"/>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row>
    <row r="45" spans="3:36">
      <c r="C45" s="277" t="s">
        <v>4</v>
      </c>
      <c r="D45" s="26" t="s">
        <v>5</v>
      </c>
      <c r="E45" s="19">
        <f t="shared" ref="E45:E51" si="4">SUM(F45:AJ45)</f>
        <v>31</v>
      </c>
      <c r="F45" s="11">
        <v>3</v>
      </c>
      <c r="G45" s="11">
        <v>0</v>
      </c>
      <c r="H45" s="11">
        <v>0</v>
      </c>
      <c r="I45" s="11">
        <v>1</v>
      </c>
      <c r="J45" s="11">
        <v>1</v>
      </c>
      <c r="K45" s="11">
        <v>0</v>
      </c>
      <c r="L45" s="11">
        <v>1</v>
      </c>
      <c r="M45" s="11">
        <v>0</v>
      </c>
      <c r="N45" s="11">
        <v>0</v>
      </c>
      <c r="O45" s="11">
        <v>0</v>
      </c>
      <c r="P45" s="11">
        <v>0</v>
      </c>
      <c r="Q45" s="11">
        <v>1</v>
      </c>
      <c r="R45" s="11">
        <v>2</v>
      </c>
      <c r="S45" s="11">
        <v>2</v>
      </c>
      <c r="T45" s="11">
        <v>2</v>
      </c>
      <c r="U45" s="11">
        <v>1</v>
      </c>
      <c r="V45" s="11">
        <v>0</v>
      </c>
      <c r="W45" s="11">
        <v>2</v>
      </c>
      <c r="X45" s="11">
        <v>0</v>
      </c>
      <c r="Y45" s="11">
        <v>0</v>
      </c>
      <c r="Z45" s="11">
        <v>4</v>
      </c>
      <c r="AA45" s="11">
        <v>1</v>
      </c>
      <c r="AB45" s="11">
        <v>2</v>
      </c>
      <c r="AC45" s="11">
        <v>0</v>
      </c>
      <c r="AD45" s="11">
        <v>0</v>
      </c>
      <c r="AE45" s="11">
        <v>0</v>
      </c>
      <c r="AF45" s="11">
        <v>0</v>
      </c>
      <c r="AG45" s="11">
        <v>2</v>
      </c>
      <c r="AH45" s="11">
        <v>6</v>
      </c>
      <c r="AI45" s="11">
        <v>0</v>
      </c>
      <c r="AJ45" s="11">
        <v>0</v>
      </c>
    </row>
    <row r="46" spans="3:36">
      <c r="C46" s="277"/>
      <c r="D46" s="25" t="s">
        <v>8</v>
      </c>
      <c r="E46" s="19">
        <f t="shared" si="4"/>
        <v>27</v>
      </c>
      <c r="F46" s="12">
        <v>1</v>
      </c>
      <c r="G46" s="12">
        <v>0</v>
      </c>
      <c r="H46" s="12">
        <v>0</v>
      </c>
      <c r="I46" s="12">
        <v>2</v>
      </c>
      <c r="J46" s="12">
        <v>4</v>
      </c>
      <c r="K46" s="12">
        <v>0</v>
      </c>
      <c r="L46" s="12">
        <v>1</v>
      </c>
      <c r="M46" s="12">
        <v>0</v>
      </c>
      <c r="N46" s="12">
        <v>0</v>
      </c>
      <c r="O46" s="12">
        <v>0</v>
      </c>
      <c r="P46" s="12">
        <v>0</v>
      </c>
      <c r="Q46" s="12">
        <v>1</v>
      </c>
      <c r="R46" s="12">
        <v>1</v>
      </c>
      <c r="S46" s="12">
        <v>0</v>
      </c>
      <c r="T46" s="12">
        <v>1</v>
      </c>
      <c r="U46" s="12">
        <v>1</v>
      </c>
      <c r="V46" s="12">
        <v>0</v>
      </c>
      <c r="W46" s="12">
        <v>2</v>
      </c>
      <c r="X46" s="12">
        <v>1</v>
      </c>
      <c r="Y46" s="12">
        <v>0</v>
      </c>
      <c r="Z46" s="12">
        <v>1</v>
      </c>
      <c r="AA46" s="12">
        <v>0</v>
      </c>
      <c r="AB46" s="12">
        <v>0</v>
      </c>
      <c r="AC46" s="12">
        <v>0</v>
      </c>
      <c r="AD46" s="12">
        <v>0</v>
      </c>
      <c r="AE46" s="12">
        <v>2</v>
      </c>
      <c r="AF46" s="12">
        <v>2</v>
      </c>
      <c r="AG46" s="12">
        <v>3</v>
      </c>
      <c r="AH46" s="12">
        <v>3</v>
      </c>
      <c r="AI46" s="12">
        <v>1</v>
      </c>
      <c r="AJ46" s="12">
        <v>0</v>
      </c>
    </row>
    <row r="47" spans="3:36">
      <c r="C47" s="277"/>
      <c r="D47" s="25" t="s">
        <v>9</v>
      </c>
      <c r="E47" s="19">
        <f t="shared" si="4"/>
        <v>53</v>
      </c>
      <c r="F47" s="12">
        <v>4</v>
      </c>
      <c r="G47" s="12">
        <v>0</v>
      </c>
      <c r="H47" s="12">
        <v>0</v>
      </c>
      <c r="I47" s="12">
        <v>0</v>
      </c>
      <c r="J47" s="12">
        <v>0</v>
      </c>
      <c r="K47" s="12">
        <v>1</v>
      </c>
      <c r="L47" s="12">
        <v>2</v>
      </c>
      <c r="M47" s="12">
        <v>2</v>
      </c>
      <c r="N47" s="12">
        <v>0</v>
      </c>
      <c r="O47" s="12">
        <v>0</v>
      </c>
      <c r="P47" s="12">
        <v>3</v>
      </c>
      <c r="Q47" s="12">
        <v>4</v>
      </c>
      <c r="R47" s="12">
        <v>5</v>
      </c>
      <c r="S47" s="12">
        <v>2</v>
      </c>
      <c r="T47" s="12">
        <v>1</v>
      </c>
      <c r="U47" s="12">
        <v>0</v>
      </c>
      <c r="V47" s="12">
        <v>0</v>
      </c>
      <c r="W47" s="12">
        <v>3</v>
      </c>
      <c r="X47" s="12">
        <v>2</v>
      </c>
      <c r="Y47" s="12">
        <v>1</v>
      </c>
      <c r="Z47" s="12">
        <v>3</v>
      </c>
      <c r="AA47" s="12">
        <v>2</v>
      </c>
      <c r="AB47" s="12">
        <v>1</v>
      </c>
      <c r="AC47" s="12">
        <v>0</v>
      </c>
      <c r="AD47" s="12">
        <v>0</v>
      </c>
      <c r="AE47" s="12">
        <v>3</v>
      </c>
      <c r="AF47" s="12">
        <v>2</v>
      </c>
      <c r="AG47" s="12">
        <v>2</v>
      </c>
      <c r="AH47" s="12">
        <v>9</v>
      </c>
      <c r="AI47" s="12">
        <v>1</v>
      </c>
      <c r="AJ47" s="12">
        <v>0</v>
      </c>
    </row>
    <row r="48" spans="3:36">
      <c r="C48" s="277"/>
      <c r="D48" s="25" t="s">
        <v>1</v>
      </c>
      <c r="E48" s="19">
        <f t="shared" si="4"/>
        <v>80</v>
      </c>
      <c r="F48" s="12">
        <v>2</v>
      </c>
      <c r="G48" s="12">
        <v>2</v>
      </c>
      <c r="H48" s="12">
        <v>0</v>
      </c>
      <c r="I48" s="12">
        <v>6</v>
      </c>
      <c r="J48" s="12">
        <v>4</v>
      </c>
      <c r="K48" s="12">
        <v>2</v>
      </c>
      <c r="L48" s="12">
        <v>1</v>
      </c>
      <c r="M48" s="12">
        <v>6</v>
      </c>
      <c r="N48" s="12">
        <v>1</v>
      </c>
      <c r="O48" s="12">
        <v>0</v>
      </c>
      <c r="P48" s="12">
        <v>4</v>
      </c>
      <c r="Q48" s="12">
        <v>3</v>
      </c>
      <c r="R48" s="12">
        <v>5</v>
      </c>
      <c r="S48" s="12">
        <v>2</v>
      </c>
      <c r="T48" s="12">
        <v>5</v>
      </c>
      <c r="U48" s="12">
        <v>2</v>
      </c>
      <c r="V48" s="12">
        <v>0</v>
      </c>
      <c r="W48" s="12">
        <v>4</v>
      </c>
      <c r="X48" s="12">
        <v>2</v>
      </c>
      <c r="Y48" s="12">
        <v>1</v>
      </c>
      <c r="Z48" s="12">
        <v>2</v>
      </c>
      <c r="AA48" s="12">
        <v>5</v>
      </c>
      <c r="AB48" s="12">
        <v>4</v>
      </c>
      <c r="AC48" s="12">
        <v>0</v>
      </c>
      <c r="AD48" s="12">
        <v>0</v>
      </c>
      <c r="AE48" s="12">
        <v>5</v>
      </c>
      <c r="AF48" s="12">
        <v>2</v>
      </c>
      <c r="AG48" s="12">
        <v>3</v>
      </c>
      <c r="AH48" s="12">
        <v>7</v>
      </c>
      <c r="AI48" s="12">
        <v>0</v>
      </c>
      <c r="AJ48" s="12">
        <v>0</v>
      </c>
    </row>
    <row r="49" spans="3:36">
      <c r="C49" s="277"/>
      <c r="D49" s="25" t="s">
        <v>10</v>
      </c>
      <c r="E49" s="19">
        <f t="shared" si="4"/>
        <v>26</v>
      </c>
      <c r="F49" s="12">
        <v>1</v>
      </c>
      <c r="G49" s="12">
        <v>0</v>
      </c>
      <c r="H49" s="12">
        <v>0</v>
      </c>
      <c r="I49" s="12">
        <v>0</v>
      </c>
      <c r="J49" s="12">
        <v>0</v>
      </c>
      <c r="K49" s="12">
        <v>0</v>
      </c>
      <c r="L49" s="12">
        <v>2</v>
      </c>
      <c r="M49" s="12">
        <v>0</v>
      </c>
      <c r="N49" s="12">
        <v>1</v>
      </c>
      <c r="O49" s="12">
        <v>0</v>
      </c>
      <c r="P49" s="12">
        <v>0</v>
      </c>
      <c r="Q49" s="12">
        <v>1</v>
      </c>
      <c r="R49" s="12">
        <v>2</v>
      </c>
      <c r="S49" s="12">
        <v>0</v>
      </c>
      <c r="T49" s="12">
        <v>2</v>
      </c>
      <c r="U49" s="12">
        <v>0</v>
      </c>
      <c r="V49" s="12">
        <v>0</v>
      </c>
      <c r="W49" s="12">
        <v>2</v>
      </c>
      <c r="X49" s="12">
        <v>3</v>
      </c>
      <c r="Y49" s="12">
        <v>1</v>
      </c>
      <c r="Z49" s="12">
        <v>3</v>
      </c>
      <c r="AA49" s="12">
        <v>0</v>
      </c>
      <c r="AB49" s="12">
        <v>1</v>
      </c>
      <c r="AC49" s="12">
        <v>0</v>
      </c>
      <c r="AD49" s="12">
        <v>0</v>
      </c>
      <c r="AE49" s="12">
        <v>1</v>
      </c>
      <c r="AF49" s="12">
        <v>1</v>
      </c>
      <c r="AG49" s="12">
        <v>0</v>
      </c>
      <c r="AH49" s="12">
        <v>4</v>
      </c>
      <c r="AI49" s="12">
        <v>1</v>
      </c>
      <c r="AJ49" s="12">
        <v>0</v>
      </c>
    </row>
    <row r="50" spans="3:36">
      <c r="C50" s="277"/>
      <c r="D50" s="25" t="s">
        <v>15</v>
      </c>
      <c r="E50" s="19">
        <f t="shared" si="4"/>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0</v>
      </c>
      <c r="Y50" s="12">
        <v>0</v>
      </c>
      <c r="Z50" s="12">
        <v>0</v>
      </c>
      <c r="AA50" s="12">
        <v>0</v>
      </c>
      <c r="AB50" s="12">
        <v>0</v>
      </c>
      <c r="AC50" s="12">
        <v>0</v>
      </c>
      <c r="AD50" s="12">
        <v>0</v>
      </c>
      <c r="AE50" s="12">
        <v>0</v>
      </c>
      <c r="AF50" s="12">
        <v>0</v>
      </c>
      <c r="AG50" s="12">
        <v>0</v>
      </c>
      <c r="AH50" s="12">
        <v>0</v>
      </c>
      <c r="AI50" s="12">
        <v>0</v>
      </c>
      <c r="AJ50" s="12">
        <v>0</v>
      </c>
    </row>
    <row r="51" spans="3:36">
      <c r="C51" s="277"/>
      <c r="D51" s="25" t="s">
        <v>11</v>
      </c>
      <c r="E51" s="19">
        <f t="shared" si="4"/>
        <v>12</v>
      </c>
      <c r="F51" s="12">
        <v>5</v>
      </c>
      <c r="G51" s="12">
        <v>2</v>
      </c>
      <c r="H51" s="12">
        <v>0</v>
      </c>
      <c r="I51" s="12">
        <v>0</v>
      </c>
      <c r="J51" s="12">
        <v>1</v>
      </c>
      <c r="K51" s="12">
        <v>0</v>
      </c>
      <c r="L51" s="12">
        <v>0</v>
      </c>
      <c r="M51" s="12">
        <v>2</v>
      </c>
      <c r="N51" s="12">
        <v>0</v>
      </c>
      <c r="O51" s="12">
        <v>0</v>
      </c>
      <c r="P51" s="12">
        <v>1</v>
      </c>
      <c r="Q51" s="12">
        <v>1</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row>
    <row r="52" spans="3:36">
      <c r="C52" s="277"/>
      <c r="D52" s="25" t="s">
        <v>17</v>
      </c>
      <c r="E52" s="19">
        <f>SUM(F52:AJ52)</f>
        <v>35</v>
      </c>
      <c r="F52" s="13">
        <v>1</v>
      </c>
      <c r="G52" s="13">
        <v>0</v>
      </c>
      <c r="H52" s="13">
        <v>0</v>
      </c>
      <c r="I52" s="13">
        <v>1</v>
      </c>
      <c r="J52" s="13">
        <v>0</v>
      </c>
      <c r="K52" s="13">
        <v>2</v>
      </c>
      <c r="L52" s="13">
        <v>3</v>
      </c>
      <c r="M52" s="13">
        <v>2</v>
      </c>
      <c r="N52" s="13">
        <v>0</v>
      </c>
      <c r="O52" s="13">
        <v>0</v>
      </c>
      <c r="P52" s="13">
        <v>1</v>
      </c>
      <c r="Q52" s="13">
        <v>0</v>
      </c>
      <c r="R52" s="13">
        <v>2</v>
      </c>
      <c r="S52" s="13">
        <v>2</v>
      </c>
      <c r="T52" s="13">
        <v>0</v>
      </c>
      <c r="U52" s="13">
        <v>0</v>
      </c>
      <c r="V52" s="13">
        <v>0</v>
      </c>
      <c r="W52" s="13">
        <v>1</v>
      </c>
      <c r="X52" s="13">
        <v>2</v>
      </c>
      <c r="Y52" s="13">
        <v>0</v>
      </c>
      <c r="Z52" s="13">
        <v>3</v>
      </c>
      <c r="AA52" s="13">
        <v>2</v>
      </c>
      <c r="AB52" s="13">
        <v>0</v>
      </c>
      <c r="AC52" s="13">
        <v>0</v>
      </c>
      <c r="AD52" s="13">
        <v>0</v>
      </c>
      <c r="AE52" s="13">
        <v>1</v>
      </c>
      <c r="AF52" s="13">
        <v>1</v>
      </c>
      <c r="AG52" s="13">
        <v>3</v>
      </c>
      <c r="AH52" s="13">
        <v>8</v>
      </c>
      <c r="AI52" s="13">
        <v>0</v>
      </c>
      <c r="AJ52" s="13">
        <v>0</v>
      </c>
    </row>
    <row r="53" spans="3:36">
      <c r="D53" s="27"/>
      <c r="E53" s="18"/>
      <c r="Z53" s="1"/>
      <c r="AA53" s="1"/>
    </row>
    <row r="54" spans="3:36">
      <c r="C54" s="277" t="s">
        <v>6</v>
      </c>
      <c r="D54" s="26" t="s">
        <v>5</v>
      </c>
      <c r="E54" s="19">
        <f t="shared" ref="E54:E61" si="5">SUM(F54:AJ54)</f>
        <v>86</v>
      </c>
      <c r="F54" s="11">
        <v>3</v>
      </c>
      <c r="G54" s="11">
        <v>1</v>
      </c>
      <c r="H54" s="11">
        <v>0</v>
      </c>
      <c r="I54" s="11">
        <v>2</v>
      </c>
      <c r="J54" s="11">
        <v>0</v>
      </c>
      <c r="K54" s="11">
        <v>5</v>
      </c>
      <c r="L54" s="11">
        <v>1</v>
      </c>
      <c r="M54" s="11">
        <v>3</v>
      </c>
      <c r="N54" s="11">
        <v>2</v>
      </c>
      <c r="O54" s="11">
        <v>0</v>
      </c>
      <c r="P54" s="11">
        <v>1</v>
      </c>
      <c r="Q54" s="11">
        <v>4</v>
      </c>
      <c r="R54" s="11">
        <v>3</v>
      </c>
      <c r="S54" s="11">
        <v>4</v>
      </c>
      <c r="T54" s="11">
        <v>3</v>
      </c>
      <c r="U54" s="11">
        <v>4</v>
      </c>
      <c r="V54" s="11">
        <v>0</v>
      </c>
      <c r="W54" s="11">
        <v>5</v>
      </c>
      <c r="X54" s="11">
        <v>2</v>
      </c>
      <c r="Y54" s="11">
        <v>7</v>
      </c>
      <c r="Z54" s="11">
        <v>8</v>
      </c>
      <c r="AA54" s="11">
        <v>6</v>
      </c>
      <c r="AB54" s="11">
        <v>2</v>
      </c>
      <c r="AC54" s="11">
        <v>0</v>
      </c>
      <c r="AD54" s="11">
        <v>0</v>
      </c>
      <c r="AE54" s="11">
        <v>6</v>
      </c>
      <c r="AF54" s="11">
        <v>3</v>
      </c>
      <c r="AG54" s="11">
        <v>7</v>
      </c>
      <c r="AH54" s="11">
        <v>4</v>
      </c>
      <c r="AI54" s="11">
        <v>0</v>
      </c>
      <c r="AJ54" s="11">
        <v>0</v>
      </c>
    </row>
    <row r="55" spans="3:36">
      <c r="C55" s="277"/>
      <c r="D55" s="25" t="s">
        <v>8</v>
      </c>
      <c r="E55" s="19">
        <f t="shared" si="5"/>
        <v>70</v>
      </c>
      <c r="F55" s="12">
        <v>1</v>
      </c>
      <c r="G55" s="12">
        <v>0</v>
      </c>
      <c r="H55" s="12">
        <v>0</v>
      </c>
      <c r="I55" s="12">
        <v>4</v>
      </c>
      <c r="J55" s="12">
        <v>1</v>
      </c>
      <c r="K55" s="12">
        <v>3</v>
      </c>
      <c r="L55" s="12">
        <v>4</v>
      </c>
      <c r="M55" s="12">
        <v>7</v>
      </c>
      <c r="N55" s="12">
        <v>1</v>
      </c>
      <c r="O55" s="12">
        <v>0</v>
      </c>
      <c r="P55" s="12">
        <v>5</v>
      </c>
      <c r="Q55" s="12">
        <v>3</v>
      </c>
      <c r="R55" s="12">
        <v>1</v>
      </c>
      <c r="S55" s="12">
        <v>5</v>
      </c>
      <c r="T55" s="12">
        <v>0</v>
      </c>
      <c r="U55" s="12">
        <v>0</v>
      </c>
      <c r="V55" s="12">
        <v>0</v>
      </c>
      <c r="W55" s="12">
        <v>2</v>
      </c>
      <c r="X55" s="12">
        <v>5</v>
      </c>
      <c r="Y55" s="12">
        <v>2</v>
      </c>
      <c r="Z55" s="12">
        <v>2</v>
      </c>
      <c r="AA55" s="12">
        <v>4</v>
      </c>
      <c r="AB55" s="12">
        <v>1</v>
      </c>
      <c r="AC55" s="12">
        <v>0</v>
      </c>
      <c r="AD55" s="12">
        <v>0</v>
      </c>
      <c r="AE55" s="12">
        <v>3</v>
      </c>
      <c r="AF55" s="12">
        <v>4</v>
      </c>
      <c r="AG55" s="12">
        <v>4</v>
      </c>
      <c r="AH55" s="12">
        <v>4</v>
      </c>
      <c r="AI55" s="12">
        <v>4</v>
      </c>
      <c r="AJ55" s="12">
        <v>0</v>
      </c>
    </row>
    <row r="56" spans="3:36">
      <c r="C56" s="277"/>
      <c r="D56" s="25" t="s">
        <v>9</v>
      </c>
      <c r="E56" s="19">
        <f t="shared" si="5"/>
        <v>69</v>
      </c>
      <c r="F56" s="12">
        <v>5</v>
      </c>
      <c r="G56" s="12">
        <v>1</v>
      </c>
      <c r="H56" s="12">
        <v>0</v>
      </c>
      <c r="I56" s="12">
        <v>7</v>
      </c>
      <c r="J56" s="12">
        <v>8</v>
      </c>
      <c r="K56" s="12">
        <v>6</v>
      </c>
      <c r="L56" s="12">
        <v>2</v>
      </c>
      <c r="M56" s="12">
        <v>2</v>
      </c>
      <c r="N56" s="12">
        <v>0</v>
      </c>
      <c r="O56" s="12">
        <v>0</v>
      </c>
      <c r="P56" s="12">
        <v>6</v>
      </c>
      <c r="Q56" s="12">
        <v>3</v>
      </c>
      <c r="R56" s="12">
        <v>2</v>
      </c>
      <c r="S56" s="12">
        <v>3</v>
      </c>
      <c r="T56" s="12">
        <v>1</v>
      </c>
      <c r="U56" s="12">
        <v>0</v>
      </c>
      <c r="V56" s="12">
        <v>0</v>
      </c>
      <c r="W56" s="12">
        <v>5</v>
      </c>
      <c r="X56" s="12">
        <v>1</v>
      </c>
      <c r="Y56" s="12">
        <v>2</v>
      </c>
      <c r="Z56" s="12">
        <v>3</v>
      </c>
      <c r="AA56" s="12">
        <v>2</v>
      </c>
      <c r="AB56" s="12">
        <v>1</v>
      </c>
      <c r="AC56" s="12">
        <v>0</v>
      </c>
      <c r="AD56" s="12">
        <v>0</v>
      </c>
      <c r="AE56" s="12">
        <v>3</v>
      </c>
      <c r="AF56" s="12">
        <v>1</v>
      </c>
      <c r="AG56" s="12">
        <v>1</v>
      </c>
      <c r="AH56" s="12">
        <v>4</v>
      </c>
      <c r="AI56" s="12">
        <v>0</v>
      </c>
      <c r="AJ56" s="12">
        <v>0</v>
      </c>
    </row>
    <row r="57" spans="3:36">
      <c r="C57" s="277"/>
      <c r="D57" s="25" t="s">
        <v>1</v>
      </c>
      <c r="E57" s="19">
        <f t="shared" si="5"/>
        <v>27</v>
      </c>
      <c r="F57" s="12">
        <v>2</v>
      </c>
      <c r="G57" s="12">
        <v>1</v>
      </c>
      <c r="H57" s="12">
        <v>0</v>
      </c>
      <c r="I57" s="12">
        <v>2</v>
      </c>
      <c r="J57" s="12">
        <v>0</v>
      </c>
      <c r="K57" s="12">
        <v>0</v>
      </c>
      <c r="L57" s="12">
        <v>2</v>
      </c>
      <c r="M57" s="12">
        <v>4</v>
      </c>
      <c r="N57" s="12">
        <v>0</v>
      </c>
      <c r="O57" s="12">
        <v>0</v>
      </c>
      <c r="P57" s="12">
        <v>0</v>
      </c>
      <c r="Q57" s="12">
        <v>1</v>
      </c>
      <c r="R57" s="12">
        <v>0</v>
      </c>
      <c r="S57" s="12">
        <v>0</v>
      </c>
      <c r="T57" s="12">
        <v>1</v>
      </c>
      <c r="U57" s="12">
        <v>1</v>
      </c>
      <c r="V57" s="12">
        <v>0</v>
      </c>
      <c r="W57" s="12">
        <v>0</v>
      </c>
      <c r="X57" s="12">
        <v>0</v>
      </c>
      <c r="Y57" s="12">
        <v>0</v>
      </c>
      <c r="Z57" s="12">
        <v>0</v>
      </c>
      <c r="AA57" s="12">
        <v>0</v>
      </c>
      <c r="AB57" s="12">
        <v>0</v>
      </c>
      <c r="AC57" s="12">
        <v>0</v>
      </c>
      <c r="AD57" s="12">
        <v>0</v>
      </c>
      <c r="AE57" s="12">
        <v>0</v>
      </c>
      <c r="AF57" s="12">
        <v>0</v>
      </c>
      <c r="AG57" s="12">
        <v>3</v>
      </c>
      <c r="AH57" s="12">
        <v>10</v>
      </c>
      <c r="AI57" s="12">
        <v>0</v>
      </c>
      <c r="AJ57" s="12">
        <v>0</v>
      </c>
    </row>
    <row r="58" spans="3:36">
      <c r="C58" s="277"/>
      <c r="D58" s="25" t="s">
        <v>10</v>
      </c>
      <c r="E58" s="19">
        <f t="shared" si="5"/>
        <v>91</v>
      </c>
      <c r="F58" s="12">
        <v>1</v>
      </c>
      <c r="G58" s="12">
        <v>1</v>
      </c>
      <c r="H58" s="12">
        <v>0</v>
      </c>
      <c r="I58" s="12">
        <v>3</v>
      </c>
      <c r="J58" s="12">
        <v>1</v>
      </c>
      <c r="K58" s="12">
        <v>6</v>
      </c>
      <c r="L58" s="12">
        <v>2</v>
      </c>
      <c r="M58" s="12">
        <v>4</v>
      </c>
      <c r="N58" s="12">
        <v>1</v>
      </c>
      <c r="O58" s="12">
        <v>0</v>
      </c>
      <c r="P58" s="12">
        <v>5</v>
      </c>
      <c r="Q58" s="12">
        <v>4</v>
      </c>
      <c r="R58" s="12">
        <v>3</v>
      </c>
      <c r="S58" s="12">
        <v>9</v>
      </c>
      <c r="T58" s="12">
        <v>2</v>
      </c>
      <c r="U58" s="12">
        <v>2</v>
      </c>
      <c r="V58" s="12">
        <v>0</v>
      </c>
      <c r="W58" s="12">
        <v>4</v>
      </c>
      <c r="X58" s="12">
        <v>4</v>
      </c>
      <c r="Y58" s="12">
        <v>6</v>
      </c>
      <c r="Z58" s="12">
        <v>4</v>
      </c>
      <c r="AA58" s="12">
        <v>4</v>
      </c>
      <c r="AB58" s="12">
        <v>2</v>
      </c>
      <c r="AC58" s="12">
        <v>0</v>
      </c>
      <c r="AD58" s="12">
        <v>0</v>
      </c>
      <c r="AE58" s="12">
        <v>4</v>
      </c>
      <c r="AF58" s="12">
        <v>3</v>
      </c>
      <c r="AG58" s="12">
        <v>1</v>
      </c>
      <c r="AH58" s="12">
        <v>13</v>
      </c>
      <c r="AI58" s="12">
        <v>2</v>
      </c>
      <c r="AJ58" s="12">
        <v>0</v>
      </c>
    </row>
    <row r="59" spans="3:36">
      <c r="C59" s="277"/>
      <c r="D59" s="25" t="s">
        <v>15</v>
      </c>
      <c r="E59" s="19">
        <f t="shared" si="5"/>
        <v>8</v>
      </c>
      <c r="F59" s="12">
        <v>0</v>
      </c>
      <c r="G59" s="12">
        <v>0</v>
      </c>
      <c r="H59" s="12">
        <v>0</v>
      </c>
      <c r="I59" s="12">
        <v>0</v>
      </c>
      <c r="J59" s="12">
        <v>0</v>
      </c>
      <c r="K59" s="12">
        <v>0</v>
      </c>
      <c r="L59" s="12">
        <v>0</v>
      </c>
      <c r="M59" s="12">
        <v>0</v>
      </c>
      <c r="N59" s="12">
        <v>0</v>
      </c>
      <c r="O59" s="12">
        <v>0</v>
      </c>
      <c r="P59" s="12">
        <v>1</v>
      </c>
      <c r="Q59" s="12">
        <v>1</v>
      </c>
      <c r="R59" s="12">
        <v>1</v>
      </c>
      <c r="S59" s="12">
        <v>0</v>
      </c>
      <c r="T59" s="12">
        <v>2</v>
      </c>
      <c r="U59" s="12">
        <v>0</v>
      </c>
      <c r="V59" s="12">
        <v>0</v>
      </c>
      <c r="W59" s="12">
        <v>0</v>
      </c>
      <c r="X59" s="12">
        <v>0</v>
      </c>
      <c r="Y59" s="12">
        <v>0</v>
      </c>
      <c r="Z59" s="12">
        <v>0</v>
      </c>
      <c r="AA59" s="12">
        <v>0</v>
      </c>
      <c r="AB59" s="12">
        <v>0</v>
      </c>
      <c r="AC59" s="12">
        <v>0</v>
      </c>
      <c r="AD59" s="12">
        <v>0</v>
      </c>
      <c r="AE59" s="12">
        <v>0</v>
      </c>
      <c r="AF59" s="12">
        <v>1</v>
      </c>
      <c r="AG59" s="12">
        <v>1</v>
      </c>
      <c r="AH59" s="12">
        <v>1</v>
      </c>
      <c r="AI59" s="12">
        <v>0</v>
      </c>
      <c r="AJ59" s="12">
        <v>0</v>
      </c>
    </row>
    <row r="60" spans="3:36">
      <c r="C60" s="277"/>
      <c r="D60" s="25" t="s">
        <v>11</v>
      </c>
      <c r="E60" s="19">
        <f t="shared" si="5"/>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0</v>
      </c>
      <c r="X60" s="12">
        <v>0</v>
      </c>
      <c r="Y60" s="12">
        <v>0</v>
      </c>
      <c r="Z60" s="12">
        <v>0</v>
      </c>
      <c r="AA60" s="12">
        <v>0</v>
      </c>
      <c r="AB60" s="12">
        <v>0</v>
      </c>
      <c r="AC60" s="12">
        <v>0</v>
      </c>
      <c r="AD60" s="12">
        <v>0</v>
      </c>
      <c r="AE60" s="12">
        <v>0</v>
      </c>
      <c r="AF60" s="12">
        <v>0</v>
      </c>
      <c r="AG60" s="12">
        <v>0</v>
      </c>
      <c r="AH60" s="12">
        <v>0</v>
      </c>
      <c r="AI60" s="12">
        <v>0</v>
      </c>
      <c r="AJ60" s="12">
        <v>0</v>
      </c>
    </row>
    <row r="61" spans="3:36">
      <c r="C61" s="277"/>
      <c r="D61" s="25" t="s">
        <v>17</v>
      </c>
      <c r="E61" s="19">
        <f t="shared" si="5"/>
        <v>30</v>
      </c>
      <c r="F61" s="13">
        <v>0</v>
      </c>
      <c r="G61" s="13">
        <v>0</v>
      </c>
      <c r="H61" s="13">
        <v>0</v>
      </c>
      <c r="I61" s="13">
        <v>5</v>
      </c>
      <c r="J61" s="13">
        <v>2</v>
      </c>
      <c r="K61" s="13">
        <v>0</v>
      </c>
      <c r="L61" s="13">
        <v>2</v>
      </c>
      <c r="M61" s="13">
        <v>0</v>
      </c>
      <c r="N61" s="13">
        <v>0</v>
      </c>
      <c r="O61" s="13">
        <v>0</v>
      </c>
      <c r="P61" s="13">
        <v>0</v>
      </c>
      <c r="Q61" s="13">
        <v>2</v>
      </c>
      <c r="R61" s="13">
        <v>0</v>
      </c>
      <c r="S61" s="13">
        <v>4</v>
      </c>
      <c r="T61" s="13">
        <v>1</v>
      </c>
      <c r="U61" s="13">
        <v>0</v>
      </c>
      <c r="V61" s="13">
        <v>0</v>
      </c>
      <c r="W61" s="13">
        <v>2</v>
      </c>
      <c r="X61" s="13">
        <v>2</v>
      </c>
      <c r="Y61" s="13">
        <v>0</v>
      </c>
      <c r="Z61" s="13">
        <v>2</v>
      </c>
      <c r="AA61" s="13">
        <v>1</v>
      </c>
      <c r="AB61" s="13">
        <v>0</v>
      </c>
      <c r="AC61" s="13">
        <v>0</v>
      </c>
      <c r="AD61" s="13">
        <v>0</v>
      </c>
      <c r="AE61" s="13">
        <v>0</v>
      </c>
      <c r="AF61" s="13">
        <v>3</v>
      </c>
      <c r="AG61" s="13">
        <v>0</v>
      </c>
      <c r="AH61" s="13">
        <v>4</v>
      </c>
      <c r="AI61" s="13">
        <v>0</v>
      </c>
      <c r="AJ61" s="13">
        <v>0</v>
      </c>
    </row>
    <row r="62" spans="3:36">
      <c r="Z62" s="1"/>
      <c r="AA62" s="1"/>
    </row>
    <row r="63" spans="3:36">
      <c r="Z63" s="1"/>
      <c r="AA63" s="1"/>
    </row>
  </sheetData>
  <mergeCells count="16">
    <mergeCell ref="C36:C43"/>
    <mergeCell ref="C45:C52"/>
    <mergeCell ref="C54:C61"/>
    <mergeCell ref="C11:D11"/>
    <mergeCell ref="C12:D12"/>
    <mergeCell ref="C13:D13"/>
    <mergeCell ref="C15:D15"/>
    <mergeCell ref="C18:C25"/>
    <mergeCell ref="C27:C34"/>
    <mergeCell ref="C10:D10"/>
    <mergeCell ref="C1:AJ1"/>
    <mergeCell ref="F4:AJ4"/>
    <mergeCell ref="C7:D7"/>
    <mergeCell ref="C8:D8"/>
    <mergeCell ref="C9:D9"/>
    <mergeCell ref="C4:D5"/>
  </mergeCells>
  <phoneticPr fontId="1" type="noConversion"/>
  <conditionalFormatting sqref="F6:AJ6">
    <cfRule type="cellIs" dxfId="1" priority="1" operator="equal">
      <formula>$I$1</formula>
    </cfRule>
  </conditionalFormatting>
  <pageMargins left="0.25" right="0.25" top="0.75" bottom="0.75" header="0.3" footer="0.3"/>
  <pageSetup paperSize="9" scale="73" fitToWidth="0"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C1:AJ64"/>
  <sheetViews>
    <sheetView workbookViewId="0">
      <pane xSplit="2" ySplit="6" topLeftCell="C7" activePane="bottomRight" state="frozen"/>
      <selection activeCell="A4" sqref="A4:A5"/>
      <selection pane="topRight" activeCell="A4" sqref="A4:A5"/>
      <selection pane="bottomLeft" activeCell="A4" sqref="A4:A5"/>
      <selection pane="bottomRight" activeCell="A4" sqref="A4:A5"/>
    </sheetView>
  </sheetViews>
  <sheetFormatPr defaultRowHeight="16.5"/>
  <cols>
    <col min="1" max="2" width="4.125" customWidth="1"/>
    <col min="3" max="3" width="5.5" customWidth="1"/>
    <col min="4" max="4" width="10.625" bestFit="1" customWidth="1"/>
    <col min="5" max="5" width="5.75" bestFit="1" customWidth="1"/>
    <col min="6" max="14" width="4.25" hidden="1" customWidth="1"/>
    <col min="15" max="35" width="4.25" customWidth="1"/>
    <col min="36" max="36" width="4.25" hidden="1" customWidth="1"/>
  </cols>
  <sheetData>
    <row r="1" spans="3:36" ht="17.25">
      <c r="C1" s="278" t="s">
        <v>24</v>
      </c>
      <c r="D1" s="278"/>
      <c r="E1" s="278"/>
      <c r="F1" s="278"/>
      <c r="G1" s="278"/>
      <c r="H1" s="278"/>
      <c r="I1" s="278"/>
      <c r="J1" s="278"/>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row>
    <row r="3" spans="3:36">
      <c r="C3" s="6" t="s">
        <v>16</v>
      </c>
    </row>
    <row r="4" spans="3:36">
      <c r="C4" s="281" t="s">
        <v>23</v>
      </c>
      <c r="D4" s="282"/>
      <c r="E4" s="24"/>
      <c r="F4" s="279" t="s">
        <v>22</v>
      </c>
      <c r="G4" s="279"/>
      <c r="H4" s="279"/>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row>
    <row r="5" spans="3:36">
      <c r="C5" s="283"/>
      <c r="D5" s="284"/>
      <c r="E5" s="24"/>
      <c r="F5" s="3">
        <v>1</v>
      </c>
      <c r="G5" s="3">
        <v>2</v>
      </c>
      <c r="H5" s="3">
        <v>3</v>
      </c>
      <c r="I5" s="3">
        <v>4</v>
      </c>
      <c r="J5" s="3">
        <v>5</v>
      </c>
      <c r="K5" s="3">
        <v>6</v>
      </c>
      <c r="L5" s="3">
        <v>7</v>
      </c>
      <c r="M5" s="3">
        <v>8</v>
      </c>
      <c r="N5" s="3">
        <v>9</v>
      </c>
      <c r="O5" s="3">
        <v>10</v>
      </c>
      <c r="P5" s="3">
        <v>11</v>
      </c>
      <c r="Q5" s="3">
        <v>12</v>
      </c>
      <c r="R5" s="3">
        <v>13</v>
      </c>
      <c r="S5" s="3">
        <v>14</v>
      </c>
      <c r="T5" s="3">
        <v>15</v>
      </c>
      <c r="U5" s="3">
        <v>16</v>
      </c>
      <c r="V5" s="3">
        <v>17</v>
      </c>
      <c r="W5" s="3">
        <v>18</v>
      </c>
      <c r="X5" s="3">
        <v>19</v>
      </c>
      <c r="Y5" s="3">
        <v>20</v>
      </c>
      <c r="Z5" s="3">
        <v>21</v>
      </c>
      <c r="AA5" s="3">
        <v>22</v>
      </c>
      <c r="AB5" s="3">
        <v>23</v>
      </c>
      <c r="AC5" s="3">
        <v>24</v>
      </c>
      <c r="AD5" s="3">
        <v>25</v>
      </c>
      <c r="AE5" s="3">
        <v>26</v>
      </c>
      <c r="AF5" s="3">
        <v>27</v>
      </c>
      <c r="AG5" s="3">
        <v>28</v>
      </c>
      <c r="AH5" s="3">
        <v>29</v>
      </c>
      <c r="AI5" s="3">
        <v>30</v>
      </c>
      <c r="AJ5" s="3">
        <v>31</v>
      </c>
    </row>
    <row r="6" spans="3:36" s="2" customFormat="1" ht="13.5" hidden="1">
      <c r="C6" s="9"/>
      <c r="D6" s="7"/>
      <c r="E6" s="7"/>
      <c r="F6" s="4">
        <v>43040</v>
      </c>
      <c r="G6" s="4">
        <v>43041</v>
      </c>
      <c r="H6" s="4">
        <v>43042</v>
      </c>
      <c r="I6" s="4">
        <v>43043</v>
      </c>
      <c r="J6" s="4">
        <v>43044</v>
      </c>
      <c r="K6" s="4">
        <v>43045</v>
      </c>
      <c r="L6" s="4">
        <v>43046</v>
      </c>
      <c r="M6" s="4">
        <v>43047</v>
      </c>
      <c r="N6" s="4">
        <v>43048</v>
      </c>
      <c r="O6" s="4">
        <v>43049</v>
      </c>
      <c r="P6" s="4">
        <v>43050</v>
      </c>
      <c r="Q6" s="4">
        <v>43051</v>
      </c>
      <c r="R6" s="4">
        <v>43052</v>
      </c>
      <c r="S6" s="4">
        <v>43053</v>
      </c>
      <c r="T6" s="4">
        <v>43054</v>
      </c>
      <c r="U6" s="4">
        <v>43055</v>
      </c>
      <c r="V6" s="4">
        <v>43056</v>
      </c>
      <c r="W6" s="4">
        <v>43057</v>
      </c>
      <c r="X6" s="4">
        <v>43058</v>
      </c>
      <c r="Y6" s="4">
        <v>43059</v>
      </c>
      <c r="Z6" s="4">
        <v>43060</v>
      </c>
      <c r="AA6" s="4">
        <v>43061</v>
      </c>
      <c r="AB6" s="4">
        <v>43062</v>
      </c>
      <c r="AC6" s="4">
        <v>43063</v>
      </c>
      <c r="AD6" s="4">
        <v>43064</v>
      </c>
      <c r="AE6" s="4">
        <v>43065</v>
      </c>
      <c r="AF6" s="4">
        <v>43066</v>
      </c>
      <c r="AG6" s="4">
        <v>43067</v>
      </c>
      <c r="AH6" s="4">
        <v>43068</v>
      </c>
      <c r="AI6" s="4">
        <v>43069</v>
      </c>
      <c r="AJ6" s="4">
        <v>0</v>
      </c>
    </row>
    <row r="7" spans="3:36">
      <c r="C7" s="280" t="s">
        <v>13</v>
      </c>
      <c r="D7" s="280"/>
      <c r="E7" s="5" t="e">
        <f t="shared" ref="E7:E13" si="0">SUM(F7:AJ7)</f>
        <v>#REF!</v>
      </c>
      <c r="F7" s="15" t="e">
        <f>COUNTIFS(#REF!,'2017-11월 통계'!F$6)</f>
        <v>#REF!</v>
      </c>
      <c r="G7" s="15" t="e">
        <f>COUNTIFS(#REF!,'2017-11월 통계'!G$6)</f>
        <v>#REF!</v>
      </c>
      <c r="H7" s="15" t="e">
        <f>COUNTIFS(#REF!,'2017-11월 통계'!H$6)</f>
        <v>#REF!</v>
      </c>
      <c r="I7" s="15" t="e">
        <f>COUNTIFS(#REF!,'2017-11월 통계'!I$6)</f>
        <v>#REF!</v>
      </c>
      <c r="J7" s="15" t="e">
        <f>COUNTIFS(#REF!,'2017-11월 통계'!J$6)</f>
        <v>#REF!</v>
      </c>
      <c r="K7" s="15" t="e">
        <f>COUNTIFS(#REF!,'2017-11월 통계'!K$6)</f>
        <v>#REF!</v>
      </c>
      <c r="L7" s="15" t="e">
        <f>COUNTIFS(#REF!,'2017-11월 통계'!L$6)</f>
        <v>#REF!</v>
      </c>
      <c r="M7" s="15" t="e">
        <f>COUNTIFS(#REF!,'2017-11월 통계'!M$6)</f>
        <v>#REF!</v>
      </c>
      <c r="N7" s="15" t="e">
        <f>COUNTIFS(#REF!,'2017-11월 통계'!N$6)</f>
        <v>#REF!</v>
      </c>
      <c r="O7" s="15">
        <v>0</v>
      </c>
      <c r="P7" s="15">
        <v>0</v>
      </c>
      <c r="Q7" s="15">
        <v>0</v>
      </c>
      <c r="R7" s="15">
        <v>0</v>
      </c>
      <c r="S7" s="15">
        <v>0</v>
      </c>
      <c r="T7" s="15">
        <v>0</v>
      </c>
      <c r="U7" s="15">
        <v>0</v>
      </c>
      <c r="V7" s="15">
        <v>10</v>
      </c>
      <c r="W7" s="15">
        <v>6</v>
      </c>
      <c r="X7" s="15">
        <v>0</v>
      </c>
      <c r="Y7" s="15">
        <v>14</v>
      </c>
      <c r="Z7" s="15">
        <v>13</v>
      </c>
      <c r="AA7" s="15">
        <v>19</v>
      </c>
      <c r="AB7" s="15">
        <v>28</v>
      </c>
      <c r="AC7" s="15">
        <v>33</v>
      </c>
      <c r="AD7" s="15">
        <v>10</v>
      </c>
      <c r="AE7" s="15">
        <v>0</v>
      </c>
      <c r="AF7" s="15">
        <v>41</v>
      </c>
      <c r="AG7" s="15">
        <v>52</v>
      </c>
      <c r="AH7" s="15">
        <v>69</v>
      </c>
      <c r="AI7" s="15">
        <v>93</v>
      </c>
      <c r="AJ7" s="15" t="e">
        <f>COUNTIFS(#REF!,'2017-11월 통계'!AJ$6)</f>
        <v>#REF!</v>
      </c>
    </row>
    <row r="8" spans="3:36">
      <c r="C8" s="277" t="s">
        <v>2</v>
      </c>
      <c r="D8" s="277"/>
      <c r="E8" s="5" t="e">
        <f t="shared" si="0"/>
        <v>#REF!</v>
      </c>
      <c r="F8" s="16" t="e">
        <f>COUNTIFS(#REF!,'2017-11월 통계'!F$6,#REF!,'2017-11월 통계'!$C8)</f>
        <v>#REF!</v>
      </c>
      <c r="G8" s="16" t="e">
        <f>COUNTIFS(#REF!,'2017-11월 통계'!G$6,#REF!,'2017-11월 통계'!$C8)</f>
        <v>#REF!</v>
      </c>
      <c r="H8" s="16" t="e">
        <f>COUNTIFS(#REF!,'2017-11월 통계'!H$6,#REF!,'2017-11월 통계'!$C8)</f>
        <v>#REF!</v>
      </c>
      <c r="I8" s="16" t="e">
        <f>COUNTIFS(#REF!,'2017-11월 통계'!I$6,#REF!,'2017-11월 통계'!$C8)</f>
        <v>#REF!</v>
      </c>
      <c r="J8" s="16" t="e">
        <f>COUNTIFS(#REF!,'2017-11월 통계'!J$6,#REF!,'2017-11월 통계'!$C8)</f>
        <v>#REF!</v>
      </c>
      <c r="K8" s="16" t="e">
        <f>COUNTIFS(#REF!,'2017-11월 통계'!K$6,#REF!,'2017-11월 통계'!$C8)</f>
        <v>#REF!</v>
      </c>
      <c r="L8" s="16" t="e">
        <f>COUNTIFS(#REF!,'2017-11월 통계'!L$6,#REF!,'2017-11월 통계'!$C8)</f>
        <v>#REF!</v>
      </c>
      <c r="M8" s="16" t="e">
        <f>COUNTIFS(#REF!,'2017-11월 통계'!M$6,#REF!,'2017-11월 통계'!$C8)</f>
        <v>#REF!</v>
      </c>
      <c r="N8" s="16" t="e">
        <f>COUNTIFS(#REF!,'2017-11월 통계'!N$6,#REF!,'2017-11월 통계'!$C8)</f>
        <v>#REF!</v>
      </c>
      <c r="O8" s="16">
        <v>0</v>
      </c>
      <c r="P8" s="16">
        <v>0</v>
      </c>
      <c r="Q8" s="16">
        <v>0</v>
      </c>
      <c r="R8" s="16">
        <v>0</v>
      </c>
      <c r="S8" s="16">
        <v>0</v>
      </c>
      <c r="T8" s="16">
        <v>0</v>
      </c>
      <c r="U8" s="16">
        <v>0</v>
      </c>
      <c r="V8" s="16">
        <v>3</v>
      </c>
      <c r="W8" s="16">
        <v>1</v>
      </c>
      <c r="X8" s="16">
        <v>0</v>
      </c>
      <c r="Y8" s="16">
        <v>4</v>
      </c>
      <c r="Z8" s="16">
        <v>3</v>
      </c>
      <c r="AA8" s="16">
        <v>5</v>
      </c>
      <c r="AB8" s="16">
        <v>9</v>
      </c>
      <c r="AC8" s="16">
        <v>7</v>
      </c>
      <c r="AD8" s="16">
        <v>2</v>
      </c>
      <c r="AE8" s="16">
        <v>0</v>
      </c>
      <c r="AF8" s="16">
        <v>9</v>
      </c>
      <c r="AG8" s="16">
        <v>8</v>
      </c>
      <c r="AH8" s="16">
        <v>15</v>
      </c>
      <c r="AI8" s="16">
        <v>10</v>
      </c>
      <c r="AJ8" s="16" t="e">
        <f>COUNTIFS(#REF!,'2017-11월 통계'!AJ$6,#REF!,'2017-11월 통계'!$C8)</f>
        <v>#REF!</v>
      </c>
    </row>
    <row r="9" spans="3:36">
      <c r="C9" s="277" t="s">
        <v>7</v>
      </c>
      <c r="D9" s="277"/>
      <c r="E9" s="5" t="e">
        <f t="shared" si="0"/>
        <v>#REF!</v>
      </c>
      <c r="F9" s="16" t="e">
        <f>COUNTIFS(#REF!,'2017-11월 통계'!F$6,#REF!,'2017-11월 통계'!$C9)</f>
        <v>#REF!</v>
      </c>
      <c r="G9" s="16" t="e">
        <f>COUNTIFS(#REF!,'2017-11월 통계'!G$6,#REF!,'2017-11월 통계'!$C9)</f>
        <v>#REF!</v>
      </c>
      <c r="H9" s="16" t="e">
        <f>COUNTIFS(#REF!,'2017-11월 통계'!H$6,#REF!,'2017-11월 통계'!$C9)</f>
        <v>#REF!</v>
      </c>
      <c r="I9" s="16" t="e">
        <f>COUNTIFS(#REF!,'2017-11월 통계'!I$6,#REF!,'2017-11월 통계'!$C9)</f>
        <v>#REF!</v>
      </c>
      <c r="J9" s="16" t="e">
        <f>COUNTIFS(#REF!,'2017-11월 통계'!J$6,#REF!,'2017-11월 통계'!$C9)</f>
        <v>#REF!</v>
      </c>
      <c r="K9" s="16" t="e">
        <f>COUNTIFS(#REF!,'2017-11월 통계'!K$6,#REF!,'2017-11월 통계'!$C9)</f>
        <v>#REF!</v>
      </c>
      <c r="L9" s="16" t="e">
        <f>COUNTIFS(#REF!,'2017-11월 통계'!L$6,#REF!,'2017-11월 통계'!$C9)</f>
        <v>#REF!</v>
      </c>
      <c r="M9" s="16" t="e">
        <f>COUNTIFS(#REF!,'2017-11월 통계'!M$6,#REF!,'2017-11월 통계'!$C9)</f>
        <v>#REF!</v>
      </c>
      <c r="N9" s="16" t="e">
        <f>COUNTIFS(#REF!,'2017-11월 통계'!N$6,#REF!,'2017-11월 통계'!$C9)</f>
        <v>#REF!</v>
      </c>
      <c r="O9" s="16">
        <v>0</v>
      </c>
      <c r="P9" s="16">
        <v>0</v>
      </c>
      <c r="Q9" s="16">
        <v>0</v>
      </c>
      <c r="R9" s="16">
        <v>0</v>
      </c>
      <c r="S9" s="16">
        <v>0</v>
      </c>
      <c r="T9" s="16">
        <v>0</v>
      </c>
      <c r="U9" s="16">
        <v>0</v>
      </c>
      <c r="V9" s="16">
        <v>3</v>
      </c>
      <c r="W9" s="16">
        <v>3</v>
      </c>
      <c r="X9" s="16">
        <v>0</v>
      </c>
      <c r="Y9" s="16">
        <v>1</v>
      </c>
      <c r="Z9" s="16">
        <v>1</v>
      </c>
      <c r="AA9" s="16">
        <v>3</v>
      </c>
      <c r="AB9" s="16">
        <v>0</v>
      </c>
      <c r="AC9" s="16">
        <v>2</v>
      </c>
      <c r="AD9" s="16">
        <v>1</v>
      </c>
      <c r="AE9" s="16">
        <v>0</v>
      </c>
      <c r="AF9" s="16">
        <v>3</v>
      </c>
      <c r="AG9" s="16">
        <v>5</v>
      </c>
      <c r="AH9" s="16">
        <v>4</v>
      </c>
      <c r="AI9" s="16">
        <v>14</v>
      </c>
      <c r="AJ9" s="16" t="e">
        <f>COUNTIFS(#REF!,'2017-11월 통계'!AJ$6,#REF!,'2017-11월 통계'!$C9)</f>
        <v>#REF!</v>
      </c>
    </row>
    <row r="10" spans="3:36">
      <c r="C10" s="277" t="s">
        <v>3</v>
      </c>
      <c r="D10" s="277"/>
      <c r="E10" s="5" t="e">
        <f t="shared" si="0"/>
        <v>#REF!</v>
      </c>
      <c r="F10" s="16" t="e">
        <f>COUNTIFS(#REF!,'2017-11월 통계'!F$6,#REF!,'2017-11월 통계'!$C10)</f>
        <v>#REF!</v>
      </c>
      <c r="G10" s="16" t="e">
        <f>COUNTIFS(#REF!,'2017-11월 통계'!G$6,#REF!,'2017-11월 통계'!$C10)</f>
        <v>#REF!</v>
      </c>
      <c r="H10" s="16" t="e">
        <f>COUNTIFS(#REF!,'2017-11월 통계'!H$6,#REF!,'2017-11월 통계'!$C10)</f>
        <v>#REF!</v>
      </c>
      <c r="I10" s="16" t="e">
        <f>COUNTIFS(#REF!,'2017-11월 통계'!I$6,#REF!,'2017-11월 통계'!$C10)</f>
        <v>#REF!</v>
      </c>
      <c r="J10" s="16" t="e">
        <f>COUNTIFS(#REF!,'2017-11월 통계'!J$6,#REF!,'2017-11월 통계'!$C10)</f>
        <v>#REF!</v>
      </c>
      <c r="K10" s="16" t="e">
        <f>COUNTIFS(#REF!,'2017-11월 통계'!K$6,#REF!,'2017-11월 통계'!$C10)</f>
        <v>#REF!</v>
      </c>
      <c r="L10" s="16" t="e">
        <f>COUNTIFS(#REF!,'2017-11월 통계'!L$6,#REF!,'2017-11월 통계'!$C10)</f>
        <v>#REF!</v>
      </c>
      <c r="M10" s="16" t="e">
        <f>COUNTIFS(#REF!,'2017-11월 통계'!M$6,#REF!,'2017-11월 통계'!$C10)</f>
        <v>#REF!</v>
      </c>
      <c r="N10" s="16" t="e">
        <f>COUNTIFS(#REF!,'2017-11월 통계'!N$6,#REF!,'2017-11월 통계'!$C10)</f>
        <v>#REF!</v>
      </c>
      <c r="O10" s="16">
        <v>0</v>
      </c>
      <c r="P10" s="16">
        <v>0</v>
      </c>
      <c r="Q10" s="16">
        <v>0</v>
      </c>
      <c r="R10" s="16">
        <v>0</v>
      </c>
      <c r="S10" s="16">
        <v>0</v>
      </c>
      <c r="T10" s="16">
        <v>0</v>
      </c>
      <c r="U10" s="16">
        <v>0</v>
      </c>
      <c r="V10" s="16">
        <v>2</v>
      </c>
      <c r="W10" s="16">
        <v>0</v>
      </c>
      <c r="X10" s="16">
        <v>0</v>
      </c>
      <c r="Y10" s="16">
        <v>1</v>
      </c>
      <c r="Z10" s="16">
        <v>7</v>
      </c>
      <c r="AA10" s="16">
        <v>3</v>
      </c>
      <c r="AB10" s="16">
        <v>1</v>
      </c>
      <c r="AC10" s="16">
        <v>7</v>
      </c>
      <c r="AD10" s="16">
        <v>1</v>
      </c>
      <c r="AE10" s="16">
        <v>0</v>
      </c>
      <c r="AF10" s="16">
        <v>6</v>
      </c>
      <c r="AG10" s="16">
        <v>15</v>
      </c>
      <c r="AH10" s="16">
        <v>19</v>
      </c>
      <c r="AI10" s="16">
        <v>25</v>
      </c>
      <c r="AJ10" s="16" t="e">
        <f>COUNTIFS(#REF!,'2017-11월 통계'!AJ$6,#REF!,'2017-11월 통계'!$C10)</f>
        <v>#REF!</v>
      </c>
    </row>
    <row r="11" spans="3:36">
      <c r="C11" s="277" t="s">
        <v>18</v>
      </c>
      <c r="D11" s="277"/>
      <c r="E11" s="5" t="e">
        <f t="shared" si="0"/>
        <v>#REF!</v>
      </c>
      <c r="F11" s="16" t="e">
        <f>COUNTIFS(#REF!,'2017-11월 통계'!F$6,#REF!,'2017-11월 통계'!$C11)</f>
        <v>#REF!</v>
      </c>
      <c r="G11" s="16" t="e">
        <f>COUNTIFS(#REF!,'2017-11월 통계'!G$6,#REF!,'2017-11월 통계'!$C11)</f>
        <v>#REF!</v>
      </c>
      <c r="H11" s="16" t="e">
        <f>COUNTIFS(#REF!,'2017-11월 통계'!H$6,#REF!,'2017-11월 통계'!$C11)</f>
        <v>#REF!</v>
      </c>
      <c r="I11" s="16" t="e">
        <f>COUNTIFS(#REF!,'2017-11월 통계'!I$6,#REF!,'2017-11월 통계'!$C11)</f>
        <v>#REF!</v>
      </c>
      <c r="J11" s="16" t="e">
        <f>COUNTIFS(#REF!,'2017-11월 통계'!J$6,#REF!,'2017-11월 통계'!$C11)</f>
        <v>#REF!</v>
      </c>
      <c r="K11" s="16" t="e">
        <f>COUNTIFS(#REF!,'2017-11월 통계'!K$6,#REF!,'2017-11월 통계'!$C11)</f>
        <v>#REF!</v>
      </c>
      <c r="L11" s="16" t="e">
        <f>COUNTIFS(#REF!,'2017-11월 통계'!L$6,#REF!,'2017-11월 통계'!$C11)</f>
        <v>#REF!</v>
      </c>
      <c r="M11" s="16" t="e">
        <f>COUNTIFS(#REF!,'2017-11월 통계'!M$6,#REF!,'2017-11월 통계'!$C11)</f>
        <v>#REF!</v>
      </c>
      <c r="N11" s="16" t="e">
        <f>COUNTIFS(#REF!,'2017-11월 통계'!N$6,#REF!,'2017-11월 통계'!$C11)</f>
        <v>#REF!</v>
      </c>
      <c r="O11" s="16">
        <v>0</v>
      </c>
      <c r="P11" s="16">
        <v>0</v>
      </c>
      <c r="Q11" s="16">
        <v>0</v>
      </c>
      <c r="R11" s="16">
        <v>0</v>
      </c>
      <c r="S11" s="16">
        <v>0</v>
      </c>
      <c r="T11" s="16">
        <v>0</v>
      </c>
      <c r="U11" s="16">
        <v>0</v>
      </c>
      <c r="V11" s="16">
        <v>2</v>
      </c>
      <c r="W11" s="16">
        <v>2</v>
      </c>
      <c r="X11" s="16">
        <v>0</v>
      </c>
      <c r="Y11" s="16">
        <v>2</v>
      </c>
      <c r="Z11" s="16">
        <v>1</v>
      </c>
      <c r="AA11" s="16">
        <v>4</v>
      </c>
      <c r="AB11" s="16">
        <v>11</v>
      </c>
      <c r="AC11" s="16">
        <v>5</v>
      </c>
      <c r="AD11" s="16">
        <v>3</v>
      </c>
      <c r="AE11" s="16">
        <v>0</v>
      </c>
      <c r="AF11" s="16">
        <v>4</v>
      </c>
      <c r="AG11" s="16">
        <v>8</v>
      </c>
      <c r="AH11" s="16">
        <v>18</v>
      </c>
      <c r="AI11" s="16">
        <v>14</v>
      </c>
      <c r="AJ11" s="16" t="e">
        <f>COUNTIFS(#REF!,'2017-11월 통계'!AJ$6,#REF!,'2017-11월 통계'!$C11)</f>
        <v>#REF!</v>
      </c>
    </row>
    <row r="12" spans="3:36">
      <c r="C12" s="277" t="s">
        <v>6</v>
      </c>
      <c r="D12" s="277"/>
      <c r="E12" s="5" t="e">
        <f t="shared" si="0"/>
        <v>#REF!</v>
      </c>
      <c r="F12" s="16" t="e">
        <f>COUNTIFS(#REF!,'2017-11월 통계'!F$6,#REF!,'2017-11월 통계'!$C12)</f>
        <v>#REF!</v>
      </c>
      <c r="G12" s="16" t="e">
        <f>COUNTIFS(#REF!,'2017-11월 통계'!G$6,#REF!,'2017-11월 통계'!$C12)</f>
        <v>#REF!</v>
      </c>
      <c r="H12" s="16" t="e">
        <f>COUNTIFS(#REF!,'2017-11월 통계'!H$6,#REF!,'2017-11월 통계'!$C12)</f>
        <v>#REF!</v>
      </c>
      <c r="I12" s="16" t="e">
        <f>COUNTIFS(#REF!,'2017-11월 통계'!I$6,#REF!,'2017-11월 통계'!$C12)</f>
        <v>#REF!</v>
      </c>
      <c r="J12" s="16" t="e">
        <f>COUNTIFS(#REF!,'2017-11월 통계'!J$6,#REF!,'2017-11월 통계'!$C12)</f>
        <v>#REF!</v>
      </c>
      <c r="K12" s="16" t="e">
        <f>COUNTIFS(#REF!,'2017-11월 통계'!K$6,#REF!,'2017-11월 통계'!$C12)</f>
        <v>#REF!</v>
      </c>
      <c r="L12" s="16" t="e">
        <f>COUNTIFS(#REF!,'2017-11월 통계'!L$6,#REF!,'2017-11월 통계'!$C12)</f>
        <v>#REF!</v>
      </c>
      <c r="M12" s="16" t="e">
        <f>COUNTIFS(#REF!,'2017-11월 통계'!M$6,#REF!,'2017-11월 통계'!$C12)</f>
        <v>#REF!</v>
      </c>
      <c r="N12" s="16" t="e">
        <f>COUNTIFS(#REF!,'2017-11월 통계'!N$6,#REF!,'2017-11월 통계'!$C12)</f>
        <v>#REF!</v>
      </c>
      <c r="O12" s="16">
        <v>0</v>
      </c>
      <c r="P12" s="16">
        <v>0</v>
      </c>
      <c r="Q12" s="16">
        <v>0</v>
      </c>
      <c r="R12" s="16">
        <v>0</v>
      </c>
      <c r="S12" s="16">
        <v>0</v>
      </c>
      <c r="T12" s="16">
        <v>0</v>
      </c>
      <c r="U12" s="16">
        <v>0</v>
      </c>
      <c r="V12" s="16">
        <v>0</v>
      </c>
      <c r="W12" s="16">
        <v>0</v>
      </c>
      <c r="X12" s="16">
        <v>0</v>
      </c>
      <c r="Y12" s="16">
        <v>4</v>
      </c>
      <c r="Z12" s="16">
        <v>1</v>
      </c>
      <c r="AA12" s="16">
        <v>4</v>
      </c>
      <c r="AB12" s="16">
        <v>4</v>
      </c>
      <c r="AC12" s="16">
        <v>5</v>
      </c>
      <c r="AD12" s="16">
        <v>0</v>
      </c>
      <c r="AE12" s="16">
        <v>0</v>
      </c>
      <c r="AF12" s="16">
        <v>4</v>
      </c>
      <c r="AG12" s="16">
        <v>5</v>
      </c>
      <c r="AH12" s="16">
        <v>9</v>
      </c>
      <c r="AI12" s="16">
        <v>19</v>
      </c>
      <c r="AJ12" s="16" t="e">
        <f>COUNTIFS(#REF!,'2017-11월 통계'!AJ$6,#REF!,'2017-11월 통계'!$C12)</f>
        <v>#REF!</v>
      </c>
    </row>
    <row r="13" spans="3:36">
      <c r="C13" s="277" t="s">
        <v>12</v>
      </c>
      <c r="D13" s="277"/>
      <c r="E13" s="5" t="e">
        <f t="shared" si="0"/>
        <v>#REF!</v>
      </c>
      <c r="F13" s="17" t="e">
        <f t="shared" ref="F13:N13" si="1">F7-(SUM(F8:F12))</f>
        <v>#REF!</v>
      </c>
      <c r="G13" s="17" t="e">
        <f t="shared" si="1"/>
        <v>#REF!</v>
      </c>
      <c r="H13" s="17" t="e">
        <f t="shared" si="1"/>
        <v>#REF!</v>
      </c>
      <c r="I13" s="17" t="e">
        <f t="shared" si="1"/>
        <v>#REF!</v>
      </c>
      <c r="J13" s="17" t="e">
        <f t="shared" si="1"/>
        <v>#REF!</v>
      </c>
      <c r="K13" s="17" t="e">
        <f t="shared" si="1"/>
        <v>#REF!</v>
      </c>
      <c r="L13" s="17" t="e">
        <f t="shared" si="1"/>
        <v>#REF!</v>
      </c>
      <c r="M13" s="17" t="e">
        <f t="shared" si="1"/>
        <v>#REF!</v>
      </c>
      <c r="N13" s="17" t="e">
        <f t="shared" si="1"/>
        <v>#REF!</v>
      </c>
      <c r="O13" s="17">
        <v>0</v>
      </c>
      <c r="P13" s="17">
        <v>0</v>
      </c>
      <c r="Q13" s="17">
        <v>0</v>
      </c>
      <c r="R13" s="17">
        <v>0</v>
      </c>
      <c r="S13" s="17">
        <v>0</v>
      </c>
      <c r="T13" s="17">
        <v>0</v>
      </c>
      <c r="U13" s="17">
        <v>0</v>
      </c>
      <c r="V13" s="17">
        <v>0</v>
      </c>
      <c r="W13" s="17">
        <v>0</v>
      </c>
      <c r="X13" s="17">
        <v>0</v>
      </c>
      <c r="Y13" s="17">
        <v>2</v>
      </c>
      <c r="Z13" s="17">
        <v>0</v>
      </c>
      <c r="AA13" s="17">
        <v>0</v>
      </c>
      <c r="AB13" s="17">
        <v>3</v>
      </c>
      <c r="AC13" s="17">
        <v>7</v>
      </c>
      <c r="AD13" s="17">
        <v>3</v>
      </c>
      <c r="AE13" s="17">
        <v>0</v>
      </c>
      <c r="AF13" s="17">
        <v>15</v>
      </c>
      <c r="AG13" s="17">
        <v>11</v>
      </c>
      <c r="AH13" s="17">
        <v>4</v>
      </c>
      <c r="AI13" s="17">
        <v>11</v>
      </c>
      <c r="AJ13" s="17" t="e">
        <f>AJ7-(SUM(AJ8:AJ12))</f>
        <v>#REF!</v>
      </c>
    </row>
    <row r="14" spans="3:36" ht="6" customHeight="1">
      <c r="E14" s="18"/>
    </row>
    <row r="15" spans="3:36" s="6" customFormat="1" ht="16.5" customHeight="1">
      <c r="C15" s="289" t="s">
        <v>14</v>
      </c>
      <c r="D15" s="289"/>
      <c r="E15" s="8">
        <f>SUM(F15:AJ15)</f>
        <v>503</v>
      </c>
      <c r="F15" s="14"/>
      <c r="G15" s="14"/>
      <c r="H15" s="14"/>
      <c r="I15" s="14"/>
      <c r="J15" s="14"/>
      <c r="K15" s="14"/>
      <c r="L15" s="14"/>
      <c r="M15" s="14"/>
      <c r="N15" s="14"/>
      <c r="O15" s="14"/>
      <c r="P15" s="14"/>
      <c r="Q15" s="14"/>
      <c r="R15" s="14"/>
      <c r="S15" s="14"/>
      <c r="T15" s="14"/>
      <c r="U15" s="14"/>
      <c r="V15" s="14">
        <v>18</v>
      </c>
      <c r="W15" s="14">
        <v>10</v>
      </c>
      <c r="X15" s="14"/>
      <c r="Y15" s="14">
        <v>18</v>
      </c>
      <c r="Z15" s="14">
        <v>16</v>
      </c>
      <c r="AA15" s="14">
        <v>25</v>
      </c>
      <c r="AB15" s="14">
        <v>44</v>
      </c>
      <c r="AC15" s="14">
        <v>49</v>
      </c>
      <c r="AD15" s="14">
        <v>26</v>
      </c>
      <c r="AE15" s="14"/>
      <c r="AF15" s="14">
        <v>52</v>
      </c>
      <c r="AG15" s="14">
        <v>60</v>
      </c>
      <c r="AH15" s="14">
        <v>77</v>
      </c>
      <c r="AI15" s="14">
        <v>108</v>
      </c>
      <c r="AJ15" s="14"/>
    </row>
    <row r="16" spans="3:36">
      <c r="E16" s="18"/>
    </row>
    <row r="17" spans="3:36">
      <c r="C17" s="6" t="s">
        <v>21</v>
      </c>
      <c r="E17" s="18"/>
    </row>
    <row r="18" spans="3:36">
      <c r="C18" s="287" t="s">
        <v>2</v>
      </c>
      <c r="D18" s="10" t="s">
        <v>20</v>
      </c>
      <c r="E18" s="19" t="e">
        <f t="shared" ref="E18:E25" si="2">SUM(F18:AJ18)</f>
        <v>#REF!</v>
      </c>
      <c r="F18" s="11" t="e">
        <f>COUNTIFS(#REF!,'2017-11월 통계'!F$6,#REF!,'2017-11월 통계'!$C$18,#REF!,'2017-11월 통계'!$D18)</f>
        <v>#REF!</v>
      </c>
      <c r="G18" s="11" t="e">
        <f>COUNTIFS(#REF!,'2017-11월 통계'!G$6,#REF!,'2017-11월 통계'!$C$18,#REF!,'2017-11월 통계'!$D18)</f>
        <v>#REF!</v>
      </c>
      <c r="H18" s="11" t="e">
        <f>COUNTIFS(#REF!,'2017-11월 통계'!H$6,#REF!,'2017-11월 통계'!$C$18,#REF!,'2017-11월 통계'!$D18)</f>
        <v>#REF!</v>
      </c>
      <c r="I18" s="11" t="e">
        <f>COUNTIFS(#REF!,'2017-11월 통계'!I$6,#REF!,'2017-11월 통계'!$C$18,#REF!,'2017-11월 통계'!$D18)</f>
        <v>#REF!</v>
      </c>
      <c r="J18" s="11" t="e">
        <f>COUNTIFS(#REF!,'2017-11월 통계'!J$6,#REF!,'2017-11월 통계'!$C$18,#REF!,'2017-11월 통계'!$D18)</f>
        <v>#REF!</v>
      </c>
      <c r="K18" s="11" t="e">
        <f>COUNTIFS(#REF!,'2017-11월 통계'!K$6,#REF!,'2017-11월 통계'!$C$18,#REF!,'2017-11월 통계'!$D18)</f>
        <v>#REF!</v>
      </c>
      <c r="L18" s="11" t="e">
        <f>COUNTIFS(#REF!,'2017-11월 통계'!L$6,#REF!,'2017-11월 통계'!$C$18,#REF!,'2017-11월 통계'!$D18)</f>
        <v>#REF!</v>
      </c>
      <c r="M18" s="11" t="e">
        <f>COUNTIFS(#REF!,'2017-11월 통계'!M$6,#REF!,'2017-11월 통계'!$C$18,#REF!,'2017-11월 통계'!$D18)</f>
        <v>#REF!</v>
      </c>
      <c r="N18" s="11" t="e">
        <f>COUNTIFS(#REF!,'2017-11월 통계'!N$6,#REF!,'2017-11월 통계'!$C$18,#REF!,'2017-11월 통계'!$D18)</f>
        <v>#REF!</v>
      </c>
      <c r="O18" s="11">
        <v>0</v>
      </c>
      <c r="P18" s="11">
        <v>0</v>
      </c>
      <c r="Q18" s="11">
        <v>0</v>
      </c>
      <c r="R18" s="11">
        <v>0</v>
      </c>
      <c r="S18" s="11">
        <v>0</v>
      </c>
      <c r="T18" s="11">
        <v>0</v>
      </c>
      <c r="U18" s="11">
        <v>0</v>
      </c>
      <c r="V18" s="11">
        <v>0</v>
      </c>
      <c r="W18" s="11">
        <v>0</v>
      </c>
      <c r="X18" s="11">
        <v>0</v>
      </c>
      <c r="Y18" s="11">
        <v>0</v>
      </c>
      <c r="Z18" s="11">
        <v>2</v>
      </c>
      <c r="AA18" s="11">
        <v>0</v>
      </c>
      <c r="AB18" s="11">
        <v>2</v>
      </c>
      <c r="AC18" s="11">
        <v>0</v>
      </c>
      <c r="AD18" s="11">
        <v>0</v>
      </c>
      <c r="AE18" s="11">
        <v>0</v>
      </c>
      <c r="AF18" s="11">
        <v>1</v>
      </c>
      <c r="AG18" s="11">
        <v>1</v>
      </c>
      <c r="AH18" s="11">
        <v>2</v>
      </c>
      <c r="AI18" s="11">
        <v>2</v>
      </c>
      <c r="AJ18" s="11" t="e">
        <f>COUNTIFS(#REF!,'2017-11월 통계'!AJ$6,#REF!,'2017-11월 통계'!$C$18,#REF!,'2017-11월 통계'!$D18)</f>
        <v>#REF!</v>
      </c>
    </row>
    <row r="19" spans="3:36">
      <c r="C19" s="288"/>
      <c r="D19" s="7" t="s">
        <v>8</v>
      </c>
      <c r="E19" s="19" t="e">
        <f t="shared" si="2"/>
        <v>#REF!</v>
      </c>
      <c r="F19" s="12" t="e">
        <f>COUNTIFS(#REF!,'2017-11월 통계'!F$6,#REF!,'2017-11월 통계'!$C$18,#REF!,'2017-11월 통계'!$D19)</f>
        <v>#REF!</v>
      </c>
      <c r="G19" s="12" t="e">
        <f>COUNTIFS(#REF!,'2017-11월 통계'!G$6,#REF!,'2017-11월 통계'!$C$18,#REF!,'2017-11월 통계'!$D19)</f>
        <v>#REF!</v>
      </c>
      <c r="H19" s="12" t="e">
        <f>COUNTIFS(#REF!,'2017-11월 통계'!H$6,#REF!,'2017-11월 통계'!$C$18,#REF!,'2017-11월 통계'!$D19)</f>
        <v>#REF!</v>
      </c>
      <c r="I19" s="12" t="e">
        <f>COUNTIFS(#REF!,'2017-11월 통계'!I$6,#REF!,'2017-11월 통계'!$C$18,#REF!,'2017-11월 통계'!$D19)</f>
        <v>#REF!</v>
      </c>
      <c r="J19" s="12" t="e">
        <f>COUNTIFS(#REF!,'2017-11월 통계'!J$6,#REF!,'2017-11월 통계'!$C$18,#REF!,'2017-11월 통계'!$D19)</f>
        <v>#REF!</v>
      </c>
      <c r="K19" s="12" t="e">
        <f>COUNTIFS(#REF!,'2017-11월 통계'!K$6,#REF!,'2017-11월 통계'!$C$18,#REF!,'2017-11월 통계'!$D19)</f>
        <v>#REF!</v>
      </c>
      <c r="L19" s="12" t="e">
        <f>COUNTIFS(#REF!,'2017-11월 통계'!L$6,#REF!,'2017-11월 통계'!$C$18,#REF!,'2017-11월 통계'!$D19)</f>
        <v>#REF!</v>
      </c>
      <c r="M19" s="12" t="e">
        <f>COUNTIFS(#REF!,'2017-11월 통계'!M$6,#REF!,'2017-11월 통계'!$C$18,#REF!,'2017-11월 통계'!$D19)</f>
        <v>#REF!</v>
      </c>
      <c r="N19" s="12" t="e">
        <f>COUNTIFS(#REF!,'2017-11월 통계'!N$6,#REF!,'2017-11월 통계'!$C$18,#REF!,'2017-11월 통계'!$D19)</f>
        <v>#REF!</v>
      </c>
      <c r="O19" s="12">
        <v>0</v>
      </c>
      <c r="P19" s="12">
        <v>0</v>
      </c>
      <c r="Q19" s="12">
        <v>0</v>
      </c>
      <c r="R19" s="12">
        <v>0</v>
      </c>
      <c r="S19" s="12">
        <v>0</v>
      </c>
      <c r="T19" s="12">
        <v>0</v>
      </c>
      <c r="U19" s="12">
        <v>0</v>
      </c>
      <c r="V19" s="12">
        <v>1</v>
      </c>
      <c r="W19" s="12">
        <v>1</v>
      </c>
      <c r="X19" s="12">
        <v>0</v>
      </c>
      <c r="Y19" s="12">
        <v>3</v>
      </c>
      <c r="Z19" s="12">
        <v>1</v>
      </c>
      <c r="AA19" s="12">
        <v>3</v>
      </c>
      <c r="AB19" s="12">
        <v>3</v>
      </c>
      <c r="AC19" s="12">
        <v>2</v>
      </c>
      <c r="AD19" s="12">
        <v>1</v>
      </c>
      <c r="AE19" s="12">
        <v>0</v>
      </c>
      <c r="AF19" s="12">
        <v>2</v>
      </c>
      <c r="AG19" s="12">
        <v>2</v>
      </c>
      <c r="AH19" s="12">
        <v>6</v>
      </c>
      <c r="AI19" s="12">
        <v>2</v>
      </c>
      <c r="AJ19" s="12" t="e">
        <f>COUNTIFS(#REF!,'2017-11월 통계'!AJ$6,#REF!,'2017-11월 통계'!$C$18,#REF!,'2017-11월 통계'!$D19)</f>
        <v>#REF!</v>
      </c>
    </row>
    <row r="20" spans="3:36">
      <c r="C20" s="288"/>
      <c r="D20" s="7" t="s">
        <v>9</v>
      </c>
      <c r="E20" s="19" t="e">
        <f t="shared" si="2"/>
        <v>#REF!</v>
      </c>
      <c r="F20" s="12" t="e">
        <f>COUNTIFS(#REF!,'2017-11월 통계'!F$6,#REF!,'2017-11월 통계'!$C$18,#REF!,'2017-11월 통계'!$D20)</f>
        <v>#REF!</v>
      </c>
      <c r="G20" s="12" t="e">
        <f>COUNTIFS(#REF!,'2017-11월 통계'!G$6,#REF!,'2017-11월 통계'!$C$18,#REF!,'2017-11월 통계'!$D20)</f>
        <v>#REF!</v>
      </c>
      <c r="H20" s="12" t="e">
        <f>COUNTIFS(#REF!,'2017-11월 통계'!H$6,#REF!,'2017-11월 통계'!$C$18,#REF!,'2017-11월 통계'!$D20)</f>
        <v>#REF!</v>
      </c>
      <c r="I20" s="12" t="e">
        <f>COUNTIFS(#REF!,'2017-11월 통계'!I$6,#REF!,'2017-11월 통계'!$C$18,#REF!,'2017-11월 통계'!$D20)</f>
        <v>#REF!</v>
      </c>
      <c r="J20" s="12" t="e">
        <f>COUNTIFS(#REF!,'2017-11월 통계'!J$6,#REF!,'2017-11월 통계'!$C$18,#REF!,'2017-11월 통계'!$D20)</f>
        <v>#REF!</v>
      </c>
      <c r="K20" s="12" t="e">
        <f>COUNTIFS(#REF!,'2017-11월 통계'!K$6,#REF!,'2017-11월 통계'!$C$18,#REF!,'2017-11월 통계'!$D20)</f>
        <v>#REF!</v>
      </c>
      <c r="L20" s="12" t="e">
        <f>COUNTIFS(#REF!,'2017-11월 통계'!L$6,#REF!,'2017-11월 통계'!$C$18,#REF!,'2017-11월 통계'!$D20)</f>
        <v>#REF!</v>
      </c>
      <c r="M20" s="12" t="e">
        <f>COUNTIFS(#REF!,'2017-11월 통계'!M$6,#REF!,'2017-11월 통계'!$C$18,#REF!,'2017-11월 통계'!$D20)</f>
        <v>#REF!</v>
      </c>
      <c r="N20" s="12" t="e">
        <f>COUNTIFS(#REF!,'2017-11월 통계'!N$6,#REF!,'2017-11월 통계'!$C$18,#REF!,'2017-11월 통계'!$D20)</f>
        <v>#REF!</v>
      </c>
      <c r="O20" s="12">
        <v>0</v>
      </c>
      <c r="P20" s="12">
        <v>0</v>
      </c>
      <c r="Q20" s="12">
        <v>0</v>
      </c>
      <c r="R20" s="12">
        <v>0</v>
      </c>
      <c r="S20" s="12">
        <v>0</v>
      </c>
      <c r="T20" s="12">
        <v>0</v>
      </c>
      <c r="U20" s="12">
        <v>0</v>
      </c>
      <c r="V20" s="12">
        <v>1</v>
      </c>
      <c r="W20" s="12">
        <v>0</v>
      </c>
      <c r="X20" s="12">
        <v>0</v>
      </c>
      <c r="Y20" s="12">
        <v>0</v>
      </c>
      <c r="Z20" s="12">
        <v>0</v>
      </c>
      <c r="AA20" s="12">
        <v>0</v>
      </c>
      <c r="AB20" s="12">
        <v>0</v>
      </c>
      <c r="AC20" s="12">
        <v>1</v>
      </c>
      <c r="AD20" s="12">
        <v>0</v>
      </c>
      <c r="AE20" s="12">
        <v>0</v>
      </c>
      <c r="AF20" s="12">
        <v>2</v>
      </c>
      <c r="AG20" s="12">
        <v>3</v>
      </c>
      <c r="AH20" s="12">
        <v>5</v>
      </c>
      <c r="AI20" s="12">
        <v>3</v>
      </c>
      <c r="AJ20" s="12" t="e">
        <f>COUNTIFS(#REF!,'2017-11월 통계'!AJ$6,#REF!,'2017-11월 통계'!$C$18,#REF!,'2017-11월 통계'!$D20)</f>
        <v>#REF!</v>
      </c>
    </row>
    <row r="21" spans="3:36">
      <c r="C21" s="288"/>
      <c r="D21" s="7" t="s">
        <v>1</v>
      </c>
      <c r="E21" s="19" t="e">
        <f t="shared" si="2"/>
        <v>#REF!</v>
      </c>
      <c r="F21" s="12" t="e">
        <f>COUNTIFS(#REF!,'2017-11월 통계'!F$6,#REF!,'2017-11월 통계'!$C$18,#REF!,'2017-11월 통계'!$D21)</f>
        <v>#REF!</v>
      </c>
      <c r="G21" s="12" t="e">
        <f>COUNTIFS(#REF!,'2017-11월 통계'!G$6,#REF!,'2017-11월 통계'!$C$18,#REF!,'2017-11월 통계'!$D21)</f>
        <v>#REF!</v>
      </c>
      <c r="H21" s="12" t="e">
        <f>COUNTIFS(#REF!,'2017-11월 통계'!H$6,#REF!,'2017-11월 통계'!$C$18,#REF!,'2017-11월 통계'!$D21)</f>
        <v>#REF!</v>
      </c>
      <c r="I21" s="12" t="e">
        <f>COUNTIFS(#REF!,'2017-11월 통계'!I$6,#REF!,'2017-11월 통계'!$C$18,#REF!,'2017-11월 통계'!$D21)</f>
        <v>#REF!</v>
      </c>
      <c r="J21" s="12" t="e">
        <f>COUNTIFS(#REF!,'2017-11월 통계'!J$6,#REF!,'2017-11월 통계'!$C$18,#REF!,'2017-11월 통계'!$D21)</f>
        <v>#REF!</v>
      </c>
      <c r="K21" s="12" t="e">
        <f>COUNTIFS(#REF!,'2017-11월 통계'!K$6,#REF!,'2017-11월 통계'!$C$18,#REF!,'2017-11월 통계'!$D21)</f>
        <v>#REF!</v>
      </c>
      <c r="L21" s="12" t="e">
        <f>COUNTIFS(#REF!,'2017-11월 통계'!L$6,#REF!,'2017-11월 통계'!$C$18,#REF!,'2017-11월 통계'!$D21)</f>
        <v>#REF!</v>
      </c>
      <c r="M21" s="12" t="e">
        <f>COUNTIFS(#REF!,'2017-11월 통계'!M$6,#REF!,'2017-11월 통계'!$C$18,#REF!,'2017-11월 통계'!$D21)</f>
        <v>#REF!</v>
      </c>
      <c r="N21" s="12" t="e">
        <f>COUNTIFS(#REF!,'2017-11월 통계'!N$6,#REF!,'2017-11월 통계'!$C$18,#REF!,'2017-11월 통계'!$D21)</f>
        <v>#REF!</v>
      </c>
      <c r="O21" s="12">
        <v>0</v>
      </c>
      <c r="P21" s="12">
        <v>0</v>
      </c>
      <c r="Q21" s="12">
        <v>0</v>
      </c>
      <c r="R21" s="12">
        <v>0</v>
      </c>
      <c r="S21" s="12">
        <v>0</v>
      </c>
      <c r="T21" s="12">
        <v>0</v>
      </c>
      <c r="U21" s="12">
        <v>0</v>
      </c>
      <c r="V21" s="12">
        <v>0</v>
      </c>
      <c r="W21" s="12">
        <v>0</v>
      </c>
      <c r="X21" s="12">
        <v>0</v>
      </c>
      <c r="Y21" s="12">
        <v>1</v>
      </c>
      <c r="Z21" s="12">
        <v>0</v>
      </c>
      <c r="AA21" s="12">
        <v>1</v>
      </c>
      <c r="AB21" s="12">
        <v>1</v>
      </c>
      <c r="AC21" s="12">
        <v>2</v>
      </c>
      <c r="AD21" s="12">
        <v>0</v>
      </c>
      <c r="AE21" s="12">
        <v>0</v>
      </c>
      <c r="AF21" s="12">
        <v>0</v>
      </c>
      <c r="AG21" s="12">
        <v>0</v>
      </c>
      <c r="AH21" s="12">
        <v>0</v>
      </c>
      <c r="AI21" s="12">
        <v>2</v>
      </c>
      <c r="AJ21" s="12" t="e">
        <f>COUNTIFS(#REF!,'2017-11월 통계'!AJ$6,#REF!,'2017-11월 통계'!$C$18,#REF!,'2017-11월 통계'!$D21)</f>
        <v>#REF!</v>
      </c>
    </row>
    <row r="22" spans="3:36">
      <c r="C22" s="288"/>
      <c r="D22" s="7" t="s">
        <v>10</v>
      </c>
      <c r="E22" s="19" t="e">
        <f t="shared" si="2"/>
        <v>#REF!</v>
      </c>
      <c r="F22" s="12" t="e">
        <f>COUNTIFS(#REF!,'2017-11월 통계'!F$6,#REF!,'2017-11월 통계'!$C$18,#REF!,'2017-11월 통계'!$D22)</f>
        <v>#REF!</v>
      </c>
      <c r="G22" s="12" t="e">
        <f>COUNTIFS(#REF!,'2017-11월 통계'!G$6,#REF!,'2017-11월 통계'!$C$18,#REF!,'2017-11월 통계'!$D22)</f>
        <v>#REF!</v>
      </c>
      <c r="H22" s="12" t="e">
        <f>COUNTIFS(#REF!,'2017-11월 통계'!H$6,#REF!,'2017-11월 통계'!$C$18,#REF!,'2017-11월 통계'!$D22)</f>
        <v>#REF!</v>
      </c>
      <c r="I22" s="12" t="e">
        <f>COUNTIFS(#REF!,'2017-11월 통계'!I$6,#REF!,'2017-11월 통계'!$C$18,#REF!,'2017-11월 통계'!$D22)</f>
        <v>#REF!</v>
      </c>
      <c r="J22" s="12" t="e">
        <f>COUNTIFS(#REF!,'2017-11월 통계'!J$6,#REF!,'2017-11월 통계'!$C$18,#REF!,'2017-11월 통계'!$D22)</f>
        <v>#REF!</v>
      </c>
      <c r="K22" s="12" t="e">
        <f>COUNTIFS(#REF!,'2017-11월 통계'!K$6,#REF!,'2017-11월 통계'!$C$18,#REF!,'2017-11월 통계'!$D22)</f>
        <v>#REF!</v>
      </c>
      <c r="L22" s="12" t="e">
        <f>COUNTIFS(#REF!,'2017-11월 통계'!L$6,#REF!,'2017-11월 통계'!$C$18,#REF!,'2017-11월 통계'!$D22)</f>
        <v>#REF!</v>
      </c>
      <c r="M22" s="12" t="e">
        <f>COUNTIFS(#REF!,'2017-11월 통계'!M$6,#REF!,'2017-11월 통계'!$C$18,#REF!,'2017-11월 통계'!$D22)</f>
        <v>#REF!</v>
      </c>
      <c r="N22" s="12" t="e">
        <f>COUNTIFS(#REF!,'2017-11월 통계'!N$6,#REF!,'2017-11월 통계'!$C$18,#REF!,'2017-11월 통계'!$D22)</f>
        <v>#REF!</v>
      </c>
      <c r="O22" s="12">
        <v>0</v>
      </c>
      <c r="P22" s="12">
        <v>0</v>
      </c>
      <c r="Q22" s="12">
        <v>0</v>
      </c>
      <c r="R22" s="12">
        <v>0</v>
      </c>
      <c r="S22" s="12">
        <v>0</v>
      </c>
      <c r="T22" s="12">
        <v>0</v>
      </c>
      <c r="U22" s="12">
        <v>0</v>
      </c>
      <c r="V22" s="12">
        <v>1</v>
      </c>
      <c r="W22" s="12">
        <v>0</v>
      </c>
      <c r="X22" s="12">
        <v>0</v>
      </c>
      <c r="Y22" s="12">
        <v>0</v>
      </c>
      <c r="Z22" s="12">
        <v>0</v>
      </c>
      <c r="AA22" s="12">
        <v>1</v>
      </c>
      <c r="AB22" s="12">
        <v>3</v>
      </c>
      <c r="AC22" s="12">
        <v>2</v>
      </c>
      <c r="AD22" s="12">
        <v>1</v>
      </c>
      <c r="AE22" s="12">
        <v>0</v>
      </c>
      <c r="AF22" s="12">
        <v>4</v>
      </c>
      <c r="AG22" s="12">
        <v>2</v>
      </c>
      <c r="AH22" s="12">
        <v>2</v>
      </c>
      <c r="AI22" s="12">
        <v>1</v>
      </c>
      <c r="AJ22" s="12" t="e">
        <f>COUNTIFS(#REF!,'2017-11월 통계'!AJ$6,#REF!,'2017-11월 통계'!$C$18,#REF!,'2017-11월 통계'!$D22)</f>
        <v>#REF!</v>
      </c>
    </row>
    <row r="23" spans="3:36">
      <c r="C23" s="288"/>
      <c r="D23" s="7" t="s">
        <v>15</v>
      </c>
      <c r="E23" s="19" t="e">
        <f t="shared" si="2"/>
        <v>#REF!</v>
      </c>
      <c r="F23" s="12" t="e">
        <f>COUNTIFS(#REF!,'2017-11월 통계'!F$6,#REF!,'2017-11월 통계'!$C$18,#REF!,'2017-11월 통계'!$D23)</f>
        <v>#REF!</v>
      </c>
      <c r="G23" s="12" t="e">
        <f>COUNTIFS(#REF!,'2017-11월 통계'!G$6,#REF!,'2017-11월 통계'!$C$18,#REF!,'2017-11월 통계'!$D23)</f>
        <v>#REF!</v>
      </c>
      <c r="H23" s="12" t="e">
        <f>COUNTIFS(#REF!,'2017-11월 통계'!H$6,#REF!,'2017-11월 통계'!$C$18,#REF!,'2017-11월 통계'!$D23)</f>
        <v>#REF!</v>
      </c>
      <c r="I23" s="12" t="e">
        <f>COUNTIFS(#REF!,'2017-11월 통계'!I$6,#REF!,'2017-11월 통계'!$C$18,#REF!,'2017-11월 통계'!$D23)</f>
        <v>#REF!</v>
      </c>
      <c r="J23" s="12" t="e">
        <f>COUNTIFS(#REF!,'2017-11월 통계'!J$6,#REF!,'2017-11월 통계'!$C$18,#REF!,'2017-11월 통계'!$D23)</f>
        <v>#REF!</v>
      </c>
      <c r="K23" s="12" t="e">
        <f>COUNTIFS(#REF!,'2017-11월 통계'!K$6,#REF!,'2017-11월 통계'!$C$18,#REF!,'2017-11월 통계'!$D23)</f>
        <v>#REF!</v>
      </c>
      <c r="L23" s="12" t="e">
        <f>COUNTIFS(#REF!,'2017-11월 통계'!L$6,#REF!,'2017-11월 통계'!$C$18,#REF!,'2017-11월 통계'!$D23)</f>
        <v>#REF!</v>
      </c>
      <c r="M23" s="12" t="e">
        <f>COUNTIFS(#REF!,'2017-11월 통계'!M$6,#REF!,'2017-11월 통계'!$C$18,#REF!,'2017-11월 통계'!$D23)</f>
        <v>#REF!</v>
      </c>
      <c r="N23" s="12" t="e">
        <f>COUNTIFS(#REF!,'2017-11월 통계'!N$6,#REF!,'2017-11월 통계'!$C$18,#REF!,'2017-11월 통계'!$D23)</f>
        <v>#REF!</v>
      </c>
      <c r="O23" s="12">
        <v>0</v>
      </c>
      <c r="P23" s="12">
        <v>0</v>
      </c>
      <c r="Q23" s="12">
        <v>0</v>
      </c>
      <c r="R23" s="12">
        <v>0</v>
      </c>
      <c r="S23" s="12">
        <v>0</v>
      </c>
      <c r="T23" s="12">
        <v>0</v>
      </c>
      <c r="U23" s="12">
        <v>0</v>
      </c>
      <c r="V23" s="12">
        <v>0</v>
      </c>
      <c r="W23" s="12">
        <v>0</v>
      </c>
      <c r="X23" s="12">
        <v>0</v>
      </c>
      <c r="Y23" s="12">
        <v>0</v>
      </c>
      <c r="Z23" s="12">
        <v>0</v>
      </c>
      <c r="AA23" s="12">
        <v>0</v>
      </c>
      <c r="AB23" s="12">
        <v>0</v>
      </c>
      <c r="AC23" s="12">
        <v>0</v>
      </c>
      <c r="AD23" s="12">
        <v>0</v>
      </c>
      <c r="AE23" s="12">
        <v>0</v>
      </c>
      <c r="AF23" s="12">
        <v>0</v>
      </c>
      <c r="AG23" s="12">
        <v>0</v>
      </c>
      <c r="AH23" s="12">
        <v>0</v>
      </c>
      <c r="AI23" s="12">
        <v>0</v>
      </c>
      <c r="AJ23" s="12" t="e">
        <f>COUNTIFS(#REF!,'2017-11월 통계'!AJ$6,#REF!,'2017-11월 통계'!$C$18,#REF!,'2017-11월 통계'!$D23)</f>
        <v>#REF!</v>
      </c>
    </row>
    <row r="24" spans="3:36">
      <c r="C24" s="288"/>
      <c r="D24" s="7" t="s">
        <v>11</v>
      </c>
      <c r="E24" s="19" t="e">
        <f t="shared" si="2"/>
        <v>#REF!</v>
      </c>
      <c r="F24" s="12" t="e">
        <f>COUNTIFS(#REF!,'2017-11월 통계'!F$6,#REF!,'2017-11월 통계'!$C$18,#REF!,'2017-11월 통계'!$D24)</f>
        <v>#REF!</v>
      </c>
      <c r="G24" s="12" t="e">
        <f>COUNTIFS(#REF!,'2017-11월 통계'!G$6,#REF!,'2017-11월 통계'!$C$18,#REF!,'2017-11월 통계'!$D24)</f>
        <v>#REF!</v>
      </c>
      <c r="H24" s="12" t="e">
        <f>COUNTIFS(#REF!,'2017-11월 통계'!H$6,#REF!,'2017-11월 통계'!$C$18,#REF!,'2017-11월 통계'!$D24)</f>
        <v>#REF!</v>
      </c>
      <c r="I24" s="12" t="e">
        <f>COUNTIFS(#REF!,'2017-11월 통계'!I$6,#REF!,'2017-11월 통계'!$C$18,#REF!,'2017-11월 통계'!$D24)</f>
        <v>#REF!</v>
      </c>
      <c r="J24" s="12" t="e">
        <f>COUNTIFS(#REF!,'2017-11월 통계'!J$6,#REF!,'2017-11월 통계'!$C$18,#REF!,'2017-11월 통계'!$D24)</f>
        <v>#REF!</v>
      </c>
      <c r="K24" s="12" t="e">
        <f>COUNTIFS(#REF!,'2017-11월 통계'!K$6,#REF!,'2017-11월 통계'!$C$18,#REF!,'2017-11월 통계'!$D24)</f>
        <v>#REF!</v>
      </c>
      <c r="L24" s="12" t="e">
        <f>COUNTIFS(#REF!,'2017-11월 통계'!L$6,#REF!,'2017-11월 통계'!$C$18,#REF!,'2017-11월 통계'!$D24)</f>
        <v>#REF!</v>
      </c>
      <c r="M24" s="12" t="e">
        <f>COUNTIFS(#REF!,'2017-11월 통계'!M$6,#REF!,'2017-11월 통계'!$C$18,#REF!,'2017-11월 통계'!$D24)</f>
        <v>#REF!</v>
      </c>
      <c r="N24" s="12" t="e">
        <f>COUNTIFS(#REF!,'2017-11월 통계'!N$6,#REF!,'2017-11월 통계'!$C$18,#REF!,'2017-11월 통계'!$D24)</f>
        <v>#REF!</v>
      </c>
      <c r="O24" s="12">
        <v>0</v>
      </c>
      <c r="P24" s="12">
        <v>0</v>
      </c>
      <c r="Q24" s="12">
        <v>0</v>
      </c>
      <c r="R24" s="12">
        <v>0</v>
      </c>
      <c r="S24" s="12">
        <v>0</v>
      </c>
      <c r="T24" s="12">
        <v>0</v>
      </c>
      <c r="U24" s="12">
        <v>0</v>
      </c>
      <c r="V24" s="12">
        <v>0</v>
      </c>
      <c r="W24" s="12">
        <v>0</v>
      </c>
      <c r="X24" s="12">
        <v>0</v>
      </c>
      <c r="Y24" s="12">
        <v>0</v>
      </c>
      <c r="Z24" s="12">
        <v>0</v>
      </c>
      <c r="AA24" s="12">
        <v>0</v>
      </c>
      <c r="AB24" s="12">
        <v>0</v>
      </c>
      <c r="AC24" s="12">
        <v>0</v>
      </c>
      <c r="AD24" s="12">
        <v>0</v>
      </c>
      <c r="AE24" s="12">
        <v>0</v>
      </c>
      <c r="AF24" s="12">
        <v>0</v>
      </c>
      <c r="AG24" s="12">
        <v>0</v>
      </c>
      <c r="AH24" s="12">
        <v>0</v>
      </c>
      <c r="AI24" s="12">
        <v>0</v>
      </c>
      <c r="AJ24" s="12" t="e">
        <f>COUNTIFS(#REF!,'2017-11월 통계'!AJ$6,#REF!,'2017-11월 통계'!$C$18,#REF!,'2017-11월 통계'!$D24)</f>
        <v>#REF!</v>
      </c>
    </row>
    <row r="25" spans="3:36">
      <c r="C25" s="288"/>
      <c r="D25" s="7" t="s">
        <v>17</v>
      </c>
      <c r="E25" s="19" t="e">
        <f t="shared" si="2"/>
        <v>#REF!</v>
      </c>
      <c r="F25" s="13" t="e">
        <f t="shared" ref="F25:N25" si="3">F8-(SUM(F18:F24))</f>
        <v>#REF!</v>
      </c>
      <c r="G25" s="13" t="e">
        <f t="shared" si="3"/>
        <v>#REF!</v>
      </c>
      <c r="H25" s="13" t="e">
        <f t="shared" si="3"/>
        <v>#REF!</v>
      </c>
      <c r="I25" s="13" t="e">
        <f t="shared" si="3"/>
        <v>#REF!</v>
      </c>
      <c r="J25" s="13" t="e">
        <f t="shared" si="3"/>
        <v>#REF!</v>
      </c>
      <c r="K25" s="13" t="e">
        <f t="shared" si="3"/>
        <v>#REF!</v>
      </c>
      <c r="L25" s="13" t="e">
        <f t="shared" si="3"/>
        <v>#REF!</v>
      </c>
      <c r="M25" s="13" t="e">
        <f t="shared" si="3"/>
        <v>#REF!</v>
      </c>
      <c r="N25" s="13" t="e">
        <f t="shared" si="3"/>
        <v>#REF!</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c r="AG25" s="13">
        <v>0</v>
      </c>
      <c r="AH25" s="13">
        <v>0</v>
      </c>
      <c r="AI25" s="13">
        <v>0</v>
      </c>
      <c r="AJ25" s="13" t="e">
        <f>AJ8-(SUM(AJ18:AJ24))</f>
        <v>#REF!</v>
      </c>
    </row>
    <row r="26" spans="3:36">
      <c r="E26" s="18"/>
    </row>
    <row r="27" spans="3:36">
      <c r="C27" s="277" t="s">
        <v>0</v>
      </c>
      <c r="D27" s="10" t="s">
        <v>19</v>
      </c>
      <c r="E27" s="19" t="e">
        <f t="shared" ref="E27:E34" si="4">SUM(F27:AJ27)</f>
        <v>#REF!</v>
      </c>
      <c r="F27" s="11" t="e">
        <f>COUNTIFS(#REF!,'2017-11월 통계'!F$6,#REF!,'2017-11월 통계'!$C$27,#REF!,'2017-11월 통계'!$D27)</f>
        <v>#REF!</v>
      </c>
      <c r="G27" s="11" t="e">
        <f>COUNTIFS(#REF!,'2017-11월 통계'!G$6,#REF!,'2017-11월 통계'!$C$27,#REF!,'2017-11월 통계'!$D27)</f>
        <v>#REF!</v>
      </c>
      <c r="H27" s="11" t="e">
        <f>COUNTIFS(#REF!,'2017-11월 통계'!H$6,#REF!,'2017-11월 통계'!$C$27,#REF!,'2017-11월 통계'!$D27)</f>
        <v>#REF!</v>
      </c>
      <c r="I27" s="11" t="e">
        <f>COUNTIFS(#REF!,'2017-11월 통계'!I$6,#REF!,'2017-11월 통계'!$C$27,#REF!,'2017-11월 통계'!$D27)</f>
        <v>#REF!</v>
      </c>
      <c r="J27" s="11" t="e">
        <f>COUNTIFS(#REF!,'2017-11월 통계'!J$6,#REF!,'2017-11월 통계'!$C$27,#REF!,'2017-11월 통계'!$D27)</f>
        <v>#REF!</v>
      </c>
      <c r="K27" s="11" t="e">
        <f>COUNTIFS(#REF!,'2017-11월 통계'!K$6,#REF!,'2017-11월 통계'!$C$27,#REF!,'2017-11월 통계'!$D27)</f>
        <v>#REF!</v>
      </c>
      <c r="L27" s="11" t="e">
        <f>COUNTIFS(#REF!,'2017-11월 통계'!L$6,#REF!,'2017-11월 통계'!$C$27,#REF!,'2017-11월 통계'!$D27)</f>
        <v>#REF!</v>
      </c>
      <c r="M27" s="11" t="e">
        <f>COUNTIFS(#REF!,'2017-11월 통계'!M$6,#REF!,'2017-11월 통계'!$C$27,#REF!,'2017-11월 통계'!$D27)</f>
        <v>#REF!</v>
      </c>
      <c r="N27" s="11" t="e">
        <f>COUNTIFS(#REF!,'2017-11월 통계'!N$6,#REF!,'2017-11월 통계'!$C$27,#REF!,'2017-11월 통계'!$D27)</f>
        <v>#REF!</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v>0</v>
      </c>
      <c r="AF27" s="11">
        <v>2</v>
      </c>
      <c r="AG27" s="11">
        <v>0</v>
      </c>
      <c r="AH27" s="11">
        <v>0</v>
      </c>
      <c r="AI27" s="11">
        <v>2</v>
      </c>
      <c r="AJ27" s="11" t="e">
        <f>COUNTIFS(#REF!,'2017-11월 통계'!AJ$6,#REF!,'2017-11월 통계'!$C$27,#REF!,'2017-11월 통계'!$D27)</f>
        <v>#REF!</v>
      </c>
    </row>
    <row r="28" spans="3:36">
      <c r="C28" s="277"/>
      <c r="D28" s="7" t="s">
        <v>8</v>
      </c>
      <c r="E28" s="19" t="e">
        <f t="shared" si="4"/>
        <v>#REF!</v>
      </c>
      <c r="F28" s="12" t="e">
        <f>COUNTIFS(#REF!,'2017-11월 통계'!F$6,#REF!,'2017-11월 통계'!$C$27,#REF!,'2017-11월 통계'!$D28)</f>
        <v>#REF!</v>
      </c>
      <c r="G28" s="12" t="e">
        <f>COUNTIFS(#REF!,'2017-11월 통계'!G$6,#REF!,'2017-11월 통계'!$C$27,#REF!,'2017-11월 통계'!$D28)</f>
        <v>#REF!</v>
      </c>
      <c r="H28" s="12" t="e">
        <f>COUNTIFS(#REF!,'2017-11월 통계'!H$6,#REF!,'2017-11월 통계'!$C$27,#REF!,'2017-11월 통계'!$D28)</f>
        <v>#REF!</v>
      </c>
      <c r="I28" s="12" t="e">
        <f>COUNTIFS(#REF!,'2017-11월 통계'!I$6,#REF!,'2017-11월 통계'!$C$27,#REF!,'2017-11월 통계'!$D28)</f>
        <v>#REF!</v>
      </c>
      <c r="J28" s="12" t="e">
        <f>COUNTIFS(#REF!,'2017-11월 통계'!J$6,#REF!,'2017-11월 통계'!$C$27,#REF!,'2017-11월 통계'!$D28)</f>
        <v>#REF!</v>
      </c>
      <c r="K28" s="12" t="e">
        <f>COUNTIFS(#REF!,'2017-11월 통계'!K$6,#REF!,'2017-11월 통계'!$C$27,#REF!,'2017-11월 통계'!$D28)</f>
        <v>#REF!</v>
      </c>
      <c r="L28" s="12" t="e">
        <f>COUNTIFS(#REF!,'2017-11월 통계'!L$6,#REF!,'2017-11월 통계'!$C$27,#REF!,'2017-11월 통계'!$D28)</f>
        <v>#REF!</v>
      </c>
      <c r="M28" s="12" t="e">
        <f>COUNTIFS(#REF!,'2017-11월 통계'!M$6,#REF!,'2017-11월 통계'!$C$27,#REF!,'2017-11월 통계'!$D28)</f>
        <v>#REF!</v>
      </c>
      <c r="N28" s="12" t="e">
        <f>COUNTIFS(#REF!,'2017-11월 통계'!N$6,#REF!,'2017-11월 통계'!$C$27,#REF!,'2017-11월 통계'!$D28)</f>
        <v>#REF!</v>
      </c>
      <c r="O28" s="12">
        <v>0</v>
      </c>
      <c r="P28" s="12">
        <v>0</v>
      </c>
      <c r="Q28" s="12">
        <v>0</v>
      </c>
      <c r="R28" s="12">
        <v>0</v>
      </c>
      <c r="S28" s="12">
        <v>0</v>
      </c>
      <c r="T28" s="12">
        <v>0</v>
      </c>
      <c r="U28" s="12">
        <v>0</v>
      </c>
      <c r="V28" s="12">
        <v>1</v>
      </c>
      <c r="W28" s="12">
        <v>3</v>
      </c>
      <c r="X28" s="12">
        <v>0</v>
      </c>
      <c r="Y28" s="12">
        <v>0</v>
      </c>
      <c r="Z28" s="12">
        <v>0</v>
      </c>
      <c r="AA28" s="12">
        <v>1</v>
      </c>
      <c r="AB28" s="12">
        <v>0</v>
      </c>
      <c r="AC28" s="12">
        <v>1</v>
      </c>
      <c r="AD28" s="12">
        <v>1</v>
      </c>
      <c r="AE28" s="12">
        <v>0</v>
      </c>
      <c r="AF28" s="12">
        <v>1</v>
      </c>
      <c r="AG28" s="12">
        <v>3</v>
      </c>
      <c r="AH28" s="12">
        <v>2</v>
      </c>
      <c r="AI28" s="12">
        <v>4</v>
      </c>
      <c r="AJ28" s="12" t="e">
        <f>COUNTIFS(#REF!,'2017-11월 통계'!AJ$6,#REF!,'2017-11월 통계'!$C$27,#REF!,'2017-11월 통계'!$D28)</f>
        <v>#REF!</v>
      </c>
    </row>
    <row r="29" spans="3:36">
      <c r="C29" s="277"/>
      <c r="D29" s="7" t="s">
        <v>9</v>
      </c>
      <c r="E29" s="19" t="e">
        <f t="shared" si="4"/>
        <v>#REF!</v>
      </c>
      <c r="F29" s="12" t="e">
        <f>COUNTIFS(#REF!,'2017-11월 통계'!F$6,#REF!,'2017-11월 통계'!$C$27,#REF!,'2017-11월 통계'!$D29)</f>
        <v>#REF!</v>
      </c>
      <c r="G29" s="12" t="e">
        <f>COUNTIFS(#REF!,'2017-11월 통계'!G$6,#REF!,'2017-11월 통계'!$C$27,#REF!,'2017-11월 통계'!$D29)</f>
        <v>#REF!</v>
      </c>
      <c r="H29" s="12" t="e">
        <f>COUNTIFS(#REF!,'2017-11월 통계'!H$6,#REF!,'2017-11월 통계'!$C$27,#REF!,'2017-11월 통계'!$D29)</f>
        <v>#REF!</v>
      </c>
      <c r="I29" s="12" t="e">
        <f>COUNTIFS(#REF!,'2017-11월 통계'!I$6,#REF!,'2017-11월 통계'!$C$27,#REF!,'2017-11월 통계'!$D29)</f>
        <v>#REF!</v>
      </c>
      <c r="J29" s="12" t="e">
        <f>COUNTIFS(#REF!,'2017-11월 통계'!J$6,#REF!,'2017-11월 통계'!$C$27,#REF!,'2017-11월 통계'!$D29)</f>
        <v>#REF!</v>
      </c>
      <c r="K29" s="12" t="e">
        <f>COUNTIFS(#REF!,'2017-11월 통계'!K$6,#REF!,'2017-11월 통계'!$C$27,#REF!,'2017-11월 통계'!$D29)</f>
        <v>#REF!</v>
      </c>
      <c r="L29" s="12" t="e">
        <f>COUNTIFS(#REF!,'2017-11월 통계'!L$6,#REF!,'2017-11월 통계'!$C$27,#REF!,'2017-11월 통계'!$D29)</f>
        <v>#REF!</v>
      </c>
      <c r="M29" s="12" t="e">
        <f>COUNTIFS(#REF!,'2017-11월 통계'!M$6,#REF!,'2017-11월 통계'!$C$27,#REF!,'2017-11월 통계'!$D29)</f>
        <v>#REF!</v>
      </c>
      <c r="N29" s="12" t="e">
        <f>COUNTIFS(#REF!,'2017-11월 통계'!N$6,#REF!,'2017-11월 통계'!$C$27,#REF!,'2017-11월 통계'!$D29)</f>
        <v>#REF!</v>
      </c>
      <c r="O29" s="12">
        <v>0</v>
      </c>
      <c r="P29" s="12">
        <v>0</v>
      </c>
      <c r="Q29" s="12">
        <v>0</v>
      </c>
      <c r="R29" s="12">
        <v>0</v>
      </c>
      <c r="S29" s="12">
        <v>0</v>
      </c>
      <c r="T29" s="12">
        <v>0</v>
      </c>
      <c r="U29" s="12">
        <v>0</v>
      </c>
      <c r="V29" s="12">
        <v>0</v>
      </c>
      <c r="W29" s="12">
        <v>0</v>
      </c>
      <c r="X29" s="12">
        <v>0</v>
      </c>
      <c r="Y29" s="12">
        <v>0</v>
      </c>
      <c r="Z29" s="12">
        <v>1</v>
      </c>
      <c r="AA29" s="12">
        <v>0</v>
      </c>
      <c r="AB29" s="12">
        <v>0</v>
      </c>
      <c r="AC29" s="12">
        <v>0</v>
      </c>
      <c r="AD29" s="12">
        <v>0</v>
      </c>
      <c r="AE29" s="12">
        <v>0</v>
      </c>
      <c r="AF29" s="12">
        <v>0</v>
      </c>
      <c r="AG29" s="12">
        <v>2</v>
      </c>
      <c r="AH29" s="12">
        <v>1</v>
      </c>
      <c r="AI29" s="12">
        <v>1</v>
      </c>
      <c r="AJ29" s="12" t="e">
        <f>COUNTIFS(#REF!,'2017-11월 통계'!AJ$6,#REF!,'2017-11월 통계'!$C$27,#REF!,'2017-11월 통계'!$D29)</f>
        <v>#REF!</v>
      </c>
    </row>
    <row r="30" spans="3:36">
      <c r="C30" s="277"/>
      <c r="D30" s="7" t="s">
        <v>1</v>
      </c>
      <c r="E30" s="19" t="e">
        <f t="shared" si="4"/>
        <v>#REF!</v>
      </c>
      <c r="F30" s="12" t="e">
        <f>COUNTIFS(#REF!,'2017-11월 통계'!F$6,#REF!,'2017-11월 통계'!$C$27,#REF!,'2017-11월 통계'!$D30)</f>
        <v>#REF!</v>
      </c>
      <c r="G30" s="12" t="e">
        <f>COUNTIFS(#REF!,'2017-11월 통계'!G$6,#REF!,'2017-11월 통계'!$C$27,#REF!,'2017-11월 통계'!$D30)</f>
        <v>#REF!</v>
      </c>
      <c r="H30" s="12" t="e">
        <f>COUNTIFS(#REF!,'2017-11월 통계'!H$6,#REF!,'2017-11월 통계'!$C$27,#REF!,'2017-11월 통계'!$D30)</f>
        <v>#REF!</v>
      </c>
      <c r="I30" s="12" t="e">
        <f>COUNTIFS(#REF!,'2017-11월 통계'!I$6,#REF!,'2017-11월 통계'!$C$27,#REF!,'2017-11월 통계'!$D30)</f>
        <v>#REF!</v>
      </c>
      <c r="J30" s="12" t="e">
        <f>COUNTIFS(#REF!,'2017-11월 통계'!J$6,#REF!,'2017-11월 통계'!$C$27,#REF!,'2017-11월 통계'!$D30)</f>
        <v>#REF!</v>
      </c>
      <c r="K30" s="12" t="e">
        <f>COUNTIFS(#REF!,'2017-11월 통계'!K$6,#REF!,'2017-11월 통계'!$C$27,#REF!,'2017-11월 통계'!$D30)</f>
        <v>#REF!</v>
      </c>
      <c r="L30" s="12" t="e">
        <f>COUNTIFS(#REF!,'2017-11월 통계'!L$6,#REF!,'2017-11월 통계'!$C$27,#REF!,'2017-11월 통계'!$D30)</f>
        <v>#REF!</v>
      </c>
      <c r="M30" s="12" t="e">
        <f>COUNTIFS(#REF!,'2017-11월 통계'!M$6,#REF!,'2017-11월 통계'!$C$27,#REF!,'2017-11월 통계'!$D30)</f>
        <v>#REF!</v>
      </c>
      <c r="N30" s="12" t="e">
        <f>COUNTIFS(#REF!,'2017-11월 통계'!N$6,#REF!,'2017-11월 통계'!$C$27,#REF!,'2017-11월 통계'!$D30)</f>
        <v>#REF!</v>
      </c>
      <c r="O30" s="12">
        <v>0</v>
      </c>
      <c r="P30" s="12">
        <v>0</v>
      </c>
      <c r="Q30" s="12">
        <v>0</v>
      </c>
      <c r="R30" s="12">
        <v>0</v>
      </c>
      <c r="S30" s="12">
        <v>0</v>
      </c>
      <c r="T30" s="12">
        <v>0</v>
      </c>
      <c r="U30" s="12">
        <v>0</v>
      </c>
      <c r="V30" s="12">
        <v>2</v>
      </c>
      <c r="W30" s="12">
        <v>0</v>
      </c>
      <c r="X30" s="12">
        <v>0</v>
      </c>
      <c r="Y30" s="12">
        <v>1</v>
      </c>
      <c r="Z30" s="12">
        <v>0</v>
      </c>
      <c r="AA30" s="12">
        <v>2</v>
      </c>
      <c r="AB30" s="12">
        <v>0</v>
      </c>
      <c r="AC30" s="12">
        <v>1</v>
      </c>
      <c r="AD30" s="12">
        <v>0</v>
      </c>
      <c r="AE30" s="12">
        <v>0</v>
      </c>
      <c r="AF30" s="12">
        <v>0</v>
      </c>
      <c r="AG30" s="12">
        <v>0</v>
      </c>
      <c r="AH30" s="12">
        <v>1</v>
      </c>
      <c r="AI30" s="12">
        <v>6</v>
      </c>
      <c r="AJ30" s="12" t="e">
        <f>COUNTIFS(#REF!,'2017-11월 통계'!AJ$6,#REF!,'2017-11월 통계'!$C$27,#REF!,'2017-11월 통계'!$D30)</f>
        <v>#REF!</v>
      </c>
    </row>
    <row r="31" spans="3:36">
      <c r="C31" s="277"/>
      <c r="D31" s="7" t="s">
        <v>10</v>
      </c>
      <c r="E31" s="19" t="e">
        <f t="shared" si="4"/>
        <v>#REF!</v>
      </c>
      <c r="F31" s="12" t="e">
        <f>COUNTIFS(#REF!,'2017-11월 통계'!F$6,#REF!,'2017-11월 통계'!$C$27,#REF!,'2017-11월 통계'!$D31)</f>
        <v>#REF!</v>
      </c>
      <c r="G31" s="12" t="e">
        <f>COUNTIFS(#REF!,'2017-11월 통계'!G$6,#REF!,'2017-11월 통계'!$C$27,#REF!,'2017-11월 통계'!$D31)</f>
        <v>#REF!</v>
      </c>
      <c r="H31" s="12" t="e">
        <f>COUNTIFS(#REF!,'2017-11월 통계'!H$6,#REF!,'2017-11월 통계'!$C$27,#REF!,'2017-11월 통계'!$D31)</f>
        <v>#REF!</v>
      </c>
      <c r="I31" s="12" t="e">
        <f>COUNTIFS(#REF!,'2017-11월 통계'!I$6,#REF!,'2017-11월 통계'!$C$27,#REF!,'2017-11월 통계'!$D31)</f>
        <v>#REF!</v>
      </c>
      <c r="J31" s="12" t="e">
        <f>COUNTIFS(#REF!,'2017-11월 통계'!J$6,#REF!,'2017-11월 통계'!$C$27,#REF!,'2017-11월 통계'!$D31)</f>
        <v>#REF!</v>
      </c>
      <c r="K31" s="12" t="e">
        <f>COUNTIFS(#REF!,'2017-11월 통계'!K$6,#REF!,'2017-11월 통계'!$C$27,#REF!,'2017-11월 통계'!$D31)</f>
        <v>#REF!</v>
      </c>
      <c r="L31" s="12" t="e">
        <f>COUNTIFS(#REF!,'2017-11월 통계'!L$6,#REF!,'2017-11월 통계'!$C$27,#REF!,'2017-11월 통계'!$D31)</f>
        <v>#REF!</v>
      </c>
      <c r="M31" s="12" t="e">
        <f>COUNTIFS(#REF!,'2017-11월 통계'!M$6,#REF!,'2017-11월 통계'!$C$27,#REF!,'2017-11월 통계'!$D31)</f>
        <v>#REF!</v>
      </c>
      <c r="N31" s="12" t="e">
        <f>COUNTIFS(#REF!,'2017-11월 통계'!N$6,#REF!,'2017-11월 통계'!$C$27,#REF!,'2017-11월 통계'!$D31)</f>
        <v>#REF!</v>
      </c>
      <c r="O31" s="12">
        <v>0</v>
      </c>
      <c r="P31" s="12">
        <v>0</v>
      </c>
      <c r="Q31" s="12">
        <v>0</v>
      </c>
      <c r="R31" s="12">
        <v>0</v>
      </c>
      <c r="S31" s="12">
        <v>0</v>
      </c>
      <c r="T31" s="12">
        <v>0</v>
      </c>
      <c r="U31" s="12">
        <v>0</v>
      </c>
      <c r="V31" s="12">
        <v>0</v>
      </c>
      <c r="W31" s="12">
        <v>0</v>
      </c>
      <c r="X31" s="12">
        <v>0</v>
      </c>
      <c r="Y31" s="12">
        <v>0</v>
      </c>
      <c r="Z31" s="12">
        <v>0</v>
      </c>
      <c r="AA31" s="12">
        <v>0</v>
      </c>
      <c r="AB31" s="12">
        <v>0</v>
      </c>
      <c r="AC31" s="12">
        <v>0</v>
      </c>
      <c r="AD31" s="12">
        <v>0</v>
      </c>
      <c r="AE31" s="12">
        <v>0</v>
      </c>
      <c r="AF31" s="12">
        <v>0</v>
      </c>
      <c r="AG31" s="12">
        <v>0</v>
      </c>
      <c r="AH31" s="12">
        <v>0</v>
      </c>
      <c r="AI31" s="12">
        <v>0</v>
      </c>
      <c r="AJ31" s="12" t="e">
        <f>COUNTIFS(#REF!,'2017-11월 통계'!AJ$6,#REF!,'2017-11월 통계'!$C$27,#REF!,'2017-11월 통계'!$D31)</f>
        <v>#REF!</v>
      </c>
    </row>
    <row r="32" spans="3:36">
      <c r="C32" s="277"/>
      <c r="D32" s="7" t="s">
        <v>15</v>
      </c>
      <c r="E32" s="19" t="e">
        <f t="shared" si="4"/>
        <v>#REF!</v>
      </c>
      <c r="F32" s="12" t="e">
        <f>COUNTIFS(#REF!,'2017-11월 통계'!F$6,#REF!,'2017-11월 통계'!$C$27,#REF!,'2017-11월 통계'!$D32)</f>
        <v>#REF!</v>
      </c>
      <c r="G32" s="12" t="e">
        <f>COUNTIFS(#REF!,'2017-11월 통계'!G$6,#REF!,'2017-11월 통계'!$C$27,#REF!,'2017-11월 통계'!$D32)</f>
        <v>#REF!</v>
      </c>
      <c r="H32" s="12" t="e">
        <f>COUNTIFS(#REF!,'2017-11월 통계'!H$6,#REF!,'2017-11월 통계'!$C$27,#REF!,'2017-11월 통계'!$D32)</f>
        <v>#REF!</v>
      </c>
      <c r="I32" s="12" t="e">
        <f>COUNTIFS(#REF!,'2017-11월 통계'!I$6,#REF!,'2017-11월 통계'!$C$27,#REF!,'2017-11월 통계'!$D32)</f>
        <v>#REF!</v>
      </c>
      <c r="J32" s="12" t="e">
        <f>COUNTIFS(#REF!,'2017-11월 통계'!J$6,#REF!,'2017-11월 통계'!$C$27,#REF!,'2017-11월 통계'!$D32)</f>
        <v>#REF!</v>
      </c>
      <c r="K32" s="12" t="e">
        <f>COUNTIFS(#REF!,'2017-11월 통계'!K$6,#REF!,'2017-11월 통계'!$C$27,#REF!,'2017-11월 통계'!$D32)</f>
        <v>#REF!</v>
      </c>
      <c r="L32" s="12" t="e">
        <f>COUNTIFS(#REF!,'2017-11월 통계'!L$6,#REF!,'2017-11월 통계'!$C$27,#REF!,'2017-11월 통계'!$D32)</f>
        <v>#REF!</v>
      </c>
      <c r="M32" s="12" t="e">
        <f>COUNTIFS(#REF!,'2017-11월 통계'!M$6,#REF!,'2017-11월 통계'!$C$27,#REF!,'2017-11월 통계'!$D32)</f>
        <v>#REF!</v>
      </c>
      <c r="N32" s="12" t="e">
        <f>COUNTIFS(#REF!,'2017-11월 통계'!N$6,#REF!,'2017-11월 통계'!$C$27,#REF!,'2017-11월 통계'!$D32)</f>
        <v>#REF!</v>
      </c>
      <c r="O32" s="12">
        <v>0</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c r="AG32" s="12">
        <v>0</v>
      </c>
      <c r="AH32" s="12">
        <v>0</v>
      </c>
      <c r="AI32" s="12">
        <v>0</v>
      </c>
      <c r="AJ32" s="12" t="e">
        <f>COUNTIFS(#REF!,'2017-11월 통계'!AJ$6,#REF!,'2017-11월 통계'!$C$27,#REF!,'2017-11월 통계'!$D32)</f>
        <v>#REF!</v>
      </c>
    </row>
    <row r="33" spans="3:36">
      <c r="C33" s="277"/>
      <c r="D33" s="7" t="s">
        <v>11</v>
      </c>
      <c r="E33" s="19" t="e">
        <f t="shared" si="4"/>
        <v>#REF!</v>
      </c>
      <c r="F33" s="12" t="e">
        <f>COUNTIFS(#REF!,'2017-11월 통계'!F$6,#REF!,'2017-11월 통계'!$C$27,#REF!,'2017-11월 통계'!$D33)</f>
        <v>#REF!</v>
      </c>
      <c r="G33" s="12" t="e">
        <f>COUNTIFS(#REF!,'2017-11월 통계'!G$6,#REF!,'2017-11월 통계'!$C$27,#REF!,'2017-11월 통계'!$D33)</f>
        <v>#REF!</v>
      </c>
      <c r="H33" s="12" t="e">
        <f>COUNTIFS(#REF!,'2017-11월 통계'!H$6,#REF!,'2017-11월 통계'!$C$27,#REF!,'2017-11월 통계'!$D33)</f>
        <v>#REF!</v>
      </c>
      <c r="I33" s="12" t="e">
        <f>COUNTIFS(#REF!,'2017-11월 통계'!I$6,#REF!,'2017-11월 통계'!$C$27,#REF!,'2017-11월 통계'!$D33)</f>
        <v>#REF!</v>
      </c>
      <c r="J33" s="12" t="e">
        <f>COUNTIFS(#REF!,'2017-11월 통계'!J$6,#REF!,'2017-11월 통계'!$C$27,#REF!,'2017-11월 통계'!$D33)</f>
        <v>#REF!</v>
      </c>
      <c r="K33" s="12" t="e">
        <f>COUNTIFS(#REF!,'2017-11월 통계'!K$6,#REF!,'2017-11월 통계'!$C$27,#REF!,'2017-11월 통계'!$D33)</f>
        <v>#REF!</v>
      </c>
      <c r="L33" s="12" t="e">
        <f>COUNTIFS(#REF!,'2017-11월 통계'!L$6,#REF!,'2017-11월 통계'!$C$27,#REF!,'2017-11월 통계'!$D33)</f>
        <v>#REF!</v>
      </c>
      <c r="M33" s="12" t="e">
        <f>COUNTIFS(#REF!,'2017-11월 통계'!M$6,#REF!,'2017-11월 통계'!$C$27,#REF!,'2017-11월 통계'!$D33)</f>
        <v>#REF!</v>
      </c>
      <c r="N33" s="12" t="e">
        <f>COUNTIFS(#REF!,'2017-11월 통계'!N$6,#REF!,'2017-11월 통계'!$C$27,#REF!,'2017-11월 통계'!$D33)</f>
        <v>#REF!</v>
      </c>
      <c r="O33" s="12">
        <v>0</v>
      </c>
      <c r="P33" s="12">
        <v>0</v>
      </c>
      <c r="Q33" s="12">
        <v>0</v>
      </c>
      <c r="R33" s="12">
        <v>0</v>
      </c>
      <c r="S33" s="12">
        <v>0</v>
      </c>
      <c r="T33" s="12">
        <v>0</v>
      </c>
      <c r="U33" s="12">
        <v>0</v>
      </c>
      <c r="V33" s="12">
        <v>0</v>
      </c>
      <c r="W33" s="12">
        <v>0</v>
      </c>
      <c r="X33" s="12">
        <v>0</v>
      </c>
      <c r="Y33" s="12">
        <v>0</v>
      </c>
      <c r="Z33" s="12">
        <v>0</v>
      </c>
      <c r="AA33" s="12">
        <v>0</v>
      </c>
      <c r="AB33" s="12">
        <v>0</v>
      </c>
      <c r="AC33" s="12">
        <v>0</v>
      </c>
      <c r="AD33" s="12">
        <v>0</v>
      </c>
      <c r="AE33" s="12">
        <v>0</v>
      </c>
      <c r="AF33" s="12">
        <v>0</v>
      </c>
      <c r="AG33" s="12">
        <v>0</v>
      </c>
      <c r="AH33" s="12">
        <v>0</v>
      </c>
      <c r="AI33" s="12">
        <v>0</v>
      </c>
      <c r="AJ33" s="12" t="e">
        <f>COUNTIFS(#REF!,'2017-11월 통계'!AJ$6,#REF!,'2017-11월 통계'!$C$27,#REF!,'2017-11월 통계'!$D33)</f>
        <v>#REF!</v>
      </c>
    </row>
    <row r="34" spans="3:36">
      <c r="C34" s="277"/>
      <c r="D34" s="7" t="s">
        <v>17</v>
      </c>
      <c r="E34" s="19" t="e">
        <f t="shared" si="4"/>
        <v>#REF!</v>
      </c>
      <c r="F34" s="13" t="e">
        <f t="shared" ref="F34:N34" si="5">F9-(SUM(F27:F33))</f>
        <v>#REF!</v>
      </c>
      <c r="G34" s="13" t="e">
        <f t="shared" si="5"/>
        <v>#REF!</v>
      </c>
      <c r="H34" s="13" t="e">
        <f t="shared" si="5"/>
        <v>#REF!</v>
      </c>
      <c r="I34" s="13" t="e">
        <f t="shared" si="5"/>
        <v>#REF!</v>
      </c>
      <c r="J34" s="13" t="e">
        <f t="shared" si="5"/>
        <v>#REF!</v>
      </c>
      <c r="K34" s="13" t="e">
        <f t="shared" si="5"/>
        <v>#REF!</v>
      </c>
      <c r="L34" s="13" t="e">
        <f t="shared" si="5"/>
        <v>#REF!</v>
      </c>
      <c r="M34" s="13" t="e">
        <f t="shared" si="5"/>
        <v>#REF!</v>
      </c>
      <c r="N34" s="13" t="e">
        <f t="shared" si="5"/>
        <v>#REF!</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0</v>
      </c>
      <c r="AI34" s="13">
        <v>1</v>
      </c>
      <c r="AJ34" s="13" t="e">
        <f>AJ9-(SUM(AJ27:AJ33))</f>
        <v>#REF!</v>
      </c>
    </row>
    <row r="35" spans="3:36">
      <c r="C35" s="20"/>
      <c r="D35" s="21"/>
      <c r="E35" s="22"/>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row>
    <row r="36" spans="3:36">
      <c r="E36" s="18"/>
    </row>
    <row r="37" spans="3:36">
      <c r="C37" s="277" t="s">
        <v>3</v>
      </c>
      <c r="D37" s="10" t="s">
        <v>5</v>
      </c>
      <c r="E37" s="19" t="e">
        <f t="shared" ref="E37:E44" si="6">SUM(F37:AJ37)</f>
        <v>#REF!</v>
      </c>
      <c r="F37" s="11" t="e">
        <f>COUNTIFS(#REF!,'2017-11월 통계'!F$6,#REF!,'2017-11월 통계'!$C$37,#REF!,'2017-11월 통계'!$D37)</f>
        <v>#REF!</v>
      </c>
      <c r="G37" s="11" t="e">
        <f>COUNTIFS(#REF!,'2017-11월 통계'!G$6,#REF!,'2017-11월 통계'!$C$37,#REF!,'2017-11월 통계'!$D37)</f>
        <v>#REF!</v>
      </c>
      <c r="H37" s="11" t="e">
        <f>COUNTIFS(#REF!,'2017-11월 통계'!H$6,#REF!,'2017-11월 통계'!$C$37,#REF!,'2017-11월 통계'!$D37)</f>
        <v>#REF!</v>
      </c>
      <c r="I37" s="11" t="e">
        <f>COUNTIFS(#REF!,'2017-11월 통계'!I$6,#REF!,'2017-11월 통계'!$C$37,#REF!,'2017-11월 통계'!$D37)</f>
        <v>#REF!</v>
      </c>
      <c r="J37" s="11" t="e">
        <f>COUNTIFS(#REF!,'2017-11월 통계'!J$6,#REF!,'2017-11월 통계'!$C$37,#REF!,'2017-11월 통계'!$D37)</f>
        <v>#REF!</v>
      </c>
      <c r="K37" s="11" t="e">
        <f>COUNTIFS(#REF!,'2017-11월 통계'!K$6,#REF!,'2017-11월 통계'!$C$37,#REF!,'2017-11월 통계'!$D37)</f>
        <v>#REF!</v>
      </c>
      <c r="L37" s="11" t="e">
        <f>COUNTIFS(#REF!,'2017-11월 통계'!L$6,#REF!,'2017-11월 통계'!$C$37,#REF!,'2017-11월 통계'!$D37)</f>
        <v>#REF!</v>
      </c>
      <c r="M37" s="11" t="e">
        <f>COUNTIFS(#REF!,'2017-11월 통계'!M$6,#REF!,'2017-11월 통계'!$C$37,#REF!,'2017-11월 통계'!$D37)</f>
        <v>#REF!</v>
      </c>
      <c r="N37" s="11" t="e">
        <f>COUNTIFS(#REF!,'2017-11월 통계'!N$6,#REF!,'2017-11월 통계'!$C$37,#REF!,'2017-11월 통계'!$D37)</f>
        <v>#REF!</v>
      </c>
      <c r="O37" s="11">
        <v>0</v>
      </c>
      <c r="P37" s="11">
        <v>0</v>
      </c>
      <c r="Q37" s="11">
        <v>0</v>
      </c>
      <c r="R37" s="11">
        <v>0</v>
      </c>
      <c r="S37" s="11">
        <v>0</v>
      </c>
      <c r="T37" s="11">
        <v>0</v>
      </c>
      <c r="U37" s="11">
        <v>0</v>
      </c>
      <c r="V37" s="11">
        <v>0</v>
      </c>
      <c r="W37" s="11">
        <v>0</v>
      </c>
      <c r="X37" s="11">
        <v>0</v>
      </c>
      <c r="Y37" s="11">
        <v>0</v>
      </c>
      <c r="Z37" s="11">
        <v>1</v>
      </c>
      <c r="AA37" s="11">
        <v>0</v>
      </c>
      <c r="AB37" s="11">
        <v>0</v>
      </c>
      <c r="AC37" s="11">
        <v>0</v>
      </c>
      <c r="AD37" s="11">
        <v>1</v>
      </c>
      <c r="AE37" s="11">
        <v>0</v>
      </c>
      <c r="AF37" s="11">
        <v>1</v>
      </c>
      <c r="AG37" s="11">
        <v>2</v>
      </c>
      <c r="AH37" s="11">
        <v>5</v>
      </c>
      <c r="AI37" s="11">
        <v>4</v>
      </c>
      <c r="AJ37" s="11" t="e">
        <f>COUNTIFS(#REF!,'2017-11월 통계'!AJ$6,#REF!,'2017-11월 통계'!$C$37,#REF!,'2017-11월 통계'!$D37)</f>
        <v>#REF!</v>
      </c>
    </row>
    <row r="38" spans="3:36">
      <c r="C38" s="277"/>
      <c r="D38" s="7" t="s">
        <v>8</v>
      </c>
      <c r="E38" s="19" t="e">
        <f t="shared" si="6"/>
        <v>#REF!</v>
      </c>
      <c r="F38" s="12" t="e">
        <f>COUNTIFS(#REF!,'2017-11월 통계'!F$6,#REF!,'2017-11월 통계'!$C$37,#REF!,'2017-11월 통계'!$D38)</f>
        <v>#REF!</v>
      </c>
      <c r="G38" s="12" t="e">
        <f>COUNTIFS(#REF!,'2017-11월 통계'!G$6,#REF!,'2017-11월 통계'!$C$37,#REF!,'2017-11월 통계'!$D38)</f>
        <v>#REF!</v>
      </c>
      <c r="H38" s="12" t="e">
        <f>COUNTIFS(#REF!,'2017-11월 통계'!H$6,#REF!,'2017-11월 통계'!$C$37,#REF!,'2017-11월 통계'!$D38)</f>
        <v>#REF!</v>
      </c>
      <c r="I38" s="12" t="e">
        <f>COUNTIFS(#REF!,'2017-11월 통계'!I$6,#REF!,'2017-11월 통계'!$C$37,#REF!,'2017-11월 통계'!$D38)</f>
        <v>#REF!</v>
      </c>
      <c r="J38" s="12" t="e">
        <f>COUNTIFS(#REF!,'2017-11월 통계'!J$6,#REF!,'2017-11월 통계'!$C$37,#REF!,'2017-11월 통계'!$D38)</f>
        <v>#REF!</v>
      </c>
      <c r="K38" s="12" t="e">
        <f>COUNTIFS(#REF!,'2017-11월 통계'!K$6,#REF!,'2017-11월 통계'!$C$37,#REF!,'2017-11월 통계'!$D38)</f>
        <v>#REF!</v>
      </c>
      <c r="L38" s="12" t="e">
        <f>COUNTIFS(#REF!,'2017-11월 통계'!L$6,#REF!,'2017-11월 통계'!$C$37,#REF!,'2017-11월 통계'!$D38)</f>
        <v>#REF!</v>
      </c>
      <c r="M38" s="12" t="e">
        <f>COUNTIFS(#REF!,'2017-11월 통계'!M$6,#REF!,'2017-11월 통계'!$C$37,#REF!,'2017-11월 통계'!$D38)</f>
        <v>#REF!</v>
      </c>
      <c r="N38" s="12" t="e">
        <f>COUNTIFS(#REF!,'2017-11월 통계'!N$6,#REF!,'2017-11월 통계'!$C$37,#REF!,'2017-11월 통계'!$D38)</f>
        <v>#REF!</v>
      </c>
      <c r="O38" s="12">
        <v>0</v>
      </c>
      <c r="P38" s="12">
        <v>0</v>
      </c>
      <c r="Q38" s="12">
        <v>0</v>
      </c>
      <c r="R38" s="12">
        <v>0</v>
      </c>
      <c r="S38" s="12">
        <v>0</v>
      </c>
      <c r="T38" s="12">
        <v>0</v>
      </c>
      <c r="U38" s="12">
        <v>0</v>
      </c>
      <c r="V38" s="12">
        <v>1</v>
      </c>
      <c r="W38" s="12">
        <v>0</v>
      </c>
      <c r="X38" s="12">
        <v>0</v>
      </c>
      <c r="Y38" s="12">
        <v>1</v>
      </c>
      <c r="Z38" s="12">
        <v>6</v>
      </c>
      <c r="AA38" s="12">
        <v>3</v>
      </c>
      <c r="AB38" s="12">
        <v>1</v>
      </c>
      <c r="AC38" s="12">
        <v>2</v>
      </c>
      <c r="AD38" s="12">
        <v>0</v>
      </c>
      <c r="AE38" s="12">
        <v>0</v>
      </c>
      <c r="AF38" s="12">
        <v>4</v>
      </c>
      <c r="AG38" s="12">
        <v>7</v>
      </c>
      <c r="AH38" s="12">
        <v>2</v>
      </c>
      <c r="AI38" s="12">
        <v>8</v>
      </c>
      <c r="AJ38" s="12" t="e">
        <f>COUNTIFS(#REF!,'2017-11월 통계'!AJ$6,#REF!,'2017-11월 통계'!$C$37,#REF!,'2017-11월 통계'!$D38)</f>
        <v>#REF!</v>
      </c>
    </row>
    <row r="39" spans="3:36">
      <c r="C39" s="277"/>
      <c r="D39" s="7" t="s">
        <v>9</v>
      </c>
      <c r="E39" s="19" t="e">
        <f t="shared" si="6"/>
        <v>#REF!</v>
      </c>
      <c r="F39" s="12" t="e">
        <f>COUNTIFS(#REF!,'2017-11월 통계'!F$6,#REF!,'2017-11월 통계'!$C$37,#REF!,'2017-11월 통계'!$D39)</f>
        <v>#REF!</v>
      </c>
      <c r="G39" s="12" t="e">
        <f>COUNTIFS(#REF!,'2017-11월 통계'!G$6,#REF!,'2017-11월 통계'!$C$37,#REF!,'2017-11월 통계'!$D39)</f>
        <v>#REF!</v>
      </c>
      <c r="H39" s="12" t="e">
        <f>COUNTIFS(#REF!,'2017-11월 통계'!H$6,#REF!,'2017-11월 통계'!$C$37,#REF!,'2017-11월 통계'!$D39)</f>
        <v>#REF!</v>
      </c>
      <c r="I39" s="12" t="e">
        <f>COUNTIFS(#REF!,'2017-11월 통계'!I$6,#REF!,'2017-11월 통계'!$C$37,#REF!,'2017-11월 통계'!$D39)</f>
        <v>#REF!</v>
      </c>
      <c r="J39" s="12" t="e">
        <f>COUNTIFS(#REF!,'2017-11월 통계'!J$6,#REF!,'2017-11월 통계'!$C$37,#REF!,'2017-11월 통계'!$D39)</f>
        <v>#REF!</v>
      </c>
      <c r="K39" s="12" t="e">
        <f>COUNTIFS(#REF!,'2017-11월 통계'!K$6,#REF!,'2017-11월 통계'!$C$37,#REF!,'2017-11월 통계'!$D39)</f>
        <v>#REF!</v>
      </c>
      <c r="L39" s="12" t="e">
        <f>COUNTIFS(#REF!,'2017-11월 통계'!L$6,#REF!,'2017-11월 통계'!$C$37,#REF!,'2017-11월 통계'!$D39)</f>
        <v>#REF!</v>
      </c>
      <c r="M39" s="12" t="e">
        <f>COUNTIFS(#REF!,'2017-11월 통계'!M$6,#REF!,'2017-11월 통계'!$C$37,#REF!,'2017-11월 통계'!$D39)</f>
        <v>#REF!</v>
      </c>
      <c r="N39" s="12" t="e">
        <f>COUNTIFS(#REF!,'2017-11월 통계'!N$6,#REF!,'2017-11월 통계'!$C$37,#REF!,'2017-11월 통계'!$D39)</f>
        <v>#REF!</v>
      </c>
      <c r="O39" s="12">
        <v>0</v>
      </c>
      <c r="P39" s="12">
        <v>0</v>
      </c>
      <c r="Q39" s="12">
        <v>0</v>
      </c>
      <c r="R39" s="12">
        <v>0</v>
      </c>
      <c r="S39" s="12">
        <v>0</v>
      </c>
      <c r="T39" s="12">
        <v>0</v>
      </c>
      <c r="U39" s="12">
        <v>0</v>
      </c>
      <c r="V39" s="12">
        <v>0</v>
      </c>
      <c r="W39" s="12">
        <v>0</v>
      </c>
      <c r="X39" s="12">
        <v>0</v>
      </c>
      <c r="Y39" s="12">
        <v>0</v>
      </c>
      <c r="Z39" s="12">
        <v>0</v>
      </c>
      <c r="AA39" s="12">
        <v>0</v>
      </c>
      <c r="AB39" s="12">
        <v>0</v>
      </c>
      <c r="AC39" s="12">
        <v>1</v>
      </c>
      <c r="AD39" s="12">
        <v>0</v>
      </c>
      <c r="AE39" s="12">
        <v>0</v>
      </c>
      <c r="AF39" s="12">
        <v>1</v>
      </c>
      <c r="AG39" s="12">
        <v>0</v>
      </c>
      <c r="AH39" s="12">
        <v>3</v>
      </c>
      <c r="AI39" s="12">
        <v>2</v>
      </c>
      <c r="AJ39" s="12" t="e">
        <f>COUNTIFS(#REF!,'2017-11월 통계'!AJ$6,#REF!,'2017-11월 통계'!$C$37,#REF!,'2017-11월 통계'!$D39)</f>
        <v>#REF!</v>
      </c>
    </row>
    <row r="40" spans="3:36">
      <c r="C40" s="277"/>
      <c r="D40" s="7" t="s">
        <v>1</v>
      </c>
      <c r="E40" s="19" t="e">
        <f t="shared" si="6"/>
        <v>#REF!</v>
      </c>
      <c r="F40" s="12" t="e">
        <f>COUNTIFS(#REF!,'2017-11월 통계'!F$6,#REF!,'2017-11월 통계'!$C$37,#REF!,'2017-11월 통계'!$D40)</f>
        <v>#REF!</v>
      </c>
      <c r="G40" s="12" t="e">
        <f>COUNTIFS(#REF!,'2017-11월 통계'!G$6,#REF!,'2017-11월 통계'!$C$37,#REF!,'2017-11월 통계'!$D40)</f>
        <v>#REF!</v>
      </c>
      <c r="H40" s="12" t="e">
        <f>COUNTIFS(#REF!,'2017-11월 통계'!H$6,#REF!,'2017-11월 통계'!$C$37,#REF!,'2017-11월 통계'!$D40)</f>
        <v>#REF!</v>
      </c>
      <c r="I40" s="12" t="e">
        <f>COUNTIFS(#REF!,'2017-11월 통계'!I$6,#REF!,'2017-11월 통계'!$C$37,#REF!,'2017-11월 통계'!$D40)</f>
        <v>#REF!</v>
      </c>
      <c r="J40" s="12" t="e">
        <f>COUNTIFS(#REF!,'2017-11월 통계'!J$6,#REF!,'2017-11월 통계'!$C$37,#REF!,'2017-11월 통계'!$D40)</f>
        <v>#REF!</v>
      </c>
      <c r="K40" s="12" t="e">
        <f>COUNTIFS(#REF!,'2017-11월 통계'!K$6,#REF!,'2017-11월 통계'!$C$37,#REF!,'2017-11월 통계'!$D40)</f>
        <v>#REF!</v>
      </c>
      <c r="L40" s="12" t="e">
        <f>COUNTIFS(#REF!,'2017-11월 통계'!L$6,#REF!,'2017-11월 통계'!$C$37,#REF!,'2017-11월 통계'!$D40)</f>
        <v>#REF!</v>
      </c>
      <c r="M40" s="12" t="e">
        <f>COUNTIFS(#REF!,'2017-11월 통계'!M$6,#REF!,'2017-11월 통계'!$C$37,#REF!,'2017-11월 통계'!$D40)</f>
        <v>#REF!</v>
      </c>
      <c r="N40" s="12" t="e">
        <f>COUNTIFS(#REF!,'2017-11월 통계'!N$6,#REF!,'2017-11월 통계'!$C$37,#REF!,'2017-11월 통계'!$D40)</f>
        <v>#REF!</v>
      </c>
      <c r="O40" s="12">
        <v>0</v>
      </c>
      <c r="P40" s="12">
        <v>0</v>
      </c>
      <c r="Q40" s="12">
        <v>0</v>
      </c>
      <c r="R40" s="12">
        <v>0</v>
      </c>
      <c r="S40" s="12">
        <v>0</v>
      </c>
      <c r="T40" s="12">
        <v>0</v>
      </c>
      <c r="U40" s="12">
        <v>0</v>
      </c>
      <c r="V40" s="12">
        <v>1</v>
      </c>
      <c r="W40" s="12">
        <v>0</v>
      </c>
      <c r="X40" s="12">
        <v>0</v>
      </c>
      <c r="Y40" s="12">
        <v>0</v>
      </c>
      <c r="Z40" s="12">
        <v>0</v>
      </c>
      <c r="AA40" s="12">
        <v>0</v>
      </c>
      <c r="AB40" s="12">
        <v>0</v>
      </c>
      <c r="AC40" s="12">
        <v>0</v>
      </c>
      <c r="AD40" s="12">
        <v>0</v>
      </c>
      <c r="AE40" s="12">
        <v>0</v>
      </c>
      <c r="AF40" s="12">
        <v>0</v>
      </c>
      <c r="AG40" s="12">
        <v>2</v>
      </c>
      <c r="AH40" s="12">
        <v>6</v>
      </c>
      <c r="AI40" s="12">
        <v>6</v>
      </c>
      <c r="AJ40" s="12" t="e">
        <f>COUNTIFS(#REF!,'2017-11월 통계'!AJ$6,#REF!,'2017-11월 통계'!$C$37,#REF!,'2017-11월 통계'!$D40)</f>
        <v>#REF!</v>
      </c>
    </row>
    <row r="41" spans="3:36">
      <c r="C41" s="277"/>
      <c r="D41" s="7" t="s">
        <v>10</v>
      </c>
      <c r="E41" s="19" t="e">
        <f t="shared" si="6"/>
        <v>#REF!</v>
      </c>
      <c r="F41" s="12" t="e">
        <f>COUNTIFS(#REF!,'2017-11월 통계'!F$6,#REF!,'2017-11월 통계'!$C$37,#REF!,'2017-11월 통계'!$D41)</f>
        <v>#REF!</v>
      </c>
      <c r="G41" s="12" t="e">
        <f>COUNTIFS(#REF!,'2017-11월 통계'!G$6,#REF!,'2017-11월 통계'!$C$37,#REF!,'2017-11월 통계'!$D41)</f>
        <v>#REF!</v>
      </c>
      <c r="H41" s="12" t="e">
        <f>COUNTIFS(#REF!,'2017-11월 통계'!H$6,#REF!,'2017-11월 통계'!$C$37,#REF!,'2017-11월 통계'!$D41)</f>
        <v>#REF!</v>
      </c>
      <c r="I41" s="12" t="e">
        <f>COUNTIFS(#REF!,'2017-11월 통계'!I$6,#REF!,'2017-11월 통계'!$C$37,#REF!,'2017-11월 통계'!$D41)</f>
        <v>#REF!</v>
      </c>
      <c r="J41" s="12" t="e">
        <f>COUNTIFS(#REF!,'2017-11월 통계'!J$6,#REF!,'2017-11월 통계'!$C$37,#REF!,'2017-11월 통계'!$D41)</f>
        <v>#REF!</v>
      </c>
      <c r="K41" s="12" t="e">
        <f>COUNTIFS(#REF!,'2017-11월 통계'!K$6,#REF!,'2017-11월 통계'!$C$37,#REF!,'2017-11월 통계'!$D41)</f>
        <v>#REF!</v>
      </c>
      <c r="L41" s="12" t="e">
        <f>COUNTIFS(#REF!,'2017-11월 통계'!L$6,#REF!,'2017-11월 통계'!$C$37,#REF!,'2017-11월 통계'!$D41)</f>
        <v>#REF!</v>
      </c>
      <c r="M41" s="12" t="e">
        <f>COUNTIFS(#REF!,'2017-11월 통계'!M$6,#REF!,'2017-11월 통계'!$C$37,#REF!,'2017-11월 통계'!$D41)</f>
        <v>#REF!</v>
      </c>
      <c r="N41" s="12" t="e">
        <f>COUNTIFS(#REF!,'2017-11월 통계'!N$6,#REF!,'2017-11월 통계'!$C$37,#REF!,'2017-11월 통계'!$D41)</f>
        <v>#REF!</v>
      </c>
      <c r="O41" s="12">
        <v>0</v>
      </c>
      <c r="P41" s="12">
        <v>0</v>
      </c>
      <c r="Q41" s="12">
        <v>0</v>
      </c>
      <c r="R41" s="12">
        <v>0</v>
      </c>
      <c r="S41" s="12">
        <v>0</v>
      </c>
      <c r="T41" s="12">
        <v>0</v>
      </c>
      <c r="U41" s="12">
        <v>0</v>
      </c>
      <c r="V41" s="12">
        <v>0</v>
      </c>
      <c r="W41" s="12">
        <v>0</v>
      </c>
      <c r="X41" s="12">
        <v>0</v>
      </c>
      <c r="Y41" s="12">
        <v>0</v>
      </c>
      <c r="Z41" s="12">
        <v>0</v>
      </c>
      <c r="AA41" s="12">
        <v>0</v>
      </c>
      <c r="AB41" s="12">
        <v>0</v>
      </c>
      <c r="AC41" s="12">
        <v>4</v>
      </c>
      <c r="AD41" s="12">
        <v>0</v>
      </c>
      <c r="AE41" s="12">
        <v>0</v>
      </c>
      <c r="AF41" s="12">
        <v>0</v>
      </c>
      <c r="AG41" s="12">
        <v>4</v>
      </c>
      <c r="AH41" s="12">
        <v>2</v>
      </c>
      <c r="AI41" s="12">
        <v>4</v>
      </c>
      <c r="AJ41" s="12" t="e">
        <f>COUNTIFS(#REF!,'2017-11월 통계'!AJ$6,#REF!,'2017-11월 통계'!$C$37,#REF!,'2017-11월 통계'!$D41)</f>
        <v>#REF!</v>
      </c>
    </row>
    <row r="42" spans="3:36">
      <c r="C42" s="277"/>
      <c r="D42" s="7" t="s">
        <v>15</v>
      </c>
      <c r="E42" s="19" t="e">
        <f t="shared" si="6"/>
        <v>#REF!</v>
      </c>
      <c r="F42" s="12" t="e">
        <f>COUNTIFS(#REF!,'2017-11월 통계'!F$6,#REF!,'2017-11월 통계'!$C$37,#REF!,'2017-11월 통계'!$D42)</f>
        <v>#REF!</v>
      </c>
      <c r="G42" s="12" t="e">
        <f>COUNTIFS(#REF!,'2017-11월 통계'!G$6,#REF!,'2017-11월 통계'!$C$37,#REF!,'2017-11월 통계'!$D42)</f>
        <v>#REF!</v>
      </c>
      <c r="H42" s="12" t="e">
        <f>COUNTIFS(#REF!,'2017-11월 통계'!H$6,#REF!,'2017-11월 통계'!$C$37,#REF!,'2017-11월 통계'!$D42)</f>
        <v>#REF!</v>
      </c>
      <c r="I42" s="12" t="e">
        <f>COUNTIFS(#REF!,'2017-11월 통계'!I$6,#REF!,'2017-11월 통계'!$C$37,#REF!,'2017-11월 통계'!$D42)</f>
        <v>#REF!</v>
      </c>
      <c r="J42" s="12" t="e">
        <f>COUNTIFS(#REF!,'2017-11월 통계'!J$6,#REF!,'2017-11월 통계'!$C$37,#REF!,'2017-11월 통계'!$D42)</f>
        <v>#REF!</v>
      </c>
      <c r="K42" s="12" t="e">
        <f>COUNTIFS(#REF!,'2017-11월 통계'!K$6,#REF!,'2017-11월 통계'!$C$37,#REF!,'2017-11월 통계'!$D42)</f>
        <v>#REF!</v>
      </c>
      <c r="L42" s="12" t="e">
        <f>COUNTIFS(#REF!,'2017-11월 통계'!L$6,#REF!,'2017-11월 통계'!$C$37,#REF!,'2017-11월 통계'!$D42)</f>
        <v>#REF!</v>
      </c>
      <c r="M42" s="12" t="e">
        <f>COUNTIFS(#REF!,'2017-11월 통계'!M$6,#REF!,'2017-11월 통계'!$C$37,#REF!,'2017-11월 통계'!$D42)</f>
        <v>#REF!</v>
      </c>
      <c r="N42" s="12" t="e">
        <f>COUNTIFS(#REF!,'2017-11월 통계'!N$6,#REF!,'2017-11월 통계'!$C$37,#REF!,'2017-11월 통계'!$D42)</f>
        <v>#REF!</v>
      </c>
      <c r="O42" s="12">
        <v>0</v>
      </c>
      <c r="P42" s="12">
        <v>0</v>
      </c>
      <c r="Q42" s="12">
        <v>0</v>
      </c>
      <c r="R42" s="12">
        <v>0</v>
      </c>
      <c r="S42" s="12">
        <v>0</v>
      </c>
      <c r="T42" s="12">
        <v>0</v>
      </c>
      <c r="U42" s="12">
        <v>0</v>
      </c>
      <c r="V42" s="12">
        <v>0</v>
      </c>
      <c r="W42" s="12">
        <v>0</v>
      </c>
      <c r="X42" s="12">
        <v>0</v>
      </c>
      <c r="Y42" s="12">
        <v>0</v>
      </c>
      <c r="Z42" s="12">
        <v>0</v>
      </c>
      <c r="AA42" s="12">
        <v>0</v>
      </c>
      <c r="AB42" s="12">
        <v>0</v>
      </c>
      <c r="AC42" s="12">
        <v>0</v>
      </c>
      <c r="AD42" s="12">
        <v>0</v>
      </c>
      <c r="AE42" s="12">
        <v>0</v>
      </c>
      <c r="AF42" s="12">
        <v>0</v>
      </c>
      <c r="AG42" s="12">
        <v>0</v>
      </c>
      <c r="AH42" s="12">
        <v>0</v>
      </c>
      <c r="AI42" s="12">
        <v>0</v>
      </c>
      <c r="AJ42" s="12" t="e">
        <f>COUNTIFS(#REF!,'2017-11월 통계'!AJ$6,#REF!,'2017-11월 통계'!$C$37,#REF!,'2017-11월 통계'!$D42)</f>
        <v>#REF!</v>
      </c>
    </row>
    <row r="43" spans="3:36">
      <c r="C43" s="277"/>
      <c r="D43" s="7" t="s">
        <v>11</v>
      </c>
      <c r="E43" s="19" t="e">
        <f t="shared" si="6"/>
        <v>#REF!</v>
      </c>
      <c r="F43" s="12" t="e">
        <f>COUNTIFS(#REF!,'2017-11월 통계'!F$6,#REF!,'2017-11월 통계'!$C$37,#REF!,'2017-11월 통계'!$D43)</f>
        <v>#REF!</v>
      </c>
      <c r="G43" s="12" t="e">
        <f>COUNTIFS(#REF!,'2017-11월 통계'!G$6,#REF!,'2017-11월 통계'!$C$37,#REF!,'2017-11월 통계'!$D43)</f>
        <v>#REF!</v>
      </c>
      <c r="H43" s="12" t="e">
        <f>COUNTIFS(#REF!,'2017-11월 통계'!H$6,#REF!,'2017-11월 통계'!$C$37,#REF!,'2017-11월 통계'!$D43)</f>
        <v>#REF!</v>
      </c>
      <c r="I43" s="12" t="e">
        <f>COUNTIFS(#REF!,'2017-11월 통계'!I$6,#REF!,'2017-11월 통계'!$C$37,#REF!,'2017-11월 통계'!$D43)</f>
        <v>#REF!</v>
      </c>
      <c r="J43" s="12" t="e">
        <f>COUNTIFS(#REF!,'2017-11월 통계'!J$6,#REF!,'2017-11월 통계'!$C$37,#REF!,'2017-11월 통계'!$D43)</f>
        <v>#REF!</v>
      </c>
      <c r="K43" s="12" t="e">
        <f>COUNTIFS(#REF!,'2017-11월 통계'!K$6,#REF!,'2017-11월 통계'!$C$37,#REF!,'2017-11월 통계'!$D43)</f>
        <v>#REF!</v>
      </c>
      <c r="L43" s="12" t="e">
        <f>COUNTIFS(#REF!,'2017-11월 통계'!L$6,#REF!,'2017-11월 통계'!$C$37,#REF!,'2017-11월 통계'!$D43)</f>
        <v>#REF!</v>
      </c>
      <c r="M43" s="12" t="e">
        <f>COUNTIFS(#REF!,'2017-11월 통계'!M$6,#REF!,'2017-11월 통계'!$C$37,#REF!,'2017-11월 통계'!$D43)</f>
        <v>#REF!</v>
      </c>
      <c r="N43" s="12" t="e">
        <f>COUNTIFS(#REF!,'2017-11월 통계'!N$6,#REF!,'2017-11월 통계'!$C$37,#REF!,'2017-11월 통계'!$D43)</f>
        <v>#REF!</v>
      </c>
      <c r="O43" s="12">
        <v>0</v>
      </c>
      <c r="P43" s="12">
        <v>0</v>
      </c>
      <c r="Q43" s="12">
        <v>0</v>
      </c>
      <c r="R43" s="12">
        <v>0</v>
      </c>
      <c r="S43" s="12">
        <v>0</v>
      </c>
      <c r="T43" s="12">
        <v>0</v>
      </c>
      <c r="U43" s="12">
        <v>0</v>
      </c>
      <c r="V43" s="12">
        <v>0</v>
      </c>
      <c r="W43" s="12">
        <v>0</v>
      </c>
      <c r="X43" s="12">
        <v>0</v>
      </c>
      <c r="Y43" s="12">
        <v>0</v>
      </c>
      <c r="Z43" s="12">
        <v>0</v>
      </c>
      <c r="AA43" s="12">
        <v>0</v>
      </c>
      <c r="AB43" s="12">
        <v>0</v>
      </c>
      <c r="AC43" s="12">
        <v>0</v>
      </c>
      <c r="AD43" s="12">
        <v>0</v>
      </c>
      <c r="AE43" s="12">
        <v>0</v>
      </c>
      <c r="AF43" s="12">
        <v>0</v>
      </c>
      <c r="AG43" s="12">
        <v>0</v>
      </c>
      <c r="AH43" s="12">
        <v>0</v>
      </c>
      <c r="AI43" s="12">
        <v>0</v>
      </c>
      <c r="AJ43" s="12" t="e">
        <f>COUNTIFS(#REF!,'2017-11월 통계'!AJ$6,#REF!,'2017-11월 통계'!$C$37,#REF!,'2017-11월 통계'!$D43)</f>
        <v>#REF!</v>
      </c>
    </row>
    <row r="44" spans="3:36">
      <c r="C44" s="277"/>
      <c r="D44" s="7" t="s">
        <v>17</v>
      </c>
      <c r="E44" s="19" t="e">
        <f t="shared" si="6"/>
        <v>#REF!</v>
      </c>
      <c r="F44" s="13" t="e">
        <f t="shared" ref="F44:N44" si="7">F10-(SUM(F37:F43))</f>
        <v>#REF!</v>
      </c>
      <c r="G44" s="13" t="e">
        <f t="shared" si="7"/>
        <v>#REF!</v>
      </c>
      <c r="H44" s="13" t="e">
        <f t="shared" si="7"/>
        <v>#REF!</v>
      </c>
      <c r="I44" s="13" t="e">
        <f t="shared" si="7"/>
        <v>#REF!</v>
      </c>
      <c r="J44" s="13" t="e">
        <f t="shared" si="7"/>
        <v>#REF!</v>
      </c>
      <c r="K44" s="13" t="e">
        <f t="shared" si="7"/>
        <v>#REF!</v>
      </c>
      <c r="L44" s="13" t="e">
        <f t="shared" si="7"/>
        <v>#REF!</v>
      </c>
      <c r="M44" s="13" t="e">
        <f t="shared" si="7"/>
        <v>#REF!</v>
      </c>
      <c r="N44" s="13" t="e">
        <f t="shared" si="7"/>
        <v>#REF!</v>
      </c>
      <c r="O44" s="13">
        <v>0</v>
      </c>
      <c r="P44" s="13">
        <v>0</v>
      </c>
      <c r="Q44" s="13">
        <v>0</v>
      </c>
      <c r="R44" s="13">
        <v>0</v>
      </c>
      <c r="S44" s="13">
        <v>0</v>
      </c>
      <c r="T44" s="13">
        <v>0</v>
      </c>
      <c r="U44" s="13">
        <v>0</v>
      </c>
      <c r="V44" s="13">
        <v>0</v>
      </c>
      <c r="W44" s="13">
        <v>0</v>
      </c>
      <c r="X44" s="13">
        <v>0</v>
      </c>
      <c r="Y44" s="13">
        <v>0</v>
      </c>
      <c r="Z44" s="13">
        <v>0</v>
      </c>
      <c r="AA44" s="13">
        <v>0</v>
      </c>
      <c r="AB44" s="13">
        <v>0</v>
      </c>
      <c r="AC44" s="13">
        <v>0</v>
      </c>
      <c r="AD44" s="13">
        <v>0</v>
      </c>
      <c r="AE44" s="13">
        <v>0</v>
      </c>
      <c r="AF44" s="13">
        <v>0</v>
      </c>
      <c r="AG44" s="13">
        <v>0</v>
      </c>
      <c r="AH44" s="13">
        <v>1</v>
      </c>
      <c r="AI44" s="13">
        <v>1</v>
      </c>
      <c r="AJ44" s="13" t="e">
        <f>AJ10-(SUM(AJ37:AJ43))</f>
        <v>#REF!</v>
      </c>
    </row>
    <row r="45" spans="3:36">
      <c r="C45" s="20"/>
      <c r="D45" s="21"/>
      <c r="E45" s="22"/>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row>
    <row r="46" spans="3:36">
      <c r="C46" s="277" t="s">
        <v>4</v>
      </c>
      <c r="D46" s="10" t="s">
        <v>5</v>
      </c>
      <c r="E46" s="19" t="e">
        <f t="shared" ref="E46:E53" si="8">SUM(F46:AJ46)</f>
        <v>#REF!</v>
      </c>
      <c r="F46" s="11" t="e">
        <f>COUNTIFS(#REF!,'2017-11월 통계'!F$6,#REF!,'2017-11월 통계'!$C$46,#REF!,'2017-11월 통계'!$D46)</f>
        <v>#REF!</v>
      </c>
      <c r="G46" s="11" t="e">
        <f>COUNTIFS(#REF!,'2017-11월 통계'!G$6,#REF!,'2017-11월 통계'!$C$46,#REF!,'2017-11월 통계'!$D46)</f>
        <v>#REF!</v>
      </c>
      <c r="H46" s="11" t="e">
        <f>COUNTIFS(#REF!,'2017-11월 통계'!H$6,#REF!,'2017-11월 통계'!$C$46,#REF!,'2017-11월 통계'!$D46)</f>
        <v>#REF!</v>
      </c>
      <c r="I46" s="11" t="e">
        <f>COUNTIFS(#REF!,'2017-11월 통계'!I$6,#REF!,'2017-11월 통계'!$C$46,#REF!,'2017-11월 통계'!$D46)</f>
        <v>#REF!</v>
      </c>
      <c r="J46" s="11" t="e">
        <f>COUNTIFS(#REF!,'2017-11월 통계'!J$6,#REF!,'2017-11월 통계'!$C$46,#REF!,'2017-11월 통계'!$D46)</f>
        <v>#REF!</v>
      </c>
      <c r="K46" s="11" t="e">
        <f>COUNTIFS(#REF!,'2017-11월 통계'!K$6,#REF!,'2017-11월 통계'!$C$46,#REF!,'2017-11월 통계'!$D46)</f>
        <v>#REF!</v>
      </c>
      <c r="L46" s="11" t="e">
        <f>COUNTIFS(#REF!,'2017-11월 통계'!L$6,#REF!,'2017-11월 통계'!$C$46,#REF!,'2017-11월 통계'!$D46)</f>
        <v>#REF!</v>
      </c>
      <c r="M46" s="11" t="e">
        <f>COUNTIFS(#REF!,'2017-11월 통계'!M$6,#REF!,'2017-11월 통계'!$C$46,#REF!,'2017-11월 통계'!$D46)</f>
        <v>#REF!</v>
      </c>
      <c r="N46" s="11" t="e">
        <f>COUNTIFS(#REF!,'2017-11월 통계'!N$6,#REF!,'2017-11월 통계'!$C$46,#REF!,'2017-11월 통계'!$D46)</f>
        <v>#REF!</v>
      </c>
      <c r="O46" s="11">
        <v>0</v>
      </c>
      <c r="P46" s="11">
        <v>0</v>
      </c>
      <c r="Q46" s="11">
        <v>0</v>
      </c>
      <c r="R46" s="11">
        <v>0</v>
      </c>
      <c r="S46" s="11">
        <v>0</v>
      </c>
      <c r="T46" s="11">
        <v>0</v>
      </c>
      <c r="U46" s="11">
        <v>0</v>
      </c>
      <c r="V46" s="11">
        <v>2</v>
      </c>
      <c r="W46" s="11">
        <v>2</v>
      </c>
      <c r="X46" s="11">
        <v>0</v>
      </c>
      <c r="Y46" s="11">
        <v>0</v>
      </c>
      <c r="Z46" s="11">
        <v>0</v>
      </c>
      <c r="AA46" s="11">
        <v>0</v>
      </c>
      <c r="AB46" s="11">
        <v>3</v>
      </c>
      <c r="AC46" s="11">
        <v>0</v>
      </c>
      <c r="AD46" s="11">
        <v>2</v>
      </c>
      <c r="AE46" s="11">
        <v>0</v>
      </c>
      <c r="AF46" s="11">
        <v>1</v>
      </c>
      <c r="AG46" s="11">
        <v>1</v>
      </c>
      <c r="AH46" s="11">
        <v>4</v>
      </c>
      <c r="AI46" s="11">
        <v>1</v>
      </c>
      <c r="AJ46" s="11" t="e">
        <f>COUNTIFS(#REF!,'2017-11월 통계'!AJ$6,#REF!,'2017-11월 통계'!$C$46,#REF!,'2017-11월 통계'!$D46)</f>
        <v>#REF!</v>
      </c>
    </row>
    <row r="47" spans="3:36">
      <c r="C47" s="277"/>
      <c r="D47" s="7" t="s">
        <v>8</v>
      </c>
      <c r="E47" s="19" t="e">
        <f t="shared" si="8"/>
        <v>#REF!</v>
      </c>
      <c r="F47" s="12" t="e">
        <f>COUNTIFS(#REF!,'2017-11월 통계'!F$6,#REF!,'2017-11월 통계'!$C$46,#REF!,'2017-11월 통계'!$D47)</f>
        <v>#REF!</v>
      </c>
      <c r="G47" s="12" t="e">
        <f>COUNTIFS(#REF!,'2017-11월 통계'!G$6,#REF!,'2017-11월 통계'!$C$46,#REF!,'2017-11월 통계'!$D47)</f>
        <v>#REF!</v>
      </c>
      <c r="H47" s="12" t="e">
        <f>COUNTIFS(#REF!,'2017-11월 통계'!H$6,#REF!,'2017-11월 통계'!$C$46,#REF!,'2017-11월 통계'!$D47)</f>
        <v>#REF!</v>
      </c>
      <c r="I47" s="12" t="e">
        <f>COUNTIFS(#REF!,'2017-11월 통계'!I$6,#REF!,'2017-11월 통계'!$C$46,#REF!,'2017-11월 통계'!$D47)</f>
        <v>#REF!</v>
      </c>
      <c r="J47" s="12" t="e">
        <f>COUNTIFS(#REF!,'2017-11월 통계'!J$6,#REF!,'2017-11월 통계'!$C$46,#REF!,'2017-11월 통계'!$D47)</f>
        <v>#REF!</v>
      </c>
      <c r="K47" s="12" t="e">
        <f>COUNTIFS(#REF!,'2017-11월 통계'!K$6,#REF!,'2017-11월 통계'!$C$46,#REF!,'2017-11월 통계'!$D47)</f>
        <v>#REF!</v>
      </c>
      <c r="L47" s="12" t="e">
        <f>COUNTIFS(#REF!,'2017-11월 통계'!L$6,#REF!,'2017-11월 통계'!$C$46,#REF!,'2017-11월 통계'!$D47)</f>
        <v>#REF!</v>
      </c>
      <c r="M47" s="12" t="e">
        <f>COUNTIFS(#REF!,'2017-11월 통계'!M$6,#REF!,'2017-11월 통계'!$C$46,#REF!,'2017-11월 통계'!$D47)</f>
        <v>#REF!</v>
      </c>
      <c r="N47" s="12" t="e">
        <f>COUNTIFS(#REF!,'2017-11월 통계'!N$6,#REF!,'2017-11월 통계'!$C$46,#REF!,'2017-11월 통계'!$D47)</f>
        <v>#REF!</v>
      </c>
      <c r="O47" s="12">
        <v>0</v>
      </c>
      <c r="P47" s="12">
        <v>0</v>
      </c>
      <c r="Q47" s="12">
        <v>0</v>
      </c>
      <c r="R47" s="12">
        <v>0</v>
      </c>
      <c r="S47" s="12">
        <v>0</v>
      </c>
      <c r="T47" s="12">
        <v>0</v>
      </c>
      <c r="U47" s="12">
        <v>0</v>
      </c>
      <c r="V47" s="12">
        <v>0</v>
      </c>
      <c r="W47" s="12">
        <v>0</v>
      </c>
      <c r="X47" s="12">
        <v>0</v>
      </c>
      <c r="Y47" s="12">
        <v>0</v>
      </c>
      <c r="Z47" s="12">
        <v>0</v>
      </c>
      <c r="AA47" s="12">
        <v>0</v>
      </c>
      <c r="AB47" s="12">
        <v>2</v>
      </c>
      <c r="AC47" s="12">
        <v>0</v>
      </c>
      <c r="AD47" s="12">
        <v>0</v>
      </c>
      <c r="AE47" s="12">
        <v>0</v>
      </c>
      <c r="AF47" s="12">
        <v>1</v>
      </c>
      <c r="AG47" s="12">
        <v>0</v>
      </c>
      <c r="AH47" s="12">
        <v>3</v>
      </c>
      <c r="AI47" s="12">
        <v>2</v>
      </c>
      <c r="AJ47" s="12" t="e">
        <f>COUNTIFS(#REF!,'2017-11월 통계'!AJ$6,#REF!,'2017-11월 통계'!$C$46,#REF!,'2017-11월 통계'!$D47)</f>
        <v>#REF!</v>
      </c>
    </row>
    <row r="48" spans="3:36">
      <c r="C48" s="277"/>
      <c r="D48" s="7" t="s">
        <v>9</v>
      </c>
      <c r="E48" s="19" t="e">
        <f t="shared" si="8"/>
        <v>#REF!</v>
      </c>
      <c r="F48" s="12" t="e">
        <f>COUNTIFS(#REF!,'2017-11월 통계'!F$6,#REF!,'2017-11월 통계'!$C$46,#REF!,'2017-11월 통계'!$D48)</f>
        <v>#REF!</v>
      </c>
      <c r="G48" s="12" t="e">
        <f>COUNTIFS(#REF!,'2017-11월 통계'!G$6,#REF!,'2017-11월 통계'!$C$46,#REF!,'2017-11월 통계'!$D48)</f>
        <v>#REF!</v>
      </c>
      <c r="H48" s="12" t="e">
        <f>COUNTIFS(#REF!,'2017-11월 통계'!H$6,#REF!,'2017-11월 통계'!$C$46,#REF!,'2017-11월 통계'!$D48)</f>
        <v>#REF!</v>
      </c>
      <c r="I48" s="12" t="e">
        <f>COUNTIFS(#REF!,'2017-11월 통계'!I$6,#REF!,'2017-11월 통계'!$C$46,#REF!,'2017-11월 통계'!$D48)</f>
        <v>#REF!</v>
      </c>
      <c r="J48" s="12" t="e">
        <f>COUNTIFS(#REF!,'2017-11월 통계'!J$6,#REF!,'2017-11월 통계'!$C$46,#REF!,'2017-11월 통계'!$D48)</f>
        <v>#REF!</v>
      </c>
      <c r="K48" s="12" t="e">
        <f>COUNTIFS(#REF!,'2017-11월 통계'!K$6,#REF!,'2017-11월 통계'!$C$46,#REF!,'2017-11월 통계'!$D48)</f>
        <v>#REF!</v>
      </c>
      <c r="L48" s="12" t="e">
        <f>COUNTIFS(#REF!,'2017-11월 통계'!L$6,#REF!,'2017-11월 통계'!$C$46,#REF!,'2017-11월 통계'!$D48)</f>
        <v>#REF!</v>
      </c>
      <c r="M48" s="12" t="e">
        <f>COUNTIFS(#REF!,'2017-11월 통계'!M$6,#REF!,'2017-11월 통계'!$C$46,#REF!,'2017-11월 통계'!$D48)</f>
        <v>#REF!</v>
      </c>
      <c r="N48" s="12" t="e">
        <f>COUNTIFS(#REF!,'2017-11월 통계'!N$6,#REF!,'2017-11월 통계'!$C$46,#REF!,'2017-11월 통계'!$D48)</f>
        <v>#REF!</v>
      </c>
      <c r="O48" s="12">
        <v>0</v>
      </c>
      <c r="P48" s="12">
        <v>0</v>
      </c>
      <c r="Q48" s="12">
        <v>0</v>
      </c>
      <c r="R48" s="12">
        <v>0</v>
      </c>
      <c r="S48" s="12">
        <v>0</v>
      </c>
      <c r="T48" s="12">
        <v>0</v>
      </c>
      <c r="U48" s="12">
        <v>0</v>
      </c>
      <c r="V48" s="12">
        <v>0</v>
      </c>
      <c r="W48" s="12">
        <v>0</v>
      </c>
      <c r="X48" s="12">
        <v>0</v>
      </c>
      <c r="Y48" s="12">
        <v>0</v>
      </c>
      <c r="Z48" s="12">
        <v>0</v>
      </c>
      <c r="AA48" s="12">
        <v>0</v>
      </c>
      <c r="AB48" s="12">
        <v>0</v>
      </c>
      <c r="AC48" s="12">
        <v>0</v>
      </c>
      <c r="AD48" s="12">
        <v>0</v>
      </c>
      <c r="AE48" s="12">
        <v>0</v>
      </c>
      <c r="AF48" s="12">
        <v>0</v>
      </c>
      <c r="AG48" s="12">
        <v>2</v>
      </c>
      <c r="AH48" s="12">
        <v>2</v>
      </c>
      <c r="AI48" s="12">
        <v>0</v>
      </c>
      <c r="AJ48" s="12" t="e">
        <f>COUNTIFS(#REF!,'2017-11월 통계'!AJ$6,#REF!,'2017-11월 통계'!$C$46,#REF!,'2017-11월 통계'!$D48)</f>
        <v>#REF!</v>
      </c>
    </row>
    <row r="49" spans="3:36">
      <c r="C49" s="277"/>
      <c r="D49" s="7" t="s">
        <v>1</v>
      </c>
      <c r="E49" s="19" t="e">
        <f t="shared" si="8"/>
        <v>#REF!</v>
      </c>
      <c r="F49" s="12" t="e">
        <f>COUNTIFS(#REF!,'2017-11월 통계'!F$6,#REF!,'2017-11월 통계'!$C$46,#REF!,'2017-11월 통계'!$D49)</f>
        <v>#REF!</v>
      </c>
      <c r="G49" s="12" t="e">
        <f>COUNTIFS(#REF!,'2017-11월 통계'!G$6,#REF!,'2017-11월 통계'!$C$46,#REF!,'2017-11월 통계'!$D49)</f>
        <v>#REF!</v>
      </c>
      <c r="H49" s="12" t="e">
        <f>COUNTIFS(#REF!,'2017-11월 통계'!H$6,#REF!,'2017-11월 통계'!$C$46,#REF!,'2017-11월 통계'!$D49)</f>
        <v>#REF!</v>
      </c>
      <c r="I49" s="12" t="e">
        <f>COUNTIFS(#REF!,'2017-11월 통계'!I$6,#REF!,'2017-11월 통계'!$C$46,#REF!,'2017-11월 통계'!$D49)</f>
        <v>#REF!</v>
      </c>
      <c r="J49" s="12" t="e">
        <f>COUNTIFS(#REF!,'2017-11월 통계'!J$6,#REF!,'2017-11월 통계'!$C$46,#REF!,'2017-11월 통계'!$D49)</f>
        <v>#REF!</v>
      </c>
      <c r="K49" s="12" t="e">
        <f>COUNTIFS(#REF!,'2017-11월 통계'!K$6,#REF!,'2017-11월 통계'!$C$46,#REF!,'2017-11월 통계'!$D49)</f>
        <v>#REF!</v>
      </c>
      <c r="L49" s="12" t="e">
        <f>COUNTIFS(#REF!,'2017-11월 통계'!L$6,#REF!,'2017-11월 통계'!$C$46,#REF!,'2017-11월 통계'!$D49)</f>
        <v>#REF!</v>
      </c>
      <c r="M49" s="12" t="e">
        <f>COUNTIFS(#REF!,'2017-11월 통계'!M$6,#REF!,'2017-11월 통계'!$C$46,#REF!,'2017-11월 통계'!$D49)</f>
        <v>#REF!</v>
      </c>
      <c r="N49" s="12" t="e">
        <f>COUNTIFS(#REF!,'2017-11월 통계'!N$6,#REF!,'2017-11월 통계'!$C$46,#REF!,'2017-11월 통계'!$D49)</f>
        <v>#REF!</v>
      </c>
      <c r="O49" s="12">
        <v>0</v>
      </c>
      <c r="P49" s="12">
        <v>0</v>
      </c>
      <c r="Q49" s="12">
        <v>0</v>
      </c>
      <c r="R49" s="12">
        <v>0</v>
      </c>
      <c r="S49" s="12">
        <v>0</v>
      </c>
      <c r="T49" s="12">
        <v>0</v>
      </c>
      <c r="U49" s="12">
        <v>0</v>
      </c>
      <c r="V49" s="12">
        <v>0</v>
      </c>
      <c r="W49" s="12">
        <v>0</v>
      </c>
      <c r="X49" s="12">
        <v>0</v>
      </c>
      <c r="Y49" s="12">
        <v>0</v>
      </c>
      <c r="Z49" s="12">
        <v>1</v>
      </c>
      <c r="AA49" s="12">
        <v>1</v>
      </c>
      <c r="AB49" s="12">
        <v>0</v>
      </c>
      <c r="AC49" s="12">
        <v>2</v>
      </c>
      <c r="AD49" s="12">
        <v>0</v>
      </c>
      <c r="AE49" s="12">
        <v>0</v>
      </c>
      <c r="AF49" s="12">
        <v>0</v>
      </c>
      <c r="AG49" s="12">
        <v>1</v>
      </c>
      <c r="AH49" s="12">
        <v>2</v>
      </c>
      <c r="AI49" s="12">
        <v>2</v>
      </c>
      <c r="AJ49" s="12" t="e">
        <f>COUNTIFS(#REF!,'2017-11월 통계'!AJ$6,#REF!,'2017-11월 통계'!$C$46,#REF!,'2017-11월 통계'!$D49)</f>
        <v>#REF!</v>
      </c>
    </row>
    <row r="50" spans="3:36">
      <c r="C50" s="277"/>
      <c r="D50" s="7" t="s">
        <v>10</v>
      </c>
      <c r="E50" s="19" t="e">
        <f t="shared" si="8"/>
        <v>#REF!</v>
      </c>
      <c r="F50" s="12" t="e">
        <f>COUNTIFS(#REF!,'2017-11월 통계'!F$6,#REF!,'2017-11월 통계'!$C$46,#REF!,'2017-11월 통계'!$D50)</f>
        <v>#REF!</v>
      </c>
      <c r="G50" s="12" t="e">
        <f>COUNTIFS(#REF!,'2017-11월 통계'!G$6,#REF!,'2017-11월 통계'!$C$46,#REF!,'2017-11월 통계'!$D50)</f>
        <v>#REF!</v>
      </c>
      <c r="H50" s="12" t="e">
        <f>COUNTIFS(#REF!,'2017-11월 통계'!H$6,#REF!,'2017-11월 통계'!$C$46,#REF!,'2017-11월 통계'!$D50)</f>
        <v>#REF!</v>
      </c>
      <c r="I50" s="12" t="e">
        <f>COUNTIFS(#REF!,'2017-11월 통계'!I$6,#REF!,'2017-11월 통계'!$C$46,#REF!,'2017-11월 통계'!$D50)</f>
        <v>#REF!</v>
      </c>
      <c r="J50" s="12" t="e">
        <f>COUNTIFS(#REF!,'2017-11월 통계'!J$6,#REF!,'2017-11월 통계'!$C$46,#REF!,'2017-11월 통계'!$D50)</f>
        <v>#REF!</v>
      </c>
      <c r="K50" s="12" t="e">
        <f>COUNTIFS(#REF!,'2017-11월 통계'!K$6,#REF!,'2017-11월 통계'!$C$46,#REF!,'2017-11월 통계'!$D50)</f>
        <v>#REF!</v>
      </c>
      <c r="L50" s="12" t="e">
        <f>COUNTIFS(#REF!,'2017-11월 통계'!L$6,#REF!,'2017-11월 통계'!$C$46,#REF!,'2017-11월 통계'!$D50)</f>
        <v>#REF!</v>
      </c>
      <c r="M50" s="12" t="e">
        <f>COUNTIFS(#REF!,'2017-11월 통계'!M$6,#REF!,'2017-11월 통계'!$C$46,#REF!,'2017-11월 통계'!$D50)</f>
        <v>#REF!</v>
      </c>
      <c r="N50" s="12" t="e">
        <f>COUNTIFS(#REF!,'2017-11월 통계'!N$6,#REF!,'2017-11월 통계'!$C$46,#REF!,'2017-11월 통계'!$D50)</f>
        <v>#REF!</v>
      </c>
      <c r="O50" s="12">
        <v>0</v>
      </c>
      <c r="P50" s="12">
        <v>0</v>
      </c>
      <c r="Q50" s="12">
        <v>0</v>
      </c>
      <c r="R50" s="12">
        <v>0</v>
      </c>
      <c r="S50" s="12">
        <v>0</v>
      </c>
      <c r="T50" s="12">
        <v>0</v>
      </c>
      <c r="U50" s="12">
        <v>0</v>
      </c>
      <c r="V50" s="12">
        <v>0</v>
      </c>
      <c r="W50" s="12">
        <v>0</v>
      </c>
      <c r="X50" s="12">
        <v>0</v>
      </c>
      <c r="Y50" s="12">
        <v>0</v>
      </c>
      <c r="Z50" s="12">
        <v>0</v>
      </c>
      <c r="AA50" s="12">
        <v>1</v>
      </c>
      <c r="AB50" s="12">
        <v>0</v>
      </c>
      <c r="AC50" s="12">
        <v>0</v>
      </c>
      <c r="AD50" s="12">
        <v>0</v>
      </c>
      <c r="AE50" s="12">
        <v>0</v>
      </c>
      <c r="AF50" s="12">
        <v>0</v>
      </c>
      <c r="AG50" s="12">
        <v>1</v>
      </c>
      <c r="AH50" s="12">
        <v>0</v>
      </c>
      <c r="AI50" s="12">
        <v>0</v>
      </c>
      <c r="AJ50" s="12" t="e">
        <f>COUNTIFS(#REF!,'2017-11월 통계'!AJ$6,#REF!,'2017-11월 통계'!$C$46,#REF!,'2017-11월 통계'!$D50)</f>
        <v>#REF!</v>
      </c>
    </row>
    <row r="51" spans="3:36">
      <c r="C51" s="277"/>
      <c r="D51" s="7" t="s">
        <v>15</v>
      </c>
      <c r="E51" s="19" t="e">
        <f t="shared" si="8"/>
        <v>#REF!</v>
      </c>
      <c r="F51" s="12" t="e">
        <f>COUNTIFS(#REF!,'2017-11월 통계'!F$6,#REF!,'2017-11월 통계'!$C$46,#REF!,'2017-11월 통계'!$D51)</f>
        <v>#REF!</v>
      </c>
      <c r="G51" s="12" t="e">
        <f>COUNTIFS(#REF!,'2017-11월 통계'!G$6,#REF!,'2017-11월 통계'!$C$46,#REF!,'2017-11월 통계'!$D51)</f>
        <v>#REF!</v>
      </c>
      <c r="H51" s="12" t="e">
        <f>COUNTIFS(#REF!,'2017-11월 통계'!H$6,#REF!,'2017-11월 통계'!$C$46,#REF!,'2017-11월 통계'!$D51)</f>
        <v>#REF!</v>
      </c>
      <c r="I51" s="12" t="e">
        <f>COUNTIFS(#REF!,'2017-11월 통계'!I$6,#REF!,'2017-11월 통계'!$C$46,#REF!,'2017-11월 통계'!$D51)</f>
        <v>#REF!</v>
      </c>
      <c r="J51" s="12" t="e">
        <f>COUNTIFS(#REF!,'2017-11월 통계'!J$6,#REF!,'2017-11월 통계'!$C$46,#REF!,'2017-11월 통계'!$D51)</f>
        <v>#REF!</v>
      </c>
      <c r="K51" s="12" t="e">
        <f>COUNTIFS(#REF!,'2017-11월 통계'!K$6,#REF!,'2017-11월 통계'!$C$46,#REF!,'2017-11월 통계'!$D51)</f>
        <v>#REF!</v>
      </c>
      <c r="L51" s="12" t="e">
        <f>COUNTIFS(#REF!,'2017-11월 통계'!L$6,#REF!,'2017-11월 통계'!$C$46,#REF!,'2017-11월 통계'!$D51)</f>
        <v>#REF!</v>
      </c>
      <c r="M51" s="12" t="e">
        <f>COUNTIFS(#REF!,'2017-11월 통계'!M$6,#REF!,'2017-11월 통계'!$C$46,#REF!,'2017-11월 통계'!$D51)</f>
        <v>#REF!</v>
      </c>
      <c r="N51" s="12" t="e">
        <f>COUNTIFS(#REF!,'2017-11월 통계'!N$6,#REF!,'2017-11월 통계'!$C$46,#REF!,'2017-11월 통계'!$D51)</f>
        <v>#REF!</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t="e">
        <f>COUNTIFS(#REF!,'2017-11월 통계'!AJ$6,#REF!,'2017-11월 통계'!$C$46,#REF!,'2017-11월 통계'!$D51)</f>
        <v>#REF!</v>
      </c>
    </row>
    <row r="52" spans="3:36">
      <c r="C52" s="277"/>
      <c r="D52" s="7" t="s">
        <v>11</v>
      </c>
      <c r="E52" s="19" t="e">
        <f t="shared" si="8"/>
        <v>#REF!</v>
      </c>
      <c r="F52" s="12" t="e">
        <f>COUNTIFS(#REF!,'2017-11월 통계'!F$6,#REF!,'2017-11월 통계'!$C$46,#REF!,'2017-11월 통계'!$D52)</f>
        <v>#REF!</v>
      </c>
      <c r="G52" s="12" t="e">
        <f>COUNTIFS(#REF!,'2017-11월 통계'!G$6,#REF!,'2017-11월 통계'!$C$46,#REF!,'2017-11월 통계'!$D52)</f>
        <v>#REF!</v>
      </c>
      <c r="H52" s="12" t="e">
        <f>COUNTIFS(#REF!,'2017-11월 통계'!H$6,#REF!,'2017-11월 통계'!$C$46,#REF!,'2017-11월 통계'!$D52)</f>
        <v>#REF!</v>
      </c>
      <c r="I52" s="12" t="e">
        <f>COUNTIFS(#REF!,'2017-11월 통계'!I$6,#REF!,'2017-11월 통계'!$C$46,#REF!,'2017-11월 통계'!$D52)</f>
        <v>#REF!</v>
      </c>
      <c r="J52" s="12" t="e">
        <f>COUNTIFS(#REF!,'2017-11월 통계'!J$6,#REF!,'2017-11월 통계'!$C$46,#REF!,'2017-11월 통계'!$D52)</f>
        <v>#REF!</v>
      </c>
      <c r="K52" s="12" t="e">
        <f>COUNTIFS(#REF!,'2017-11월 통계'!K$6,#REF!,'2017-11월 통계'!$C$46,#REF!,'2017-11월 통계'!$D52)</f>
        <v>#REF!</v>
      </c>
      <c r="L52" s="12" t="e">
        <f>COUNTIFS(#REF!,'2017-11월 통계'!L$6,#REF!,'2017-11월 통계'!$C$46,#REF!,'2017-11월 통계'!$D52)</f>
        <v>#REF!</v>
      </c>
      <c r="M52" s="12" t="e">
        <f>COUNTIFS(#REF!,'2017-11월 통계'!M$6,#REF!,'2017-11월 통계'!$C$46,#REF!,'2017-11월 통계'!$D52)</f>
        <v>#REF!</v>
      </c>
      <c r="N52" s="12" t="e">
        <f>COUNTIFS(#REF!,'2017-11월 통계'!N$6,#REF!,'2017-11월 통계'!$C$46,#REF!,'2017-11월 통계'!$D52)</f>
        <v>#REF!</v>
      </c>
      <c r="O52" s="12">
        <v>0</v>
      </c>
      <c r="P52" s="12">
        <v>0</v>
      </c>
      <c r="Q52" s="12">
        <v>0</v>
      </c>
      <c r="R52" s="12">
        <v>0</v>
      </c>
      <c r="S52" s="12">
        <v>0</v>
      </c>
      <c r="T52" s="12">
        <v>0</v>
      </c>
      <c r="U52" s="12">
        <v>0</v>
      </c>
      <c r="V52" s="12">
        <v>0</v>
      </c>
      <c r="W52" s="12">
        <v>0</v>
      </c>
      <c r="X52" s="12">
        <v>0</v>
      </c>
      <c r="Y52" s="12">
        <v>2</v>
      </c>
      <c r="Z52" s="12">
        <v>0</v>
      </c>
      <c r="AA52" s="12">
        <v>2</v>
      </c>
      <c r="AB52" s="12">
        <v>6</v>
      </c>
      <c r="AC52" s="12">
        <v>3</v>
      </c>
      <c r="AD52" s="12">
        <v>1</v>
      </c>
      <c r="AE52" s="12">
        <v>0</v>
      </c>
      <c r="AF52" s="12">
        <v>2</v>
      </c>
      <c r="AG52" s="12">
        <v>3</v>
      </c>
      <c r="AH52" s="12">
        <v>7</v>
      </c>
      <c r="AI52" s="12">
        <v>9</v>
      </c>
      <c r="AJ52" s="12" t="e">
        <f>COUNTIFS(#REF!,'2017-11월 통계'!AJ$6,#REF!,'2017-11월 통계'!$C$46,#REF!,'2017-11월 통계'!$D52)</f>
        <v>#REF!</v>
      </c>
    </row>
    <row r="53" spans="3:36">
      <c r="C53" s="277"/>
      <c r="D53" s="7" t="s">
        <v>17</v>
      </c>
      <c r="E53" s="19" t="e">
        <f t="shared" si="8"/>
        <v>#REF!</v>
      </c>
      <c r="F53" s="13" t="e">
        <f t="shared" ref="F53:N53" si="9">F11-(SUM(F46:F52))</f>
        <v>#REF!</v>
      </c>
      <c r="G53" s="13" t="e">
        <f t="shared" si="9"/>
        <v>#REF!</v>
      </c>
      <c r="H53" s="13" t="e">
        <f t="shared" si="9"/>
        <v>#REF!</v>
      </c>
      <c r="I53" s="13" t="e">
        <f t="shared" si="9"/>
        <v>#REF!</v>
      </c>
      <c r="J53" s="13" t="e">
        <f t="shared" si="9"/>
        <v>#REF!</v>
      </c>
      <c r="K53" s="13" t="e">
        <f t="shared" si="9"/>
        <v>#REF!</v>
      </c>
      <c r="L53" s="13" t="e">
        <f t="shared" si="9"/>
        <v>#REF!</v>
      </c>
      <c r="M53" s="13" t="e">
        <f t="shared" si="9"/>
        <v>#REF!</v>
      </c>
      <c r="N53" s="13" t="e">
        <f t="shared" si="9"/>
        <v>#REF!</v>
      </c>
      <c r="O53" s="13">
        <v>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t="e">
        <f>AJ11-(SUM(AJ46:AJ52))</f>
        <v>#REF!</v>
      </c>
    </row>
    <row r="54" spans="3:36">
      <c r="E54" s="18"/>
      <c r="Z54" s="1"/>
      <c r="AA54" s="1"/>
    </row>
    <row r="55" spans="3:36">
      <c r="C55" s="277" t="s">
        <v>6</v>
      </c>
      <c r="D55" s="10" t="s">
        <v>5</v>
      </c>
      <c r="E55" s="19" t="e">
        <f t="shared" ref="E55:E62" si="10">SUM(F55:AJ55)</f>
        <v>#REF!</v>
      </c>
      <c r="F55" s="11" t="e">
        <f>COUNTIFS(#REF!,'2017-11월 통계'!F$6,#REF!,'2017-11월 통계'!$C$55,#REF!,'2017-11월 통계'!$D55)</f>
        <v>#REF!</v>
      </c>
      <c r="G55" s="11" t="e">
        <f>COUNTIFS(#REF!,'2017-11월 통계'!G$6,#REF!,'2017-11월 통계'!$C$55,#REF!,'2017-11월 통계'!$D55)</f>
        <v>#REF!</v>
      </c>
      <c r="H55" s="11" t="e">
        <f>COUNTIFS(#REF!,'2017-11월 통계'!H$6,#REF!,'2017-11월 통계'!$C$55,#REF!,'2017-11월 통계'!$D55)</f>
        <v>#REF!</v>
      </c>
      <c r="I55" s="11" t="e">
        <f>COUNTIFS(#REF!,'2017-11월 통계'!I$6,#REF!,'2017-11월 통계'!$C$55,#REF!,'2017-11월 통계'!$D55)</f>
        <v>#REF!</v>
      </c>
      <c r="J55" s="11" t="e">
        <f>COUNTIFS(#REF!,'2017-11월 통계'!J$6,#REF!,'2017-11월 통계'!$C$55,#REF!,'2017-11월 통계'!$D55)</f>
        <v>#REF!</v>
      </c>
      <c r="K55" s="11" t="e">
        <f>COUNTIFS(#REF!,'2017-11월 통계'!K$6,#REF!,'2017-11월 통계'!$C$55,#REF!,'2017-11월 통계'!$D55)</f>
        <v>#REF!</v>
      </c>
      <c r="L55" s="11" t="e">
        <f>COUNTIFS(#REF!,'2017-11월 통계'!L$6,#REF!,'2017-11월 통계'!$C$55,#REF!,'2017-11월 통계'!$D55)</f>
        <v>#REF!</v>
      </c>
      <c r="M55" s="11" t="e">
        <f>COUNTIFS(#REF!,'2017-11월 통계'!M$6,#REF!,'2017-11월 통계'!$C$55,#REF!,'2017-11월 통계'!$D55)</f>
        <v>#REF!</v>
      </c>
      <c r="N55" s="11" t="e">
        <f>COUNTIFS(#REF!,'2017-11월 통계'!N$6,#REF!,'2017-11월 통계'!$C$55,#REF!,'2017-11월 통계'!$D55)</f>
        <v>#REF!</v>
      </c>
      <c r="O55" s="11">
        <v>0</v>
      </c>
      <c r="P55" s="11">
        <v>0</v>
      </c>
      <c r="Q55" s="11">
        <v>0</v>
      </c>
      <c r="R55" s="11">
        <v>0</v>
      </c>
      <c r="S55" s="11">
        <v>0</v>
      </c>
      <c r="T55" s="11">
        <v>0</v>
      </c>
      <c r="U55" s="11">
        <v>0</v>
      </c>
      <c r="V55" s="11">
        <v>0</v>
      </c>
      <c r="W55" s="11">
        <v>0</v>
      </c>
      <c r="X55" s="11">
        <v>0</v>
      </c>
      <c r="Y55" s="11">
        <v>2</v>
      </c>
      <c r="Z55" s="11">
        <v>0</v>
      </c>
      <c r="AA55" s="11">
        <v>0</v>
      </c>
      <c r="AB55" s="11">
        <v>1</v>
      </c>
      <c r="AC55" s="11">
        <v>2</v>
      </c>
      <c r="AD55" s="11">
        <v>0</v>
      </c>
      <c r="AE55" s="11">
        <v>0</v>
      </c>
      <c r="AF55" s="11">
        <v>0</v>
      </c>
      <c r="AG55" s="11">
        <v>1</v>
      </c>
      <c r="AH55" s="11">
        <v>1</v>
      </c>
      <c r="AI55" s="11">
        <v>2</v>
      </c>
      <c r="AJ55" s="11" t="e">
        <f>COUNTIFS(#REF!,'2017-11월 통계'!AJ$6,#REF!,'2017-11월 통계'!$C$55,#REF!,'2017-11월 통계'!$D55)</f>
        <v>#REF!</v>
      </c>
    </row>
    <row r="56" spans="3:36">
      <c r="C56" s="277"/>
      <c r="D56" s="7" t="s">
        <v>8</v>
      </c>
      <c r="E56" s="19" t="e">
        <f t="shared" si="10"/>
        <v>#REF!</v>
      </c>
      <c r="F56" s="12" t="e">
        <f>COUNTIFS(#REF!,'2017-11월 통계'!F$6,#REF!,'2017-11월 통계'!$C$55,#REF!,'2017-11월 통계'!$D56)</f>
        <v>#REF!</v>
      </c>
      <c r="G56" s="12" t="e">
        <f>COUNTIFS(#REF!,'2017-11월 통계'!G$6,#REF!,'2017-11월 통계'!$C$55,#REF!,'2017-11월 통계'!$D56)</f>
        <v>#REF!</v>
      </c>
      <c r="H56" s="12" t="e">
        <f>COUNTIFS(#REF!,'2017-11월 통계'!H$6,#REF!,'2017-11월 통계'!$C$55,#REF!,'2017-11월 통계'!$D56)</f>
        <v>#REF!</v>
      </c>
      <c r="I56" s="12" t="e">
        <f>COUNTIFS(#REF!,'2017-11월 통계'!I$6,#REF!,'2017-11월 통계'!$C$55,#REF!,'2017-11월 통계'!$D56)</f>
        <v>#REF!</v>
      </c>
      <c r="J56" s="12" t="e">
        <f>COUNTIFS(#REF!,'2017-11월 통계'!J$6,#REF!,'2017-11월 통계'!$C$55,#REF!,'2017-11월 통계'!$D56)</f>
        <v>#REF!</v>
      </c>
      <c r="K56" s="12" t="e">
        <f>COUNTIFS(#REF!,'2017-11월 통계'!K$6,#REF!,'2017-11월 통계'!$C$55,#REF!,'2017-11월 통계'!$D56)</f>
        <v>#REF!</v>
      </c>
      <c r="L56" s="12" t="e">
        <f>COUNTIFS(#REF!,'2017-11월 통계'!L$6,#REF!,'2017-11월 통계'!$C$55,#REF!,'2017-11월 통계'!$D56)</f>
        <v>#REF!</v>
      </c>
      <c r="M56" s="12" t="e">
        <f>COUNTIFS(#REF!,'2017-11월 통계'!M$6,#REF!,'2017-11월 통계'!$C$55,#REF!,'2017-11월 통계'!$D56)</f>
        <v>#REF!</v>
      </c>
      <c r="N56" s="12" t="e">
        <f>COUNTIFS(#REF!,'2017-11월 통계'!N$6,#REF!,'2017-11월 통계'!$C$55,#REF!,'2017-11월 통계'!$D56)</f>
        <v>#REF!</v>
      </c>
      <c r="O56" s="12">
        <v>0</v>
      </c>
      <c r="P56" s="12">
        <v>0</v>
      </c>
      <c r="Q56" s="12">
        <v>0</v>
      </c>
      <c r="R56" s="12">
        <v>0</v>
      </c>
      <c r="S56" s="12">
        <v>0</v>
      </c>
      <c r="T56" s="12">
        <v>0</v>
      </c>
      <c r="U56" s="12">
        <v>0</v>
      </c>
      <c r="V56" s="12">
        <v>0</v>
      </c>
      <c r="W56" s="12">
        <v>0</v>
      </c>
      <c r="X56" s="12">
        <v>0</v>
      </c>
      <c r="Y56" s="12">
        <v>1</v>
      </c>
      <c r="Z56" s="12">
        <v>0</v>
      </c>
      <c r="AA56" s="12">
        <v>1</v>
      </c>
      <c r="AB56" s="12">
        <v>0</v>
      </c>
      <c r="AC56" s="12">
        <v>1</v>
      </c>
      <c r="AD56" s="12">
        <v>0</v>
      </c>
      <c r="AE56" s="12">
        <v>0</v>
      </c>
      <c r="AF56" s="12">
        <v>2</v>
      </c>
      <c r="AG56" s="12">
        <v>4</v>
      </c>
      <c r="AH56" s="12">
        <v>2</v>
      </c>
      <c r="AI56" s="12">
        <v>7</v>
      </c>
      <c r="AJ56" s="12" t="e">
        <f>COUNTIFS(#REF!,'2017-11월 통계'!AJ$6,#REF!,'2017-11월 통계'!$C$55,#REF!,'2017-11월 통계'!$D56)</f>
        <v>#REF!</v>
      </c>
    </row>
    <row r="57" spans="3:36">
      <c r="C57" s="277"/>
      <c r="D57" s="7" t="s">
        <v>9</v>
      </c>
      <c r="E57" s="19" t="e">
        <f t="shared" si="10"/>
        <v>#REF!</v>
      </c>
      <c r="F57" s="12" t="e">
        <f>COUNTIFS(#REF!,'2017-11월 통계'!F$6,#REF!,'2017-11월 통계'!$C$55,#REF!,'2017-11월 통계'!$D57)</f>
        <v>#REF!</v>
      </c>
      <c r="G57" s="12" t="e">
        <f>COUNTIFS(#REF!,'2017-11월 통계'!G$6,#REF!,'2017-11월 통계'!$C$55,#REF!,'2017-11월 통계'!$D57)</f>
        <v>#REF!</v>
      </c>
      <c r="H57" s="12" t="e">
        <f>COUNTIFS(#REF!,'2017-11월 통계'!H$6,#REF!,'2017-11월 통계'!$C$55,#REF!,'2017-11월 통계'!$D57)</f>
        <v>#REF!</v>
      </c>
      <c r="I57" s="12" t="e">
        <f>COUNTIFS(#REF!,'2017-11월 통계'!I$6,#REF!,'2017-11월 통계'!$C$55,#REF!,'2017-11월 통계'!$D57)</f>
        <v>#REF!</v>
      </c>
      <c r="J57" s="12" t="e">
        <f>COUNTIFS(#REF!,'2017-11월 통계'!J$6,#REF!,'2017-11월 통계'!$C$55,#REF!,'2017-11월 통계'!$D57)</f>
        <v>#REF!</v>
      </c>
      <c r="K57" s="12" t="e">
        <f>COUNTIFS(#REF!,'2017-11월 통계'!K$6,#REF!,'2017-11월 통계'!$C$55,#REF!,'2017-11월 통계'!$D57)</f>
        <v>#REF!</v>
      </c>
      <c r="L57" s="12" t="e">
        <f>COUNTIFS(#REF!,'2017-11월 통계'!L$6,#REF!,'2017-11월 통계'!$C$55,#REF!,'2017-11월 통계'!$D57)</f>
        <v>#REF!</v>
      </c>
      <c r="M57" s="12" t="e">
        <f>COUNTIFS(#REF!,'2017-11월 통계'!M$6,#REF!,'2017-11월 통계'!$C$55,#REF!,'2017-11월 통계'!$D57)</f>
        <v>#REF!</v>
      </c>
      <c r="N57" s="12" t="e">
        <f>COUNTIFS(#REF!,'2017-11월 통계'!N$6,#REF!,'2017-11월 통계'!$C$55,#REF!,'2017-11월 통계'!$D57)</f>
        <v>#REF!</v>
      </c>
      <c r="O57" s="12">
        <v>0</v>
      </c>
      <c r="P57" s="12">
        <v>0</v>
      </c>
      <c r="Q57" s="12">
        <v>0</v>
      </c>
      <c r="R57" s="12">
        <v>0</v>
      </c>
      <c r="S57" s="12">
        <v>0</v>
      </c>
      <c r="T57" s="12">
        <v>0</v>
      </c>
      <c r="U57" s="12">
        <v>0</v>
      </c>
      <c r="V57" s="12">
        <v>0</v>
      </c>
      <c r="W57" s="12">
        <v>0</v>
      </c>
      <c r="X57" s="12">
        <v>0</v>
      </c>
      <c r="Y57" s="12">
        <v>0</v>
      </c>
      <c r="Z57" s="12">
        <v>1</v>
      </c>
      <c r="AA57" s="12">
        <v>1</v>
      </c>
      <c r="AB57" s="12">
        <v>0</v>
      </c>
      <c r="AC57" s="12">
        <v>2</v>
      </c>
      <c r="AD57" s="12">
        <v>0</v>
      </c>
      <c r="AE57" s="12">
        <v>0</v>
      </c>
      <c r="AF57" s="12">
        <v>1</v>
      </c>
      <c r="AG57" s="12">
        <v>0</v>
      </c>
      <c r="AH57" s="12">
        <v>1</v>
      </c>
      <c r="AI57" s="12">
        <v>4</v>
      </c>
      <c r="AJ57" s="12" t="e">
        <f>COUNTIFS(#REF!,'2017-11월 통계'!AJ$6,#REF!,'2017-11월 통계'!$C$55,#REF!,'2017-11월 통계'!$D57)</f>
        <v>#REF!</v>
      </c>
    </row>
    <row r="58" spans="3:36">
      <c r="C58" s="277"/>
      <c r="D58" s="7" t="s">
        <v>1</v>
      </c>
      <c r="E58" s="19" t="e">
        <f t="shared" si="10"/>
        <v>#REF!</v>
      </c>
      <c r="F58" s="12" t="e">
        <f>COUNTIFS(#REF!,'2017-11월 통계'!F$6,#REF!,'2017-11월 통계'!$C$55,#REF!,'2017-11월 통계'!$D58)</f>
        <v>#REF!</v>
      </c>
      <c r="G58" s="12" t="e">
        <f>COUNTIFS(#REF!,'2017-11월 통계'!G$6,#REF!,'2017-11월 통계'!$C$55,#REF!,'2017-11월 통계'!$D58)</f>
        <v>#REF!</v>
      </c>
      <c r="H58" s="12" t="e">
        <f>COUNTIFS(#REF!,'2017-11월 통계'!H$6,#REF!,'2017-11월 통계'!$C$55,#REF!,'2017-11월 통계'!$D58)</f>
        <v>#REF!</v>
      </c>
      <c r="I58" s="12" t="e">
        <f>COUNTIFS(#REF!,'2017-11월 통계'!I$6,#REF!,'2017-11월 통계'!$C$55,#REF!,'2017-11월 통계'!$D58)</f>
        <v>#REF!</v>
      </c>
      <c r="J58" s="12" t="e">
        <f>COUNTIFS(#REF!,'2017-11월 통계'!J$6,#REF!,'2017-11월 통계'!$C$55,#REF!,'2017-11월 통계'!$D58)</f>
        <v>#REF!</v>
      </c>
      <c r="K58" s="12" t="e">
        <f>COUNTIFS(#REF!,'2017-11월 통계'!K$6,#REF!,'2017-11월 통계'!$C$55,#REF!,'2017-11월 통계'!$D58)</f>
        <v>#REF!</v>
      </c>
      <c r="L58" s="12" t="e">
        <f>COUNTIFS(#REF!,'2017-11월 통계'!L$6,#REF!,'2017-11월 통계'!$C$55,#REF!,'2017-11월 통계'!$D58)</f>
        <v>#REF!</v>
      </c>
      <c r="M58" s="12" t="e">
        <f>COUNTIFS(#REF!,'2017-11월 통계'!M$6,#REF!,'2017-11월 통계'!$C$55,#REF!,'2017-11월 통계'!$D58)</f>
        <v>#REF!</v>
      </c>
      <c r="N58" s="12" t="e">
        <f>COUNTIFS(#REF!,'2017-11월 통계'!N$6,#REF!,'2017-11월 통계'!$C$55,#REF!,'2017-11월 통계'!$D58)</f>
        <v>#REF!</v>
      </c>
      <c r="O58" s="12">
        <v>0</v>
      </c>
      <c r="P58" s="12">
        <v>0</v>
      </c>
      <c r="Q58" s="12">
        <v>0</v>
      </c>
      <c r="R58" s="12">
        <v>0</v>
      </c>
      <c r="S58" s="12">
        <v>0</v>
      </c>
      <c r="T58" s="12">
        <v>0</v>
      </c>
      <c r="U58" s="12">
        <v>0</v>
      </c>
      <c r="V58" s="12">
        <v>0</v>
      </c>
      <c r="W58" s="12">
        <v>0</v>
      </c>
      <c r="X58" s="12">
        <v>0</v>
      </c>
      <c r="Y58" s="12">
        <v>0</v>
      </c>
      <c r="Z58" s="12">
        <v>0</v>
      </c>
      <c r="AA58" s="12">
        <v>0</v>
      </c>
      <c r="AB58" s="12">
        <v>0</v>
      </c>
      <c r="AC58" s="12">
        <v>0</v>
      </c>
      <c r="AD58" s="12">
        <v>0</v>
      </c>
      <c r="AE58" s="12">
        <v>0</v>
      </c>
      <c r="AF58" s="12">
        <v>0</v>
      </c>
      <c r="AG58" s="12">
        <v>0</v>
      </c>
      <c r="AH58" s="12">
        <v>0</v>
      </c>
      <c r="AI58" s="12">
        <v>1</v>
      </c>
      <c r="AJ58" s="12" t="e">
        <f>COUNTIFS(#REF!,'2017-11월 통계'!AJ$6,#REF!,'2017-11월 통계'!$C$55,#REF!,'2017-11월 통계'!$D58)</f>
        <v>#REF!</v>
      </c>
    </row>
    <row r="59" spans="3:36">
      <c r="C59" s="277"/>
      <c r="D59" s="7" t="s">
        <v>10</v>
      </c>
      <c r="E59" s="19" t="e">
        <f t="shared" si="10"/>
        <v>#REF!</v>
      </c>
      <c r="F59" s="12" t="e">
        <f>COUNTIFS(#REF!,'2017-11월 통계'!F$6,#REF!,'2017-11월 통계'!$C$55,#REF!,'2017-11월 통계'!$D59)</f>
        <v>#REF!</v>
      </c>
      <c r="G59" s="12" t="e">
        <f>COUNTIFS(#REF!,'2017-11월 통계'!G$6,#REF!,'2017-11월 통계'!$C$55,#REF!,'2017-11월 통계'!$D59)</f>
        <v>#REF!</v>
      </c>
      <c r="H59" s="12" t="e">
        <f>COUNTIFS(#REF!,'2017-11월 통계'!H$6,#REF!,'2017-11월 통계'!$C$55,#REF!,'2017-11월 통계'!$D59)</f>
        <v>#REF!</v>
      </c>
      <c r="I59" s="12" t="e">
        <f>COUNTIFS(#REF!,'2017-11월 통계'!I$6,#REF!,'2017-11월 통계'!$C$55,#REF!,'2017-11월 통계'!$D59)</f>
        <v>#REF!</v>
      </c>
      <c r="J59" s="12" t="e">
        <f>COUNTIFS(#REF!,'2017-11월 통계'!J$6,#REF!,'2017-11월 통계'!$C$55,#REF!,'2017-11월 통계'!$D59)</f>
        <v>#REF!</v>
      </c>
      <c r="K59" s="12" t="e">
        <f>COUNTIFS(#REF!,'2017-11월 통계'!K$6,#REF!,'2017-11월 통계'!$C$55,#REF!,'2017-11월 통계'!$D59)</f>
        <v>#REF!</v>
      </c>
      <c r="L59" s="12" t="e">
        <f>COUNTIFS(#REF!,'2017-11월 통계'!L$6,#REF!,'2017-11월 통계'!$C$55,#REF!,'2017-11월 통계'!$D59)</f>
        <v>#REF!</v>
      </c>
      <c r="M59" s="12" t="e">
        <f>COUNTIFS(#REF!,'2017-11월 통계'!M$6,#REF!,'2017-11월 통계'!$C$55,#REF!,'2017-11월 통계'!$D59)</f>
        <v>#REF!</v>
      </c>
      <c r="N59" s="12" t="e">
        <f>COUNTIFS(#REF!,'2017-11월 통계'!N$6,#REF!,'2017-11월 통계'!$C$55,#REF!,'2017-11월 통계'!$D59)</f>
        <v>#REF!</v>
      </c>
      <c r="O59" s="12">
        <v>0</v>
      </c>
      <c r="P59" s="12">
        <v>0</v>
      </c>
      <c r="Q59" s="12">
        <v>0</v>
      </c>
      <c r="R59" s="12">
        <v>0</v>
      </c>
      <c r="S59" s="12">
        <v>0</v>
      </c>
      <c r="T59" s="12">
        <v>0</v>
      </c>
      <c r="U59" s="12">
        <v>0</v>
      </c>
      <c r="V59" s="12">
        <v>0</v>
      </c>
      <c r="W59" s="12">
        <v>0</v>
      </c>
      <c r="X59" s="12">
        <v>0</v>
      </c>
      <c r="Y59" s="12">
        <v>1</v>
      </c>
      <c r="Z59" s="12">
        <v>0</v>
      </c>
      <c r="AA59" s="12">
        <v>2</v>
      </c>
      <c r="AB59" s="12">
        <v>3</v>
      </c>
      <c r="AC59" s="12">
        <v>0</v>
      </c>
      <c r="AD59" s="12">
        <v>0</v>
      </c>
      <c r="AE59" s="12">
        <v>0</v>
      </c>
      <c r="AF59" s="12">
        <v>1</v>
      </c>
      <c r="AG59" s="12">
        <v>0</v>
      </c>
      <c r="AH59" s="12">
        <v>5</v>
      </c>
      <c r="AI59" s="12">
        <v>5</v>
      </c>
      <c r="AJ59" s="12" t="e">
        <f>COUNTIFS(#REF!,'2017-11월 통계'!AJ$6,#REF!,'2017-11월 통계'!$C$55,#REF!,'2017-11월 통계'!$D59)</f>
        <v>#REF!</v>
      </c>
    </row>
    <row r="60" spans="3:36">
      <c r="C60" s="277"/>
      <c r="D60" s="7" t="s">
        <v>15</v>
      </c>
      <c r="E60" s="19" t="e">
        <f t="shared" si="10"/>
        <v>#REF!</v>
      </c>
      <c r="F60" s="12" t="e">
        <f>COUNTIFS(#REF!,'2017-11월 통계'!F$6,#REF!,'2017-11월 통계'!$C$55,#REF!,'2017-11월 통계'!$D60)</f>
        <v>#REF!</v>
      </c>
      <c r="G60" s="12" t="e">
        <f>COUNTIFS(#REF!,'2017-11월 통계'!G$6,#REF!,'2017-11월 통계'!$C$55,#REF!,'2017-11월 통계'!$D60)</f>
        <v>#REF!</v>
      </c>
      <c r="H60" s="12" t="e">
        <f>COUNTIFS(#REF!,'2017-11월 통계'!H$6,#REF!,'2017-11월 통계'!$C$55,#REF!,'2017-11월 통계'!$D60)</f>
        <v>#REF!</v>
      </c>
      <c r="I60" s="12" t="e">
        <f>COUNTIFS(#REF!,'2017-11월 통계'!I$6,#REF!,'2017-11월 통계'!$C$55,#REF!,'2017-11월 통계'!$D60)</f>
        <v>#REF!</v>
      </c>
      <c r="J60" s="12" t="e">
        <f>COUNTIFS(#REF!,'2017-11월 통계'!J$6,#REF!,'2017-11월 통계'!$C$55,#REF!,'2017-11월 통계'!$D60)</f>
        <v>#REF!</v>
      </c>
      <c r="K60" s="12" t="e">
        <f>COUNTIFS(#REF!,'2017-11월 통계'!K$6,#REF!,'2017-11월 통계'!$C$55,#REF!,'2017-11월 통계'!$D60)</f>
        <v>#REF!</v>
      </c>
      <c r="L60" s="12" t="e">
        <f>COUNTIFS(#REF!,'2017-11월 통계'!L$6,#REF!,'2017-11월 통계'!$C$55,#REF!,'2017-11월 통계'!$D60)</f>
        <v>#REF!</v>
      </c>
      <c r="M60" s="12" t="e">
        <f>COUNTIFS(#REF!,'2017-11월 통계'!M$6,#REF!,'2017-11월 통계'!$C$55,#REF!,'2017-11월 통계'!$D60)</f>
        <v>#REF!</v>
      </c>
      <c r="N60" s="12" t="e">
        <f>COUNTIFS(#REF!,'2017-11월 통계'!N$6,#REF!,'2017-11월 통계'!$C$55,#REF!,'2017-11월 통계'!$D60)</f>
        <v>#REF!</v>
      </c>
      <c r="O60" s="12">
        <v>0</v>
      </c>
      <c r="P60" s="12">
        <v>0</v>
      </c>
      <c r="Q60" s="12">
        <v>0</v>
      </c>
      <c r="R60" s="12">
        <v>0</v>
      </c>
      <c r="S60" s="12">
        <v>0</v>
      </c>
      <c r="T60" s="12">
        <v>0</v>
      </c>
      <c r="U60" s="12">
        <v>0</v>
      </c>
      <c r="V60" s="12">
        <v>0</v>
      </c>
      <c r="W60" s="12">
        <v>0</v>
      </c>
      <c r="X60" s="12">
        <v>0</v>
      </c>
      <c r="Y60" s="12">
        <v>0</v>
      </c>
      <c r="Z60" s="12">
        <v>0</v>
      </c>
      <c r="AA60" s="12">
        <v>0</v>
      </c>
      <c r="AB60" s="12">
        <v>0</v>
      </c>
      <c r="AC60" s="12">
        <v>0</v>
      </c>
      <c r="AD60" s="12">
        <v>0</v>
      </c>
      <c r="AE60" s="12">
        <v>0</v>
      </c>
      <c r="AF60" s="12">
        <v>0</v>
      </c>
      <c r="AG60" s="12">
        <v>0</v>
      </c>
      <c r="AH60" s="12">
        <v>0</v>
      </c>
      <c r="AI60" s="12">
        <v>0</v>
      </c>
      <c r="AJ60" s="12" t="e">
        <f>COUNTIFS(#REF!,'2017-11월 통계'!AJ$6,#REF!,'2017-11월 통계'!$C$55,#REF!,'2017-11월 통계'!$D60)</f>
        <v>#REF!</v>
      </c>
    </row>
    <row r="61" spans="3:36">
      <c r="C61" s="277"/>
      <c r="D61" s="7" t="s">
        <v>11</v>
      </c>
      <c r="E61" s="19" t="e">
        <f t="shared" si="10"/>
        <v>#REF!</v>
      </c>
      <c r="F61" s="12" t="e">
        <f>COUNTIFS(#REF!,'2017-11월 통계'!F$6,#REF!,'2017-11월 통계'!$C$55,#REF!,'2017-11월 통계'!$D61)</f>
        <v>#REF!</v>
      </c>
      <c r="G61" s="12" t="e">
        <f>COUNTIFS(#REF!,'2017-11월 통계'!G$6,#REF!,'2017-11월 통계'!$C$55,#REF!,'2017-11월 통계'!$D61)</f>
        <v>#REF!</v>
      </c>
      <c r="H61" s="12" t="e">
        <f>COUNTIFS(#REF!,'2017-11월 통계'!H$6,#REF!,'2017-11월 통계'!$C$55,#REF!,'2017-11월 통계'!$D61)</f>
        <v>#REF!</v>
      </c>
      <c r="I61" s="12" t="e">
        <f>COUNTIFS(#REF!,'2017-11월 통계'!I$6,#REF!,'2017-11월 통계'!$C$55,#REF!,'2017-11월 통계'!$D61)</f>
        <v>#REF!</v>
      </c>
      <c r="J61" s="12" t="e">
        <f>COUNTIFS(#REF!,'2017-11월 통계'!J$6,#REF!,'2017-11월 통계'!$C$55,#REF!,'2017-11월 통계'!$D61)</f>
        <v>#REF!</v>
      </c>
      <c r="K61" s="12" t="e">
        <f>COUNTIFS(#REF!,'2017-11월 통계'!K$6,#REF!,'2017-11월 통계'!$C$55,#REF!,'2017-11월 통계'!$D61)</f>
        <v>#REF!</v>
      </c>
      <c r="L61" s="12" t="e">
        <f>COUNTIFS(#REF!,'2017-11월 통계'!L$6,#REF!,'2017-11월 통계'!$C$55,#REF!,'2017-11월 통계'!$D61)</f>
        <v>#REF!</v>
      </c>
      <c r="M61" s="12" t="e">
        <f>COUNTIFS(#REF!,'2017-11월 통계'!M$6,#REF!,'2017-11월 통계'!$C$55,#REF!,'2017-11월 통계'!$D61)</f>
        <v>#REF!</v>
      </c>
      <c r="N61" s="12" t="e">
        <f>COUNTIFS(#REF!,'2017-11월 통계'!N$6,#REF!,'2017-11월 통계'!$C$55,#REF!,'2017-11월 통계'!$D61)</f>
        <v>#REF!</v>
      </c>
      <c r="O61" s="12">
        <v>0</v>
      </c>
      <c r="P61" s="12">
        <v>0</v>
      </c>
      <c r="Q61" s="12">
        <v>0</v>
      </c>
      <c r="R61" s="12">
        <v>0</v>
      </c>
      <c r="S61" s="12">
        <v>0</v>
      </c>
      <c r="T61" s="12">
        <v>0</v>
      </c>
      <c r="U61" s="12">
        <v>0</v>
      </c>
      <c r="V61" s="12">
        <v>0</v>
      </c>
      <c r="W61" s="12">
        <v>0</v>
      </c>
      <c r="X61" s="12">
        <v>0</v>
      </c>
      <c r="Y61" s="12">
        <v>0</v>
      </c>
      <c r="Z61" s="12">
        <v>0</v>
      </c>
      <c r="AA61" s="12">
        <v>0</v>
      </c>
      <c r="AB61" s="12">
        <v>0</v>
      </c>
      <c r="AC61" s="12">
        <v>0</v>
      </c>
      <c r="AD61" s="12">
        <v>0</v>
      </c>
      <c r="AE61" s="12">
        <v>0</v>
      </c>
      <c r="AF61" s="12">
        <v>0</v>
      </c>
      <c r="AG61" s="12">
        <v>0</v>
      </c>
      <c r="AH61" s="12">
        <v>0</v>
      </c>
      <c r="AI61" s="12">
        <v>0</v>
      </c>
      <c r="AJ61" s="12" t="e">
        <f>COUNTIFS(#REF!,'2017-11월 통계'!AJ$6,#REF!,'2017-11월 통계'!$C$55,#REF!,'2017-11월 통계'!$D61)</f>
        <v>#REF!</v>
      </c>
    </row>
    <row r="62" spans="3:36">
      <c r="C62" s="277"/>
      <c r="D62" s="7" t="s">
        <v>17</v>
      </c>
      <c r="E62" s="19" t="e">
        <f t="shared" si="10"/>
        <v>#REF!</v>
      </c>
      <c r="F62" s="13" t="e">
        <f t="shared" ref="F62:N62" si="11">F12-(SUM(F55:F61))</f>
        <v>#REF!</v>
      </c>
      <c r="G62" s="13" t="e">
        <f t="shared" si="11"/>
        <v>#REF!</v>
      </c>
      <c r="H62" s="13" t="e">
        <f t="shared" si="11"/>
        <v>#REF!</v>
      </c>
      <c r="I62" s="13" t="e">
        <f t="shared" si="11"/>
        <v>#REF!</v>
      </c>
      <c r="J62" s="13" t="e">
        <f t="shared" si="11"/>
        <v>#REF!</v>
      </c>
      <c r="K62" s="13" t="e">
        <f t="shared" si="11"/>
        <v>#REF!</v>
      </c>
      <c r="L62" s="13" t="e">
        <f t="shared" si="11"/>
        <v>#REF!</v>
      </c>
      <c r="M62" s="13" t="e">
        <f t="shared" si="11"/>
        <v>#REF!</v>
      </c>
      <c r="N62" s="13" t="e">
        <f t="shared" si="11"/>
        <v>#REF!</v>
      </c>
      <c r="O62" s="13">
        <v>0</v>
      </c>
      <c r="P62" s="13">
        <v>0</v>
      </c>
      <c r="Q62" s="13">
        <v>0</v>
      </c>
      <c r="R62" s="13">
        <v>0</v>
      </c>
      <c r="S62" s="13">
        <v>0</v>
      </c>
      <c r="T62" s="13">
        <v>0</v>
      </c>
      <c r="U62" s="13">
        <v>0</v>
      </c>
      <c r="V62" s="13">
        <v>0</v>
      </c>
      <c r="W62" s="13">
        <v>0</v>
      </c>
      <c r="X62" s="13">
        <v>0</v>
      </c>
      <c r="Y62" s="13">
        <v>0</v>
      </c>
      <c r="Z62" s="13">
        <v>0</v>
      </c>
      <c r="AA62" s="13">
        <v>0</v>
      </c>
      <c r="AB62" s="13">
        <v>0</v>
      </c>
      <c r="AC62" s="13">
        <v>0</v>
      </c>
      <c r="AD62" s="13">
        <v>0</v>
      </c>
      <c r="AE62" s="13">
        <v>0</v>
      </c>
      <c r="AF62" s="13">
        <v>0</v>
      </c>
      <c r="AG62" s="13">
        <v>0</v>
      </c>
      <c r="AH62" s="13">
        <v>0</v>
      </c>
      <c r="AI62" s="13">
        <v>0</v>
      </c>
      <c r="AJ62" s="13" t="e">
        <f>AJ12-(SUM(AJ55:AJ61))</f>
        <v>#REF!</v>
      </c>
    </row>
    <row r="63" spans="3:36">
      <c r="Z63" s="1"/>
      <c r="AA63" s="1"/>
    </row>
    <row r="64" spans="3:36">
      <c r="Z64" s="1"/>
      <c r="AA64" s="1"/>
    </row>
  </sheetData>
  <mergeCells count="16">
    <mergeCell ref="C27:C34"/>
    <mergeCell ref="C37:C44"/>
    <mergeCell ref="C46:C53"/>
    <mergeCell ref="C55:C62"/>
    <mergeCell ref="C11:D11"/>
    <mergeCell ref="C12:D12"/>
    <mergeCell ref="C13:D13"/>
    <mergeCell ref="C15:D15"/>
    <mergeCell ref="C1:AJ1"/>
    <mergeCell ref="C7:D7"/>
    <mergeCell ref="C8:D8"/>
    <mergeCell ref="C9:D9"/>
    <mergeCell ref="C18:C25"/>
    <mergeCell ref="F4:AJ4"/>
    <mergeCell ref="C10:D10"/>
    <mergeCell ref="C4:D5"/>
  </mergeCells>
  <phoneticPr fontId="1" type="noConversion"/>
  <conditionalFormatting sqref="F6:AJ6">
    <cfRule type="cellIs" dxfId="0" priority="1" operator="equal">
      <formula>$I$1</formula>
    </cfRule>
  </conditionalFormatting>
  <pageMargins left="0.25" right="0.25" top="0.75" bottom="0.75" header="0.3" footer="0.3"/>
  <pageSetup paperSize="9" scale="73" fitToWidth="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전체 통계</vt:lpstr>
      <vt:lpstr>통계</vt:lpstr>
      <vt:lpstr>고객만족후기</vt:lpstr>
      <vt:lpstr>4월 통계</vt:lpstr>
      <vt:lpstr>2017-12월 통계</vt:lpstr>
      <vt:lpstr>2017-11월 통계</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정주현</dc:creator>
  <cp:lastModifiedBy>20080517</cp:lastModifiedBy>
  <cp:lastPrinted>2020-01-09T00:50:01Z</cp:lastPrinted>
  <dcterms:created xsi:type="dcterms:W3CDTF">2017-11-14T05:39:06Z</dcterms:created>
  <dcterms:modified xsi:type="dcterms:W3CDTF">2026-07-13T00:15:15Z</dcterms:modified>
</cp:coreProperties>
</file>